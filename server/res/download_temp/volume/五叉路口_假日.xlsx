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Public)/Public/車流平台範例檔/(1507、1493)鼎漢系統/【流量】下載_20250628/"/>
    </mc:Choice>
  </mc:AlternateContent>
  <xr:revisionPtr revIDLastSave="985" documentId="11_FA2A43DA7D94F7AFA43E2E8D2C35EC5FF8E8BD2B" xr6:coauthVersionLast="47" xr6:coauthVersionMax="47" xr10:uidLastSave="{6792BCFF-24C5-4473-AD3A-360B4F44A798}"/>
  <bookViews>
    <workbookView xWindow="-120" yWindow="-120" windowWidth="29040" windowHeight="15840" tabRatio="804" activeTab="3" xr2:uid="{00000000-000D-0000-FFFF-FFFF00000000}"/>
  </bookViews>
  <sheets>
    <sheet name="轉向量" sheetId="51" r:id="rId1"/>
    <sheet name="路口基本資料" sheetId="37" r:id="rId2"/>
    <sheet name="調查資料(OUT)" sheetId="3" r:id="rId3"/>
    <sheet name="PHF及轉向比" sheetId="2" r:id="rId4"/>
    <sheet name="流量分布圖" sheetId="39" r:id="rId5"/>
    <sheet name="轉向圖(尖峰)" sheetId="52" r:id="rId6"/>
    <sheet name="大型車轉向圖(尖峰)" sheetId="53" r:id="rId7"/>
    <sheet name="小型車轉向圖(尖峰)" sheetId="54" r:id="rId8"/>
    <sheet name="機車轉向圖(尖峰)" sheetId="55" r:id="rId9"/>
    <sheet name="轉向圖(離峰)" sheetId="56" r:id="rId10"/>
    <sheet name="大型車轉向圖(離峰)" sheetId="57" r:id="rId11"/>
    <sheet name="小型車轉向圖(離峰)" sheetId="58" r:id="rId12"/>
    <sheet name="機車轉向圖(離峰)" sheetId="59" r:id="rId13"/>
  </sheets>
  <externalReferences>
    <externalReference r:id="rId14"/>
    <externalReference r:id="rId15"/>
    <externalReference r:id="rId16"/>
  </externalReferences>
  <definedNames>
    <definedName name="_xlnm._FilterDatabase" localSheetId="3" hidden="1">PHF及轉向比!$DU$1:$DZ$4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2">'調查資料(OUT)'!$A$1:$AW$101</definedName>
    <definedName name="_xlnm.Print_Titles" localSheetId="2">'調查資料(OUT)'!$A:$A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" i="59" l="1"/>
  <c r="AE29" i="58"/>
  <c r="AE31" i="58"/>
  <c r="AE31" i="57"/>
  <c r="AE31" i="56"/>
  <c r="AE66" i="55"/>
  <c r="AE31" i="55"/>
  <c r="AE66" i="54"/>
  <c r="AE31" i="54"/>
  <c r="AE66" i="53"/>
  <c r="AE31" i="53"/>
  <c r="AE66" i="52"/>
  <c r="AE31" i="52"/>
  <c r="A35" i="59"/>
  <c r="AE29" i="59"/>
  <c r="U5" i="59"/>
  <c r="T5" i="59"/>
  <c r="S5" i="59"/>
  <c r="R5" i="59"/>
  <c r="J5" i="59"/>
  <c r="I5" i="59"/>
  <c r="H5" i="59"/>
  <c r="G5" i="59"/>
  <c r="D22" i="59"/>
  <c r="D21" i="59"/>
  <c r="D20" i="59"/>
  <c r="D19" i="59"/>
  <c r="R30" i="59"/>
  <c r="S30" i="59"/>
  <c r="T30" i="59"/>
  <c r="U30" i="59"/>
  <c r="AC16" i="59"/>
  <c r="AC15" i="59"/>
  <c r="AC14" i="59"/>
  <c r="AC13" i="59"/>
  <c r="A35" i="58"/>
  <c r="U5" i="58"/>
  <c r="T5" i="58"/>
  <c r="S5" i="58"/>
  <c r="R5" i="58"/>
  <c r="J5" i="58"/>
  <c r="I5" i="58"/>
  <c r="H5" i="58"/>
  <c r="G5" i="58"/>
  <c r="D22" i="58"/>
  <c r="D21" i="58"/>
  <c r="D20" i="58"/>
  <c r="D19" i="58"/>
  <c r="R30" i="58"/>
  <c r="S30" i="58"/>
  <c r="T30" i="58"/>
  <c r="U30" i="58"/>
  <c r="AC16" i="58"/>
  <c r="AC15" i="58"/>
  <c r="AC14" i="58"/>
  <c r="AC13" i="58"/>
  <c r="U5" i="57"/>
  <c r="T5" i="57"/>
  <c r="S5" i="57"/>
  <c r="R5" i="57"/>
  <c r="J5" i="57"/>
  <c r="I5" i="57"/>
  <c r="H5" i="57"/>
  <c r="G5" i="57"/>
  <c r="D22" i="57"/>
  <c r="D21" i="57"/>
  <c r="D20" i="57"/>
  <c r="D19" i="57"/>
  <c r="R30" i="57"/>
  <c r="S30" i="57"/>
  <c r="T30" i="57"/>
  <c r="U30" i="57"/>
  <c r="AC16" i="57"/>
  <c r="AC15" i="57"/>
  <c r="AC14" i="57"/>
  <c r="AC13" i="57"/>
  <c r="AF32" i="57"/>
  <c r="AD32" i="57"/>
  <c r="A35" i="57"/>
  <c r="AE29" i="57"/>
  <c r="U5" i="56"/>
  <c r="T5" i="56"/>
  <c r="S5" i="56"/>
  <c r="R5" i="56"/>
  <c r="J5" i="56"/>
  <c r="I5" i="56"/>
  <c r="H5" i="56"/>
  <c r="G5" i="56"/>
  <c r="D22" i="56"/>
  <c r="D21" i="56"/>
  <c r="D20" i="56"/>
  <c r="D19" i="56"/>
  <c r="R30" i="56"/>
  <c r="S30" i="56"/>
  <c r="T30" i="56"/>
  <c r="U30" i="56"/>
  <c r="AC16" i="56"/>
  <c r="AC15" i="56"/>
  <c r="AC14" i="56"/>
  <c r="AC13" i="56"/>
  <c r="AF32" i="56"/>
  <c r="AD32" i="56"/>
  <c r="A35" i="56"/>
  <c r="AE29" i="56"/>
  <c r="AF67" i="55"/>
  <c r="AD67" i="55"/>
  <c r="U40" i="55"/>
  <c r="T40" i="55"/>
  <c r="S40" i="55"/>
  <c r="R40" i="55"/>
  <c r="J40" i="55"/>
  <c r="I40" i="55"/>
  <c r="H40" i="55"/>
  <c r="G40" i="55"/>
  <c r="D57" i="55"/>
  <c r="D56" i="55"/>
  <c r="D55" i="55"/>
  <c r="D54" i="55"/>
  <c r="R65" i="55"/>
  <c r="S65" i="55"/>
  <c r="T65" i="55"/>
  <c r="U65" i="55"/>
  <c r="AC51" i="55"/>
  <c r="AC50" i="55"/>
  <c r="AC49" i="55"/>
  <c r="AC48" i="55"/>
  <c r="A70" i="55"/>
  <c r="AE64" i="55"/>
  <c r="A35" i="55"/>
  <c r="AD32" i="55"/>
  <c r="AE29" i="55"/>
  <c r="A35" i="54"/>
  <c r="AF67" i="54"/>
  <c r="AD67" i="54"/>
  <c r="A70" i="54"/>
  <c r="U40" i="54"/>
  <c r="T40" i="54"/>
  <c r="S40" i="54"/>
  <c r="R40" i="54"/>
  <c r="J40" i="54"/>
  <c r="I40" i="54"/>
  <c r="H40" i="54"/>
  <c r="G40" i="54"/>
  <c r="D57" i="54"/>
  <c r="D56" i="54"/>
  <c r="D55" i="54"/>
  <c r="D54" i="54"/>
  <c r="R65" i="54"/>
  <c r="S65" i="54"/>
  <c r="T65" i="54"/>
  <c r="U65" i="54"/>
  <c r="AC51" i="54"/>
  <c r="AC50" i="54"/>
  <c r="AC49" i="54"/>
  <c r="AC48" i="54"/>
  <c r="AE64" i="54"/>
  <c r="AE29" i="54"/>
  <c r="U40" i="53"/>
  <c r="T40" i="53"/>
  <c r="S40" i="53"/>
  <c r="R40" i="53"/>
  <c r="J40" i="53"/>
  <c r="I40" i="53"/>
  <c r="H40" i="53"/>
  <c r="G40" i="53"/>
  <c r="D57" i="53"/>
  <c r="D56" i="53"/>
  <c r="D55" i="53"/>
  <c r="D54" i="53"/>
  <c r="R65" i="53"/>
  <c r="S65" i="53"/>
  <c r="T65" i="53"/>
  <c r="U65" i="53"/>
  <c r="AC51" i="53"/>
  <c r="AC50" i="53"/>
  <c r="AC49" i="53"/>
  <c r="AC48" i="53"/>
  <c r="A70" i="53"/>
  <c r="AE64" i="53"/>
  <c r="A35" i="53"/>
  <c r="AE29" i="53"/>
  <c r="AF67" i="52"/>
  <c r="AD67" i="52"/>
  <c r="U40" i="52"/>
  <c r="T40" i="52"/>
  <c r="S40" i="52"/>
  <c r="R40" i="52"/>
  <c r="J40" i="52"/>
  <c r="I40" i="52"/>
  <c r="H40" i="52"/>
  <c r="G40" i="52"/>
  <c r="D54" i="52"/>
  <c r="D55" i="52"/>
  <c r="D56" i="52"/>
  <c r="D57" i="52"/>
  <c r="R65" i="52"/>
  <c r="S65" i="52"/>
  <c r="T65" i="52"/>
  <c r="U65" i="52"/>
  <c r="AC51" i="52"/>
  <c r="AC50" i="52"/>
  <c r="AC49" i="52"/>
  <c r="AC48" i="52"/>
  <c r="A70" i="52"/>
  <c r="AE64" i="52"/>
  <c r="A35" i="52"/>
  <c r="AE29" i="52"/>
  <c r="AN54" i="2"/>
  <c r="AL54" i="2"/>
  <c r="AI54" i="2"/>
  <c r="AH54" i="2"/>
  <c r="AG54" i="2"/>
  <c r="AJ54" i="2"/>
  <c r="AK54" i="2"/>
  <c r="AO54" i="2"/>
  <c r="AG55" i="2"/>
  <c r="AH55" i="2"/>
  <c r="AI55" i="2"/>
  <c r="AJ55" i="2"/>
  <c r="AK55" i="2"/>
  <c r="AL55" i="2"/>
  <c r="AN55" i="2"/>
  <c r="AO55" i="2"/>
  <c r="AG56" i="2"/>
  <c r="AH56" i="2"/>
  <c r="AI56" i="2"/>
  <c r="AJ56" i="2"/>
  <c r="AK56" i="2"/>
  <c r="AL56" i="2"/>
  <c r="AN56" i="2"/>
  <c r="AO56" i="2"/>
  <c r="AI66" i="2"/>
  <c r="AH66" i="2"/>
  <c r="AN66" i="2"/>
  <c r="AO66" i="2"/>
  <c r="AN67" i="2"/>
  <c r="AO67" i="2"/>
  <c r="AN68" i="2"/>
  <c r="AO68" i="2"/>
  <c r="AG66" i="2"/>
  <c r="AJ66" i="2"/>
  <c r="AK66" i="2"/>
  <c r="AL66" i="2"/>
  <c r="AG67" i="2"/>
  <c r="AH67" i="2"/>
  <c r="AI67" i="2"/>
  <c r="AJ67" i="2"/>
  <c r="AK67" i="2"/>
  <c r="AL67" i="2"/>
  <c r="AG68" i="2"/>
  <c r="AH68" i="2"/>
  <c r="AI68" i="2"/>
  <c r="AJ68" i="2"/>
  <c r="AK68" i="2"/>
  <c r="AL68" i="2"/>
  <c r="AH82" i="2"/>
  <c r="AN82" i="2"/>
  <c r="AO82" i="2"/>
  <c r="AN83" i="2"/>
  <c r="AO83" i="2"/>
  <c r="AN84" i="2"/>
  <c r="AO84" i="2"/>
  <c r="AN85" i="2"/>
  <c r="AO85" i="2"/>
  <c r="AN86" i="2"/>
  <c r="AO86" i="2"/>
  <c r="AN87" i="2"/>
  <c r="AO87" i="2"/>
  <c r="AN88" i="2"/>
  <c r="AO88" i="2"/>
  <c r="AN89" i="2"/>
  <c r="AO89" i="2"/>
  <c r="AN90" i="2"/>
  <c r="AO90" i="2"/>
  <c r="AN91" i="2"/>
  <c r="AO91" i="2"/>
  <c r="AN92" i="2"/>
  <c r="AO92" i="2"/>
  <c r="AN93" i="2"/>
  <c r="AO93" i="2"/>
  <c r="AN94" i="2"/>
  <c r="AO94" i="2"/>
  <c r="AN95" i="2"/>
  <c r="AO95" i="2"/>
  <c r="AN96" i="2"/>
  <c r="AO96" i="2"/>
  <c r="AN97" i="2"/>
  <c r="AO97" i="2"/>
  <c r="AG82" i="2"/>
  <c r="AI82" i="2"/>
  <c r="AJ82" i="2"/>
  <c r="AK82" i="2"/>
  <c r="AL82" i="2"/>
  <c r="AG83" i="2"/>
  <c r="AH83" i="2"/>
  <c r="AI83" i="2"/>
  <c r="AJ83" i="2"/>
  <c r="AK83" i="2"/>
  <c r="AL83" i="2"/>
  <c r="AG84" i="2"/>
  <c r="AH84" i="2"/>
  <c r="AI84" i="2"/>
  <c r="AJ84" i="2"/>
  <c r="AK84" i="2"/>
  <c r="AL84" i="2"/>
  <c r="AG85" i="2"/>
  <c r="AH85" i="2"/>
  <c r="AI85" i="2"/>
  <c r="AJ85" i="2"/>
  <c r="AK85" i="2"/>
  <c r="AL85" i="2"/>
  <c r="AG86" i="2"/>
  <c r="AH86" i="2"/>
  <c r="AI86" i="2"/>
  <c r="AJ86" i="2"/>
  <c r="AK86" i="2"/>
  <c r="AL86" i="2"/>
  <c r="AG87" i="2"/>
  <c r="AH87" i="2"/>
  <c r="AI87" i="2"/>
  <c r="AJ87" i="2"/>
  <c r="AK87" i="2"/>
  <c r="AL87" i="2"/>
  <c r="AG88" i="2"/>
  <c r="AH88" i="2"/>
  <c r="AI88" i="2"/>
  <c r="AJ88" i="2"/>
  <c r="AK88" i="2"/>
  <c r="AL88" i="2"/>
  <c r="AG89" i="2"/>
  <c r="AH89" i="2"/>
  <c r="AI89" i="2"/>
  <c r="AJ89" i="2"/>
  <c r="AK89" i="2"/>
  <c r="AL89" i="2"/>
  <c r="AG90" i="2"/>
  <c r="AH90" i="2"/>
  <c r="AI90" i="2"/>
  <c r="AJ90" i="2"/>
  <c r="AK90" i="2"/>
  <c r="AL90" i="2"/>
  <c r="AG91" i="2"/>
  <c r="AH91" i="2"/>
  <c r="AI91" i="2"/>
  <c r="AJ91" i="2"/>
  <c r="AK91" i="2"/>
  <c r="AL91" i="2"/>
  <c r="AG92" i="2"/>
  <c r="AH92" i="2"/>
  <c r="AI92" i="2"/>
  <c r="AJ92" i="2"/>
  <c r="AK92" i="2"/>
  <c r="AL92" i="2"/>
  <c r="AG93" i="2"/>
  <c r="AH93" i="2"/>
  <c r="AI93" i="2"/>
  <c r="AJ93" i="2"/>
  <c r="AK93" i="2"/>
  <c r="AL93" i="2"/>
  <c r="AG94" i="2"/>
  <c r="AH94" i="2"/>
  <c r="AI94" i="2"/>
  <c r="AJ94" i="2"/>
  <c r="AK94" i="2"/>
  <c r="AL94" i="2"/>
  <c r="AG95" i="2"/>
  <c r="AH95" i="2"/>
  <c r="AI95" i="2"/>
  <c r="AJ95" i="2"/>
  <c r="AK95" i="2"/>
  <c r="AL95" i="2"/>
  <c r="AG96" i="2"/>
  <c r="AH96" i="2"/>
  <c r="AI96" i="2"/>
  <c r="AJ96" i="2"/>
  <c r="AK96" i="2"/>
  <c r="AL96" i="2"/>
  <c r="AG97" i="2"/>
  <c r="AH97" i="2"/>
  <c r="AI97" i="2"/>
  <c r="AJ97" i="2"/>
  <c r="AK97" i="2"/>
  <c r="AL97" i="2"/>
  <c r="AP82" i="2"/>
  <c r="AO100" i="2"/>
  <c r="AN100" i="2"/>
  <c r="AO99" i="2"/>
  <c r="AN99" i="2"/>
  <c r="AO98" i="2"/>
  <c r="AN98" i="2"/>
  <c r="AY100" i="2"/>
  <c r="AY99" i="2"/>
  <c r="AY98" i="2"/>
  <c r="AP100" i="2"/>
  <c r="AP99" i="2"/>
  <c r="AP98" i="2"/>
  <c r="BJ100" i="2"/>
  <c r="BI100" i="2"/>
  <c r="BH100" i="2"/>
  <c r="BG100" i="2"/>
  <c r="BF100" i="2"/>
  <c r="BE100" i="2"/>
  <c r="BD100" i="2"/>
  <c r="BC100" i="2"/>
  <c r="BB100" i="2"/>
  <c r="BA100" i="2"/>
  <c r="AZ100" i="2"/>
  <c r="AX100" i="2"/>
  <c r="AW100" i="2"/>
  <c r="AV100" i="2"/>
  <c r="AU100" i="2"/>
  <c r="AT100" i="2"/>
  <c r="AS100" i="2"/>
  <c r="AR100" i="2"/>
  <c r="AQ100" i="2"/>
  <c r="AS99" i="2"/>
  <c r="AR99" i="2"/>
  <c r="AQ99" i="2"/>
  <c r="AS98" i="2"/>
  <c r="AR98" i="2"/>
  <c r="AQ98" i="2"/>
  <c r="AA100" i="2"/>
  <c r="BO100" i="2"/>
  <c r="BN100" i="2"/>
  <c r="BM100" i="2"/>
  <c r="BL100" i="2"/>
  <c r="BK100" i="2"/>
  <c r="FT100" i="2"/>
  <c r="FT99" i="2"/>
  <c r="FT98" i="2"/>
  <c r="AT98" i="2"/>
  <c r="AU98" i="2"/>
  <c r="AV98" i="2"/>
  <c r="AW98" i="2"/>
  <c r="AX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AT99" i="2"/>
  <c r="AU99" i="2"/>
  <c r="AV99" i="2"/>
  <c r="AW99" i="2"/>
  <c r="AX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FR99" i="2"/>
  <c r="FS99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AL100" i="2"/>
  <c r="AK100" i="2"/>
  <c r="AJ100" i="2"/>
  <c r="AI100" i="2"/>
  <c r="AH100" i="2"/>
  <c r="AL99" i="2"/>
  <c r="AK99" i="2"/>
  <c r="AJ99" i="2"/>
  <c r="AI99" i="2"/>
  <c r="AH99" i="2"/>
  <c r="AL98" i="2"/>
  <c r="AK98" i="2"/>
  <c r="AJ98" i="2"/>
  <c r="AI98" i="2"/>
  <c r="AH98" i="2"/>
  <c r="AE82" i="2"/>
  <c r="AO81" i="2"/>
  <c r="AN81" i="2"/>
  <c r="AO69" i="2"/>
  <c r="AN69" i="2"/>
  <c r="AO65" i="2"/>
  <c r="AN65" i="2"/>
  <c r="AO57" i="2"/>
  <c r="AN57" i="2"/>
  <c r="AM57" i="2"/>
  <c r="AL65" i="2"/>
  <c r="AG57" i="2"/>
  <c r="AF57" i="2"/>
  <c r="AI58" i="2" s="1"/>
  <c r="AM69" i="2"/>
  <c r="AL81" i="2"/>
  <c r="AK81" i="2"/>
  <c r="AH81" i="2"/>
  <c r="AH69" i="2"/>
  <c r="AG69" i="2"/>
  <c r="AF69" i="2"/>
  <c r="AL58" i="2"/>
  <c r="AN60" i="2"/>
  <c r="AO60" i="2"/>
  <c r="AN64" i="2"/>
  <c r="AO64" i="2"/>
  <c r="AG58" i="2"/>
  <c r="AG59" i="2"/>
  <c r="AJ59" i="2"/>
  <c r="AK59" i="2"/>
  <c r="AL59" i="2"/>
  <c r="AI60" i="2"/>
  <c r="AL60" i="2"/>
  <c r="AG61" i="2"/>
  <c r="AH61" i="2"/>
  <c r="AK61" i="2"/>
  <c r="AL61" i="2"/>
  <c r="AH62" i="2"/>
  <c r="AI62" i="2"/>
  <c r="AJ62" i="2"/>
  <c r="AG63" i="2"/>
  <c r="AH63" i="2"/>
  <c r="AJ63" i="2"/>
  <c r="AK63" i="2"/>
  <c r="AL63" i="2"/>
  <c r="AI64" i="2"/>
  <c r="AJ64" i="2"/>
  <c r="AL64" i="2"/>
  <c r="AG65" i="2"/>
  <c r="AH65" i="2"/>
  <c r="AK65" i="2"/>
  <c r="AL57" i="2"/>
  <c r="AJ57" i="2"/>
  <c r="AI57" i="2"/>
  <c r="AK57" i="2"/>
  <c r="AE59" i="2"/>
  <c r="AE58" i="2"/>
  <c r="AE57" i="2"/>
  <c r="AL53" i="2"/>
  <c r="AL42" i="2"/>
  <c r="AH42" i="2"/>
  <c r="AL41" i="2"/>
  <c r="AH41" i="2"/>
  <c r="AM41" i="2"/>
  <c r="AO53" i="2"/>
  <c r="AN53" i="2"/>
  <c r="AO49" i="2"/>
  <c r="AN49" i="2"/>
  <c r="AO48" i="2"/>
  <c r="AN48" i="2"/>
  <c r="AO47" i="2"/>
  <c r="AN47" i="2"/>
  <c r="AO46" i="2"/>
  <c r="AN46" i="2"/>
  <c r="AO45" i="2"/>
  <c r="AN45" i="2"/>
  <c r="AO44" i="2"/>
  <c r="AN44" i="2"/>
  <c r="AO43" i="2"/>
  <c r="AN43" i="2"/>
  <c r="AO42" i="2"/>
  <c r="AN42" i="2"/>
  <c r="AN50" i="2"/>
  <c r="AO50" i="2"/>
  <c r="AN51" i="2"/>
  <c r="AO51" i="2"/>
  <c r="AN52" i="2"/>
  <c r="AO52" i="2"/>
  <c r="AO41" i="2"/>
  <c r="AN41" i="2"/>
  <c r="AK53" i="2"/>
  <c r="AJ53" i="2"/>
  <c r="AI53" i="2"/>
  <c r="AH53" i="2"/>
  <c r="AI42" i="2"/>
  <c r="AJ42" i="2"/>
  <c r="AK42" i="2"/>
  <c r="AH43" i="2"/>
  <c r="AI43" i="2"/>
  <c r="AJ43" i="2"/>
  <c r="AK43" i="2"/>
  <c r="AL43" i="2"/>
  <c r="AH44" i="2"/>
  <c r="AI44" i="2"/>
  <c r="AJ44" i="2"/>
  <c r="AK44" i="2"/>
  <c r="AL44" i="2"/>
  <c r="AH45" i="2"/>
  <c r="AI45" i="2"/>
  <c r="AJ45" i="2"/>
  <c r="AK45" i="2"/>
  <c r="AL45" i="2"/>
  <c r="AH46" i="2"/>
  <c r="AI46" i="2"/>
  <c r="AJ46" i="2"/>
  <c r="AK46" i="2"/>
  <c r="AL46" i="2"/>
  <c r="AH47" i="2"/>
  <c r="AI47" i="2"/>
  <c r="AJ47" i="2"/>
  <c r="AK47" i="2"/>
  <c r="AL47" i="2"/>
  <c r="AH48" i="2"/>
  <c r="AI48" i="2"/>
  <c r="AJ48" i="2"/>
  <c r="AK48" i="2"/>
  <c r="AL48" i="2"/>
  <c r="AH49" i="2"/>
  <c r="AI49" i="2"/>
  <c r="AJ49" i="2"/>
  <c r="AK49" i="2"/>
  <c r="AL49" i="2"/>
  <c r="AH50" i="2"/>
  <c r="AI50" i="2"/>
  <c r="AJ50" i="2"/>
  <c r="AK50" i="2"/>
  <c r="AL50" i="2"/>
  <c r="AH51" i="2"/>
  <c r="AI51" i="2"/>
  <c r="AJ51" i="2"/>
  <c r="AK51" i="2"/>
  <c r="AL51" i="2"/>
  <c r="AH52" i="2"/>
  <c r="AI52" i="2"/>
  <c r="AJ52" i="2"/>
  <c r="AK52" i="2"/>
  <c r="AL52" i="2"/>
  <c r="AK41" i="2"/>
  <c r="AJ41" i="2"/>
  <c r="AI41" i="2"/>
  <c r="AG41" i="2"/>
  <c r="AF41" i="2"/>
  <c r="AT5" i="2"/>
  <c r="AR5" i="2"/>
  <c r="AQ5" i="2"/>
  <c r="AP5" i="2"/>
  <c r="AK5" i="2"/>
  <c r="AL5" i="2"/>
  <c r="AO5" i="2"/>
  <c r="AN5" i="2"/>
  <c r="AM5" i="2"/>
  <c r="AO6" i="2"/>
  <c r="AN6" i="2"/>
  <c r="AL6" i="2"/>
  <c r="AK6" i="2"/>
  <c r="AJ6" i="2"/>
  <c r="AI6" i="2"/>
  <c r="AH6" i="2"/>
  <c r="AJ5" i="2"/>
  <c r="AI5" i="2"/>
  <c r="AH5" i="2"/>
  <c r="AG5" i="2"/>
  <c r="R17" i="3"/>
  <c r="AK64" i="2" l="1"/>
  <c r="AI63" i="2"/>
  <c r="AG62" i="2"/>
  <c r="AK60" i="2"/>
  <c r="AI59" i="2"/>
  <c r="AO63" i="2"/>
  <c r="AO59" i="2"/>
  <c r="AJ60" i="2"/>
  <c r="AH59" i="2"/>
  <c r="AN63" i="2"/>
  <c r="AN59" i="2"/>
  <c r="AO62" i="2"/>
  <c r="AO58" i="2"/>
  <c r="AJ65" i="2"/>
  <c r="AH64" i="2"/>
  <c r="AL62" i="2"/>
  <c r="AJ61" i="2"/>
  <c r="AH60" i="2"/>
  <c r="AK58" i="2"/>
  <c r="AN62" i="2"/>
  <c r="AN58" i="2"/>
  <c r="AH57" i="2"/>
  <c r="AI65" i="2"/>
  <c r="AG64" i="2"/>
  <c r="AK62" i="2"/>
  <c r="AI61" i="2"/>
  <c r="AG60" i="2"/>
  <c r="AJ58" i="2"/>
  <c r="AO61" i="2"/>
  <c r="AH58" i="2"/>
  <c r="AN61" i="2"/>
  <c r="AC9" i="2"/>
  <c r="AD9" i="2" s="1"/>
  <c r="AC8" i="2"/>
  <c r="AD8" i="2" s="1"/>
  <c r="AC7" i="2"/>
  <c r="AD7" i="2" s="1"/>
  <c r="AD6" i="2"/>
  <c r="AC6" i="2"/>
  <c r="AC5" i="2"/>
  <c r="AD5" i="2" s="1"/>
  <c r="AC28" i="2"/>
  <c r="AD28" i="2" s="1"/>
  <c r="AC27" i="2"/>
  <c r="AD27" i="2" s="1"/>
  <c r="AC26" i="2"/>
  <c r="AD26" i="2" s="1"/>
  <c r="AC25" i="2"/>
  <c r="AD25" i="2" s="1"/>
  <c r="AC24" i="2"/>
  <c r="AD24" i="2" s="1"/>
  <c r="AC23" i="2"/>
  <c r="AD23" i="2" s="1"/>
  <c r="AC22" i="2"/>
  <c r="AD22" i="2" s="1"/>
  <c r="AC21" i="2"/>
  <c r="AD21" i="2" s="1"/>
  <c r="AC20" i="2"/>
  <c r="AD20" i="2" s="1"/>
  <c r="AC19" i="2"/>
  <c r="AD19" i="2" s="1"/>
  <c r="AC18" i="2"/>
  <c r="AD18" i="2" s="1"/>
  <c r="AC17" i="2"/>
  <c r="AC16" i="2"/>
  <c r="AD16" i="2" s="1"/>
  <c r="AC15" i="2"/>
  <c r="AD15" i="2" s="1"/>
  <c r="AC14" i="2"/>
  <c r="AD14" i="2" s="1"/>
  <c r="AC13" i="2"/>
  <c r="AD13" i="2" s="1"/>
  <c r="AC12" i="2"/>
  <c r="AD12" i="2" s="1"/>
  <c r="AC11" i="2"/>
  <c r="AD11" i="2" s="1"/>
  <c r="AC10" i="2"/>
  <c r="AD10" i="2" s="1"/>
  <c r="AC93" i="2"/>
  <c r="AD93" i="2" s="1"/>
  <c r="AC94" i="2"/>
  <c r="AD94" i="2" s="1"/>
  <c r="AC95" i="2"/>
  <c r="AD95" i="2"/>
  <c r="AC96" i="2"/>
  <c r="AC97" i="2"/>
  <c r="AD97" i="2" s="1"/>
  <c r="A100" i="2"/>
  <c r="C100" i="2"/>
  <c r="D100" i="2"/>
  <c r="E100" i="2"/>
  <c r="F100" i="2"/>
  <c r="H100" i="2"/>
  <c r="G100" i="2" s="1"/>
  <c r="C100" i="39" s="1"/>
  <c r="I100" i="2"/>
  <c r="J100" i="2"/>
  <c r="K100" i="2"/>
  <c r="M100" i="2"/>
  <c r="N100" i="2"/>
  <c r="O100" i="2"/>
  <c r="P100" i="2"/>
  <c r="R100" i="2"/>
  <c r="Q100" i="2" s="1"/>
  <c r="E100" i="39" s="1"/>
  <c r="S100" i="2"/>
  <c r="T100" i="2"/>
  <c r="U100" i="2"/>
  <c r="W100" i="2"/>
  <c r="X100" i="2"/>
  <c r="Y100" i="2"/>
  <c r="Z100" i="2"/>
  <c r="A93" i="2"/>
  <c r="C93" i="2"/>
  <c r="D93" i="2"/>
  <c r="E93" i="2"/>
  <c r="F93" i="2"/>
  <c r="B93" i="2" s="1"/>
  <c r="B93" i="39" s="1"/>
  <c r="H93" i="2"/>
  <c r="I93" i="2"/>
  <c r="J93" i="2"/>
  <c r="K93" i="2"/>
  <c r="M93" i="2"/>
  <c r="N93" i="2"/>
  <c r="O93" i="2"/>
  <c r="P93" i="2"/>
  <c r="R93" i="2"/>
  <c r="S93" i="2"/>
  <c r="T93" i="2"/>
  <c r="U93" i="2"/>
  <c r="W93" i="2"/>
  <c r="X93" i="2"/>
  <c r="Y93" i="2"/>
  <c r="Z93" i="2"/>
  <c r="A94" i="2"/>
  <c r="C94" i="2"/>
  <c r="B94" i="2" s="1"/>
  <c r="D94" i="2"/>
  <c r="E94" i="2"/>
  <c r="F94" i="2"/>
  <c r="H94" i="2"/>
  <c r="I94" i="2"/>
  <c r="J94" i="2"/>
  <c r="K94" i="2"/>
  <c r="M94" i="2"/>
  <c r="L94" i="2" s="1"/>
  <c r="D94" i="39" s="1"/>
  <c r="N94" i="2"/>
  <c r="O94" i="2"/>
  <c r="P94" i="2"/>
  <c r="R94" i="2"/>
  <c r="S94" i="2"/>
  <c r="T94" i="2"/>
  <c r="U94" i="2"/>
  <c r="W94" i="2"/>
  <c r="V94" i="2" s="1"/>
  <c r="F94" i="39" s="1"/>
  <c r="X94" i="2"/>
  <c r="Y94" i="2"/>
  <c r="Z94" i="2"/>
  <c r="A95" i="2"/>
  <c r="C95" i="2"/>
  <c r="B95" i="2" s="1"/>
  <c r="B95" i="39" s="1"/>
  <c r="D95" i="2"/>
  <c r="E95" i="2"/>
  <c r="F95" i="2"/>
  <c r="H95" i="2"/>
  <c r="G95" i="2" s="1"/>
  <c r="C95" i="39" s="1"/>
  <c r="I95" i="2"/>
  <c r="J95" i="2"/>
  <c r="K95" i="2"/>
  <c r="M95" i="2"/>
  <c r="N95" i="2"/>
  <c r="O95" i="2"/>
  <c r="P95" i="2"/>
  <c r="R95" i="2"/>
  <c r="Q95" i="2" s="1"/>
  <c r="E95" i="39" s="1"/>
  <c r="S95" i="2"/>
  <c r="T95" i="2"/>
  <c r="U95" i="2"/>
  <c r="W95" i="2"/>
  <c r="X95" i="2"/>
  <c r="Y95" i="2"/>
  <c r="Z95" i="2"/>
  <c r="A96" i="2"/>
  <c r="C96" i="2"/>
  <c r="D96" i="2"/>
  <c r="E96" i="2"/>
  <c r="F96" i="2"/>
  <c r="H96" i="2"/>
  <c r="G96" i="2" s="1"/>
  <c r="C96" i="39" s="1"/>
  <c r="I96" i="2"/>
  <c r="J96" i="2"/>
  <c r="K96" i="2"/>
  <c r="M96" i="2"/>
  <c r="N96" i="2"/>
  <c r="O96" i="2"/>
  <c r="P96" i="2"/>
  <c r="R96" i="2"/>
  <c r="S96" i="2"/>
  <c r="T96" i="2"/>
  <c r="U96" i="2"/>
  <c r="W96" i="2"/>
  <c r="X96" i="2"/>
  <c r="Y96" i="2"/>
  <c r="Z96" i="2"/>
  <c r="A97" i="2"/>
  <c r="C97" i="2"/>
  <c r="D97" i="2"/>
  <c r="B97" i="2" s="1"/>
  <c r="B97" i="39" s="1"/>
  <c r="E97" i="2"/>
  <c r="F97" i="2"/>
  <c r="H97" i="2"/>
  <c r="I97" i="2"/>
  <c r="J97" i="2"/>
  <c r="K97" i="2"/>
  <c r="M97" i="2"/>
  <c r="L97" i="2" s="1"/>
  <c r="D97" i="39" s="1"/>
  <c r="N97" i="2"/>
  <c r="O97" i="2"/>
  <c r="P97" i="2"/>
  <c r="R97" i="2"/>
  <c r="S97" i="2"/>
  <c r="T97" i="2"/>
  <c r="U97" i="2"/>
  <c r="W97" i="2"/>
  <c r="X97" i="2"/>
  <c r="Y97" i="2"/>
  <c r="Z97" i="2"/>
  <c r="A98" i="2"/>
  <c r="C98" i="2"/>
  <c r="D98" i="2"/>
  <c r="E98" i="2"/>
  <c r="F98" i="2"/>
  <c r="H98" i="2"/>
  <c r="I98" i="2"/>
  <c r="J98" i="2"/>
  <c r="K98" i="2"/>
  <c r="M98" i="2"/>
  <c r="N98" i="2"/>
  <c r="O98" i="2"/>
  <c r="P98" i="2"/>
  <c r="R98" i="2"/>
  <c r="Q98" i="2" s="1"/>
  <c r="E98" i="39" s="1"/>
  <c r="S98" i="2"/>
  <c r="T98" i="2"/>
  <c r="U98" i="2"/>
  <c r="W98" i="2"/>
  <c r="V98" i="2" s="1"/>
  <c r="F98" i="39" s="1"/>
  <c r="X98" i="2"/>
  <c r="Y98" i="2"/>
  <c r="Z98" i="2"/>
  <c r="A99" i="2"/>
  <c r="C99" i="2"/>
  <c r="D99" i="2"/>
  <c r="E99" i="2"/>
  <c r="F99" i="2"/>
  <c r="H99" i="2"/>
  <c r="I99" i="2"/>
  <c r="J99" i="2"/>
  <c r="K99" i="2"/>
  <c r="M99" i="2"/>
  <c r="N99" i="2"/>
  <c r="O99" i="2"/>
  <c r="P99" i="2"/>
  <c r="R99" i="2"/>
  <c r="S99" i="2"/>
  <c r="T99" i="2"/>
  <c r="U99" i="2"/>
  <c r="W99" i="2"/>
  <c r="V99" i="2" s="1"/>
  <c r="F99" i="39" s="1"/>
  <c r="X99" i="2"/>
  <c r="Y99" i="2"/>
  <c r="Z99" i="2"/>
  <c r="A6" i="2"/>
  <c r="C6" i="2"/>
  <c r="D6" i="2"/>
  <c r="E6" i="2"/>
  <c r="F6" i="2"/>
  <c r="H6" i="2"/>
  <c r="I6" i="2"/>
  <c r="J6" i="2"/>
  <c r="K6" i="2"/>
  <c r="M6" i="2"/>
  <c r="N6" i="2"/>
  <c r="O6" i="2"/>
  <c r="P6" i="2"/>
  <c r="R6" i="2"/>
  <c r="S6" i="2"/>
  <c r="T6" i="2"/>
  <c r="U6" i="2"/>
  <c r="W6" i="2"/>
  <c r="X6" i="2"/>
  <c r="Y6" i="2"/>
  <c r="Z6" i="2"/>
  <c r="A7" i="2"/>
  <c r="C7" i="2"/>
  <c r="D7" i="2"/>
  <c r="E7" i="2"/>
  <c r="F7" i="2"/>
  <c r="H7" i="2"/>
  <c r="I7" i="2"/>
  <c r="J7" i="2"/>
  <c r="G7" i="2" s="1"/>
  <c r="C7" i="39" s="1"/>
  <c r="K7" i="2"/>
  <c r="M7" i="2"/>
  <c r="L7" i="2" s="1"/>
  <c r="D7" i="39" s="1"/>
  <c r="N7" i="2"/>
  <c r="O7" i="2"/>
  <c r="P7" i="2"/>
  <c r="R7" i="2"/>
  <c r="S7" i="2"/>
  <c r="T7" i="2"/>
  <c r="U7" i="2"/>
  <c r="W7" i="2"/>
  <c r="V7" i="2" s="1"/>
  <c r="F7" i="39" s="1"/>
  <c r="X7" i="2"/>
  <c r="Y7" i="2"/>
  <c r="Z7" i="2"/>
  <c r="A8" i="2"/>
  <c r="C8" i="2"/>
  <c r="B8" i="2" s="1"/>
  <c r="B8" i="39" s="1"/>
  <c r="D8" i="2"/>
  <c r="E8" i="2"/>
  <c r="F8" i="2"/>
  <c r="H8" i="2"/>
  <c r="I8" i="2"/>
  <c r="J8" i="2"/>
  <c r="K8" i="2"/>
  <c r="M8" i="2"/>
  <c r="N8" i="2"/>
  <c r="O8" i="2"/>
  <c r="L8" i="2" s="1"/>
  <c r="D8" i="39" s="1"/>
  <c r="P8" i="2"/>
  <c r="R8" i="2"/>
  <c r="Q8" i="2" s="1"/>
  <c r="E8" i="39" s="1"/>
  <c r="S8" i="2"/>
  <c r="T8" i="2"/>
  <c r="U8" i="2"/>
  <c r="W8" i="2"/>
  <c r="X8" i="2"/>
  <c r="Y8" i="2"/>
  <c r="Z8" i="2"/>
  <c r="A9" i="2"/>
  <c r="C9" i="2"/>
  <c r="D9" i="2"/>
  <c r="E9" i="2"/>
  <c r="F9" i="2"/>
  <c r="H9" i="2"/>
  <c r="G9" i="2" s="1"/>
  <c r="C9" i="39" s="1"/>
  <c r="I9" i="2"/>
  <c r="J9" i="2"/>
  <c r="K9" i="2"/>
  <c r="M9" i="2"/>
  <c r="N9" i="2"/>
  <c r="O9" i="2"/>
  <c r="L9" i="2" s="1"/>
  <c r="D9" i="39" s="1"/>
  <c r="P9" i="2"/>
  <c r="R9" i="2"/>
  <c r="S9" i="2"/>
  <c r="T9" i="2"/>
  <c r="U9" i="2"/>
  <c r="W9" i="2"/>
  <c r="X9" i="2"/>
  <c r="Y9" i="2"/>
  <c r="Z9" i="2"/>
  <c r="A10" i="2"/>
  <c r="C10" i="2"/>
  <c r="D10" i="2"/>
  <c r="B10" i="2" s="1"/>
  <c r="B10" i="39" s="1"/>
  <c r="E10" i="2"/>
  <c r="F10" i="2"/>
  <c r="H10" i="2"/>
  <c r="I10" i="2"/>
  <c r="J10" i="2"/>
  <c r="K10" i="2"/>
  <c r="M10" i="2"/>
  <c r="L10" i="2" s="1"/>
  <c r="D10" i="39" s="1"/>
  <c r="N10" i="2"/>
  <c r="O10" i="2"/>
  <c r="P10" i="2"/>
  <c r="R10" i="2"/>
  <c r="S10" i="2"/>
  <c r="T10" i="2"/>
  <c r="Q10" i="2" s="1"/>
  <c r="E10" i="39" s="1"/>
  <c r="U10" i="2"/>
  <c r="W10" i="2"/>
  <c r="X10" i="2"/>
  <c r="Y10" i="2"/>
  <c r="Z10" i="2"/>
  <c r="A11" i="2"/>
  <c r="C11" i="2"/>
  <c r="D11" i="2"/>
  <c r="E11" i="2"/>
  <c r="F11" i="2"/>
  <c r="H11" i="2"/>
  <c r="I11" i="2"/>
  <c r="J11" i="2"/>
  <c r="K11" i="2"/>
  <c r="M11" i="2"/>
  <c r="N11" i="2"/>
  <c r="L11" i="2" s="1"/>
  <c r="D11" i="39" s="1"/>
  <c r="O11" i="2"/>
  <c r="P11" i="2"/>
  <c r="R11" i="2"/>
  <c r="Q11" i="2" s="1"/>
  <c r="E11" i="39" s="1"/>
  <c r="S11" i="2"/>
  <c r="T11" i="2"/>
  <c r="U11" i="2"/>
  <c r="W11" i="2"/>
  <c r="X11" i="2"/>
  <c r="Y11" i="2"/>
  <c r="Z11" i="2"/>
  <c r="A12" i="2"/>
  <c r="C12" i="2"/>
  <c r="D12" i="2"/>
  <c r="E12" i="2"/>
  <c r="F12" i="2"/>
  <c r="H12" i="2"/>
  <c r="I12" i="2"/>
  <c r="J12" i="2"/>
  <c r="K12" i="2"/>
  <c r="M12" i="2"/>
  <c r="N12" i="2"/>
  <c r="O12" i="2"/>
  <c r="P12" i="2"/>
  <c r="R12" i="2"/>
  <c r="S12" i="2"/>
  <c r="Q12" i="2" s="1"/>
  <c r="E12" i="39" s="1"/>
  <c r="T12" i="2"/>
  <c r="U12" i="2"/>
  <c r="W12" i="2"/>
  <c r="V12" i="2" s="1"/>
  <c r="F12" i="39" s="1"/>
  <c r="X12" i="2"/>
  <c r="Y12" i="2"/>
  <c r="Z12" i="2"/>
  <c r="A13" i="2"/>
  <c r="C13" i="2"/>
  <c r="D13" i="2"/>
  <c r="E13" i="2"/>
  <c r="F13" i="2"/>
  <c r="H13" i="2"/>
  <c r="I13" i="2"/>
  <c r="J13" i="2"/>
  <c r="K13" i="2"/>
  <c r="M13" i="2"/>
  <c r="N13" i="2"/>
  <c r="O13" i="2"/>
  <c r="P13" i="2"/>
  <c r="R13" i="2"/>
  <c r="S13" i="2"/>
  <c r="T13" i="2"/>
  <c r="U13" i="2"/>
  <c r="W13" i="2"/>
  <c r="X13" i="2"/>
  <c r="Y13" i="2"/>
  <c r="Z13" i="2"/>
  <c r="A14" i="2"/>
  <c r="C14" i="2"/>
  <c r="D14" i="2"/>
  <c r="E14" i="2"/>
  <c r="F14" i="2"/>
  <c r="H14" i="2"/>
  <c r="I14" i="2"/>
  <c r="J14" i="2"/>
  <c r="K14" i="2"/>
  <c r="M14" i="2"/>
  <c r="L14" i="2" s="1"/>
  <c r="D14" i="39" s="1"/>
  <c r="N14" i="2"/>
  <c r="O14" i="2"/>
  <c r="P14" i="2"/>
  <c r="R14" i="2"/>
  <c r="S14" i="2"/>
  <c r="T14" i="2"/>
  <c r="U14" i="2"/>
  <c r="W14" i="2"/>
  <c r="V14" i="2" s="1"/>
  <c r="F14" i="39" s="1"/>
  <c r="X14" i="2"/>
  <c r="Y14" i="2"/>
  <c r="Z14" i="2"/>
  <c r="A15" i="2"/>
  <c r="C15" i="2"/>
  <c r="D15" i="2"/>
  <c r="E15" i="2"/>
  <c r="F15" i="2"/>
  <c r="H15" i="2"/>
  <c r="I15" i="2"/>
  <c r="J15" i="2"/>
  <c r="K15" i="2"/>
  <c r="M15" i="2"/>
  <c r="N15" i="2"/>
  <c r="O15" i="2"/>
  <c r="P15" i="2"/>
  <c r="R15" i="2"/>
  <c r="S15" i="2"/>
  <c r="T15" i="2"/>
  <c r="U15" i="2"/>
  <c r="W15" i="2"/>
  <c r="X15" i="2"/>
  <c r="Y15" i="2"/>
  <c r="Z15" i="2"/>
  <c r="A16" i="2"/>
  <c r="B16" i="2"/>
  <c r="B16" i="39" s="1"/>
  <c r="C16" i="2"/>
  <c r="D16" i="2"/>
  <c r="E16" i="2"/>
  <c r="F16" i="2"/>
  <c r="H16" i="2"/>
  <c r="I16" i="2"/>
  <c r="J16" i="2"/>
  <c r="K16" i="2"/>
  <c r="M16" i="2"/>
  <c r="N16" i="2"/>
  <c r="O16" i="2"/>
  <c r="P16" i="2"/>
  <c r="R16" i="2"/>
  <c r="S16" i="2"/>
  <c r="T16" i="2"/>
  <c r="U16" i="2"/>
  <c r="W16" i="2"/>
  <c r="X16" i="2"/>
  <c r="Y16" i="2"/>
  <c r="Z16" i="2"/>
  <c r="A17" i="2"/>
  <c r="C17" i="2"/>
  <c r="D17" i="2"/>
  <c r="E17" i="2"/>
  <c r="F17" i="2"/>
  <c r="H17" i="2"/>
  <c r="I17" i="2"/>
  <c r="G17" i="2" s="1"/>
  <c r="C17" i="39" s="1"/>
  <c r="J17" i="2"/>
  <c r="K17" i="2"/>
  <c r="M17" i="2"/>
  <c r="N17" i="2"/>
  <c r="O17" i="2"/>
  <c r="P17" i="2"/>
  <c r="R17" i="2"/>
  <c r="S17" i="2"/>
  <c r="T17" i="2"/>
  <c r="U17" i="2"/>
  <c r="W17" i="2"/>
  <c r="X17" i="2"/>
  <c r="Y17" i="2"/>
  <c r="Z17" i="2"/>
  <c r="A18" i="2"/>
  <c r="C18" i="2"/>
  <c r="D18" i="2"/>
  <c r="E18" i="2"/>
  <c r="F18" i="2"/>
  <c r="H18" i="2"/>
  <c r="I18" i="2"/>
  <c r="J18" i="2"/>
  <c r="K18" i="2"/>
  <c r="M18" i="2"/>
  <c r="N18" i="2"/>
  <c r="L18" i="2" s="1"/>
  <c r="D18" i="39" s="1"/>
  <c r="O18" i="2"/>
  <c r="P18" i="2"/>
  <c r="R18" i="2"/>
  <c r="S18" i="2"/>
  <c r="T18" i="2"/>
  <c r="U18" i="2"/>
  <c r="W18" i="2"/>
  <c r="X18" i="2"/>
  <c r="Y18" i="2"/>
  <c r="Z18" i="2"/>
  <c r="A19" i="2"/>
  <c r="C19" i="2"/>
  <c r="D19" i="2"/>
  <c r="E19" i="2"/>
  <c r="F19" i="2"/>
  <c r="H19" i="2"/>
  <c r="I19" i="2"/>
  <c r="J19" i="2"/>
  <c r="K19" i="2"/>
  <c r="M19" i="2"/>
  <c r="N19" i="2"/>
  <c r="O19" i="2"/>
  <c r="P19" i="2"/>
  <c r="Q19" i="2"/>
  <c r="E19" i="39" s="1"/>
  <c r="R19" i="2"/>
  <c r="S19" i="2"/>
  <c r="T19" i="2"/>
  <c r="U19" i="2"/>
  <c r="W19" i="2"/>
  <c r="X19" i="2"/>
  <c r="Y19" i="2"/>
  <c r="Z19" i="2"/>
  <c r="A20" i="2"/>
  <c r="C20" i="2"/>
  <c r="B20" i="2" s="1"/>
  <c r="B20" i="39" s="1"/>
  <c r="D20" i="2"/>
  <c r="E20" i="2"/>
  <c r="F20" i="2"/>
  <c r="H20" i="2"/>
  <c r="I20" i="2"/>
  <c r="J20" i="2"/>
  <c r="K20" i="2"/>
  <c r="M20" i="2"/>
  <c r="L20" i="2" s="1"/>
  <c r="D20" i="39" s="1"/>
  <c r="N20" i="2"/>
  <c r="O20" i="2"/>
  <c r="P20" i="2"/>
  <c r="R20" i="2"/>
  <c r="S20" i="2"/>
  <c r="T20" i="2"/>
  <c r="U20" i="2"/>
  <c r="V20" i="2"/>
  <c r="F20" i="39" s="1"/>
  <c r="W20" i="2"/>
  <c r="X20" i="2"/>
  <c r="Y20" i="2"/>
  <c r="Z20" i="2"/>
  <c r="A21" i="2"/>
  <c r="C21" i="2"/>
  <c r="B21" i="2" s="1"/>
  <c r="D21" i="2"/>
  <c r="E21" i="2"/>
  <c r="F21" i="2"/>
  <c r="H21" i="2"/>
  <c r="I21" i="2"/>
  <c r="J21" i="2"/>
  <c r="K21" i="2"/>
  <c r="M21" i="2"/>
  <c r="L21" i="2" s="1"/>
  <c r="D21" i="39" s="1"/>
  <c r="N21" i="2"/>
  <c r="O21" i="2"/>
  <c r="P21" i="2"/>
  <c r="R21" i="2"/>
  <c r="S21" i="2"/>
  <c r="T21" i="2"/>
  <c r="U21" i="2"/>
  <c r="W21" i="2"/>
  <c r="V21" i="2" s="1"/>
  <c r="F21" i="39" s="1"/>
  <c r="X21" i="2"/>
  <c r="Y21" i="2"/>
  <c r="Z21" i="2"/>
  <c r="A22" i="2"/>
  <c r="C22" i="2"/>
  <c r="D22" i="2"/>
  <c r="E22" i="2"/>
  <c r="F22" i="2"/>
  <c r="H22" i="2"/>
  <c r="I22" i="2"/>
  <c r="J22" i="2"/>
  <c r="K22" i="2"/>
  <c r="M22" i="2"/>
  <c r="N22" i="2"/>
  <c r="O22" i="2"/>
  <c r="P22" i="2"/>
  <c r="R22" i="2"/>
  <c r="S22" i="2"/>
  <c r="T22" i="2"/>
  <c r="U22" i="2"/>
  <c r="W22" i="2"/>
  <c r="X22" i="2"/>
  <c r="Y22" i="2"/>
  <c r="Z22" i="2"/>
  <c r="A23" i="2"/>
  <c r="C23" i="2"/>
  <c r="D23" i="2"/>
  <c r="E23" i="2"/>
  <c r="F23" i="2"/>
  <c r="H23" i="2"/>
  <c r="I23" i="2"/>
  <c r="J23" i="2"/>
  <c r="G23" i="2" s="1"/>
  <c r="C23" i="39" s="1"/>
  <c r="K23" i="2"/>
  <c r="M23" i="2"/>
  <c r="L23" i="2" s="1"/>
  <c r="D23" i="39" s="1"/>
  <c r="N23" i="2"/>
  <c r="O23" i="2"/>
  <c r="P23" i="2"/>
  <c r="R23" i="2"/>
  <c r="S23" i="2"/>
  <c r="T23" i="2"/>
  <c r="U23" i="2"/>
  <c r="W23" i="2"/>
  <c r="V23" i="2" s="1"/>
  <c r="F23" i="39" s="1"/>
  <c r="X23" i="2"/>
  <c r="Y23" i="2"/>
  <c r="Z23" i="2"/>
  <c r="A24" i="2"/>
  <c r="C24" i="2"/>
  <c r="B24" i="2" s="1"/>
  <c r="B24" i="39" s="1"/>
  <c r="D24" i="2"/>
  <c r="E24" i="2"/>
  <c r="F24" i="2"/>
  <c r="H24" i="2"/>
  <c r="I24" i="2"/>
  <c r="J24" i="2"/>
  <c r="G24" i="2" s="1"/>
  <c r="C24" i="39" s="1"/>
  <c r="K24" i="2"/>
  <c r="M24" i="2"/>
  <c r="N24" i="2"/>
  <c r="O24" i="2"/>
  <c r="P24" i="2"/>
  <c r="R24" i="2"/>
  <c r="S24" i="2"/>
  <c r="T24" i="2"/>
  <c r="U24" i="2"/>
  <c r="W24" i="2"/>
  <c r="V24" i="2" s="1"/>
  <c r="F24" i="39" s="1"/>
  <c r="X24" i="2"/>
  <c r="Y24" i="2"/>
  <c r="Z24" i="2"/>
  <c r="A25" i="2"/>
  <c r="C25" i="2"/>
  <c r="D25" i="2"/>
  <c r="E25" i="2"/>
  <c r="F25" i="2"/>
  <c r="H25" i="2"/>
  <c r="G25" i="2" s="1"/>
  <c r="C25" i="39" s="1"/>
  <c r="I25" i="2"/>
  <c r="J25" i="2"/>
  <c r="K25" i="2"/>
  <c r="M25" i="2"/>
  <c r="N25" i="2"/>
  <c r="O25" i="2"/>
  <c r="L25" i="2" s="1"/>
  <c r="D25" i="39" s="1"/>
  <c r="P25" i="2"/>
  <c r="R25" i="2"/>
  <c r="S25" i="2"/>
  <c r="T25" i="2"/>
  <c r="U25" i="2"/>
  <c r="W25" i="2"/>
  <c r="X25" i="2"/>
  <c r="Y25" i="2"/>
  <c r="Z25" i="2"/>
  <c r="A26" i="2"/>
  <c r="C26" i="2"/>
  <c r="D26" i="2"/>
  <c r="E26" i="2"/>
  <c r="F26" i="2"/>
  <c r="H26" i="2"/>
  <c r="I26" i="2"/>
  <c r="G26" i="2" s="1"/>
  <c r="C26" i="39" s="1"/>
  <c r="J26" i="2"/>
  <c r="K26" i="2"/>
  <c r="M26" i="2"/>
  <c r="L26" i="2" s="1"/>
  <c r="D26" i="39" s="1"/>
  <c r="N26" i="2"/>
  <c r="O26" i="2"/>
  <c r="P26" i="2"/>
  <c r="R26" i="2"/>
  <c r="S26" i="2"/>
  <c r="T26" i="2"/>
  <c r="U26" i="2"/>
  <c r="W26" i="2"/>
  <c r="X26" i="2"/>
  <c r="Y26" i="2"/>
  <c r="V26" i="2" s="1"/>
  <c r="F26" i="39" s="1"/>
  <c r="Z26" i="2"/>
  <c r="A27" i="2"/>
  <c r="C27" i="2"/>
  <c r="D27" i="2"/>
  <c r="E27" i="2"/>
  <c r="F27" i="2"/>
  <c r="H27" i="2"/>
  <c r="I27" i="2"/>
  <c r="J27" i="2"/>
  <c r="K27" i="2"/>
  <c r="M27" i="2"/>
  <c r="N27" i="2"/>
  <c r="O27" i="2"/>
  <c r="P27" i="2"/>
  <c r="R27" i="2"/>
  <c r="Q27" i="2" s="1"/>
  <c r="E27" i="39" s="1"/>
  <c r="S27" i="2"/>
  <c r="T27" i="2"/>
  <c r="U27" i="2"/>
  <c r="W27" i="2"/>
  <c r="X27" i="2"/>
  <c r="Y27" i="2"/>
  <c r="Z27" i="2"/>
  <c r="A28" i="2"/>
  <c r="C28" i="2"/>
  <c r="D28" i="2"/>
  <c r="E28" i="2"/>
  <c r="F28" i="2"/>
  <c r="H28" i="2"/>
  <c r="I28" i="2"/>
  <c r="J28" i="2"/>
  <c r="K28" i="2"/>
  <c r="M28" i="2"/>
  <c r="N28" i="2"/>
  <c r="O28" i="2"/>
  <c r="P28" i="2"/>
  <c r="R28" i="2"/>
  <c r="S28" i="2"/>
  <c r="T28" i="2"/>
  <c r="U28" i="2"/>
  <c r="W28" i="2"/>
  <c r="V28" i="2" s="1"/>
  <c r="F28" i="39" s="1"/>
  <c r="X28" i="2"/>
  <c r="Y28" i="2"/>
  <c r="Z28" i="2"/>
  <c r="Z5" i="2"/>
  <c r="Y5" i="2"/>
  <c r="X5" i="2"/>
  <c r="W5" i="2"/>
  <c r="U5" i="2"/>
  <c r="T5" i="2"/>
  <c r="S5" i="2"/>
  <c r="R5" i="2"/>
  <c r="P5" i="2"/>
  <c r="O5" i="2"/>
  <c r="N5" i="2"/>
  <c r="M5" i="2"/>
  <c r="L5" i="2"/>
  <c r="D5" i="39" s="1"/>
  <c r="K5" i="2"/>
  <c r="J5" i="2"/>
  <c r="I5" i="2"/>
  <c r="H5" i="2"/>
  <c r="G5" i="2" s="1"/>
  <c r="C5" i="39" s="1"/>
  <c r="F5" i="2"/>
  <c r="E5" i="2"/>
  <c r="D5" i="2"/>
  <c r="B5" i="2" s="1"/>
  <c r="C5" i="2"/>
  <c r="A5" i="2"/>
  <c r="M1" i="3"/>
  <c r="B1" i="3"/>
  <c r="C1" i="3"/>
  <c r="D1" i="3"/>
  <c r="E1" i="3"/>
  <c r="J1" i="3"/>
  <c r="K1" i="3"/>
  <c r="L1" i="3"/>
  <c r="N1" i="3"/>
  <c r="O1" i="3"/>
  <c r="P1" i="3"/>
  <c r="Q1" i="3"/>
  <c r="V1" i="3"/>
  <c r="W1" i="3"/>
  <c r="X1" i="3"/>
  <c r="Y1" i="3"/>
  <c r="Z1" i="3"/>
  <c r="AA1" i="3"/>
  <c r="AB1" i="3"/>
  <c r="AC1" i="3"/>
  <c r="AH1" i="3"/>
  <c r="AI1" i="3"/>
  <c r="AJ1" i="3"/>
  <c r="AK1" i="3"/>
  <c r="AL1" i="3"/>
  <c r="AM1" i="3"/>
  <c r="AN1" i="3"/>
  <c r="AO1" i="3"/>
  <c r="AT1" i="3"/>
  <c r="AU1" i="3"/>
  <c r="AV1" i="3"/>
  <c r="AW1" i="3"/>
  <c r="AX1" i="3"/>
  <c r="AY1" i="3"/>
  <c r="AZ1" i="3"/>
  <c r="BA1" i="3"/>
  <c r="BF1" i="3"/>
  <c r="BG1" i="3"/>
  <c r="BH1" i="3"/>
  <c r="BI1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J9" i="37"/>
  <c r="I9" i="37"/>
  <c r="L5" i="37"/>
  <c r="G5" i="37"/>
  <c r="J1" i="37"/>
  <c r="I1" i="37"/>
  <c r="B21" i="39" l="1"/>
  <c r="V5" i="2"/>
  <c r="F5" i="39" s="1"/>
  <c r="L28" i="2"/>
  <c r="D28" i="39" s="1"/>
  <c r="B28" i="2"/>
  <c r="B28" i="39" s="1"/>
  <c r="B22" i="2"/>
  <c r="B22" i="39" s="1"/>
  <c r="V19" i="2"/>
  <c r="F19" i="39" s="1"/>
  <c r="Q17" i="2"/>
  <c r="E17" i="39" s="1"/>
  <c r="Q16" i="2"/>
  <c r="E16" i="39" s="1"/>
  <c r="B15" i="2"/>
  <c r="B15" i="39" s="1"/>
  <c r="Q13" i="2"/>
  <c r="E13" i="39" s="1"/>
  <c r="G13" i="2"/>
  <c r="C13" i="39" s="1"/>
  <c r="B11" i="2"/>
  <c r="B11" i="39" s="1"/>
  <c r="Q6" i="2"/>
  <c r="E6" i="39" s="1"/>
  <c r="G6" i="2"/>
  <c r="C6" i="39" s="1"/>
  <c r="L98" i="2"/>
  <c r="D98" i="39" s="1"/>
  <c r="B98" i="2"/>
  <c r="B98" i="39" s="1"/>
  <c r="V95" i="2"/>
  <c r="F95" i="39" s="1"/>
  <c r="G94" i="2"/>
  <c r="C94" i="39" s="1"/>
  <c r="Q93" i="2"/>
  <c r="E93" i="39" s="1"/>
  <c r="G93" i="2"/>
  <c r="C93" i="39" s="1"/>
  <c r="B100" i="2"/>
  <c r="B100" i="39" s="1"/>
  <c r="B5" i="39"/>
  <c r="B94" i="39"/>
  <c r="Q23" i="2"/>
  <c r="E23" i="39" s="1"/>
  <c r="Q20" i="2"/>
  <c r="E20" i="39" s="1"/>
  <c r="G20" i="2"/>
  <c r="C20" i="39" s="1"/>
  <c r="B18" i="2"/>
  <c r="B18" i="39" s="1"/>
  <c r="L12" i="2"/>
  <c r="D12" i="39" s="1"/>
  <c r="G10" i="2"/>
  <c r="C10" i="39" s="1"/>
  <c r="V8" i="2"/>
  <c r="F8" i="39" s="1"/>
  <c r="L99" i="2"/>
  <c r="D99" i="39" s="1"/>
  <c r="B99" i="2"/>
  <c r="B99" i="39" s="1"/>
  <c r="Q97" i="2"/>
  <c r="E97" i="39" s="1"/>
  <c r="V100" i="2"/>
  <c r="F100" i="39" s="1"/>
  <c r="L100" i="2"/>
  <c r="D100" i="39" s="1"/>
  <c r="G27" i="2"/>
  <c r="C27" i="39" s="1"/>
  <c r="B25" i="2"/>
  <c r="B25" i="39" s="1"/>
  <c r="V22" i="2"/>
  <c r="F22" i="39" s="1"/>
  <c r="L22" i="2"/>
  <c r="D22" i="39" s="1"/>
  <c r="L19" i="2"/>
  <c r="D19" i="39" s="1"/>
  <c r="Q18" i="2"/>
  <c r="E18" i="39" s="1"/>
  <c r="L16" i="2"/>
  <c r="D16" i="39" s="1"/>
  <c r="V15" i="2"/>
  <c r="F15" i="39" s="1"/>
  <c r="L15" i="2"/>
  <c r="D15" i="39" s="1"/>
  <c r="B12" i="2"/>
  <c r="B12" i="39" s="1"/>
  <c r="B6" i="2"/>
  <c r="B6" i="39" s="1"/>
  <c r="V97" i="2"/>
  <c r="F97" i="39" s="1"/>
  <c r="G97" i="2"/>
  <c r="C97" i="39" s="1"/>
  <c r="Q94" i="2"/>
  <c r="E94" i="39" s="1"/>
  <c r="V25" i="2"/>
  <c r="F25" i="39" s="1"/>
  <c r="V27" i="2"/>
  <c r="F27" i="39" s="1"/>
  <c r="B26" i="2"/>
  <c r="B26" i="39" s="1"/>
  <c r="Q25" i="2"/>
  <c r="E25" i="39" s="1"/>
  <c r="Q24" i="2"/>
  <c r="E24" i="39" s="1"/>
  <c r="B23" i="2"/>
  <c r="B23" i="39" s="1"/>
  <c r="Q21" i="2"/>
  <c r="E21" i="39" s="1"/>
  <c r="G21" i="2"/>
  <c r="B19" i="2"/>
  <c r="B19" i="39" s="1"/>
  <c r="Q14" i="2"/>
  <c r="E14" i="39" s="1"/>
  <c r="G14" i="2"/>
  <c r="C14" i="39" s="1"/>
  <c r="V13" i="2"/>
  <c r="F13" i="39" s="1"/>
  <c r="V10" i="2"/>
  <c r="F10" i="39" s="1"/>
  <c r="V9" i="2"/>
  <c r="F9" i="39" s="1"/>
  <c r="B9" i="2"/>
  <c r="B9" i="39" s="1"/>
  <c r="G8" i="2"/>
  <c r="C8" i="39" s="1"/>
  <c r="Q7" i="2"/>
  <c r="E7" i="39" s="1"/>
  <c r="G98" i="2"/>
  <c r="C98" i="39" s="1"/>
  <c r="V96" i="2"/>
  <c r="F96" i="39" s="1"/>
  <c r="L96" i="2"/>
  <c r="D96" i="39" s="1"/>
  <c r="V93" i="2"/>
  <c r="F93" i="39" s="1"/>
  <c r="L93" i="2"/>
  <c r="D93" i="39" s="1"/>
  <c r="Q5" i="2"/>
  <c r="E5" i="39" s="1"/>
  <c r="Q28" i="2"/>
  <c r="E28" i="39" s="1"/>
  <c r="G28" i="2"/>
  <c r="C28" i="39" s="1"/>
  <c r="G18" i="2"/>
  <c r="C18" i="39" s="1"/>
  <c r="L17" i="2"/>
  <c r="D17" i="39" s="1"/>
  <c r="V16" i="2"/>
  <c r="F16" i="39" s="1"/>
  <c r="G15" i="2"/>
  <c r="C15" i="39" s="1"/>
  <c r="L13" i="2"/>
  <c r="D13" i="39" s="1"/>
  <c r="B13" i="2"/>
  <c r="B13" i="39" s="1"/>
  <c r="V6" i="2"/>
  <c r="F6" i="39" s="1"/>
  <c r="L6" i="2"/>
  <c r="D6" i="39" s="1"/>
  <c r="Q96" i="2"/>
  <c r="E96" i="39" s="1"/>
  <c r="B96" i="2"/>
  <c r="B96" i="39" s="1"/>
  <c r="Q26" i="2"/>
  <c r="E26" i="39" s="1"/>
  <c r="L24" i="2"/>
  <c r="D24" i="39" s="1"/>
  <c r="B14" i="2"/>
  <c r="B14" i="39" s="1"/>
  <c r="V11" i="2"/>
  <c r="F11" i="39" s="1"/>
  <c r="Q9" i="2"/>
  <c r="E9" i="39" s="1"/>
  <c r="B7" i="2"/>
  <c r="B7" i="39" s="1"/>
  <c r="L27" i="2"/>
  <c r="D27" i="39" s="1"/>
  <c r="B27" i="2"/>
  <c r="B27" i="39" s="1"/>
  <c r="Q22" i="2"/>
  <c r="E22" i="39" s="1"/>
  <c r="G22" i="2"/>
  <c r="C22" i="39" s="1"/>
  <c r="G19" i="2"/>
  <c r="C19" i="39" s="1"/>
  <c r="V18" i="2"/>
  <c r="F18" i="39" s="1"/>
  <c r="V17" i="2"/>
  <c r="F17" i="39" s="1"/>
  <c r="B17" i="2"/>
  <c r="B17" i="39" s="1"/>
  <c r="G16" i="2"/>
  <c r="C16" i="39" s="1"/>
  <c r="Q15" i="2"/>
  <c r="E15" i="39" s="1"/>
  <c r="G12" i="2"/>
  <c r="C12" i="39" s="1"/>
  <c r="Q99" i="2"/>
  <c r="E99" i="39" s="1"/>
  <c r="G99" i="2"/>
  <c r="C99" i="39" s="1"/>
  <c r="L95" i="2"/>
  <c r="D95" i="39" s="1"/>
  <c r="G11" i="2"/>
  <c r="C11" i="39" s="1"/>
  <c r="AD17" i="2"/>
  <c r="AD96" i="2"/>
  <c r="G100" i="39"/>
  <c r="AA93" i="2"/>
  <c r="AA95" i="2"/>
  <c r="AA96" i="2"/>
  <c r="AA98" i="2"/>
  <c r="G98" i="39" s="1"/>
  <c r="AA97" i="2"/>
  <c r="AA27" i="2"/>
  <c r="AA17" i="2"/>
  <c r="AA28" i="2"/>
  <c r="AA24" i="2"/>
  <c r="AA22" i="2"/>
  <c r="AA15" i="2"/>
  <c r="AA11" i="2"/>
  <c r="AA18" i="2"/>
  <c r="AA25" i="2"/>
  <c r="AA12" i="2"/>
  <c r="AA8" i="2"/>
  <c r="G8" i="39" s="1"/>
  <c r="AA6" i="2"/>
  <c r="AA26" i="2"/>
  <c r="AA23" i="2"/>
  <c r="AA9" i="2"/>
  <c r="G9" i="39" s="1"/>
  <c r="AA13" i="2"/>
  <c r="AA20" i="2"/>
  <c r="AA16" i="2"/>
  <c r="AA14" i="2"/>
  <c r="AA10" i="2"/>
  <c r="G10" i="39" s="1"/>
  <c r="AA7" i="2"/>
  <c r="G6" i="39" l="1"/>
  <c r="AE6" i="2"/>
  <c r="G24" i="39"/>
  <c r="AE24" i="2"/>
  <c r="G14" i="39"/>
  <c r="AE14" i="2"/>
  <c r="G95" i="39"/>
  <c r="AE95" i="2"/>
  <c r="G23" i="39"/>
  <c r="AE23" i="2"/>
  <c r="G15" i="39"/>
  <c r="AE15" i="2"/>
  <c r="G26" i="39"/>
  <c r="G22" i="39"/>
  <c r="AE22" i="2"/>
  <c r="AA99" i="2"/>
  <c r="G99" i="39" s="1"/>
  <c r="G28" i="39"/>
  <c r="G12" i="39"/>
  <c r="AE12" i="2"/>
  <c r="G13" i="39"/>
  <c r="AE13" i="2"/>
  <c r="G25" i="39"/>
  <c r="AE25" i="2"/>
  <c r="G27" i="39"/>
  <c r="G20" i="39"/>
  <c r="G18" i="39"/>
  <c r="G97" i="39"/>
  <c r="AE97" i="2"/>
  <c r="G16" i="39"/>
  <c r="AE16" i="2"/>
  <c r="G17" i="39"/>
  <c r="AE17" i="2"/>
  <c r="AA19" i="2"/>
  <c r="G93" i="39"/>
  <c r="G7" i="39"/>
  <c r="AE7" i="2"/>
  <c r="G96" i="39"/>
  <c r="AE96" i="2"/>
  <c r="C21" i="39"/>
  <c r="AA21" i="2"/>
  <c r="AE18" i="2" s="1"/>
  <c r="AA94" i="2"/>
  <c r="AA5" i="2"/>
  <c r="G11" i="39"/>
  <c r="AE8" i="2"/>
  <c r="AE10" i="2"/>
  <c r="AE9" i="2"/>
  <c r="AE11" i="2"/>
  <c r="G21" i="39" l="1"/>
  <c r="AE21" i="2"/>
  <c r="AE20" i="2"/>
  <c r="G19" i="39"/>
  <c r="AE19" i="2"/>
  <c r="G5" i="39"/>
  <c r="AE5" i="2"/>
  <c r="G94" i="39"/>
  <c r="AE94" i="2"/>
  <c r="AE93" i="2"/>
  <c r="F1" i="39" l="1"/>
  <c r="EL5" i="3"/>
  <c r="AC30" i="2" l="1"/>
  <c r="AD30" i="2" s="1"/>
  <c r="AC31" i="2"/>
  <c r="AD31" i="2" s="1"/>
  <c r="AC32" i="2"/>
  <c r="AD32" i="2" s="1"/>
  <c r="AC33" i="2"/>
  <c r="AD33" i="2" s="1"/>
  <c r="AC34" i="2"/>
  <c r="AD34" i="2" s="1"/>
  <c r="AC35" i="2"/>
  <c r="AD35" i="2" s="1"/>
  <c r="AC36" i="2"/>
  <c r="AD36" i="2" s="1"/>
  <c r="AC37" i="2"/>
  <c r="AD37" i="2" s="1"/>
  <c r="AC38" i="2"/>
  <c r="AD38" i="2" s="1"/>
  <c r="AC39" i="2"/>
  <c r="AD39" i="2" s="1"/>
  <c r="AC40" i="2"/>
  <c r="AD40" i="2" s="1"/>
  <c r="AC41" i="2"/>
  <c r="AD41" i="2" s="1"/>
  <c r="AC42" i="2"/>
  <c r="AD42" i="2" s="1"/>
  <c r="AC43" i="2"/>
  <c r="AD43" i="2" s="1"/>
  <c r="AC44" i="2"/>
  <c r="AD44" i="2" s="1"/>
  <c r="AC45" i="2"/>
  <c r="AD45" i="2" s="1"/>
  <c r="AC46" i="2"/>
  <c r="AD46" i="2" s="1"/>
  <c r="AC47" i="2"/>
  <c r="AD47" i="2" s="1"/>
  <c r="AC48" i="2"/>
  <c r="AD48" i="2" s="1"/>
  <c r="AC49" i="2"/>
  <c r="AD49" i="2" s="1"/>
  <c r="AC50" i="2"/>
  <c r="AD50" i="2" s="1"/>
  <c r="AC51" i="2"/>
  <c r="AD51" i="2" s="1"/>
  <c r="AC52" i="2"/>
  <c r="AD52" i="2" s="1"/>
  <c r="AC53" i="2"/>
  <c r="AD53" i="2" s="1"/>
  <c r="AC54" i="2"/>
  <c r="AD54" i="2" s="1"/>
  <c r="AC55" i="2"/>
  <c r="AD55" i="2" s="1"/>
  <c r="AC56" i="2"/>
  <c r="AD56" i="2" s="1"/>
  <c r="AC57" i="2"/>
  <c r="AD57" i="2" s="1"/>
  <c r="AC58" i="2"/>
  <c r="AD58" i="2" s="1"/>
  <c r="AC59" i="2"/>
  <c r="AD59" i="2" s="1"/>
  <c r="AC60" i="2"/>
  <c r="AD60" i="2" s="1"/>
  <c r="AC61" i="2"/>
  <c r="AD61" i="2" s="1"/>
  <c r="AC62" i="2"/>
  <c r="AD62" i="2" s="1"/>
  <c r="AC63" i="2"/>
  <c r="AD63" i="2" s="1"/>
  <c r="AC64" i="2"/>
  <c r="AD64" i="2" s="1"/>
  <c r="AC65" i="2"/>
  <c r="AD65" i="2" s="1"/>
  <c r="AC66" i="2"/>
  <c r="AD66" i="2" s="1"/>
  <c r="AC67" i="2"/>
  <c r="AD67" i="2" s="1"/>
  <c r="AC68" i="2"/>
  <c r="AD68" i="2" s="1"/>
  <c r="AC69" i="2"/>
  <c r="AD69" i="2" s="1"/>
  <c r="AC70" i="2"/>
  <c r="AD70" i="2" s="1"/>
  <c r="AC71" i="2"/>
  <c r="AD71" i="2" s="1"/>
  <c r="AC72" i="2"/>
  <c r="AD72" i="2" s="1"/>
  <c r="AC73" i="2"/>
  <c r="AD73" i="2" s="1"/>
  <c r="AC74" i="2"/>
  <c r="AD74" i="2" s="1"/>
  <c r="AC75" i="2"/>
  <c r="AD75" i="2" s="1"/>
  <c r="AC76" i="2"/>
  <c r="AD76" i="2" s="1"/>
  <c r="AC77" i="2"/>
  <c r="AD77" i="2" s="1"/>
  <c r="AC78" i="2"/>
  <c r="AD78" i="2" s="1"/>
  <c r="AC79" i="2"/>
  <c r="AD79" i="2" s="1"/>
  <c r="AC80" i="2"/>
  <c r="AD80" i="2" s="1"/>
  <c r="AC81" i="2"/>
  <c r="AD81" i="2" s="1"/>
  <c r="AC82" i="2"/>
  <c r="AD82" i="2" s="1"/>
  <c r="AC83" i="2"/>
  <c r="AD83" i="2" s="1"/>
  <c r="AC84" i="2"/>
  <c r="AD84" i="2" s="1"/>
  <c r="AC85" i="2"/>
  <c r="AD85" i="2" s="1"/>
  <c r="AC86" i="2"/>
  <c r="AD86" i="2" s="1"/>
  <c r="AC87" i="2"/>
  <c r="AD87" i="2" s="1"/>
  <c r="AC88" i="2"/>
  <c r="AD88" i="2" s="1"/>
  <c r="AC89" i="2"/>
  <c r="AD89" i="2" s="1"/>
  <c r="AC90" i="2"/>
  <c r="AD90" i="2" s="1"/>
  <c r="AC91" i="2"/>
  <c r="AD91" i="2" s="1"/>
  <c r="AC92" i="2"/>
  <c r="AD92" i="2" s="1"/>
  <c r="AC29" i="2"/>
  <c r="AD29" i="2" s="1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29" i="2"/>
  <c r="AX36" i="3" l="1"/>
  <c r="AY36" i="3"/>
  <c r="AZ36" i="3"/>
  <c r="BA36" i="3"/>
  <c r="BB36" i="3"/>
  <c r="BC36" i="3"/>
  <c r="BD36" i="3"/>
  <c r="BE36" i="3"/>
  <c r="BF36" i="3"/>
  <c r="BG36" i="3"/>
  <c r="BH36" i="3"/>
  <c r="BI36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I35" i="3"/>
  <c r="BH35" i="3"/>
  <c r="BG35" i="3"/>
  <c r="BF35" i="3"/>
  <c r="BE35" i="3"/>
  <c r="BD35" i="3"/>
  <c r="BC35" i="3"/>
  <c r="BB35" i="3"/>
  <c r="BA35" i="3"/>
  <c r="AZ35" i="3"/>
  <c r="AY35" i="3"/>
  <c r="X29" i="2" s="1"/>
  <c r="AX35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N36" i="3"/>
  <c r="O36" i="3"/>
  <c r="P36" i="3"/>
  <c r="Q36" i="3"/>
  <c r="R36" i="3"/>
  <c r="S36" i="3"/>
  <c r="T36" i="3"/>
  <c r="U36" i="3"/>
  <c r="V36" i="3"/>
  <c r="W36" i="3"/>
  <c r="X36" i="3"/>
  <c r="Y36" i="3"/>
  <c r="N37" i="3"/>
  <c r="O37" i="3"/>
  <c r="P37" i="3"/>
  <c r="Q37" i="3"/>
  <c r="R37" i="3"/>
  <c r="S37" i="3"/>
  <c r="T37" i="3"/>
  <c r="U37" i="3"/>
  <c r="V37" i="3"/>
  <c r="W37" i="3"/>
  <c r="X37" i="3"/>
  <c r="Y37" i="3"/>
  <c r="N38" i="3"/>
  <c r="O38" i="3"/>
  <c r="P38" i="3"/>
  <c r="Q38" i="3"/>
  <c r="R38" i="3"/>
  <c r="S38" i="3"/>
  <c r="T38" i="3"/>
  <c r="U38" i="3"/>
  <c r="V38" i="3"/>
  <c r="W38" i="3"/>
  <c r="X38" i="3"/>
  <c r="Y38" i="3"/>
  <c r="N39" i="3"/>
  <c r="O39" i="3"/>
  <c r="P39" i="3"/>
  <c r="Q39" i="3"/>
  <c r="R39" i="3"/>
  <c r="S39" i="3"/>
  <c r="T39" i="3"/>
  <c r="U39" i="3"/>
  <c r="V39" i="3"/>
  <c r="W39" i="3"/>
  <c r="X39" i="3"/>
  <c r="Y39" i="3"/>
  <c r="N40" i="3"/>
  <c r="O40" i="3"/>
  <c r="P40" i="3"/>
  <c r="Q40" i="3"/>
  <c r="R40" i="3"/>
  <c r="S40" i="3"/>
  <c r="T40" i="3"/>
  <c r="U40" i="3"/>
  <c r="V40" i="3"/>
  <c r="W40" i="3"/>
  <c r="X40" i="3"/>
  <c r="Y40" i="3"/>
  <c r="N41" i="3"/>
  <c r="O41" i="3"/>
  <c r="P41" i="3"/>
  <c r="Q41" i="3"/>
  <c r="R41" i="3"/>
  <c r="S41" i="3"/>
  <c r="T41" i="3"/>
  <c r="U41" i="3"/>
  <c r="V41" i="3"/>
  <c r="W41" i="3"/>
  <c r="X41" i="3"/>
  <c r="Y41" i="3"/>
  <c r="N42" i="3"/>
  <c r="O42" i="3"/>
  <c r="P42" i="3"/>
  <c r="Q42" i="3"/>
  <c r="R42" i="3"/>
  <c r="S42" i="3"/>
  <c r="T42" i="3"/>
  <c r="U42" i="3"/>
  <c r="V42" i="3"/>
  <c r="W42" i="3"/>
  <c r="X42" i="3"/>
  <c r="Y42" i="3"/>
  <c r="N43" i="3"/>
  <c r="O43" i="3"/>
  <c r="P43" i="3"/>
  <c r="Q43" i="3"/>
  <c r="R43" i="3"/>
  <c r="S43" i="3"/>
  <c r="T43" i="3"/>
  <c r="U43" i="3"/>
  <c r="V43" i="3"/>
  <c r="W43" i="3"/>
  <c r="X43" i="3"/>
  <c r="Y43" i="3"/>
  <c r="N44" i="3"/>
  <c r="O44" i="3"/>
  <c r="P44" i="3"/>
  <c r="Q44" i="3"/>
  <c r="R44" i="3"/>
  <c r="S44" i="3"/>
  <c r="T44" i="3"/>
  <c r="U44" i="3"/>
  <c r="V44" i="3"/>
  <c r="W44" i="3"/>
  <c r="X44" i="3"/>
  <c r="Y44" i="3"/>
  <c r="N45" i="3"/>
  <c r="O45" i="3"/>
  <c r="P45" i="3"/>
  <c r="Q45" i="3"/>
  <c r="R45" i="3"/>
  <c r="S45" i="3"/>
  <c r="T45" i="3"/>
  <c r="U45" i="3"/>
  <c r="V45" i="3"/>
  <c r="W45" i="3"/>
  <c r="X45" i="3"/>
  <c r="Y45" i="3"/>
  <c r="N46" i="3"/>
  <c r="O46" i="3"/>
  <c r="P46" i="3"/>
  <c r="Q46" i="3"/>
  <c r="R46" i="3"/>
  <c r="S46" i="3"/>
  <c r="T46" i="3"/>
  <c r="U46" i="3"/>
  <c r="V46" i="3"/>
  <c r="W46" i="3"/>
  <c r="X46" i="3"/>
  <c r="Y46" i="3"/>
  <c r="N47" i="3"/>
  <c r="O47" i="3"/>
  <c r="P47" i="3"/>
  <c r="Q47" i="3"/>
  <c r="R47" i="3"/>
  <c r="S47" i="3"/>
  <c r="T47" i="3"/>
  <c r="U47" i="3"/>
  <c r="V47" i="3"/>
  <c r="W47" i="3"/>
  <c r="X47" i="3"/>
  <c r="Y47" i="3"/>
  <c r="N48" i="3"/>
  <c r="O48" i="3"/>
  <c r="P48" i="3"/>
  <c r="Q48" i="3"/>
  <c r="R48" i="3"/>
  <c r="S48" i="3"/>
  <c r="T48" i="3"/>
  <c r="U48" i="3"/>
  <c r="V48" i="3"/>
  <c r="W48" i="3"/>
  <c r="X48" i="3"/>
  <c r="Y48" i="3"/>
  <c r="N49" i="3"/>
  <c r="O49" i="3"/>
  <c r="P49" i="3"/>
  <c r="Q49" i="3"/>
  <c r="R49" i="3"/>
  <c r="S49" i="3"/>
  <c r="T49" i="3"/>
  <c r="U49" i="3"/>
  <c r="V49" i="3"/>
  <c r="W49" i="3"/>
  <c r="X49" i="3"/>
  <c r="Y49" i="3"/>
  <c r="N50" i="3"/>
  <c r="O50" i="3"/>
  <c r="P50" i="3"/>
  <c r="Q50" i="3"/>
  <c r="R50" i="3"/>
  <c r="S50" i="3"/>
  <c r="T50" i="3"/>
  <c r="U50" i="3"/>
  <c r="V50" i="3"/>
  <c r="W50" i="3"/>
  <c r="X50" i="3"/>
  <c r="Y50" i="3"/>
  <c r="N51" i="3"/>
  <c r="O51" i="3"/>
  <c r="P51" i="3"/>
  <c r="Q51" i="3"/>
  <c r="R51" i="3"/>
  <c r="S51" i="3"/>
  <c r="T51" i="3"/>
  <c r="U51" i="3"/>
  <c r="V51" i="3"/>
  <c r="W51" i="3"/>
  <c r="X51" i="3"/>
  <c r="Y51" i="3"/>
  <c r="N52" i="3"/>
  <c r="O52" i="3"/>
  <c r="P52" i="3"/>
  <c r="Q52" i="3"/>
  <c r="R52" i="3"/>
  <c r="S52" i="3"/>
  <c r="T52" i="3"/>
  <c r="U52" i="3"/>
  <c r="V52" i="3"/>
  <c r="W52" i="3"/>
  <c r="X52" i="3"/>
  <c r="Y52" i="3"/>
  <c r="N53" i="3"/>
  <c r="O53" i="3"/>
  <c r="P53" i="3"/>
  <c r="Q53" i="3"/>
  <c r="R53" i="3"/>
  <c r="S53" i="3"/>
  <c r="T53" i="3"/>
  <c r="U53" i="3"/>
  <c r="V53" i="3"/>
  <c r="W53" i="3"/>
  <c r="X53" i="3"/>
  <c r="Y53" i="3"/>
  <c r="N54" i="3"/>
  <c r="O54" i="3"/>
  <c r="P54" i="3"/>
  <c r="Q54" i="3"/>
  <c r="R54" i="3"/>
  <c r="S54" i="3"/>
  <c r="T54" i="3"/>
  <c r="U54" i="3"/>
  <c r="V54" i="3"/>
  <c r="W54" i="3"/>
  <c r="X54" i="3"/>
  <c r="Y54" i="3"/>
  <c r="N55" i="3"/>
  <c r="O55" i="3"/>
  <c r="P55" i="3"/>
  <c r="Q55" i="3"/>
  <c r="R55" i="3"/>
  <c r="S55" i="3"/>
  <c r="T55" i="3"/>
  <c r="U55" i="3"/>
  <c r="V55" i="3"/>
  <c r="W55" i="3"/>
  <c r="X55" i="3"/>
  <c r="Y55" i="3"/>
  <c r="N56" i="3"/>
  <c r="O56" i="3"/>
  <c r="P56" i="3"/>
  <c r="Q56" i="3"/>
  <c r="R56" i="3"/>
  <c r="S56" i="3"/>
  <c r="T56" i="3"/>
  <c r="U56" i="3"/>
  <c r="V56" i="3"/>
  <c r="W56" i="3"/>
  <c r="X56" i="3"/>
  <c r="Y56" i="3"/>
  <c r="N57" i="3"/>
  <c r="O57" i="3"/>
  <c r="P57" i="3"/>
  <c r="Q57" i="3"/>
  <c r="R57" i="3"/>
  <c r="S57" i="3"/>
  <c r="T57" i="3"/>
  <c r="U57" i="3"/>
  <c r="V57" i="3"/>
  <c r="W57" i="3"/>
  <c r="X57" i="3"/>
  <c r="Y57" i="3"/>
  <c r="N58" i="3"/>
  <c r="O58" i="3"/>
  <c r="P58" i="3"/>
  <c r="Q58" i="3"/>
  <c r="R58" i="3"/>
  <c r="S58" i="3"/>
  <c r="T58" i="3"/>
  <c r="U58" i="3"/>
  <c r="V58" i="3"/>
  <c r="W58" i="3"/>
  <c r="X58" i="3"/>
  <c r="Y58" i="3"/>
  <c r="N59" i="3"/>
  <c r="O59" i="3"/>
  <c r="P59" i="3"/>
  <c r="Q59" i="3"/>
  <c r="R59" i="3"/>
  <c r="S59" i="3"/>
  <c r="T59" i="3"/>
  <c r="U59" i="3"/>
  <c r="V59" i="3"/>
  <c r="W59" i="3"/>
  <c r="X59" i="3"/>
  <c r="Y59" i="3"/>
  <c r="N60" i="3"/>
  <c r="O60" i="3"/>
  <c r="P60" i="3"/>
  <c r="Q60" i="3"/>
  <c r="R60" i="3"/>
  <c r="S60" i="3"/>
  <c r="T60" i="3"/>
  <c r="U60" i="3"/>
  <c r="V60" i="3"/>
  <c r="W60" i="3"/>
  <c r="X60" i="3"/>
  <c r="Y60" i="3"/>
  <c r="N61" i="3"/>
  <c r="O61" i="3"/>
  <c r="P61" i="3"/>
  <c r="Q61" i="3"/>
  <c r="R61" i="3"/>
  <c r="S61" i="3"/>
  <c r="T61" i="3"/>
  <c r="U61" i="3"/>
  <c r="V61" i="3"/>
  <c r="W61" i="3"/>
  <c r="X61" i="3"/>
  <c r="Y61" i="3"/>
  <c r="N62" i="3"/>
  <c r="O62" i="3"/>
  <c r="P62" i="3"/>
  <c r="Q62" i="3"/>
  <c r="R62" i="3"/>
  <c r="S62" i="3"/>
  <c r="T62" i="3"/>
  <c r="U62" i="3"/>
  <c r="V62" i="3"/>
  <c r="W62" i="3"/>
  <c r="X62" i="3"/>
  <c r="Y62" i="3"/>
  <c r="N63" i="3"/>
  <c r="O63" i="3"/>
  <c r="P63" i="3"/>
  <c r="Q63" i="3"/>
  <c r="R63" i="3"/>
  <c r="S63" i="3"/>
  <c r="T63" i="3"/>
  <c r="U63" i="3"/>
  <c r="V63" i="3"/>
  <c r="W63" i="3"/>
  <c r="X63" i="3"/>
  <c r="Y63" i="3"/>
  <c r="N64" i="3"/>
  <c r="O64" i="3"/>
  <c r="P64" i="3"/>
  <c r="Q64" i="3"/>
  <c r="R64" i="3"/>
  <c r="S64" i="3"/>
  <c r="T64" i="3"/>
  <c r="U64" i="3"/>
  <c r="V64" i="3"/>
  <c r="W64" i="3"/>
  <c r="X64" i="3"/>
  <c r="Y64" i="3"/>
  <c r="N65" i="3"/>
  <c r="O65" i="3"/>
  <c r="P65" i="3"/>
  <c r="Q65" i="3"/>
  <c r="R65" i="3"/>
  <c r="S65" i="3"/>
  <c r="T65" i="3"/>
  <c r="U65" i="3"/>
  <c r="V65" i="3"/>
  <c r="W65" i="3"/>
  <c r="X65" i="3"/>
  <c r="Y65" i="3"/>
  <c r="N66" i="3"/>
  <c r="O66" i="3"/>
  <c r="P66" i="3"/>
  <c r="Q66" i="3"/>
  <c r="R66" i="3"/>
  <c r="S66" i="3"/>
  <c r="T66" i="3"/>
  <c r="U66" i="3"/>
  <c r="V66" i="3"/>
  <c r="W66" i="3"/>
  <c r="X66" i="3"/>
  <c r="Y66" i="3"/>
  <c r="N67" i="3"/>
  <c r="O67" i="3"/>
  <c r="P67" i="3"/>
  <c r="Q67" i="3"/>
  <c r="R67" i="3"/>
  <c r="S67" i="3"/>
  <c r="T67" i="3"/>
  <c r="U67" i="3"/>
  <c r="V67" i="3"/>
  <c r="W67" i="3"/>
  <c r="X67" i="3"/>
  <c r="Y67" i="3"/>
  <c r="N68" i="3"/>
  <c r="O68" i="3"/>
  <c r="P68" i="3"/>
  <c r="Q68" i="3"/>
  <c r="R68" i="3"/>
  <c r="S68" i="3"/>
  <c r="T68" i="3"/>
  <c r="U68" i="3"/>
  <c r="V68" i="3"/>
  <c r="W68" i="3"/>
  <c r="X68" i="3"/>
  <c r="Y68" i="3"/>
  <c r="N69" i="3"/>
  <c r="O69" i="3"/>
  <c r="P69" i="3"/>
  <c r="Q69" i="3"/>
  <c r="R69" i="3"/>
  <c r="S69" i="3"/>
  <c r="T69" i="3"/>
  <c r="U69" i="3"/>
  <c r="V69" i="3"/>
  <c r="W69" i="3"/>
  <c r="X69" i="3"/>
  <c r="Y69" i="3"/>
  <c r="N70" i="3"/>
  <c r="O70" i="3"/>
  <c r="P70" i="3"/>
  <c r="Q70" i="3"/>
  <c r="R70" i="3"/>
  <c r="S70" i="3"/>
  <c r="T70" i="3"/>
  <c r="U70" i="3"/>
  <c r="V70" i="3"/>
  <c r="W70" i="3"/>
  <c r="X70" i="3"/>
  <c r="Y70" i="3"/>
  <c r="N71" i="3"/>
  <c r="O71" i="3"/>
  <c r="P71" i="3"/>
  <c r="Q71" i="3"/>
  <c r="R71" i="3"/>
  <c r="S71" i="3"/>
  <c r="T71" i="3"/>
  <c r="U71" i="3"/>
  <c r="V71" i="3"/>
  <c r="W71" i="3"/>
  <c r="X71" i="3"/>
  <c r="Y71" i="3"/>
  <c r="N72" i="3"/>
  <c r="O72" i="3"/>
  <c r="P72" i="3"/>
  <c r="Q72" i="3"/>
  <c r="R72" i="3"/>
  <c r="S72" i="3"/>
  <c r="T72" i="3"/>
  <c r="U72" i="3"/>
  <c r="V72" i="3"/>
  <c r="W72" i="3"/>
  <c r="X72" i="3"/>
  <c r="Y72" i="3"/>
  <c r="N73" i="3"/>
  <c r="O73" i="3"/>
  <c r="P73" i="3"/>
  <c r="Q73" i="3"/>
  <c r="R73" i="3"/>
  <c r="S73" i="3"/>
  <c r="T73" i="3"/>
  <c r="U73" i="3"/>
  <c r="V73" i="3"/>
  <c r="W73" i="3"/>
  <c r="X73" i="3"/>
  <c r="Y73" i="3"/>
  <c r="N74" i="3"/>
  <c r="O74" i="3"/>
  <c r="P74" i="3"/>
  <c r="Q74" i="3"/>
  <c r="R74" i="3"/>
  <c r="S74" i="3"/>
  <c r="T74" i="3"/>
  <c r="U74" i="3"/>
  <c r="V74" i="3"/>
  <c r="W74" i="3"/>
  <c r="X74" i="3"/>
  <c r="Y74" i="3"/>
  <c r="N75" i="3"/>
  <c r="O75" i="3"/>
  <c r="P75" i="3"/>
  <c r="Q75" i="3"/>
  <c r="R75" i="3"/>
  <c r="S75" i="3"/>
  <c r="T75" i="3"/>
  <c r="U75" i="3"/>
  <c r="V75" i="3"/>
  <c r="W75" i="3"/>
  <c r="X75" i="3"/>
  <c r="Y75" i="3"/>
  <c r="N76" i="3"/>
  <c r="O76" i="3"/>
  <c r="P76" i="3"/>
  <c r="Q76" i="3"/>
  <c r="R76" i="3"/>
  <c r="S76" i="3"/>
  <c r="T76" i="3"/>
  <c r="U76" i="3"/>
  <c r="V76" i="3"/>
  <c r="W76" i="3"/>
  <c r="X76" i="3"/>
  <c r="Y76" i="3"/>
  <c r="N77" i="3"/>
  <c r="O77" i="3"/>
  <c r="P77" i="3"/>
  <c r="Q77" i="3"/>
  <c r="R77" i="3"/>
  <c r="S77" i="3"/>
  <c r="T77" i="3"/>
  <c r="U77" i="3"/>
  <c r="V77" i="3"/>
  <c r="W77" i="3"/>
  <c r="X77" i="3"/>
  <c r="Y77" i="3"/>
  <c r="N78" i="3"/>
  <c r="O78" i="3"/>
  <c r="P78" i="3"/>
  <c r="Q78" i="3"/>
  <c r="R78" i="3"/>
  <c r="S78" i="3"/>
  <c r="T78" i="3"/>
  <c r="U78" i="3"/>
  <c r="V78" i="3"/>
  <c r="W78" i="3"/>
  <c r="X78" i="3"/>
  <c r="Y78" i="3"/>
  <c r="N79" i="3"/>
  <c r="O79" i="3"/>
  <c r="P79" i="3"/>
  <c r="Q79" i="3"/>
  <c r="R79" i="3"/>
  <c r="S79" i="3"/>
  <c r="T79" i="3"/>
  <c r="U79" i="3"/>
  <c r="V79" i="3"/>
  <c r="W79" i="3"/>
  <c r="X79" i="3"/>
  <c r="Y79" i="3"/>
  <c r="N80" i="3"/>
  <c r="O80" i="3"/>
  <c r="P80" i="3"/>
  <c r="Q80" i="3"/>
  <c r="R80" i="3"/>
  <c r="S80" i="3"/>
  <c r="T80" i="3"/>
  <c r="U80" i="3"/>
  <c r="V80" i="3"/>
  <c r="W80" i="3"/>
  <c r="X80" i="3"/>
  <c r="Y80" i="3"/>
  <c r="N81" i="3"/>
  <c r="O81" i="3"/>
  <c r="P81" i="3"/>
  <c r="Q81" i="3"/>
  <c r="R81" i="3"/>
  <c r="S81" i="3"/>
  <c r="T81" i="3"/>
  <c r="U81" i="3"/>
  <c r="V81" i="3"/>
  <c r="W81" i="3"/>
  <c r="X81" i="3"/>
  <c r="Y81" i="3"/>
  <c r="N82" i="3"/>
  <c r="O82" i="3"/>
  <c r="P82" i="3"/>
  <c r="Q82" i="3"/>
  <c r="R82" i="3"/>
  <c r="S82" i="3"/>
  <c r="T82" i="3"/>
  <c r="U82" i="3"/>
  <c r="V82" i="3"/>
  <c r="W82" i="3"/>
  <c r="X82" i="3"/>
  <c r="Y82" i="3"/>
  <c r="N83" i="3"/>
  <c r="O83" i="3"/>
  <c r="P83" i="3"/>
  <c r="Q83" i="3"/>
  <c r="R83" i="3"/>
  <c r="S83" i="3"/>
  <c r="T83" i="3"/>
  <c r="U83" i="3"/>
  <c r="V83" i="3"/>
  <c r="W83" i="3"/>
  <c r="X83" i="3"/>
  <c r="Y83" i="3"/>
  <c r="N84" i="3"/>
  <c r="O84" i="3"/>
  <c r="P84" i="3"/>
  <c r="Q84" i="3"/>
  <c r="R84" i="3"/>
  <c r="S84" i="3"/>
  <c r="T84" i="3"/>
  <c r="U84" i="3"/>
  <c r="V84" i="3"/>
  <c r="W84" i="3"/>
  <c r="X84" i="3"/>
  <c r="Y84" i="3"/>
  <c r="N85" i="3"/>
  <c r="O85" i="3"/>
  <c r="P85" i="3"/>
  <c r="Q85" i="3"/>
  <c r="R85" i="3"/>
  <c r="S85" i="3"/>
  <c r="T85" i="3"/>
  <c r="U85" i="3"/>
  <c r="V85" i="3"/>
  <c r="W85" i="3"/>
  <c r="X85" i="3"/>
  <c r="Y85" i="3"/>
  <c r="N86" i="3"/>
  <c r="O86" i="3"/>
  <c r="P86" i="3"/>
  <c r="Q86" i="3"/>
  <c r="R86" i="3"/>
  <c r="S86" i="3"/>
  <c r="T86" i="3"/>
  <c r="U86" i="3"/>
  <c r="V86" i="3"/>
  <c r="W86" i="3"/>
  <c r="X86" i="3"/>
  <c r="Y86" i="3"/>
  <c r="N87" i="3"/>
  <c r="O87" i="3"/>
  <c r="P87" i="3"/>
  <c r="Q87" i="3"/>
  <c r="R87" i="3"/>
  <c r="S87" i="3"/>
  <c r="T87" i="3"/>
  <c r="U87" i="3"/>
  <c r="V87" i="3"/>
  <c r="W87" i="3"/>
  <c r="X87" i="3"/>
  <c r="Y87" i="3"/>
  <c r="N88" i="3"/>
  <c r="O88" i="3"/>
  <c r="P88" i="3"/>
  <c r="Q88" i="3"/>
  <c r="R88" i="3"/>
  <c r="S88" i="3"/>
  <c r="T88" i="3"/>
  <c r="U88" i="3"/>
  <c r="V88" i="3"/>
  <c r="W88" i="3"/>
  <c r="X88" i="3"/>
  <c r="Y88" i="3"/>
  <c r="N89" i="3"/>
  <c r="O89" i="3"/>
  <c r="P89" i="3"/>
  <c r="Q89" i="3"/>
  <c r="R89" i="3"/>
  <c r="S89" i="3"/>
  <c r="T89" i="3"/>
  <c r="U89" i="3"/>
  <c r="V89" i="3"/>
  <c r="W89" i="3"/>
  <c r="X89" i="3"/>
  <c r="Y89" i="3"/>
  <c r="N90" i="3"/>
  <c r="O90" i="3"/>
  <c r="P90" i="3"/>
  <c r="Q90" i="3"/>
  <c r="R90" i="3"/>
  <c r="S90" i="3"/>
  <c r="T90" i="3"/>
  <c r="U90" i="3"/>
  <c r="V90" i="3"/>
  <c r="W90" i="3"/>
  <c r="X90" i="3"/>
  <c r="Y90" i="3"/>
  <c r="N91" i="3"/>
  <c r="O91" i="3"/>
  <c r="P91" i="3"/>
  <c r="Q91" i="3"/>
  <c r="R91" i="3"/>
  <c r="S91" i="3"/>
  <c r="T91" i="3"/>
  <c r="U91" i="3"/>
  <c r="V91" i="3"/>
  <c r="W91" i="3"/>
  <c r="X91" i="3"/>
  <c r="Y91" i="3"/>
  <c r="N92" i="3"/>
  <c r="O92" i="3"/>
  <c r="P92" i="3"/>
  <c r="Q92" i="3"/>
  <c r="R92" i="3"/>
  <c r="S92" i="3"/>
  <c r="T92" i="3"/>
  <c r="U92" i="3"/>
  <c r="V92" i="3"/>
  <c r="W92" i="3"/>
  <c r="X92" i="3"/>
  <c r="Y92" i="3"/>
  <c r="N93" i="3"/>
  <c r="O93" i="3"/>
  <c r="P93" i="3"/>
  <c r="Q93" i="3"/>
  <c r="R93" i="3"/>
  <c r="S93" i="3"/>
  <c r="T93" i="3"/>
  <c r="U93" i="3"/>
  <c r="V93" i="3"/>
  <c r="W93" i="3"/>
  <c r="X93" i="3"/>
  <c r="Y93" i="3"/>
  <c r="N94" i="3"/>
  <c r="O94" i="3"/>
  <c r="P94" i="3"/>
  <c r="Q94" i="3"/>
  <c r="R94" i="3"/>
  <c r="S94" i="3"/>
  <c r="T94" i="3"/>
  <c r="U94" i="3"/>
  <c r="V94" i="3"/>
  <c r="W94" i="3"/>
  <c r="X94" i="3"/>
  <c r="Y94" i="3"/>
  <c r="N95" i="3"/>
  <c r="O95" i="3"/>
  <c r="P95" i="3"/>
  <c r="Q95" i="3"/>
  <c r="R95" i="3"/>
  <c r="S95" i="3"/>
  <c r="T95" i="3"/>
  <c r="U95" i="3"/>
  <c r="V95" i="3"/>
  <c r="W95" i="3"/>
  <c r="X95" i="3"/>
  <c r="Y95" i="3"/>
  <c r="N96" i="3"/>
  <c r="O96" i="3"/>
  <c r="P96" i="3"/>
  <c r="Q96" i="3"/>
  <c r="R96" i="3"/>
  <c r="S96" i="3"/>
  <c r="T96" i="3"/>
  <c r="U96" i="3"/>
  <c r="V96" i="3"/>
  <c r="W96" i="3"/>
  <c r="X96" i="3"/>
  <c r="Y96" i="3"/>
  <c r="N97" i="3"/>
  <c r="O97" i="3"/>
  <c r="P97" i="3"/>
  <c r="Q97" i="3"/>
  <c r="R97" i="3"/>
  <c r="S97" i="3"/>
  <c r="T97" i="3"/>
  <c r="U97" i="3"/>
  <c r="V97" i="3"/>
  <c r="W97" i="3"/>
  <c r="X97" i="3"/>
  <c r="Y97" i="3"/>
  <c r="N98" i="3"/>
  <c r="O98" i="3"/>
  <c r="P98" i="3"/>
  <c r="Q98" i="3"/>
  <c r="R98" i="3"/>
  <c r="S98" i="3"/>
  <c r="T98" i="3"/>
  <c r="U98" i="3"/>
  <c r="V98" i="3"/>
  <c r="W98" i="3"/>
  <c r="X98" i="3"/>
  <c r="Y98" i="3"/>
  <c r="Y35" i="3"/>
  <c r="X35" i="3"/>
  <c r="W35" i="3"/>
  <c r="V35" i="3"/>
  <c r="U35" i="3"/>
  <c r="T35" i="3"/>
  <c r="S35" i="3"/>
  <c r="R35" i="3"/>
  <c r="Q35" i="3"/>
  <c r="P35" i="3"/>
  <c r="O35" i="3"/>
  <c r="N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M35" i="3"/>
  <c r="L35" i="3"/>
  <c r="K35" i="3"/>
  <c r="J35" i="3"/>
  <c r="I35" i="3"/>
  <c r="H35" i="3"/>
  <c r="G35" i="3"/>
  <c r="F35" i="3"/>
  <c r="E35" i="3"/>
  <c r="D35" i="3"/>
  <c r="C35" i="3"/>
  <c r="B35" i="3"/>
  <c r="AA8" i="3"/>
  <c r="O8" i="3"/>
  <c r="C8" i="3"/>
  <c r="B2" i="39" s="1"/>
  <c r="AM8" i="3"/>
  <c r="AY8" i="3"/>
  <c r="BC8" i="3"/>
  <c r="W29" i="2" l="1"/>
  <c r="O29" i="2"/>
  <c r="T29" i="2"/>
  <c r="Y29" i="2"/>
  <c r="Z29" i="2"/>
  <c r="E29" i="2"/>
  <c r="N29" i="2"/>
  <c r="P29" i="2"/>
  <c r="U29" i="2"/>
  <c r="F29" i="2"/>
  <c r="H81" i="2"/>
  <c r="H77" i="2"/>
  <c r="H73" i="2"/>
  <c r="H61" i="2"/>
  <c r="H57" i="2"/>
  <c r="H53" i="2"/>
  <c r="H49" i="2"/>
  <c r="H41" i="2"/>
  <c r="H37" i="2"/>
  <c r="H33" i="2"/>
  <c r="M77" i="2"/>
  <c r="M69" i="2"/>
  <c r="M65" i="2"/>
  <c r="M53" i="2"/>
  <c r="P57" i="2"/>
  <c r="P53" i="2"/>
  <c r="U81" i="2"/>
  <c r="U77" i="2"/>
  <c r="U73" i="2"/>
  <c r="U69" i="2"/>
  <c r="U65" i="2"/>
  <c r="U61" i="2"/>
  <c r="U53" i="2"/>
  <c r="U49" i="2"/>
  <c r="U45" i="2"/>
  <c r="U41" i="2"/>
  <c r="U37" i="2"/>
  <c r="U33" i="2"/>
  <c r="Z91" i="2"/>
  <c r="Z67" i="2"/>
  <c r="Z63" i="2"/>
  <c r="Z55" i="2"/>
  <c r="Z43" i="2"/>
  <c r="Z31" i="2"/>
  <c r="H65" i="2"/>
  <c r="M61" i="2"/>
  <c r="M57" i="2"/>
  <c r="M49" i="2"/>
  <c r="M41" i="2"/>
  <c r="M37" i="2"/>
  <c r="M33" i="2"/>
  <c r="R59" i="2"/>
  <c r="R53" i="2"/>
  <c r="R49" i="2"/>
  <c r="R45" i="2"/>
  <c r="R37" i="2"/>
  <c r="R33" i="2"/>
  <c r="W87" i="2"/>
  <c r="W83" i="2"/>
  <c r="W75" i="2"/>
  <c r="W59" i="2"/>
  <c r="W55" i="2"/>
  <c r="W51" i="2"/>
  <c r="W47" i="2"/>
  <c r="W43" i="2"/>
  <c r="W39" i="2"/>
  <c r="W31" i="2"/>
  <c r="D86" i="2"/>
  <c r="Z83" i="2"/>
  <c r="Z75" i="2"/>
  <c r="Z71" i="2"/>
  <c r="Z59" i="2"/>
  <c r="Z51" i="2"/>
  <c r="Z47" i="2"/>
  <c r="Z39" i="2"/>
  <c r="Z35" i="2"/>
  <c r="T59" i="2"/>
  <c r="T55" i="2"/>
  <c r="T51" i="2"/>
  <c r="T47" i="2"/>
  <c r="T37" i="2"/>
  <c r="T33" i="2"/>
  <c r="Y79" i="2"/>
  <c r="Y63" i="2"/>
  <c r="Y59" i="2"/>
  <c r="Y55" i="2"/>
  <c r="Y51" i="2"/>
  <c r="Y47" i="2"/>
  <c r="Y43" i="2"/>
  <c r="Y39" i="2"/>
  <c r="Y35" i="2"/>
  <c r="Y31" i="2"/>
  <c r="I89" i="2"/>
  <c r="I85" i="2"/>
  <c r="I81" i="2"/>
  <c r="I77" i="2"/>
  <c r="I73" i="2"/>
  <c r="I69" i="2"/>
  <c r="I65" i="2"/>
  <c r="I61" i="2"/>
  <c r="I57" i="2"/>
  <c r="I53" i="2"/>
  <c r="N89" i="2"/>
  <c r="N85" i="2"/>
  <c r="N81" i="2"/>
  <c r="N77" i="2"/>
  <c r="N73" i="2"/>
  <c r="N63" i="2"/>
  <c r="N59" i="2"/>
  <c r="N55" i="2"/>
  <c r="N51" i="2"/>
  <c r="N47" i="2"/>
  <c r="N43" i="2"/>
  <c r="S59" i="2"/>
  <c r="S55" i="2"/>
  <c r="S51" i="2"/>
  <c r="S47" i="2"/>
  <c r="S37" i="2"/>
  <c r="S33" i="2"/>
  <c r="X79" i="2"/>
  <c r="X75" i="2"/>
  <c r="X71" i="2"/>
  <c r="X59" i="2"/>
  <c r="X55" i="2"/>
  <c r="X51" i="2"/>
  <c r="X47" i="2"/>
  <c r="X43" i="2"/>
  <c r="X39" i="2"/>
  <c r="X35" i="2"/>
  <c r="X31" i="2"/>
  <c r="H45" i="2"/>
  <c r="F70" i="2"/>
  <c r="F66" i="2"/>
  <c r="F62" i="2"/>
  <c r="F58" i="2"/>
  <c r="F54" i="2"/>
  <c r="F50" i="2"/>
  <c r="F46" i="2"/>
  <c r="F42" i="2"/>
  <c r="F38" i="2"/>
  <c r="F34" i="2"/>
  <c r="F30" i="2"/>
  <c r="K92" i="2"/>
  <c r="K88" i="2"/>
  <c r="K84" i="2"/>
  <c r="K80" i="2"/>
  <c r="K76" i="2"/>
  <c r="K72" i="2"/>
  <c r="K68" i="2"/>
  <c r="K64" i="2"/>
  <c r="K60" i="2"/>
  <c r="K58" i="2"/>
  <c r="K54" i="2"/>
  <c r="K50" i="2"/>
  <c r="K46" i="2"/>
  <c r="K42" i="2"/>
  <c r="K38" i="2"/>
  <c r="K34" i="2"/>
  <c r="K30" i="2"/>
  <c r="P90" i="2"/>
  <c r="P86" i="2"/>
  <c r="P82" i="2"/>
  <c r="P78" i="2"/>
  <c r="P74" i="2"/>
  <c r="P70" i="2"/>
  <c r="P66" i="2"/>
  <c r="P62" i="2"/>
  <c r="P58" i="2"/>
  <c r="P54" i="2"/>
  <c r="P50" i="2"/>
  <c r="P46" i="2"/>
  <c r="P42" i="2"/>
  <c r="P38" i="2"/>
  <c r="P34" i="2"/>
  <c r="P30" i="2"/>
  <c r="U92" i="2"/>
  <c r="U88" i="2"/>
  <c r="U84" i="2"/>
  <c r="U80" i="2"/>
  <c r="U76" i="2"/>
  <c r="U72" i="2"/>
  <c r="U68" i="2"/>
  <c r="U64" i="2"/>
  <c r="U60" i="2"/>
  <c r="U56" i="2"/>
  <c r="U52" i="2"/>
  <c r="U48" i="2"/>
  <c r="U44" i="2"/>
  <c r="U40" i="2"/>
  <c r="U36" i="2"/>
  <c r="U32" i="2"/>
  <c r="Z80" i="2"/>
  <c r="Z87" i="2"/>
  <c r="W35" i="2"/>
  <c r="F86" i="2"/>
  <c r="F78" i="2"/>
  <c r="E86" i="2"/>
  <c r="E78" i="2"/>
  <c r="E74" i="2"/>
  <c r="E70" i="2"/>
  <c r="E68" i="2"/>
  <c r="E66" i="2"/>
  <c r="E62" i="2"/>
  <c r="E60" i="2"/>
  <c r="E58" i="2"/>
  <c r="E54" i="2"/>
  <c r="E50" i="2"/>
  <c r="E46" i="2"/>
  <c r="E42" i="2"/>
  <c r="E38" i="2"/>
  <c r="E34" i="2"/>
  <c r="E30" i="2"/>
  <c r="J90" i="2"/>
  <c r="J86" i="2"/>
  <c r="J82" i="2"/>
  <c r="J78" i="2"/>
  <c r="J74" i="2"/>
  <c r="J68" i="2"/>
  <c r="J64" i="2"/>
  <c r="J60" i="2"/>
  <c r="J58" i="2"/>
  <c r="J54" i="2"/>
  <c r="J46" i="2"/>
  <c r="J42" i="2"/>
  <c r="J38" i="2"/>
  <c r="J34" i="2"/>
  <c r="J30" i="2"/>
  <c r="O92" i="2"/>
  <c r="O88" i="2"/>
  <c r="O82" i="2"/>
  <c r="O80" i="2"/>
  <c r="O78" i="2"/>
  <c r="O74" i="2"/>
  <c r="O70" i="2"/>
  <c r="O66" i="2"/>
  <c r="O62" i="2"/>
  <c r="O60" i="2"/>
  <c r="O58" i="2"/>
  <c r="O56" i="2"/>
  <c r="O50" i="2"/>
  <c r="O48" i="2"/>
  <c r="O46" i="2"/>
  <c r="O44" i="2"/>
  <c r="O42" i="2"/>
  <c r="O38" i="2"/>
  <c r="O34" i="2"/>
  <c r="O30" i="2"/>
  <c r="D82" i="2"/>
  <c r="D78" i="2"/>
  <c r="D74" i="2"/>
  <c r="D70" i="2"/>
  <c r="D66" i="2"/>
  <c r="D62" i="2"/>
  <c r="D58" i="2"/>
  <c r="D54" i="2"/>
  <c r="D50" i="2"/>
  <c r="D46" i="2"/>
  <c r="D42" i="2"/>
  <c r="D38" i="2"/>
  <c r="D34" i="2"/>
  <c r="D30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30" i="2"/>
  <c r="N40" i="2"/>
  <c r="N36" i="2"/>
  <c r="X62" i="2"/>
  <c r="H69" i="2"/>
  <c r="M45" i="2"/>
  <c r="F90" i="2"/>
  <c r="F82" i="2"/>
  <c r="F74" i="2"/>
  <c r="E90" i="2"/>
  <c r="E82" i="2"/>
  <c r="D90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H92" i="2"/>
  <c r="H88" i="2"/>
  <c r="H84" i="2"/>
  <c r="H80" i="2"/>
  <c r="H76" i="2"/>
  <c r="H72" i="2"/>
  <c r="H68" i="2"/>
  <c r="H64" i="2"/>
  <c r="H60" i="2"/>
  <c r="H56" i="2"/>
  <c r="H52" i="2"/>
  <c r="H48" i="2"/>
  <c r="H44" i="2"/>
  <c r="H40" i="2"/>
  <c r="H36" i="2"/>
  <c r="M72" i="2"/>
  <c r="M68" i="2"/>
  <c r="M64" i="2"/>
  <c r="R78" i="2"/>
  <c r="R74" i="2"/>
  <c r="W80" i="2"/>
  <c r="Z73" i="2"/>
  <c r="Z69" i="2"/>
  <c r="Y81" i="2"/>
  <c r="Y73" i="2"/>
  <c r="Y69" i="2"/>
  <c r="Y57" i="2"/>
  <c r="Y45" i="2"/>
  <c r="X81" i="2"/>
  <c r="X69" i="2"/>
  <c r="X65" i="2"/>
  <c r="X45" i="2"/>
  <c r="W89" i="2"/>
  <c r="W73" i="2"/>
  <c r="W69" i="2"/>
  <c r="W61" i="2"/>
  <c r="Z50" i="2"/>
  <c r="Z46" i="2"/>
  <c r="Y38" i="2"/>
  <c r="W50" i="2"/>
  <c r="W46" i="2"/>
  <c r="Z79" i="2"/>
  <c r="Y91" i="2"/>
  <c r="Y87" i="2"/>
  <c r="Y83" i="2"/>
  <c r="Y75" i="2"/>
  <c r="Y71" i="2"/>
  <c r="Y67" i="2"/>
  <c r="X91" i="2"/>
  <c r="X87" i="2"/>
  <c r="X83" i="2"/>
  <c r="X67" i="2"/>
  <c r="X63" i="2"/>
  <c r="W91" i="2"/>
  <c r="W79" i="2"/>
  <c r="W71" i="2"/>
  <c r="W67" i="2"/>
  <c r="W63" i="2"/>
  <c r="Z92" i="2"/>
  <c r="Z88" i="2"/>
  <c r="Z84" i="2"/>
  <c r="Z76" i="2"/>
  <c r="Z72" i="2"/>
  <c r="Z68" i="2"/>
  <c r="Z64" i="2"/>
  <c r="Z60" i="2"/>
  <c r="Z56" i="2"/>
  <c r="Z52" i="2"/>
  <c r="Z48" i="2"/>
  <c r="Z44" i="2"/>
  <c r="Z40" i="2"/>
  <c r="Z36" i="2"/>
  <c r="Z32" i="2"/>
  <c r="Y92" i="2"/>
  <c r="Y88" i="2"/>
  <c r="Y84" i="2"/>
  <c r="Y80" i="2"/>
  <c r="Y76" i="2"/>
  <c r="Y72" i="2"/>
  <c r="Y68" i="2"/>
  <c r="Y64" i="2"/>
  <c r="Y60" i="2"/>
  <c r="Y56" i="2"/>
  <c r="Y52" i="2"/>
  <c r="Y48" i="2"/>
  <c r="Y44" i="2"/>
  <c r="Y40" i="2"/>
  <c r="Y36" i="2"/>
  <c r="Y32" i="2"/>
  <c r="X92" i="2"/>
  <c r="X88" i="2"/>
  <c r="X84" i="2"/>
  <c r="X80" i="2"/>
  <c r="X76" i="2"/>
  <c r="X72" i="2"/>
  <c r="X68" i="2"/>
  <c r="X64" i="2"/>
  <c r="X60" i="2"/>
  <c r="X56" i="2"/>
  <c r="X52" i="2"/>
  <c r="X48" i="2"/>
  <c r="X44" i="2"/>
  <c r="X40" i="2"/>
  <c r="X36" i="2"/>
  <c r="X32" i="2"/>
  <c r="W92" i="2"/>
  <c r="W88" i="2"/>
  <c r="W84" i="2"/>
  <c r="W76" i="2"/>
  <c r="W72" i="2"/>
  <c r="W68" i="2"/>
  <c r="W64" i="2"/>
  <c r="W60" i="2"/>
  <c r="W56" i="2"/>
  <c r="W52" i="2"/>
  <c r="W48" i="2"/>
  <c r="W44" i="2"/>
  <c r="W40" i="2"/>
  <c r="W36" i="2"/>
  <c r="W32" i="2"/>
  <c r="Z89" i="2"/>
  <c r="Z85" i="2"/>
  <c r="Z81" i="2"/>
  <c r="Z77" i="2"/>
  <c r="Z65" i="2"/>
  <c r="Z61" i="2"/>
  <c r="Z57" i="2"/>
  <c r="Z53" i="2"/>
  <c r="Z49" i="2"/>
  <c r="Z45" i="2"/>
  <c r="Z41" i="2"/>
  <c r="Z37" i="2"/>
  <c r="Z33" i="2"/>
  <c r="Y89" i="2"/>
  <c r="Y85" i="2"/>
  <c r="Y77" i="2"/>
  <c r="Y65" i="2"/>
  <c r="Y61" i="2"/>
  <c r="Y53" i="2"/>
  <c r="Y49" i="2"/>
  <c r="Y41" i="2"/>
  <c r="Y37" i="2"/>
  <c r="Y33" i="2"/>
  <c r="X89" i="2"/>
  <c r="X85" i="2"/>
  <c r="X77" i="2"/>
  <c r="X73" i="2"/>
  <c r="X61" i="2"/>
  <c r="X57" i="2"/>
  <c r="X53" i="2"/>
  <c r="X49" i="2"/>
  <c r="X41" i="2"/>
  <c r="X37" i="2"/>
  <c r="X33" i="2"/>
  <c r="W85" i="2"/>
  <c r="W81" i="2"/>
  <c r="W77" i="2"/>
  <c r="W65" i="2"/>
  <c r="W57" i="2"/>
  <c r="W53" i="2"/>
  <c r="W49" i="2"/>
  <c r="W45" i="2"/>
  <c r="W41" i="2"/>
  <c r="W37" i="2"/>
  <c r="W33" i="2"/>
  <c r="Z90" i="2"/>
  <c r="Z86" i="2"/>
  <c r="Z82" i="2"/>
  <c r="Z78" i="2"/>
  <c r="Z74" i="2"/>
  <c r="Z70" i="2"/>
  <c r="Z66" i="2"/>
  <c r="Z62" i="2"/>
  <c r="Z58" i="2"/>
  <c r="Z54" i="2"/>
  <c r="Z42" i="2"/>
  <c r="Z38" i="2"/>
  <c r="Z34" i="2"/>
  <c r="Z30" i="2"/>
  <c r="Y90" i="2"/>
  <c r="Y86" i="2"/>
  <c r="Y82" i="2"/>
  <c r="Y78" i="2"/>
  <c r="Y74" i="2"/>
  <c r="Y70" i="2"/>
  <c r="Y66" i="2"/>
  <c r="Y62" i="2"/>
  <c r="Y58" i="2"/>
  <c r="Y54" i="2"/>
  <c r="Y50" i="2"/>
  <c r="Y46" i="2"/>
  <c r="Y42" i="2"/>
  <c r="Y34" i="2"/>
  <c r="Y30" i="2"/>
  <c r="X90" i="2"/>
  <c r="X86" i="2"/>
  <c r="X82" i="2"/>
  <c r="X78" i="2"/>
  <c r="X74" i="2"/>
  <c r="X70" i="2"/>
  <c r="X66" i="2"/>
  <c r="X58" i="2"/>
  <c r="X54" i="2"/>
  <c r="X50" i="2"/>
  <c r="X46" i="2"/>
  <c r="X42" i="2"/>
  <c r="X38" i="2"/>
  <c r="X34" i="2"/>
  <c r="X30" i="2"/>
  <c r="W90" i="2"/>
  <c r="W86" i="2"/>
  <c r="W82" i="2"/>
  <c r="W78" i="2"/>
  <c r="W74" i="2"/>
  <c r="W70" i="2"/>
  <c r="W66" i="2"/>
  <c r="W62" i="2"/>
  <c r="W58" i="2"/>
  <c r="W54" i="2"/>
  <c r="W42" i="2"/>
  <c r="W38" i="2"/>
  <c r="W34" i="2"/>
  <c r="W30" i="2"/>
  <c r="U87" i="2"/>
  <c r="U83" i="2"/>
  <c r="U79" i="2"/>
  <c r="U63" i="2"/>
  <c r="U59" i="2"/>
  <c r="U55" i="2"/>
  <c r="U51" i="2"/>
  <c r="U47" i="2"/>
  <c r="U43" i="2"/>
  <c r="U91" i="2"/>
  <c r="U75" i="2"/>
  <c r="U71" i="2"/>
  <c r="U67" i="2"/>
  <c r="U39" i="2"/>
  <c r="U35" i="2"/>
  <c r="U31" i="2"/>
  <c r="R55" i="2"/>
  <c r="R51" i="2"/>
  <c r="R47" i="2"/>
  <c r="T92" i="2"/>
  <c r="T88" i="2"/>
  <c r="T80" i="2"/>
  <c r="T72" i="2"/>
  <c r="T68" i="2"/>
  <c r="R92" i="2"/>
  <c r="U89" i="2"/>
  <c r="U85" i="2"/>
  <c r="U57" i="2"/>
  <c r="T57" i="2"/>
  <c r="T53" i="2"/>
  <c r="S57" i="2"/>
  <c r="S53" i="2"/>
  <c r="S49" i="2"/>
  <c r="U90" i="2"/>
  <c r="U86" i="2"/>
  <c r="U82" i="2"/>
  <c r="U78" i="2"/>
  <c r="U74" i="2"/>
  <c r="U70" i="2"/>
  <c r="U66" i="2"/>
  <c r="U62" i="2"/>
  <c r="U58" i="2"/>
  <c r="U54" i="2"/>
  <c r="U50" i="2"/>
  <c r="U46" i="2"/>
  <c r="U42" i="2"/>
  <c r="U38" i="2"/>
  <c r="U34" i="2"/>
  <c r="U30" i="2"/>
  <c r="R29" i="2"/>
  <c r="S29" i="2"/>
  <c r="T91" i="2"/>
  <c r="T87" i="2"/>
  <c r="T83" i="2"/>
  <c r="T79" i="2"/>
  <c r="T75" i="2"/>
  <c r="T71" i="2"/>
  <c r="T67" i="2"/>
  <c r="T63" i="2"/>
  <c r="T43" i="2"/>
  <c r="T39" i="2"/>
  <c r="T35" i="2"/>
  <c r="T31" i="2"/>
  <c r="S91" i="2"/>
  <c r="S87" i="2"/>
  <c r="S83" i="2"/>
  <c r="S79" i="2"/>
  <c r="S75" i="2"/>
  <c r="S71" i="2"/>
  <c r="S67" i="2"/>
  <c r="S63" i="2"/>
  <c r="S43" i="2"/>
  <c r="S39" i="2"/>
  <c r="S35" i="2"/>
  <c r="S31" i="2"/>
  <c r="R91" i="2"/>
  <c r="R87" i="2"/>
  <c r="R83" i="2"/>
  <c r="R79" i="2"/>
  <c r="R75" i="2"/>
  <c r="R71" i="2"/>
  <c r="R67" i="2"/>
  <c r="R63" i="2"/>
  <c r="R43" i="2"/>
  <c r="R39" i="2"/>
  <c r="R35" i="2"/>
  <c r="R31" i="2"/>
  <c r="T84" i="2"/>
  <c r="T76" i="2"/>
  <c r="T64" i="2"/>
  <c r="T60" i="2"/>
  <c r="T56" i="2"/>
  <c r="T52" i="2"/>
  <c r="T48" i="2"/>
  <c r="T44" i="2"/>
  <c r="T40" i="2"/>
  <c r="T36" i="2"/>
  <c r="T32" i="2"/>
  <c r="S92" i="2"/>
  <c r="S88" i="2"/>
  <c r="S84" i="2"/>
  <c r="S80" i="2"/>
  <c r="S76" i="2"/>
  <c r="S72" i="2"/>
  <c r="S68" i="2"/>
  <c r="S64" i="2"/>
  <c r="S60" i="2"/>
  <c r="S56" i="2"/>
  <c r="S52" i="2"/>
  <c r="S48" i="2"/>
  <c r="S44" i="2"/>
  <c r="S40" i="2"/>
  <c r="S36" i="2"/>
  <c r="S32" i="2"/>
  <c r="R88" i="2"/>
  <c r="R84" i="2"/>
  <c r="R80" i="2"/>
  <c r="R76" i="2"/>
  <c r="R72" i="2"/>
  <c r="R68" i="2"/>
  <c r="R64" i="2"/>
  <c r="R60" i="2"/>
  <c r="R56" i="2"/>
  <c r="R52" i="2"/>
  <c r="R48" i="2"/>
  <c r="R44" i="2"/>
  <c r="R40" i="2"/>
  <c r="R36" i="2"/>
  <c r="R32" i="2"/>
  <c r="T89" i="2"/>
  <c r="T85" i="2"/>
  <c r="T81" i="2"/>
  <c r="T77" i="2"/>
  <c r="T73" i="2"/>
  <c r="T69" i="2"/>
  <c r="T65" i="2"/>
  <c r="T61" i="2"/>
  <c r="T49" i="2"/>
  <c r="T45" i="2"/>
  <c r="T41" i="2"/>
  <c r="S89" i="2"/>
  <c r="S85" i="2"/>
  <c r="S81" i="2"/>
  <c r="S77" i="2"/>
  <c r="S73" i="2"/>
  <c r="S69" i="2"/>
  <c r="S65" i="2"/>
  <c r="S61" i="2"/>
  <c r="S45" i="2"/>
  <c r="S41" i="2"/>
  <c r="R89" i="2"/>
  <c r="R85" i="2"/>
  <c r="R81" i="2"/>
  <c r="R77" i="2"/>
  <c r="R73" i="2"/>
  <c r="R69" i="2"/>
  <c r="R65" i="2"/>
  <c r="R61" i="2"/>
  <c r="R57" i="2"/>
  <c r="R41" i="2"/>
  <c r="T90" i="2"/>
  <c r="T86" i="2"/>
  <c r="T82" i="2"/>
  <c r="T78" i="2"/>
  <c r="T74" i="2"/>
  <c r="T70" i="2"/>
  <c r="T66" i="2"/>
  <c r="T62" i="2"/>
  <c r="T58" i="2"/>
  <c r="T54" i="2"/>
  <c r="T50" i="2"/>
  <c r="T46" i="2"/>
  <c r="T42" i="2"/>
  <c r="T38" i="2"/>
  <c r="T34" i="2"/>
  <c r="T30" i="2"/>
  <c r="S90" i="2"/>
  <c r="S86" i="2"/>
  <c r="S82" i="2"/>
  <c r="S78" i="2"/>
  <c r="S74" i="2"/>
  <c r="S70" i="2"/>
  <c r="S66" i="2"/>
  <c r="S62" i="2"/>
  <c r="S58" i="2"/>
  <c r="S54" i="2"/>
  <c r="S50" i="2"/>
  <c r="S46" i="2"/>
  <c r="S42" i="2"/>
  <c r="S38" i="2"/>
  <c r="S34" i="2"/>
  <c r="S30" i="2"/>
  <c r="R90" i="2"/>
  <c r="R86" i="2"/>
  <c r="R82" i="2"/>
  <c r="R70" i="2"/>
  <c r="R66" i="2"/>
  <c r="R62" i="2"/>
  <c r="R58" i="2"/>
  <c r="R54" i="2"/>
  <c r="R50" i="2"/>
  <c r="R46" i="2"/>
  <c r="R42" i="2"/>
  <c r="R38" i="2"/>
  <c r="R34" i="2"/>
  <c r="R30" i="2"/>
  <c r="P92" i="2"/>
  <c r="P88" i="2"/>
  <c r="P84" i="2"/>
  <c r="P80" i="2"/>
  <c r="P76" i="2"/>
  <c r="P72" i="2"/>
  <c r="P68" i="2"/>
  <c r="P64" i="2"/>
  <c r="P60" i="2"/>
  <c r="P56" i="2"/>
  <c r="O84" i="2"/>
  <c r="O76" i="2"/>
  <c r="O72" i="2"/>
  <c r="O68" i="2"/>
  <c r="O64" i="2"/>
  <c r="O52" i="2"/>
  <c r="O40" i="2"/>
  <c r="O36" i="2"/>
  <c r="O32" i="2"/>
  <c r="O90" i="2"/>
  <c r="O54" i="2"/>
  <c r="O86" i="2"/>
  <c r="P91" i="2"/>
  <c r="P87" i="2"/>
  <c r="P83" i="2"/>
  <c r="P79" i="2"/>
  <c r="P75" i="2"/>
  <c r="P71" i="2"/>
  <c r="P67" i="2"/>
  <c r="P63" i="2"/>
  <c r="P59" i="2"/>
  <c r="P55" i="2"/>
  <c r="P51" i="2"/>
  <c r="P47" i="2"/>
  <c r="P43" i="2"/>
  <c r="P39" i="2"/>
  <c r="P35" i="2"/>
  <c r="P31" i="2"/>
  <c r="O91" i="2"/>
  <c r="O87" i="2"/>
  <c r="O83" i="2"/>
  <c r="O79" i="2"/>
  <c r="O75" i="2"/>
  <c r="O71" i="2"/>
  <c r="O67" i="2"/>
  <c r="O63" i="2"/>
  <c r="O59" i="2"/>
  <c r="O55" i="2"/>
  <c r="O51" i="2"/>
  <c r="O47" i="2"/>
  <c r="O43" i="2"/>
  <c r="O39" i="2"/>
  <c r="O35" i="2"/>
  <c r="O31" i="2"/>
  <c r="N91" i="2"/>
  <c r="N87" i="2"/>
  <c r="N79" i="2"/>
  <c r="N75" i="2"/>
  <c r="M91" i="2"/>
  <c r="M87" i="2"/>
  <c r="M79" i="2"/>
  <c r="P52" i="2"/>
  <c r="P48" i="2"/>
  <c r="P44" i="2"/>
  <c r="P40" i="2"/>
  <c r="P36" i="2"/>
  <c r="P32" i="2"/>
  <c r="P89" i="2"/>
  <c r="P85" i="2"/>
  <c r="P81" i="2"/>
  <c r="P77" i="2"/>
  <c r="P73" i="2"/>
  <c r="P69" i="2"/>
  <c r="P65" i="2"/>
  <c r="P61" i="2"/>
  <c r="P49" i="2"/>
  <c r="P45" i="2"/>
  <c r="P41" i="2"/>
  <c r="P37" i="2"/>
  <c r="P33" i="2"/>
  <c r="O89" i="2"/>
  <c r="O85" i="2"/>
  <c r="O81" i="2"/>
  <c r="O77" i="2"/>
  <c r="O73" i="2"/>
  <c r="O69" i="2"/>
  <c r="O65" i="2"/>
  <c r="O61" i="2"/>
  <c r="O57" i="2"/>
  <c r="O53" i="2"/>
  <c r="O49" i="2"/>
  <c r="O45" i="2"/>
  <c r="O41" i="2"/>
  <c r="O37" i="2"/>
  <c r="O33" i="2"/>
  <c r="N69" i="2"/>
  <c r="N65" i="2"/>
  <c r="N61" i="2"/>
  <c r="N57" i="2"/>
  <c r="N53" i="2"/>
  <c r="M29" i="2"/>
  <c r="N83" i="2"/>
  <c r="N71" i="2"/>
  <c r="N67" i="2"/>
  <c r="N39" i="2"/>
  <c r="N35" i="2"/>
  <c r="N31" i="2"/>
  <c r="M83" i="2"/>
  <c r="M75" i="2"/>
  <c r="M71" i="2"/>
  <c r="M67" i="2"/>
  <c r="M63" i="2"/>
  <c r="M59" i="2"/>
  <c r="M55" i="2"/>
  <c r="M51" i="2"/>
  <c r="M47" i="2"/>
  <c r="M43" i="2"/>
  <c r="M39" i="2"/>
  <c r="M35" i="2"/>
  <c r="M31" i="2"/>
  <c r="N92" i="2"/>
  <c r="N88" i="2"/>
  <c r="N84" i="2"/>
  <c r="N80" i="2"/>
  <c r="N76" i="2"/>
  <c r="N72" i="2"/>
  <c r="N68" i="2"/>
  <c r="N64" i="2"/>
  <c r="N60" i="2"/>
  <c r="N56" i="2"/>
  <c r="N52" i="2"/>
  <c r="N48" i="2"/>
  <c r="N44" i="2"/>
  <c r="N32" i="2"/>
  <c r="M92" i="2"/>
  <c r="M88" i="2"/>
  <c r="M84" i="2"/>
  <c r="M80" i="2"/>
  <c r="M76" i="2"/>
  <c r="M60" i="2"/>
  <c r="M56" i="2"/>
  <c r="M52" i="2"/>
  <c r="M48" i="2"/>
  <c r="M44" i="2"/>
  <c r="M40" i="2"/>
  <c r="M36" i="2"/>
  <c r="M32" i="2"/>
  <c r="N49" i="2"/>
  <c r="N45" i="2"/>
  <c r="N41" i="2"/>
  <c r="N37" i="2"/>
  <c r="N33" i="2"/>
  <c r="M89" i="2"/>
  <c r="M85" i="2"/>
  <c r="M81" i="2"/>
  <c r="M73" i="2"/>
  <c r="N90" i="2"/>
  <c r="N86" i="2"/>
  <c r="N82" i="2"/>
  <c r="N78" i="2"/>
  <c r="N74" i="2"/>
  <c r="N70" i="2"/>
  <c r="N66" i="2"/>
  <c r="N62" i="2"/>
  <c r="N58" i="2"/>
  <c r="N54" i="2"/>
  <c r="N50" i="2"/>
  <c r="N46" i="2"/>
  <c r="N42" i="2"/>
  <c r="N38" i="2"/>
  <c r="N34" i="2"/>
  <c r="N30" i="2"/>
  <c r="M90" i="2"/>
  <c r="M86" i="2"/>
  <c r="M82" i="2"/>
  <c r="M78" i="2"/>
  <c r="M74" i="2"/>
  <c r="M70" i="2"/>
  <c r="M66" i="2"/>
  <c r="M62" i="2"/>
  <c r="M58" i="2"/>
  <c r="M54" i="2"/>
  <c r="M50" i="2"/>
  <c r="M46" i="2"/>
  <c r="M42" i="2"/>
  <c r="M38" i="2"/>
  <c r="M34" i="2"/>
  <c r="M30" i="2"/>
  <c r="J29" i="2"/>
  <c r="K56" i="2"/>
  <c r="K52" i="2"/>
  <c r="K48" i="2"/>
  <c r="K44" i="2"/>
  <c r="K40" i="2"/>
  <c r="K36" i="2"/>
  <c r="J76" i="2"/>
  <c r="J72" i="2"/>
  <c r="J56" i="2"/>
  <c r="J52" i="2"/>
  <c r="J48" i="2"/>
  <c r="J44" i="2"/>
  <c r="J40" i="2"/>
  <c r="J36" i="2"/>
  <c r="J88" i="2"/>
  <c r="J80" i="2"/>
  <c r="J84" i="2"/>
  <c r="J92" i="2"/>
  <c r="K90" i="2"/>
  <c r="K86" i="2"/>
  <c r="K82" i="2"/>
  <c r="K78" i="2"/>
  <c r="K74" i="2"/>
  <c r="K70" i="2"/>
  <c r="K66" i="2"/>
  <c r="K62" i="2"/>
  <c r="J70" i="2"/>
  <c r="J66" i="2"/>
  <c r="J62" i="2"/>
  <c r="J50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I29" i="2"/>
  <c r="J91" i="2"/>
  <c r="J87" i="2"/>
  <c r="J83" i="2"/>
  <c r="J79" i="2"/>
  <c r="J75" i="2"/>
  <c r="J71" i="2"/>
  <c r="J67" i="2"/>
  <c r="J63" i="2"/>
  <c r="J59" i="2"/>
  <c r="J55" i="2"/>
  <c r="J51" i="2"/>
  <c r="J47" i="2"/>
  <c r="J43" i="2"/>
  <c r="J39" i="2"/>
  <c r="J35" i="2"/>
  <c r="J31" i="2"/>
  <c r="I83" i="2"/>
  <c r="I79" i="2"/>
  <c r="I75" i="2"/>
  <c r="I71" i="2"/>
  <c r="I67" i="2"/>
  <c r="I63" i="2"/>
  <c r="I59" i="2"/>
  <c r="I55" i="2"/>
  <c r="I51" i="2"/>
  <c r="I47" i="2"/>
  <c r="I43" i="2"/>
  <c r="I39" i="2"/>
  <c r="I35" i="2"/>
  <c r="I31" i="2"/>
  <c r="I91" i="2"/>
  <c r="I87" i="2"/>
  <c r="K29" i="2"/>
  <c r="K32" i="2"/>
  <c r="J32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K89" i="2"/>
  <c r="K85" i="2"/>
  <c r="K81" i="2"/>
  <c r="K77" i="2"/>
  <c r="K73" i="2"/>
  <c r="K69" i="2"/>
  <c r="K65" i="2"/>
  <c r="K61" i="2"/>
  <c r="K57" i="2"/>
  <c r="K53" i="2"/>
  <c r="K49" i="2"/>
  <c r="K45" i="2"/>
  <c r="K41" i="2"/>
  <c r="K37" i="2"/>
  <c r="K33" i="2"/>
  <c r="J89" i="2"/>
  <c r="J85" i="2"/>
  <c r="J81" i="2"/>
  <c r="J77" i="2"/>
  <c r="J73" i="2"/>
  <c r="J69" i="2"/>
  <c r="J65" i="2"/>
  <c r="J61" i="2"/>
  <c r="J57" i="2"/>
  <c r="J53" i="2"/>
  <c r="J49" i="2"/>
  <c r="J45" i="2"/>
  <c r="J41" i="2"/>
  <c r="J37" i="2"/>
  <c r="J33" i="2"/>
  <c r="I49" i="2"/>
  <c r="I45" i="2"/>
  <c r="I41" i="2"/>
  <c r="I37" i="2"/>
  <c r="I33" i="2"/>
  <c r="H29" i="2"/>
  <c r="H91" i="2"/>
  <c r="H87" i="2"/>
  <c r="H83" i="2"/>
  <c r="H79" i="2"/>
  <c r="H75" i="2"/>
  <c r="H71" i="2"/>
  <c r="H67" i="2"/>
  <c r="H63" i="2"/>
  <c r="H59" i="2"/>
  <c r="H55" i="2"/>
  <c r="H51" i="2"/>
  <c r="H47" i="2"/>
  <c r="H43" i="2"/>
  <c r="H39" i="2"/>
  <c r="H35" i="2"/>
  <c r="H31" i="2"/>
  <c r="H32" i="2"/>
  <c r="H89" i="2"/>
  <c r="H85" i="2"/>
  <c r="H90" i="2"/>
  <c r="H86" i="2"/>
  <c r="H82" i="2"/>
  <c r="H78" i="2"/>
  <c r="H74" i="2"/>
  <c r="H70" i="2"/>
  <c r="H66" i="2"/>
  <c r="H62" i="2"/>
  <c r="H58" i="2"/>
  <c r="H54" i="2"/>
  <c r="H50" i="2"/>
  <c r="H46" i="2"/>
  <c r="H42" i="2"/>
  <c r="H38" i="2"/>
  <c r="H34" i="2"/>
  <c r="H30" i="2"/>
  <c r="F88" i="2"/>
  <c r="F84" i="2"/>
  <c r="F80" i="2"/>
  <c r="F76" i="2"/>
  <c r="F72" i="2"/>
  <c r="F68" i="2"/>
  <c r="F64" i="2"/>
  <c r="F60" i="2"/>
  <c r="E88" i="2"/>
  <c r="E72" i="2"/>
  <c r="E64" i="2"/>
  <c r="E56" i="2"/>
  <c r="E52" i="2"/>
  <c r="E48" i="2"/>
  <c r="E44" i="2"/>
  <c r="E40" i="2"/>
  <c r="E36" i="2"/>
  <c r="E32" i="2"/>
  <c r="E76" i="2"/>
  <c r="E84" i="2"/>
  <c r="C84" i="2"/>
  <c r="C72" i="2"/>
  <c r="C68" i="2"/>
  <c r="C64" i="2"/>
  <c r="C60" i="2"/>
  <c r="E92" i="2"/>
  <c r="C76" i="2"/>
  <c r="E80" i="2"/>
  <c r="C80" i="2"/>
  <c r="F92" i="2"/>
  <c r="C88" i="2"/>
  <c r="C29" i="2"/>
  <c r="F91" i="2"/>
  <c r="F87" i="2"/>
  <c r="F83" i="2"/>
  <c r="F79" i="2"/>
  <c r="F75" i="2"/>
  <c r="F71" i="2"/>
  <c r="F67" i="2"/>
  <c r="F63" i="2"/>
  <c r="F59" i="2"/>
  <c r="F55" i="2"/>
  <c r="F51" i="2"/>
  <c r="F47" i="2"/>
  <c r="F43" i="2"/>
  <c r="F39" i="2"/>
  <c r="F35" i="2"/>
  <c r="F31" i="2"/>
  <c r="D29" i="2"/>
  <c r="E91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C91" i="2"/>
  <c r="C87" i="2"/>
  <c r="C83" i="2"/>
  <c r="C79" i="2"/>
  <c r="C75" i="2"/>
  <c r="C71" i="2"/>
  <c r="C67" i="2"/>
  <c r="C63" i="2"/>
  <c r="C59" i="2"/>
  <c r="C55" i="2"/>
  <c r="C51" i="2"/>
  <c r="C47" i="2"/>
  <c r="C43" i="2"/>
  <c r="C39" i="2"/>
  <c r="C35" i="2"/>
  <c r="C31" i="2"/>
  <c r="F56" i="2"/>
  <c r="F52" i="2"/>
  <c r="F48" i="2"/>
  <c r="F44" i="2"/>
  <c r="F40" i="2"/>
  <c r="F36" i="2"/>
  <c r="F32" i="2"/>
  <c r="D92" i="2"/>
  <c r="D88" i="2"/>
  <c r="D84" i="2"/>
  <c r="D80" i="2"/>
  <c r="D76" i="2"/>
  <c r="D72" i="2"/>
  <c r="D68" i="2"/>
  <c r="D64" i="2"/>
  <c r="D60" i="2"/>
  <c r="D56" i="2"/>
  <c r="D52" i="2"/>
  <c r="D48" i="2"/>
  <c r="D44" i="2"/>
  <c r="D40" i="2"/>
  <c r="D36" i="2"/>
  <c r="D32" i="2"/>
  <c r="C56" i="2"/>
  <c r="C52" i="2"/>
  <c r="C48" i="2"/>
  <c r="C44" i="2"/>
  <c r="C40" i="2"/>
  <c r="C36" i="2"/>
  <c r="C32" i="2"/>
  <c r="F89" i="2"/>
  <c r="F85" i="2"/>
  <c r="F81" i="2"/>
  <c r="F77" i="2"/>
  <c r="F73" i="2"/>
  <c r="F69" i="2"/>
  <c r="F65" i="2"/>
  <c r="F61" i="2"/>
  <c r="F57" i="2"/>
  <c r="F53" i="2"/>
  <c r="F49" i="2"/>
  <c r="F45" i="2"/>
  <c r="F41" i="2"/>
  <c r="F37" i="2"/>
  <c r="F33" i="2"/>
  <c r="E89" i="2"/>
  <c r="E85" i="2"/>
  <c r="E81" i="2"/>
  <c r="E77" i="2"/>
  <c r="E73" i="2"/>
  <c r="E69" i="2"/>
  <c r="E65" i="2"/>
  <c r="E61" i="2"/>
  <c r="E57" i="2"/>
  <c r="E53" i="2"/>
  <c r="E49" i="2"/>
  <c r="E45" i="2"/>
  <c r="E41" i="2"/>
  <c r="E37" i="2"/>
  <c r="E33" i="2"/>
  <c r="C92" i="2"/>
  <c r="D89" i="2"/>
  <c r="D85" i="2"/>
  <c r="D81" i="2"/>
  <c r="D77" i="2"/>
  <c r="D73" i="2"/>
  <c r="D69" i="2"/>
  <c r="D65" i="2"/>
  <c r="D61" i="2"/>
  <c r="D57" i="2"/>
  <c r="D53" i="2"/>
  <c r="D49" i="2"/>
  <c r="D45" i="2"/>
  <c r="D41" i="2"/>
  <c r="D37" i="2"/>
  <c r="D33" i="2"/>
  <c r="C89" i="2"/>
  <c r="C85" i="2"/>
  <c r="C81" i="2"/>
  <c r="C77" i="2"/>
  <c r="C73" i="2"/>
  <c r="C69" i="2"/>
  <c r="C65" i="2"/>
  <c r="C61" i="2"/>
  <c r="C57" i="2"/>
  <c r="C53" i="2"/>
  <c r="C49" i="2"/>
  <c r="C45" i="2"/>
  <c r="C41" i="2"/>
  <c r="C37" i="2"/>
  <c r="C33" i="2"/>
  <c r="V37" i="55"/>
  <c r="V37" i="54"/>
  <c r="V2" i="57"/>
  <c r="V2" i="59"/>
  <c r="V2" i="58"/>
  <c r="V37" i="53"/>
  <c r="V2" i="56"/>
  <c r="V37" i="52"/>
  <c r="K37" i="55"/>
  <c r="K2" i="58"/>
  <c r="K37" i="53"/>
  <c r="K37" i="54"/>
  <c r="K2" i="57"/>
  <c r="K2" i="59"/>
  <c r="K2" i="56"/>
  <c r="K37" i="52"/>
  <c r="AF52" i="54"/>
  <c r="AF52" i="53"/>
  <c r="AF17" i="59"/>
  <c r="AF17" i="56"/>
  <c r="AF17" i="57"/>
  <c r="AF52" i="55"/>
  <c r="AF17" i="58"/>
  <c r="AF52" i="52"/>
  <c r="P68" i="53"/>
  <c r="P33" i="56"/>
  <c r="P33" i="57"/>
  <c r="P33" i="58"/>
  <c r="P68" i="55"/>
  <c r="P68" i="54"/>
  <c r="P33" i="59"/>
  <c r="P68" i="52"/>
  <c r="A53" i="54"/>
  <c r="A53" i="53"/>
  <c r="A18" i="59"/>
  <c r="A18" i="56"/>
  <c r="A53" i="55"/>
  <c r="A18" i="58"/>
  <c r="A18" i="57"/>
  <c r="A53" i="52"/>
  <c r="AF17" i="53"/>
  <c r="AF17" i="55"/>
  <c r="AF17" i="54"/>
  <c r="AF17" i="52"/>
  <c r="A18" i="55"/>
  <c r="A18" i="54"/>
  <c r="A18" i="52"/>
  <c r="A18" i="53"/>
  <c r="V2" i="53"/>
  <c r="V2" i="55"/>
  <c r="V2" i="54"/>
  <c r="V2" i="52"/>
  <c r="F2" i="39"/>
  <c r="K2" i="53"/>
  <c r="K2" i="55"/>
  <c r="K2" i="54"/>
  <c r="K2" i="52"/>
  <c r="P33" i="54"/>
  <c r="P33" i="52"/>
  <c r="P33" i="53"/>
  <c r="P33" i="55"/>
  <c r="B67" i="2" l="1"/>
  <c r="B67" i="39" s="1"/>
  <c r="Q76" i="2"/>
  <c r="E76" i="39" s="1"/>
  <c r="B72" i="2"/>
  <c r="B72" i="39" s="1"/>
  <c r="L84" i="2"/>
  <c r="D84" i="39" s="1"/>
  <c r="L40" i="2"/>
  <c r="D40" i="39" s="1"/>
  <c r="B64" i="2"/>
  <c r="B64" i="39" s="1"/>
  <c r="B60" i="2"/>
  <c r="B60" i="39" s="1"/>
  <c r="Q60" i="2"/>
  <c r="E60" i="39" s="1"/>
  <c r="Q73" i="2"/>
  <c r="E73" i="39" s="1"/>
  <c r="G32" i="2"/>
  <c r="C32" i="39" s="1"/>
  <c r="G52" i="2"/>
  <c r="C52" i="39" s="1"/>
  <c r="B44" i="2"/>
  <c r="B44" i="39" s="1"/>
  <c r="G68" i="2"/>
  <c r="C68" i="39" s="1"/>
  <c r="L92" i="2"/>
  <c r="D92" i="39" s="1"/>
  <c r="G56" i="2"/>
  <c r="C56" i="39" s="1"/>
  <c r="G72" i="2"/>
  <c r="C72" i="39" s="1"/>
  <c r="G88" i="2"/>
  <c r="C88" i="39" s="1"/>
  <c r="B83" i="2"/>
  <c r="B83" i="39" s="1"/>
  <c r="Q68" i="2"/>
  <c r="E68" i="39" s="1"/>
  <c r="L88" i="2"/>
  <c r="D88" i="39" s="1"/>
  <c r="B40" i="2"/>
  <c r="B40" i="39" s="1"/>
  <c r="Q84" i="2"/>
  <c r="E84" i="39" s="1"/>
  <c r="G40" i="2"/>
  <c r="C40" i="39" s="1"/>
  <c r="Q52" i="2"/>
  <c r="E52" i="39" s="1"/>
  <c r="Q88" i="2"/>
  <c r="E88" i="39" s="1"/>
  <c r="G44" i="2"/>
  <c r="C44" i="39" s="1"/>
  <c r="B52" i="2"/>
  <c r="B52" i="39" s="1"/>
  <c r="Q41" i="2"/>
  <c r="E41" i="39" s="1"/>
  <c r="G84" i="2"/>
  <c r="C84" i="39" s="1"/>
  <c r="G76" i="2"/>
  <c r="C76" i="39" s="1"/>
  <c r="B82" i="2"/>
  <c r="B82" i="39" s="1"/>
  <c r="L57" i="2"/>
  <c r="D57" i="39" s="1"/>
  <c r="B79" i="2"/>
  <c r="B79" i="39" s="1"/>
  <c r="Q56" i="2"/>
  <c r="E56" i="39" s="1"/>
  <c r="L52" i="2"/>
  <c r="D52" i="39" s="1"/>
  <c r="B56" i="2"/>
  <c r="B56" i="39" s="1"/>
  <c r="B48" i="2"/>
  <c r="B48" i="39" s="1"/>
  <c r="V59" i="2"/>
  <c r="F59" i="39" s="1"/>
  <c r="G47" i="2"/>
  <c r="C47" i="39" s="1"/>
  <c r="G64" i="2"/>
  <c r="C64" i="39" s="1"/>
  <c r="G48" i="2"/>
  <c r="C48" i="39" s="1"/>
  <c r="B92" i="2"/>
  <c r="B92" i="39" s="1"/>
  <c r="L70" i="2"/>
  <c r="D70" i="39" s="1"/>
  <c r="B86" i="2"/>
  <c r="B86" i="39" s="1"/>
  <c r="G92" i="2"/>
  <c r="C92" i="39" s="1"/>
  <c r="Q35" i="2"/>
  <c r="E35" i="39" s="1"/>
  <c r="V84" i="2"/>
  <c r="F84" i="39" s="1"/>
  <c r="V92" i="2"/>
  <c r="F92" i="39" s="1"/>
  <c r="Q92" i="2"/>
  <c r="E92" i="39" s="1"/>
  <c r="V81" i="2"/>
  <c r="F81" i="39" s="1"/>
  <c r="G42" i="2"/>
  <c r="C42" i="39" s="1"/>
  <c r="Q33" i="2"/>
  <c r="E33" i="39" s="1"/>
  <c r="L37" i="2"/>
  <c r="D37" i="39" s="1"/>
  <c r="G41" i="2"/>
  <c r="C41" i="39" s="1"/>
  <c r="B88" i="2"/>
  <c r="B88" i="39" s="1"/>
  <c r="V60" i="2"/>
  <c r="F60" i="39" s="1"/>
  <c r="B75" i="2"/>
  <c r="B75" i="39" s="1"/>
  <c r="G61" i="2"/>
  <c r="C61" i="39" s="1"/>
  <c r="L32" i="2"/>
  <c r="D32" i="39" s="1"/>
  <c r="V68" i="2"/>
  <c r="F68" i="39" s="1"/>
  <c r="G80" i="2"/>
  <c r="C80" i="39" s="1"/>
  <c r="V51" i="2"/>
  <c r="F51" i="39" s="1"/>
  <c r="Q80" i="2"/>
  <c r="E80" i="39" s="1"/>
  <c r="G36" i="2"/>
  <c r="C36" i="39" s="1"/>
  <c r="V66" i="2"/>
  <c r="F66" i="39" s="1"/>
  <c r="Q66" i="2"/>
  <c r="E66" i="39" s="1"/>
  <c r="L90" i="2"/>
  <c r="D90" i="39" s="1"/>
  <c r="G90" i="2"/>
  <c r="C90" i="39" s="1"/>
  <c r="L50" i="2"/>
  <c r="D50" i="39" s="1"/>
  <c r="G89" i="2"/>
  <c r="C89" i="39" s="1"/>
  <c r="V76" i="2"/>
  <c r="F76" i="39" s="1"/>
  <c r="Q32" i="2"/>
  <c r="E32" i="39" s="1"/>
  <c r="L66" i="2"/>
  <c r="D66" i="39" s="1"/>
  <c r="V63" i="2"/>
  <c r="F63" i="39" s="1"/>
  <c r="L44" i="2"/>
  <c r="D44" i="39" s="1"/>
  <c r="L62" i="2"/>
  <c r="D62" i="39" s="1"/>
  <c r="V86" i="2"/>
  <c r="F86" i="39" s="1"/>
  <c r="L36" i="2"/>
  <c r="D36" i="39" s="1"/>
  <c r="Q72" i="2"/>
  <c r="E72" i="39" s="1"/>
  <c r="V80" i="2"/>
  <c r="F80" i="39" s="1"/>
  <c r="G54" i="2"/>
  <c r="C54" i="39" s="1"/>
  <c r="B54" i="2"/>
  <c r="B54" i="39" s="1"/>
  <c r="V41" i="2"/>
  <c r="F41" i="39" s="1"/>
  <c r="L49" i="2"/>
  <c r="D49" i="39" s="1"/>
  <c r="Q40" i="2"/>
  <c r="E40" i="39" s="1"/>
  <c r="G60" i="2"/>
  <c r="C60" i="39" s="1"/>
  <c r="Q44" i="2"/>
  <c r="E44" i="39" s="1"/>
  <c r="B76" i="2"/>
  <c r="B76" i="39" s="1"/>
  <c r="V87" i="2"/>
  <c r="F87" i="39" s="1"/>
  <c r="Q83" i="2"/>
  <c r="E83" i="39" s="1"/>
  <c r="G75" i="2"/>
  <c r="C75" i="39" s="1"/>
  <c r="B58" i="2"/>
  <c r="B58" i="39" s="1"/>
  <c r="B78" i="2"/>
  <c r="B78" i="39" s="1"/>
  <c r="V45" i="2"/>
  <c r="F45" i="39" s="1"/>
  <c r="L53" i="2"/>
  <c r="D53" i="39" s="1"/>
  <c r="G57" i="2"/>
  <c r="C57" i="39" s="1"/>
  <c r="V91" i="2"/>
  <c r="F91" i="39" s="1"/>
  <c r="L48" i="2"/>
  <c r="D48" i="39" s="1"/>
  <c r="V72" i="2"/>
  <c r="F72" i="39" s="1"/>
  <c r="V34" i="2"/>
  <c r="F34" i="39" s="1"/>
  <c r="G37" i="2"/>
  <c r="C37" i="39" s="1"/>
  <c r="B84" i="2"/>
  <c r="B84" i="39" s="1"/>
  <c r="Q36" i="2"/>
  <c r="E36" i="39" s="1"/>
  <c r="L80" i="2"/>
  <c r="D80" i="39" s="1"/>
  <c r="B36" i="2"/>
  <c r="B36" i="39" s="1"/>
  <c r="B35" i="2"/>
  <c r="B35" i="39" s="1"/>
  <c r="Q77" i="2"/>
  <c r="E77" i="39" s="1"/>
  <c r="L81" i="2"/>
  <c r="D81" i="39" s="1"/>
  <c r="V49" i="2"/>
  <c r="F49" i="39" s="1"/>
  <c r="V39" i="2"/>
  <c r="F39" i="39" s="1"/>
  <c r="B32" i="2"/>
  <c r="B32" i="39" s="1"/>
  <c r="Q39" i="2"/>
  <c r="E39" i="39" s="1"/>
  <c r="V31" i="2"/>
  <c r="F31" i="39" s="1"/>
  <c r="L74" i="2"/>
  <c r="D74" i="39" s="1"/>
  <c r="G74" i="2"/>
  <c r="C74" i="39" s="1"/>
  <c r="V30" i="2"/>
  <c r="F30" i="39" s="1"/>
  <c r="V38" i="2"/>
  <c r="F38" i="39" s="1"/>
  <c r="V61" i="2"/>
  <c r="F61" i="39" s="1"/>
  <c r="Q65" i="2"/>
  <c r="E65" i="39" s="1"/>
  <c r="L69" i="2"/>
  <c r="D69" i="39" s="1"/>
  <c r="G73" i="2"/>
  <c r="C73" i="39" s="1"/>
  <c r="V88" i="2"/>
  <c r="F88" i="39" s="1"/>
  <c r="V55" i="2"/>
  <c r="F55" i="39" s="1"/>
  <c r="Q51" i="2"/>
  <c r="E51" i="39" s="1"/>
  <c r="L47" i="2"/>
  <c r="D47" i="39" s="1"/>
  <c r="G43" i="2"/>
  <c r="C43" i="39" s="1"/>
  <c r="L29" i="2"/>
  <c r="V62" i="2"/>
  <c r="F62" i="39" s="1"/>
  <c r="Q62" i="2"/>
  <c r="E62" i="39" s="1"/>
  <c r="L82" i="2"/>
  <c r="D82" i="39" s="1"/>
  <c r="G82" i="2"/>
  <c r="C82" i="39" s="1"/>
  <c r="G38" i="2"/>
  <c r="C38" i="39" s="1"/>
  <c r="V69" i="2"/>
  <c r="F69" i="39" s="1"/>
  <c r="L77" i="2"/>
  <c r="D77" i="39" s="1"/>
  <c r="V40" i="2"/>
  <c r="F40" i="39" s="1"/>
  <c r="Q48" i="2"/>
  <c r="E48" i="39" s="1"/>
  <c r="V44" i="2"/>
  <c r="F44" i="39" s="1"/>
  <c r="Q64" i="2"/>
  <c r="E64" i="39" s="1"/>
  <c r="B47" i="2"/>
  <c r="B47" i="39" s="1"/>
  <c r="V70" i="2"/>
  <c r="F70" i="39" s="1"/>
  <c r="V46" i="2"/>
  <c r="F46" i="39" s="1"/>
  <c r="V77" i="2"/>
  <c r="F77" i="39" s="1"/>
  <c r="Q81" i="2"/>
  <c r="E81" i="39" s="1"/>
  <c r="L85" i="2"/>
  <c r="D85" i="39" s="1"/>
  <c r="V48" i="2"/>
  <c r="F48" i="39" s="1"/>
  <c r="L56" i="2"/>
  <c r="D56" i="39" s="1"/>
  <c r="L51" i="2"/>
  <c r="D51" i="39" s="1"/>
  <c r="L39" i="2"/>
  <c r="D39" i="39" s="1"/>
  <c r="V50" i="2"/>
  <c r="F50" i="39" s="1"/>
  <c r="L89" i="2"/>
  <c r="D89" i="39" s="1"/>
  <c r="G51" i="2"/>
  <c r="C51" i="39" s="1"/>
  <c r="Q67" i="2"/>
  <c r="E67" i="39" s="1"/>
  <c r="G59" i="2"/>
  <c r="C59" i="39" s="1"/>
  <c r="Q89" i="2"/>
  <c r="E89" i="39" s="1"/>
  <c r="L64" i="2"/>
  <c r="D64" i="39" s="1"/>
  <c r="V42" i="2"/>
  <c r="F42" i="39" s="1"/>
  <c r="V71" i="2"/>
  <c r="F71" i="39" s="1"/>
  <c r="L63" i="2"/>
  <c r="D63" i="39" s="1"/>
  <c r="B55" i="2"/>
  <c r="B55" i="39" s="1"/>
  <c r="V54" i="2"/>
  <c r="F54" i="39" s="1"/>
  <c r="L54" i="2"/>
  <c r="D54" i="39" s="1"/>
  <c r="V75" i="2"/>
  <c r="F75" i="39" s="1"/>
  <c r="Q71" i="2"/>
  <c r="E71" i="39" s="1"/>
  <c r="L67" i="2"/>
  <c r="D67" i="39" s="1"/>
  <c r="G63" i="2"/>
  <c r="C63" i="39" s="1"/>
  <c r="V82" i="2"/>
  <c r="F82" i="39" s="1"/>
  <c r="Q82" i="2"/>
  <c r="E82" i="39" s="1"/>
  <c r="B68" i="2"/>
  <c r="B68" i="39" s="1"/>
  <c r="L41" i="2"/>
  <c r="D41" i="39" s="1"/>
  <c r="V57" i="2"/>
  <c r="F57" i="39" s="1"/>
  <c r="B71" i="2"/>
  <c r="B71" i="39" s="1"/>
  <c r="L83" i="2"/>
  <c r="D83" i="39" s="1"/>
  <c r="G79" i="2"/>
  <c r="C79" i="39" s="1"/>
  <c r="V74" i="2"/>
  <c r="F74" i="39" s="1"/>
  <c r="B74" i="2"/>
  <c r="B74" i="39" s="1"/>
  <c r="L58" i="2"/>
  <c r="D58" i="39" s="1"/>
  <c r="Q45" i="2"/>
  <c r="E45" i="39" s="1"/>
  <c r="L73" i="2"/>
  <c r="D73" i="39" s="1"/>
  <c r="Q91" i="2"/>
  <c r="E91" i="39" s="1"/>
  <c r="L91" i="2"/>
  <c r="D91" i="39" s="1"/>
  <c r="V73" i="2"/>
  <c r="F73" i="39" s="1"/>
  <c r="V64" i="2"/>
  <c r="F64" i="39" s="1"/>
  <c r="L31" i="2"/>
  <c r="D31" i="39" s="1"/>
  <c r="B87" i="2"/>
  <c r="B87" i="39" s="1"/>
  <c r="Q46" i="2"/>
  <c r="E46" i="39" s="1"/>
  <c r="L46" i="2"/>
  <c r="D46" i="39" s="1"/>
  <c r="G66" i="2"/>
  <c r="C66" i="39" s="1"/>
  <c r="Q57" i="2"/>
  <c r="E57" i="39" s="1"/>
  <c r="L72" i="2"/>
  <c r="D72" i="39" s="1"/>
  <c r="G87" i="2"/>
  <c r="C87" i="39" s="1"/>
  <c r="Q53" i="2"/>
  <c r="E53" i="39" s="1"/>
  <c r="V43" i="2"/>
  <c r="F43" i="39" s="1"/>
  <c r="L35" i="2"/>
  <c r="D35" i="39" s="1"/>
  <c r="G29" i="2"/>
  <c r="B70" i="2"/>
  <c r="B70" i="39" s="1"/>
  <c r="Q61" i="2"/>
  <c r="E61" i="39" s="1"/>
  <c r="L65" i="2"/>
  <c r="D65" i="39" s="1"/>
  <c r="B73" i="2"/>
  <c r="B73" i="39" s="1"/>
  <c r="L76" i="2"/>
  <c r="D76" i="39" s="1"/>
  <c r="L79" i="2"/>
  <c r="D79" i="39" s="1"/>
  <c r="V90" i="2"/>
  <c r="F90" i="39" s="1"/>
  <c r="G83" i="2"/>
  <c r="C83" i="39" s="1"/>
  <c r="G78" i="2"/>
  <c r="C78" i="39" s="1"/>
  <c r="V65" i="2"/>
  <c r="F65" i="39" s="1"/>
  <c r="Q69" i="2"/>
  <c r="E69" i="39" s="1"/>
  <c r="G77" i="2"/>
  <c r="C77" i="39" s="1"/>
  <c r="B41" i="2"/>
  <c r="B41" i="39" s="1"/>
  <c r="V35" i="2"/>
  <c r="F35" i="39" s="1"/>
  <c r="Q31" i="2"/>
  <c r="E31" i="39" s="1"/>
  <c r="Q55" i="2"/>
  <c r="E55" i="39" s="1"/>
  <c r="L87" i="2"/>
  <c r="D87" i="39" s="1"/>
  <c r="Q38" i="2"/>
  <c r="E38" i="39" s="1"/>
  <c r="L38" i="2"/>
  <c r="D38" i="39" s="1"/>
  <c r="Q42" i="2"/>
  <c r="E42" i="39" s="1"/>
  <c r="G81" i="2"/>
  <c r="C81" i="39" s="1"/>
  <c r="B85" i="2"/>
  <c r="B85" i="39" s="1"/>
  <c r="B45" i="2"/>
  <c r="B45" i="39" s="1"/>
  <c r="B49" i="2"/>
  <c r="B49" i="39" s="1"/>
  <c r="G91" i="2"/>
  <c r="C91" i="39" s="1"/>
  <c r="V78" i="2"/>
  <c r="F78" i="39" s="1"/>
  <c r="Q78" i="2"/>
  <c r="E78" i="39" s="1"/>
  <c r="B89" i="2"/>
  <c r="B89" i="39" s="1"/>
  <c r="Q43" i="2"/>
  <c r="E43" i="39" s="1"/>
  <c r="G35" i="2"/>
  <c r="C35" i="39" s="1"/>
  <c r="B31" i="2"/>
  <c r="B31" i="39" s="1"/>
  <c r="G30" i="2"/>
  <c r="C30" i="39" s="1"/>
  <c r="B30" i="2"/>
  <c r="B30" i="39" s="1"/>
  <c r="Q85" i="2"/>
  <c r="E85" i="39" s="1"/>
  <c r="G53" i="2"/>
  <c r="C53" i="39" s="1"/>
  <c r="B57" i="2"/>
  <c r="B57" i="39" s="1"/>
  <c r="G31" i="2"/>
  <c r="C31" i="39" s="1"/>
  <c r="Q47" i="2"/>
  <c r="E47" i="39" s="1"/>
  <c r="L43" i="2"/>
  <c r="D43" i="39" s="1"/>
  <c r="G39" i="2"/>
  <c r="C39" i="39" s="1"/>
  <c r="G34" i="2"/>
  <c r="C34" i="39" s="1"/>
  <c r="B34" i="2"/>
  <c r="B34" i="39" s="1"/>
  <c r="Q54" i="2"/>
  <c r="E54" i="39" s="1"/>
  <c r="Q58" i="2"/>
  <c r="E58" i="39" s="1"/>
  <c r="V85" i="2"/>
  <c r="F85" i="39" s="1"/>
  <c r="G33" i="2"/>
  <c r="C33" i="39" s="1"/>
  <c r="B37" i="2"/>
  <c r="B37" i="39" s="1"/>
  <c r="B61" i="2"/>
  <c r="B61" i="39" s="1"/>
  <c r="B65" i="2"/>
  <c r="B65" i="39" s="1"/>
  <c r="B80" i="2"/>
  <c r="B80" i="39" s="1"/>
  <c r="B39" i="2"/>
  <c r="B39" i="39" s="1"/>
  <c r="Q87" i="2"/>
  <c r="E87" i="39" s="1"/>
  <c r="Q30" i="2"/>
  <c r="E30" i="39" s="1"/>
  <c r="L30" i="2"/>
  <c r="D30" i="39" s="1"/>
  <c r="B38" i="2"/>
  <c r="B38" i="39" s="1"/>
  <c r="V58" i="2"/>
  <c r="F58" i="39" s="1"/>
  <c r="L33" i="2"/>
  <c r="D33" i="39" s="1"/>
  <c r="V89" i="2"/>
  <c r="F89" i="39" s="1"/>
  <c r="V32" i="2"/>
  <c r="F32" i="39" s="1"/>
  <c r="B43" i="2"/>
  <c r="B43" i="39" s="1"/>
  <c r="V47" i="2"/>
  <c r="F47" i="39" s="1"/>
  <c r="Q29" i="2"/>
  <c r="E29" i="39" s="1"/>
  <c r="Q34" i="2"/>
  <c r="E34" i="39" s="1"/>
  <c r="L34" i="2"/>
  <c r="D34" i="39" s="1"/>
  <c r="B42" i="2"/>
  <c r="B42" i="39" s="1"/>
  <c r="V36" i="2"/>
  <c r="F36" i="39" s="1"/>
  <c r="B91" i="2"/>
  <c r="B91" i="39" s="1"/>
  <c r="Q59" i="2"/>
  <c r="E59" i="39" s="1"/>
  <c r="G46" i="2"/>
  <c r="C46" i="39" s="1"/>
  <c r="B46" i="2"/>
  <c r="B46" i="39" s="1"/>
  <c r="V33" i="2"/>
  <c r="F33" i="39" s="1"/>
  <c r="Q37" i="2"/>
  <c r="E37" i="39" s="1"/>
  <c r="G45" i="2"/>
  <c r="C45" i="39" s="1"/>
  <c r="G69" i="2"/>
  <c r="C69" i="39" s="1"/>
  <c r="V67" i="2"/>
  <c r="F67" i="39" s="1"/>
  <c r="Q63" i="2"/>
  <c r="E63" i="39" s="1"/>
  <c r="L59" i="2"/>
  <c r="D59" i="39" s="1"/>
  <c r="G55" i="2"/>
  <c r="C55" i="39" s="1"/>
  <c r="B51" i="2"/>
  <c r="B51" i="39" s="1"/>
  <c r="L42" i="2"/>
  <c r="D42" i="39" s="1"/>
  <c r="G50" i="2"/>
  <c r="C50" i="39" s="1"/>
  <c r="B50" i="2"/>
  <c r="B50" i="39" s="1"/>
  <c r="Q70" i="2"/>
  <c r="E70" i="39" s="1"/>
  <c r="G70" i="2"/>
  <c r="C70" i="39" s="1"/>
  <c r="Q74" i="2"/>
  <c r="E74" i="39" s="1"/>
  <c r="V37" i="2"/>
  <c r="F37" i="39" s="1"/>
  <c r="L45" i="2"/>
  <c r="D45" i="39" s="1"/>
  <c r="G49" i="2"/>
  <c r="C49" i="39" s="1"/>
  <c r="B53" i="2"/>
  <c r="B53" i="39" s="1"/>
  <c r="B77" i="2"/>
  <c r="B77" i="39" s="1"/>
  <c r="B81" i="2"/>
  <c r="B81" i="39" s="1"/>
  <c r="L60" i="2"/>
  <c r="D60" i="39" s="1"/>
  <c r="B59" i="2"/>
  <c r="B59" i="39" s="1"/>
  <c r="L55" i="2"/>
  <c r="D55" i="39" s="1"/>
  <c r="V29" i="2"/>
  <c r="F29" i="39" s="1"/>
  <c r="Q50" i="2"/>
  <c r="E50" i="39" s="1"/>
  <c r="G58" i="2"/>
  <c r="C58" i="39" s="1"/>
  <c r="L78" i="2"/>
  <c r="D78" i="39" s="1"/>
  <c r="Q49" i="2"/>
  <c r="E49" i="39" s="1"/>
  <c r="V52" i="2"/>
  <c r="F52" i="39" s="1"/>
  <c r="L68" i="2"/>
  <c r="D68" i="39" s="1"/>
  <c r="V79" i="2"/>
  <c r="F79" i="39" s="1"/>
  <c r="Q75" i="2"/>
  <c r="E75" i="39" s="1"/>
  <c r="G67" i="2"/>
  <c r="C67" i="39" s="1"/>
  <c r="B63" i="2"/>
  <c r="B63" i="39" s="1"/>
  <c r="G62" i="2"/>
  <c r="C62" i="39" s="1"/>
  <c r="B62" i="2"/>
  <c r="B62" i="39" s="1"/>
  <c r="G85" i="2"/>
  <c r="C85" i="39" s="1"/>
  <c r="V56" i="2"/>
  <c r="F56" i="39" s="1"/>
  <c r="B29" i="2"/>
  <c r="V83" i="2"/>
  <c r="F83" i="39" s="1"/>
  <c r="Q79" i="2"/>
  <c r="E79" i="39" s="1"/>
  <c r="L75" i="2"/>
  <c r="D75" i="39" s="1"/>
  <c r="G71" i="2"/>
  <c r="C71" i="39" s="1"/>
  <c r="L71" i="2"/>
  <c r="D71" i="39" s="1"/>
  <c r="B66" i="2"/>
  <c r="B66" i="39" s="1"/>
  <c r="Q86" i="2"/>
  <c r="E86" i="39" s="1"/>
  <c r="L86" i="2"/>
  <c r="D86" i="39" s="1"/>
  <c r="G86" i="2"/>
  <c r="C86" i="39" s="1"/>
  <c r="Q90" i="2"/>
  <c r="E90" i="39" s="1"/>
  <c r="V53" i="2"/>
  <c r="F53" i="39" s="1"/>
  <c r="L61" i="2"/>
  <c r="D61" i="39" s="1"/>
  <c r="G65" i="2"/>
  <c r="C65" i="39" s="1"/>
  <c r="B69" i="2"/>
  <c r="B69" i="39" s="1"/>
  <c r="B33" i="2"/>
  <c r="B33" i="39" s="1"/>
  <c r="B90" i="2"/>
  <c r="B90" i="39" s="1"/>
  <c r="AA40" i="2" l="1"/>
  <c r="G40" i="39" s="1"/>
  <c r="AA52" i="2"/>
  <c r="G52" i="39" s="1"/>
  <c r="AA84" i="2"/>
  <c r="G84" i="39" s="1"/>
  <c r="AA60" i="2"/>
  <c r="G60" i="39" s="1"/>
  <c r="AA88" i="2"/>
  <c r="G88" i="39" s="1"/>
  <c r="AA48" i="2"/>
  <c r="G48" i="39" s="1"/>
  <c r="AA46" i="2"/>
  <c r="G46" i="39" s="1"/>
  <c r="AA66" i="2"/>
  <c r="G66" i="39" s="1"/>
  <c r="AA82" i="2"/>
  <c r="G82" i="39" s="1"/>
  <c r="AA92" i="2"/>
  <c r="AA54" i="2"/>
  <c r="G54" i="39" s="1"/>
  <c r="AA72" i="2"/>
  <c r="G72" i="39" s="1"/>
  <c r="AA76" i="2"/>
  <c r="G76" i="39" s="1"/>
  <c r="AA36" i="2"/>
  <c r="G36" i="39" s="1"/>
  <c r="AA80" i="2"/>
  <c r="G80" i="39" s="1"/>
  <c r="AA33" i="2"/>
  <c r="G33" i="39" s="1"/>
  <c r="AA56" i="2"/>
  <c r="G56" i="39" s="1"/>
  <c r="AA51" i="2"/>
  <c r="G51" i="39" s="1"/>
  <c r="AA57" i="2"/>
  <c r="G57" i="39" s="1"/>
  <c r="AA37" i="2"/>
  <c r="G37" i="39" s="1"/>
  <c r="AA64" i="2"/>
  <c r="G64" i="39" s="1"/>
  <c r="AA44" i="2"/>
  <c r="G44" i="39" s="1"/>
  <c r="AA35" i="2"/>
  <c r="G35" i="39" s="1"/>
  <c r="AA87" i="2"/>
  <c r="G87" i="39" s="1"/>
  <c r="AA41" i="2"/>
  <c r="G41" i="39" s="1"/>
  <c r="AA62" i="2"/>
  <c r="G62" i="39" s="1"/>
  <c r="AA32" i="2"/>
  <c r="G32" i="39" s="1"/>
  <c r="AA74" i="2"/>
  <c r="G74" i="39" s="1"/>
  <c r="AA59" i="2"/>
  <c r="G59" i="39" s="1"/>
  <c r="AA55" i="2"/>
  <c r="G55" i="39" s="1"/>
  <c r="AA77" i="2"/>
  <c r="G77" i="39" s="1"/>
  <c r="AA69" i="2"/>
  <c r="G69" i="39" s="1"/>
  <c r="AA45" i="2"/>
  <c r="G45" i="39" s="1"/>
  <c r="AA61" i="2"/>
  <c r="G61" i="39" s="1"/>
  <c r="AA65" i="2"/>
  <c r="G65" i="39" s="1"/>
  <c r="AA43" i="2"/>
  <c r="G43" i="39" s="1"/>
  <c r="AA73" i="2"/>
  <c r="G73" i="39" s="1"/>
  <c r="AA63" i="2"/>
  <c r="G63" i="39" s="1"/>
  <c r="AA86" i="2"/>
  <c r="G86" i="39" s="1"/>
  <c r="AA47" i="2"/>
  <c r="G47" i="39" s="1"/>
  <c r="AA85" i="2"/>
  <c r="AA68" i="2"/>
  <c r="G68" i="39" s="1"/>
  <c r="AA81" i="2"/>
  <c r="G81" i="39" s="1"/>
  <c r="AA79" i="2"/>
  <c r="G79" i="39" s="1"/>
  <c r="AA50" i="2"/>
  <c r="G50" i="39" s="1"/>
  <c r="AA39" i="2"/>
  <c r="G39" i="39" s="1"/>
  <c r="AA91" i="2"/>
  <c r="AA78" i="2"/>
  <c r="G78" i="39" s="1"/>
  <c r="AA75" i="2"/>
  <c r="G75" i="39" s="1"/>
  <c r="AA58" i="2"/>
  <c r="G58" i="39" s="1"/>
  <c r="AA70" i="2"/>
  <c r="G70" i="39" s="1"/>
  <c r="AA83" i="2"/>
  <c r="G83" i="39" s="1"/>
  <c r="AA30" i="2"/>
  <c r="AA29" i="2"/>
  <c r="AA31" i="2"/>
  <c r="G31" i="39" s="1"/>
  <c r="AA89" i="2"/>
  <c r="G89" i="39" s="1"/>
  <c r="AA90" i="2"/>
  <c r="G90" i="39" s="1"/>
  <c r="AA53" i="2"/>
  <c r="G53" i="39" s="1"/>
  <c r="AA67" i="2"/>
  <c r="G67" i="39" s="1"/>
  <c r="AA34" i="2"/>
  <c r="G34" i="39" s="1"/>
  <c r="AA71" i="2"/>
  <c r="G71" i="39" s="1"/>
  <c r="AA42" i="2"/>
  <c r="G42" i="39" s="1"/>
  <c r="AA38" i="2"/>
  <c r="G38" i="39" s="1"/>
  <c r="AA49" i="2"/>
  <c r="G49" i="39" s="1"/>
  <c r="AE29" i="2" l="1"/>
  <c r="AE28" i="2"/>
  <c r="AE27" i="2"/>
  <c r="AE26" i="2"/>
  <c r="G30" i="39"/>
  <c r="AE30" i="2"/>
  <c r="AE92" i="2"/>
  <c r="G92" i="39"/>
  <c r="AE91" i="2"/>
  <c r="G91" i="39"/>
  <c r="AE85" i="2"/>
  <c r="G85" i="39"/>
  <c r="AE33" i="2"/>
  <c r="AE39" i="2"/>
  <c r="AE74" i="2"/>
  <c r="AE35" i="2"/>
  <c r="AE71" i="2"/>
  <c r="AE54" i="2"/>
  <c r="AE45" i="2"/>
  <c r="AE84" i="2"/>
  <c r="AE73" i="2"/>
  <c r="AE53" i="2"/>
  <c r="AE43" i="2"/>
  <c r="AE78" i="2"/>
  <c r="AE70" i="2"/>
  <c r="AE90" i="2"/>
  <c r="AE44" i="2"/>
  <c r="AE56" i="2"/>
  <c r="AE75" i="2"/>
  <c r="AE63" i="2"/>
  <c r="AE72" i="2"/>
  <c r="AE66" i="2"/>
  <c r="AE36" i="2"/>
  <c r="AE88" i="2"/>
  <c r="AE67" i="2"/>
  <c r="AE79" i="2"/>
  <c r="AE77" i="2"/>
  <c r="AE60" i="2"/>
  <c r="AE76" i="2"/>
  <c r="AE55" i="2"/>
  <c r="AE69" i="2"/>
  <c r="AE50" i="2"/>
  <c r="AE37" i="2"/>
  <c r="AE62" i="2"/>
  <c r="AE61" i="2"/>
  <c r="AE32" i="2"/>
  <c r="AE64" i="2"/>
  <c r="AE38" i="2"/>
  <c r="AE89" i="2"/>
  <c r="AE65" i="2"/>
  <c r="AE47" i="2"/>
  <c r="AE31" i="2"/>
  <c r="AE83" i="2"/>
  <c r="AE80" i="2"/>
  <c r="AE68" i="2"/>
  <c r="AE86" i="2"/>
  <c r="AE81" i="2"/>
  <c r="AE34" i="2"/>
  <c r="AE42" i="2"/>
  <c r="AE40" i="2"/>
  <c r="AE51" i="2"/>
  <c r="AE87" i="2"/>
  <c r="AE48" i="2"/>
  <c r="AE49" i="2"/>
  <c r="AE46" i="2"/>
  <c r="AE52" i="2"/>
  <c r="AE41" i="2"/>
  <c r="E1" i="39"/>
  <c r="E2" i="39" s="1"/>
  <c r="D1" i="39"/>
  <c r="C1" i="39"/>
  <c r="B1" i="39"/>
  <c r="AG31" i="2" l="1"/>
  <c r="AG46" i="2"/>
  <c r="AG49" i="2"/>
  <c r="AN26" i="2"/>
  <c r="AG48" i="2"/>
  <c r="AG45" i="2"/>
  <c r="AO27" i="2"/>
  <c r="AK27" i="2"/>
  <c r="AN28" i="2"/>
  <c r="AJ28" i="2"/>
  <c r="AF5" i="2"/>
  <c r="AG33" i="2" s="1"/>
  <c r="AI29" i="2"/>
  <c r="AG29" i="2"/>
  <c r="AK80" i="2"/>
  <c r="AQ8" i="3"/>
  <c r="AE8" i="3"/>
  <c r="S8" i="3"/>
  <c r="G8" i="3"/>
  <c r="AJ26" i="2" l="1"/>
  <c r="AG30" i="2"/>
  <c r="AL29" i="2"/>
  <c r="AK28" i="2"/>
  <c r="AG27" i="2"/>
  <c r="AL26" i="2"/>
  <c r="AG34" i="2"/>
  <c r="AH26" i="2"/>
  <c r="AO17" i="2"/>
  <c r="AK18" i="2"/>
  <c r="AJ22" i="2"/>
  <c r="AH13" i="2"/>
  <c r="AJ17" i="2"/>
  <c r="AK14" i="2"/>
  <c r="AJ12" i="2"/>
  <c r="AN16" i="2"/>
  <c r="AJ15" i="2"/>
  <c r="AG24" i="2"/>
  <c r="AH7" i="2"/>
  <c r="AK23" i="2"/>
  <c r="AO25" i="2"/>
  <c r="AG11" i="2"/>
  <c r="AH9" i="2"/>
  <c r="AI10" i="2"/>
  <c r="AN8" i="2"/>
  <c r="AN22" i="2"/>
  <c r="AK15" i="2"/>
  <c r="AN18" i="2"/>
  <c r="AH22" i="2"/>
  <c r="AK13" i="2"/>
  <c r="AH17" i="2"/>
  <c r="AH14" i="2"/>
  <c r="AG12" i="2"/>
  <c r="AL16" i="2"/>
  <c r="AH15" i="2"/>
  <c r="AI24" i="2"/>
  <c r="AN7" i="2"/>
  <c r="AL23" i="2"/>
  <c r="AK25" i="2"/>
  <c r="AK11" i="2"/>
  <c r="AO9" i="2"/>
  <c r="AJ10" i="2"/>
  <c r="AJ8" i="2"/>
  <c r="AN14" i="2"/>
  <c r="AI16" i="2"/>
  <c r="AH24" i="2"/>
  <c r="AG6" i="2"/>
  <c r="AN25" i="2"/>
  <c r="AJ11" i="2"/>
  <c r="AN9" i="2"/>
  <c r="AN10" i="2"/>
  <c r="AL14" i="2"/>
  <c r="AK24" i="2"/>
  <c r="AL25" i="2"/>
  <c r="AL18" i="2"/>
  <c r="AG22" i="2"/>
  <c r="AJ13" i="2"/>
  <c r="AG17" i="2"/>
  <c r="AG14" i="2"/>
  <c r="AN12" i="2"/>
  <c r="AO16" i="2"/>
  <c r="AO15" i="2"/>
  <c r="AJ24" i="2"/>
  <c r="AL7" i="2"/>
  <c r="AN23" i="2"/>
  <c r="AI25" i="2"/>
  <c r="AL11" i="2"/>
  <c r="AL9" i="2"/>
  <c r="AK10" i="2"/>
  <c r="AL8" i="2"/>
  <c r="AL22" i="2"/>
  <c r="AK9" i="2"/>
  <c r="AJ18" i="2"/>
  <c r="AO22" i="2"/>
  <c r="AG13" i="2"/>
  <c r="AN17" i="2"/>
  <c r="AI14" i="2"/>
  <c r="AI12" i="2"/>
  <c r="AK16" i="2"/>
  <c r="AI15" i="2"/>
  <c r="AL24" i="2"/>
  <c r="AK7" i="2"/>
  <c r="AG23" i="2"/>
  <c r="AH25" i="2"/>
  <c r="AH11" i="2"/>
  <c r="AI9" i="2"/>
  <c r="AH10" i="2"/>
  <c r="AG8" i="2"/>
  <c r="AG18" i="2"/>
  <c r="AI13" i="2"/>
  <c r="AH16" i="2"/>
  <c r="AK8" i="2"/>
  <c r="AH18" i="2"/>
  <c r="AK22" i="2"/>
  <c r="AL13" i="2"/>
  <c r="AJ14" i="2"/>
  <c r="AO12" i="2"/>
  <c r="AJ16" i="2"/>
  <c r="AN15" i="2"/>
  <c r="AN24" i="2"/>
  <c r="AJ7" i="2"/>
  <c r="AH23" i="2"/>
  <c r="AG25" i="2"/>
  <c r="AI11" i="2"/>
  <c r="AJ9" i="2"/>
  <c r="AL10" i="2"/>
  <c r="AO8" i="2"/>
  <c r="AI17" i="2"/>
  <c r="AH12" i="2"/>
  <c r="AL15" i="2"/>
  <c r="AI7" i="2"/>
  <c r="AI23" i="2"/>
  <c r="AO18" i="2"/>
  <c r="AO7" i="2"/>
  <c r="AN11" i="2"/>
  <c r="AI18" i="2"/>
  <c r="AI22" i="2"/>
  <c r="AN13" i="2"/>
  <c r="AK17" i="2"/>
  <c r="AO14" i="2"/>
  <c r="AL12" i="2"/>
  <c r="AG16" i="2"/>
  <c r="AG15" i="2"/>
  <c r="AO24" i="2"/>
  <c r="AG7" i="2"/>
  <c r="AO23" i="2"/>
  <c r="AJ25" i="2"/>
  <c r="AO11" i="2"/>
  <c r="AG9" i="2"/>
  <c r="AO10" i="2"/>
  <c r="AH8" i="2"/>
  <c r="AO13" i="2"/>
  <c r="AI8" i="2"/>
  <c r="AL17" i="2"/>
  <c r="AK12" i="2"/>
  <c r="AJ23" i="2"/>
  <c r="AG10" i="2"/>
  <c r="AI19" i="2"/>
  <c r="AH20" i="2"/>
  <c r="AO21" i="2"/>
  <c r="AI21" i="2"/>
  <c r="AL19" i="2"/>
  <c r="AN20" i="2"/>
  <c r="AL21" i="2"/>
  <c r="AK19" i="2"/>
  <c r="AL20" i="2"/>
  <c r="AG21" i="2"/>
  <c r="AO20" i="2"/>
  <c r="AJ19" i="2"/>
  <c r="AJ20" i="2"/>
  <c r="AH21" i="2"/>
  <c r="AH19" i="2"/>
  <c r="AK20" i="2"/>
  <c r="AK21" i="2"/>
  <c r="AN19" i="2"/>
  <c r="AG20" i="2"/>
  <c r="AN21" i="2"/>
  <c r="AG19" i="2"/>
  <c r="AI20" i="2"/>
  <c r="AJ21" i="2"/>
  <c r="AO19" i="2"/>
  <c r="AH28" i="2"/>
  <c r="AI27" i="2"/>
  <c r="AJ29" i="2"/>
  <c r="AG28" i="2"/>
  <c r="AN27" i="2"/>
  <c r="AK26" i="2"/>
  <c r="AG50" i="2"/>
  <c r="EF26" i="2"/>
  <c r="FK26" i="2"/>
  <c r="BC26" i="2"/>
  <c r="CH26" i="2"/>
  <c r="DE26" i="2"/>
  <c r="EJ26" i="2"/>
  <c r="FG26" i="2"/>
  <c r="BG26" i="2"/>
  <c r="CD26" i="2"/>
  <c r="EW26" i="2"/>
  <c r="DX26" i="2"/>
  <c r="EU26" i="2"/>
  <c r="AU26" i="2"/>
  <c r="BR26" i="2"/>
  <c r="CW26" i="2"/>
  <c r="DT26" i="2"/>
  <c r="EY26" i="2"/>
  <c r="AQ26" i="2"/>
  <c r="BV26" i="2"/>
  <c r="BE26" i="2"/>
  <c r="CZ26" i="2"/>
  <c r="CR26" i="2"/>
  <c r="CA26" i="2"/>
  <c r="CQ26" i="2" s="1"/>
  <c r="BB26" i="2"/>
  <c r="BQ26" i="2"/>
  <c r="AZ26" i="2"/>
  <c r="FF26" i="2"/>
  <c r="AP26" i="2"/>
  <c r="BP26" i="2" s="1"/>
  <c r="CB26" i="2"/>
  <c r="FJ26" i="2"/>
  <c r="EK26" i="2"/>
  <c r="DD26" i="2"/>
  <c r="DC26" i="2"/>
  <c r="BF26" i="2"/>
  <c r="EI26" i="2"/>
  <c r="BT26" i="2"/>
  <c r="FB26" i="2"/>
  <c r="EC26" i="2"/>
  <c r="CF26" i="2"/>
  <c r="CU26" i="2"/>
  <c r="DP26" i="2" s="1"/>
  <c r="AX26" i="2"/>
  <c r="FD26" i="2"/>
  <c r="BA26" i="2"/>
  <c r="CS26" i="2"/>
  <c r="AV26" i="2"/>
  <c r="ET26" i="2"/>
  <c r="DU26" i="2"/>
  <c r="EO26" i="2" s="1"/>
  <c r="BX26" i="2"/>
  <c r="BW26" i="2"/>
  <c r="CC26" i="2"/>
  <c r="EE26" i="2"/>
  <c r="ED26" i="2"/>
  <c r="CG26" i="2"/>
  <c r="BH26" i="2"/>
  <c r="EH26" i="2"/>
  <c r="FL26" i="2"/>
  <c r="DG26" i="2"/>
  <c r="DV26" i="2"/>
  <c r="BY26" i="2"/>
  <c r="AR26" i="2"/>
  <c r="DZ26" i="2"/>
  <c r="CY26" i="2"/>
  <c r="DH26" i="2"/>
  <c r="BS26" i="2"/>
  <c r="FA26" i="2"/>
  <c r="EZ26" i="2"/>
  <c r="DS26" i="2"/>
  <c r="CT26" i="2"/>
  <c r="CX26" i="2"/>
  <c r="DL26" i="2" s="1"/>
  <c r="DJ26" i="2"/>
  <c r="EA26" i="2"/>
  <c r="CI26" i="2"/>
  <c r="DB26" i="2"/>
  <c r="FE26" i="2"/>
  <c r="EV26" i="2"/>
  <c r="FI26" i="2"/>
  <c r="AS26" i="2"/>
  <c r="BN26" i="2" s="1"/>
  <c r="DR26" i="2"/>
  <c r="DA26" i="2" s="1"/>
  <c r="DI26" i="2"/>
  <c r="DY26" i="2"/>
  <c r="FT26" i="2"/>
  <c r="FM26" i="2" s="1"/>
  <c r="BJ26" i="2"/>
  <c r="FP26" i="2"/>
  <c r="CM26" i="2"/>
  <c r="AW26" i="2"/>
  <c r="CK26" i="2"/>
  <c r="EX26" i="2"/>
  <c r="DY28" i="2"/>
  <c r="CR28" i="2"/>
  <c r="DR28" i="2" s="1"/>
  <c r="DK28" i="2" s="1"/>
  <c r="CY28" i="2"/>
  <c r="DN28" i="2" s="1"/>
  <c r="ET28" i="2"/>
  <c r="FA28" i="2"/>
  <c r="BQ28" i="2"/>
  <c r="FL28" i="2"/>
  <c r="CB28" i="2"/>
  <c r="CI28" i="2"/>
  <c r="ED28" i="2"/>
  <c r="EK28" i="2"/>
  <c r="BA28" i="2"/>
  <c r="BH28" i="2"/>
  <c r="DC28" i="2"/>
  <c r="DJ28" i="2"/>
  <c r="DI28" i="2"/>
  <c r="BT28" i="2"/>
  <c r="BC28" i="2"/>
  <c r="BB28" i="2"/>
  <c r="AS28" i="2"/>
  <c r="AR28" i="2"/>
  <c r="BG28" i="2"/>
  <c r="BV28" i="2"/>
  <c r="FE28" i="2"/>
  <c r="AV28" i="2"/>
  <c r="BJ28" i="2" s="1"/>
  <c r="FJ28" i="2"/>
  <c r="DU28" i="2"/>
  <c r="EO28" i="2" s="1"/>
  <c r="DD28" i="2"/>
  <c r="DS28" i="2"/>
  <c r="CT28" i="2"/>
  <c r="EZ28" i="2"/>
  <c r="FK28" i="2"/>
  <c r="FB28" i="2"/>
  <c r="DE28" i="2"/>
  <c r="CF28" i="2"/>
  <c r="CU28" i="2"/>
  <c r="CD28" i="2"/>
  <c r="AP28" i="2"/>
  <c r="BR28" i="2"/>
  <c r="FD28" i="2"/>
  <c r="EU28" i="2"/>
  <c r="DV28" i="2"/>
  <c r="CW28" i="2"/>
  <c r="BX28" i="2"/>
  <c r="BW28" i="2"/>
  <c r="BF28" i="2"/>
  <c r="EY28" i="2"/>
  <c r="CC28" i="2"/>
  <c r="EV28" i="2"/>
  <c r="FP28" i="2" s="1"/>
  <c r="EE28" i="2"/>
  <c r="CX28" i="2"/>
  <c r="CG28" i="2"/>
  <c r="AZ28" i="2"/>
  <c r="AQ28" i="2"/>
  <c r="AX28" i="2"/>
  <c r="FG28" i="2"/>
  <c r="EF28" i="2"/>
  <c r="DG28" i="2"/>
  <c r="CH28" i="2"/>
  <c r="BY28" i="2"/>
  <c r="FF28" i="2"/>
  <c r="EH28" i="2"/>
  <c r="DX28" i="2"/>
  <c r="CZ28" i="2"/>
  <c r="AU28" i="2"/>
  <c r="EC28" i="2"/>
  <c r="DT28" i="2"/>
  <c r="EA28" i="2"/>
  <c r="DB28" i="2"/>
  <c r="CS28" i="2"/>
  <c r="CA28" i="2"/>
  <c r="EW28" i="2"/>
  <c r="FR28" i="2" s="1"/>
  <c r="DZ28" i="2"/>
  <c r="BS28" i="2"/>
  <c r="DH28" i="2"/>
  <c r="FI28" i="2"/>
  <c r="EJ28" i="2"/>
  <c r="EI28" i="2"/>
  <c r="FT28" i="2"/>
  <c r="EX28" i="2" s="1"/>
  <c r="AW28" i="2"/>
  <c r="DP28" i="2"/>
  <c r="CK28" i="2"/>
  <c r="BE28" i="2"/>
  <c r="AK29" i="2"/>
  <c r="AI26" i="2"/>
  <c r="AG26" i="2"/>
  <c r="AG35" i="2"/>
  <c r="AO28" i="2"/>
  <c r="AJ27" i="2"/>
  <c r="AI28" i="2"/>
  <c r="AH27" i="2"/>
  <c r="AH29" i="2"/>
  <c r="AL28" i="2"/>
  <c r="AL27" i="2"/>
  <c r="AG47" i="2"/>
  <c r="AO26" i="2"/>
  <c r="AG32" i="2"/>
  <c r="AL33" i="2"/>
  <c r="AL31" i="2"/>
  <c r="AL69" i="2"/>
  <c r="AL35" i="2"/>
  <c r="AL75" i="2"/>
  <c r="AL32" i="2"/>
  <c r="AL30" i="2"/>
  <c r="AL39" i="2"/>
  <c r="AL40" i="2"/>
  <c r="AL74" i="2"/>
  <c r="AL77" i="2"/>
  <c r="AL72" i="2"/>
  <c r="AL73" i="2"/>
  <c r="AL37" i="2"/>
  <c r="AL78" i="2"/>
  <c r="AL38" i="2"/>
  <c r="AL34" i="2"/>
  <c r="AL70" i="2"/>
  <c r="AL71" i="2"/>
  <c r="AL76" i="2"/>
  <c r="AL36" i="2"/>
  <c r="AL80" i="2"/>
  <c r="AL79" i="2"/>
  <c r="AJ40" i="2"/>
  <c r="AI81" i="2"/>
  <c r="AK76" i="2"/>
  <c r="AK71" i="2"/>
  <c r="AJ74" i="2"/>
  <c r="AG73" i="2"/>
  <c r="AK77" i="2"/>
  <c r="AN76" i="2"/>
  <c r="AJ71" i="2"/>
  <c r="AG70" i="2"/>
  <c r="AO72" i="2"/>
  <c r="AJ77" i="2"/>
  <c r="AJ75" i="2"/>
  <c r="AO77" i="2"/>
  <c r="AN80" i="2"/>
  <c r="AJ73" i="2"/>
  <c r="AK78" i="2"/>
  <c r="AG76" i="2"/>
  <c r="AJ79" i="2"/>
  <c r="AN78" i="2"/>
  <c r="AH77" i="2"/>
  <c r="AH76" i="2"/>
  <c r="AH80" i="2"/>
  <c r="AK72" i="2"/>
  <c r="AG79" i="2"/>
  <c r="AI75" i="2"/>
  <c r="AJ80" i="2"/>
  <c r="AI70" i="2"/>
  <c r="AO80" i="2"/>
  <c r="AK73" i="2"/>
  <c r="AG75" i="2"/>
  <c r="AG80" i="2"/>
  <c r="AI40" i="2"/>
  <c r="AI76" i="2"/>
  <c r="AG72" i="2"/>
  <c r="AN77" i="2"/>
  <c r="AK79" i="2"/>
  <c r="AH70" i="2"/>
  <c r="AJ69" i="2"/>
  <c r="AO78" i="2"/>
  <c r="AH79" i="2"/>
  <c r="AN75" i="2"/>
  <c r="AG77" i="2"/>
  <c r="AO75" i="2"/>
  <c r="AG74" i="2"/>
  <c r="AJ76" i="2"/>
  <c r="AN79" i="2"/>
  <c r="AN70" i="2"/>
  <c r="AO79" i="2"/>
  <c r="AH73" i="2"/>
  <c r="AI72" i="2"/>
  <c r="AK75" i="2"/>
  <c r="AG71" i="2"/>
  <c r="AN73" i="2"/>
  <c r="AG81" i="2"/>
  <c r="AO76" i="2"/>
  <c r="AI69" i="2"/>
  <c r="AO71" i="2"/>
  <c r="AK70" i="2"/>
  <c r="AN71" i="2"/>
  <c r="AJ70" i="2"/>
  <c r="AK69" i="2"/>
  <c r="AH74" i="2"/>
  <c r="AH72" i="2"/>
  <c r="AH75" i="2"/>
  <c r="AO74" i="2"/>
  <c r="AI73" i="2"/>
  <c r="AO73" i="2"/>
  <c r="AI79" i="2"/>
  <c r="AJ78" i="2"/>
  <c r="AN72" i="2"/>
  <c r="AI80" i="2"/>
  <c r="AH78" i="2"/>
  <c r="AJ81" i="2"/>
  <c r="AH71" i="2"/>
  <c r="AK74" i="2"/>
  <c r="AJ72" i="2"/>
  <c r="AI77" i="2"/>
  <c r="AO70" i="2"/>
  <c r="AI71" i="2"/>
  <c r="AG78" i="2"/>
  <c r="AN74" i="2"/>
  <c r="AI74" i="2"/>
  <c r="AI78" i="2"/>
  <c r="AH34" i="2"/>
  <c r="AH30" i="2"/>
  <c r="AO34" i="2"/>
  <c r="AH40" i="2"/>
  <c r="AO30" i="2"/>
  <c r="AN34" i="2"/>
  <c r="AK30" i="2"/>
  <c r="AN40" i="2"/>
  <c r="AG44" i="2"/>
  <c r="AG43" i="2"/>
  <c r="AI33" i="2"/>
  <c r="AJ36" i="2"/>
  <c r="AO32" i="2"/>
  <c r="AI38" i="2"/>
  <c r="AK33" i="2"/>
  <c r="AG36" i="2"/>
  <c r="AI32" i="2"/>
  <c r="AN29" i="2"/>
  <c r="AN38" i="2"/>
  <c r="AH33" i="2"/>
  <c r="AJ32" i="2"/>
  <c r="AH35" i="2"/>
  <c r="AO33" i="2"/>
  <c r="AO36" i="2"/>
  <c r="AH32" i="2"/>
  <c r="AK38" i="2"/>
  <c r="AK36" i="2"/>
  <c r="AN33" i="2"/>
  <c r="AI36" i="2"/>
  <c r="AK32" i="2"/>
  <c r="AG38" i="2"/>
  <c r="AO29" i="2"/>
  <c r="AJ33" i="2"/>
  <c r="AH39" i="2"/>
  <c r="AN36" i="2"/>
  <c r="AN32" i="2"/>
  <c r="AH38" i="2"/>
  <c r="AO37" i="2"/>
  <c r="AG39" i="2"/>
  <c r="AO38" i="2"/>
  <c r="AI35" i="2"/>
  <c r="AO31" i="2"/>
  <c r="AJ35" i="2"/>
  <c r="AI39" i="2"/>
  <c r="AK37" i="2"/>
  <c r="AJ38" i="2"/>
  <c r="AN31" i="2"/>
  <c r="AK35" i="2"/>
  <c r="AJ39" i="2"/>
  <c r="AI31" i="2"/>
  <c r="AJ37" i="2"/>
  <c r="AN35" i="2"/>
  <c r="AN39" i="2"/>
  <c r="AK31" i="2"/>
  <c r="AI37" i="2"/>
  <c r="AO35" i="2"/>
  <c r="AK39" i="2"/>
  <c r="AH31" i="2"/>
  <c r="AG37" i="2"/>
  <c r="AN37" i="2"/>
  <c r="AO39" i="2"/>
  <c r="AJ31" i="2"/>
  <c r="AH37" i="2"/>
  <c r="AH36" i="2"/>
  <c r="AN30" i="2"/>
  <c r="AG53" i="2"/>
  <c r="AJ30" i="2"/>
  <c r="AG42" i="2"/>
  <c r="AI30" i="2"/>
  <c r="AG52" i="2"/>
  <c r="AK34" i="2"/>
  <c r="AO40" i="2"/>
  <c r="AJ34" i="2"/>
  <c r="AG40" i="2"/>
  <c r="AG51" i="2"/>
  <c r="AI34" i="2"/>
  <c r="AK40" i="2"/>
  <c r="D2" i="39"/>
  <c r="D29" i="39"/>
  <c r="C29" i="39"/>
  <c r="C2" i="39"/>
  <c r="CE26" i="2" l="1"/>
  <c r="BZ26" i="2"/>
  <c r="BU26" i="2"/>
  <c r="FC26" i="2"/>
  <c r="CL28" i="2"/>
  <c r="CN26" i="2"/>
  <c r="CM28" i="2"/>
  <c r="CN28" i="2" s="1"/>
  <c r="EQ28" i="2"/>
  <c r="FQ28" i="2"/>
  <c r="FN28" i="2"/>
  <c r="CO28" i="2"/>
  <c r="EM28" i="2"/>
  <c r="EP28" i="2" s="1"/>
  <c r="ES26" i="2"/>
  <c r="EL26" i="2" s="1"/>
  <c r="FR26" i="2"/>
  <c r="FS26" i="2" s="1"/>
  <c r="CQ28" i="2"/>
  <c r="ES28" i="2"/>
  <c r="BN28" i="2"/>
  <c r="CO26" i="2"/>
  <c r="CP26" i="2" s="1"/>
  <c r="DL28" i="2"/>
  <c r="DA28" i="2"/>
  <c r="DF28" i="2"/>
  <c r="BL28" i="2"/>
  <c r="BM28" i="2" s="1"/>
  <c r="FN26" i="2"/>
  <c r="EQ26" i="2"/>
  <c r="FO28" i="2"/>
  <c r="CP28" i="2"/>
  <c r="ER28" i="2"/>
  <c r="EN28" i="2"/>
  <c r="CJ28" i="2"/>
  <c r="BZ28" i="2"/>
  <c r="BU28" i="2"/>
  <c r="EB28" i="2"/>
  <c r="DW28" i="2"/>
  <c r="EG28" i="2"/>
  <c r="EL28" i="2"/>
  <c r="BD26" i="2"/>
  <c r="AT26" i="2"/>
  <c r="AY26" i="2"/>
  <c r="BI26" i="2"/>
  <c r="FS28" i="2"/>
  <c r="DM28" i="2"/>
  <c r="DQ28" i="2"/>
  <c r="DO28" i="2"/>
  <c r="AW93" i="2"/>
  <c r="AZ93" i="2"/>
  <c r="BT93" i="2"/>
  <c r="CI93" i="2"/>
  <c r="DE93" i="2"/>
  <c r="DY93" i="2"/>
  <c r="EU93" i="2"/>
  <c r="FI93" i="2"/>
  <c r="BA93" i="2"/>
  <c r="BX93" i="2"/>
  <c r="CR93" i="2"/>
  <c r="DG93" i="2"/>
  <c r="EC93" i="2"/>
  <c r="EV93" i="2"/>
  <c r="FJ93" i="2"/>
  <c r="BB93" i="2"/>
  <c r="BY93" i="2"/>
  <c r="CS93" i="2"/>
  <c r="DH93" i="2"/>
  <c r="ED93" i="2"/>
  <c r="EW93" i="2"/>
  <c r="FK93" i="2"/>
  <c r="BC93" i="2"/>
  <c r="CA93" i="2"/>
  <c r="CW93" i="2"/>
  <c r="DI93" i="2"/>
  <c r="EE93" i="2"/>
  <c r="EZ93" i="2"/>
  <c r="FL93" i="2"/>
  <c r="AR93" i="2"/>
  <c r="BH93" i="2"/>
  <c r="CB93" i="2"/>
  <c r="CX93" i="2"/>
  <c r="DT93" i="2"/>
  <c r="EF93" i="2"/>
  <c r="FA93" i="2"/>
  <c r="AS93" i="2"/>
  <c r="BQ93" i="2"/>
  <c r="CF93" i="2"/>
  <c r="CY93" i="2"/>
  <c r="DU93" i="2"/>
  <c r="EJ93" i="2"/>
  <c r="FB93" i="2"/>
  <c r="AU93" i="2"/>
  <c r="BR93" i="2"/>
  <c r="CG93" i="2"/>
  <c r="CZ93" i="2"/>
  <c r="DV93" i="2"/>
  <c r="EK93" i="2"/>
  <c r="FD93" i="2"/>
  <c r="AV93" i="2"/>
  <c r="BS93" i="2"/>
  <c r="CH93" i="2"/>
  <c r="DD93" i="2"/>
  <c r="DX93" i="2"/>
  <c r="ET93" i="2"/>
  <c r="FE93" i="2"/>
  <c r="DZ93" i="2"/>
  <c r="FG93" i="2"/>
  <c r="BW93" i="2"/>
  <c r="DJ93" i="2"/>
  <c r="CD93" i="2"/>
  <c r="BV93" i="2"/>
  <c r="EY93" i="2"/>
  <c r="BG93" i="2"/>
  <c r="DB93" i="2"/>
  <c r="CC93" i="2"/>
  <c r="EI93" i="2"/>
  <c r="AQ93" i="2"/>
  <c r="CT93" i="2"/>
  <c r="BE93" i="2"/>
  <c r="EA93" i="2"/>
  <c r="CU93" i="2"/>
  <c r="EH93" i="2"/>
  <c r="AX93" i="2"/>
  <c r="AP93" i="2"/>
  <c r="DS93" i="2"/>
  <c r="DC93" i="2"/>
  <c r="BF93" i="2"/>
  <c r="FF93" i="2"/>
  <c r="CE28" i="2"/>
  <c r="FH26" i="2"/>
  <c r="CJ26" i="2"/>
  <c r="CD12" i="2"/>
  <c r="ED12" i="2"/>
  <c r="CA12" i="2"/>
  <c r="EI12" i="2"/>
  <c r="FI12" i="2"/>
  <c r="CS12" i="2"/>
  <c r="BH12" i="2"/>
  <c r="BG12" i="2"/>
  <c r="EF12" i="2"/>
  <c r="FF12" i="2"/>
  <c r="BF12" i="2"/>
  <c r="CX12" i="2"/>
  <c r="AU12" i="2"/>
  <c r="DC12" i="2"/>
  <c r="DI12" i="2"/>
  <c r="AW12" i="2"/>
  <c r="BA12" i="2"/>
  <c r="EZ12" i="2"/>
  <c r="CB12" i="2"/>
  <c r="DZ12" i="2"/>
  <c r="AP12" i="2"/>
  <c r="BR12" i="2"/>
  <c r="EV12" i="2"/>
  <c r="EC12" i="2"/>
  <c r="CI12" i="2"/>
  <c r="DU12" i="2"/>
  <c r="EJ12" i="2"/>
  <c r="CC12" i="2"/>
  <c r="AQ12" i="2"/>
  <c r="DB12" i="2"/>
  <c r="DR12" i="2" s="1"/>
  <c r="DF12" i="2" s="1"/>
  <c r="FB12" i="2"/>
  <c r="EW12" i="2"/>
  <c r="EA12" i="2"/>
  <c r="BX12" i="2"/>
  <c r="FE12" i="2"/>
  <c r="CR12" i="2"/>
  <c r="DD12" i="2"/>
  <c r="AR12" i="2"/>
  <c r="BL12" i="2" s="1"/>
  <c r="ET12" i="2"/>
  <c r="FD12" i="2"/>
  <c r="DH12" i="2"/>
  <c r="BS12" i="2"/>
  <c r="CM12" i="2" s="1"/>
  <c r="EU12" i="2"/>
  <c r="DV12" i="2"/>
  <c r="DX12" i="2"/>
  <c r="CG12" i="2"/>
  <c r="AS12" i="2"/>
  <c r="EE12" i="2"/>
  <c r="EH12" i="2"/>
  <c r="CH12" i="2"/>
  <c r="FK12" i="2"/>
  <c r="BT12" i="2"/>
  <c r="DS12" i="2"/>
  <c r="CY12" i="2"/>
  <c r="DJ12" i="2"/>
  <c r="BB12" i="2"/>
  <c r="CW12" i="2"/>
  <c r="DE12" i="2"/>
  <c r="BQ12" i="2"/>
  <c r="BY12" i="2"/>
  <c r="CT12" i="2"/>
  <c r="DG12" i="2"/>
  <c r="AZ12" i="2"/>
  <c r="CF12" i="2"/>
  <c r="EY12" i="2"/>
  <c r="BV12" i="2"/>
  <c r="BE12" i="2"/>
  <c r="DY12" i="2"/>
  <c r="EM12" i="2" s="1"/>
  <c r="AV12" i="2"/>
  <c r="CZ12" i="2"/>
  <c r="DP12" i="2" s="1"/>
  <c r="EK12" i="2"/>
  <c r="DT12" i="2"/>
  <c r="CU12" i="2"/>
  <c r="AX12" i="2"/>
  <c r="BW12" i="2"/>
  <c r="FA12" i="2"/>
  <c r="FP12" i="2" s="1"/>
  <c r="FQ12" i="2" s="1"/>
  <c r="BC12" i="2"/>
  <c r="BN12" i="2" s="1"/>
  <c r="FJ12" i="2"/>
  <c r="FN12" i="2" s="1"/>
  <c r="FL12" i="2"/>
  <c r="FG12" i="2"/>
  <c r="CQ12" i="2"/>
  <c r="FR12" i="2"/>
  <c r="FG14" i="2"/>
  <c r="DD14" i="2"/>
  <c r="AU14" i="2"/>
  <c r="DZ14" i="2"/>
  <c r="AP14" i="2"/>
  <c r="CR14" i="2"/>
  <c r="BR14" i="2"/>
  <c r="EZ14" i="2"/>
  <c r="FN14" i="2" s="1"/>
  <c r="EJ14" i="2"/>
  <c r="CI14" i="2"/>
  <c r="CS14" i="2"/>
  <c r="BT14" i="2"/>
  <c r="CO14" i="2" s="1"/>
  <c r="DJ14" i="2"/>
  <c r="FL14" i="2"/>
  <c r="FJ14" i="2"/>
  <c r="BB14" i="2"/>
  <c r="EA14" i="2"/>
  <c r="CW14" i="2"/>
  <c r="BX14" i="2"/>
  <c r="CF14" i="2"/>
  <c r="CY14" i="2"/>
  <c r="CA14" i="2"/>
  <c r="BE14" i="2"/>
  <c r="DB14" i="2"/>
  <c r="DR14" i="2" s="1"/>
  <c r="DK14" i="2" s="1"/>
  <c r="FD14" i="2"/>
  <c r="FB14" i="2"/>
  <c r="FA14" i="2"/>
  <c r="CB14" i="2"/>
  <c r="BY14" i="2"/>
  <c r="BC14" i="2"/>
  <c r="BN14" i="2" s="1"/>
  <c r="AZ14" i="2"/>
  <c r="DG14" i="2"/>
  <c r="BW14" i="2"/>
  <c r="CD14" i="2"/>
  <c r="CZ14" i="2"/>
  <c r="BS14" i="2"/>
  <c r="AS14" i="2"/>
  <c r="DS14" i="2"/>
  <c r="BV14" i="2"/>
  <c r="ET14" i="2"/>
  <c r="BH14" i="2"/>
  <c r="EU14" i="2"/>
  <c r="DE14" i="2"/>
  <c r="CG14" i="2"/>
  <c r="BF14" i="2"/>
  <c r="ED14" i="2"/>
  <c r="AW14" i="2"/>
  <c r="BL14" i="2" s="1"/>
  <c r="EI14" i="2"/>
  <c r="CU14" i="2"/>
  <c r="AX14" i="2"/>
  <c r="DV14" i="2"/>
  <c r="BQ14" i="2"/>
  <c r="DU14" i="2"/>
  <c r="EC14" i="2"/>
  <c r="DY14" i="2"/>
  <c r="EV14" i="2"/>
  <c r="CX14" i="2"/>
  <c r="BG14" i="2"/>
  <c r="DI14" i="2"/>
  <c r="FK14" i="2"/>
  <c r="EY14" i="2"/>
  <c r="FF14" i="2"/>
  <c r="EF14" i="2"/>
  <c r="CH14" i="2"/>
  <c r="AV14" i="2"/>
  <c r="AR14" i="2"/>
  <c r="CT14" i="2"/>
  <c r="DN14" i="2" s="1"/>
  <c r="EE14" i="2"/>
  <c r="DX14" i="2"/>
  <c r="AQ14" i="2"/>
  <c r="EK14" i="2"/>
  <c r="EW14" i="2"/>
  <c r="FR14" i="2" s="1"/>
  <c r="DH14" i="2"/>
  <c r="DC14" i="2"/>
  <c r="CC14" i="2"/>
  <c r="BA14" i="2"/>
  <c r="DT14" i="2"/>
  <c r="EH14" i="2"/>
  <c r="FE14" i="2"/>
  <c r="FI14" i="2"/>
  <c r="CR7" i="2"/>
  <c r="CY7" i="2"/>
  <c r="ET7" i="2"/>
  <c r="FT7" i="2" s="1"/>
  <c r="FA7" i="2"/>
  <c r="BQ7" i="2"/>
  <c r="BX7" i="2"/>
  <c r="DS7" i="2"/>
  <c r="DY7" i="2"/>
  <c r="DJ7" i="2"/>
  <c r="DZ7" i="2"/>
  <c r="EO7" i="2" s="1"/>
  <c r="FD7" i="2"/>
  <c r="BT7" i="2"/>
  <c r="CA7" i="2"/>
  <c r="DV7" i="2"/>
  <c r="EC7" i="2"/>
  <c r="AS7" i="2"/>
  <c r="AZ7" i="2"/>
  <c r="CU7" i="2"/>
  <c r="CS7" i="2"/>
  <c r="DL7" i="2" s="1"/>
  <c r="BV7" i="2"/>
  <c r="EF7" i="2"/>
  <c r="FK7" i="2"/>
  <c r="BC7" i="2"/>
  <c r="CH7" i="2"/>
  <c r="DE7" i="2"/>
  <c r="EJ7" i="2"/>
  <c r="FG7" i="2"/>
  <c r="BG7" i="2"/>
  <c r="BE7" i="2"/>
  <c r="AP7" i="2"/>
  <c r="DX7" i="2"/>
  <c r="EU7" i="2"/>
  <c r="AU7" i="2"/>
  <c r="BP7" i="2" s="1"/>
  <c r="BR7" i="2"/>
  <c r="CW7" i="2"/>
  <c r="DT7" i="2"/>
  <c r="EY7" i="2"/>
  <c r="AQ7" i="2"/>
  <c r="AW7" i="2"/>
  <c r="FF7" i="2"/>
  <c r="DH7" i="2"/>
  <c r="EE7" i="2"/>
  <c r="FJ7" i="2"/>
  <c r="BB7" i="2"/>
  <c r="CG7" i="2"/>
  <c r="DD7" i="2"/>
  <c r="EI7" i="2"/>
  <c r="FE7" i="2"/>
  <c r="BF7" i="2"/>
  <c r="CT7" i="2"/>
  <c r="DN7" i="2" s="1"/>
  <c r="CZ7" i="2"/>
  <c r="CX7" i="2"/>
  <c r="BH7" i="2"/>
  <c r="EH7" i="2"/>
  <c r="CB7" i="2"/>
  <c r="FI7" i="2"/>
  <c r="AR7" i="2"/>
  <c r="BL7" i="2" s="1"/>
  <c r="AX7" i="2"/>
  <c r="BN7" i="2" s="1"/>
  <c r="AV7" i="2"/>
  <c r="EK7" i="2"/>
  <c r="EA7" i="2"/>
  <c r="DB7" i="2"/>
  <c r="DG7" i="2"/>
  <c r="DU7" i="2"/>
  <c r="DC7" i="2"/>
  <c r="CD7" i="2"/>
  <c r="CI7" i="2"/>
  <c r="BY7" i="2"/>
  <c r="BW7" i="2"/>
  <c r="BS7" i="2"/>
  <c r="CM7" i="2" s="1"/>
  <c r="BA7" i="2"/>
  <c r="EW7" i="2"/>
  <c r="FL7" i="2"/>
  <c r="FB7" i="2"/>
  <c r="EZ7" i="2"/>
  <c r="DI7" i="2"/>
  <c r="EV7" i="2"/>
  <c r="ED7" i="2"/>
  <c r="CF7" i="2"/>
  <c r="CQ7" i="2" s="1"/>
  <c r="CC7" i="2"/>
  <c r="CK7" i="2"/>
  <c r="CL7" i="2" s="1"/>
  <c r="CO7" i="2"/>
  <c r="CP7" i="2" s="1"/>
  <c r="EQ7" i="2"/>
  <c r="BE95" i="2"/>
  <c r="CC95" i="2"/>
  <c r="DH95" i="2"/>
  <c r="EC95" i="2"/>
  <c r="FA95" i="2"/>
  <c r="BF95" i="2"/>
  <c r="CD95" i="2"/>
  <c r="DI95" i="2"/>
  <c r="EF95" i="2"/>
  <c r="FF95" i="2"/>
  <c r="BG95" i="2"/>
  <c r="CT95" i="2"/>
  <c r="DJ95" i="2"/>
  <c r="EJ95" i="2"/>
  <c r="FG95" i="2"/>
  <c r="BH95" i="2"/>
  <c r="CU95" i="2"/>
  <c r="DS95" i="2"/>
  <c r="EK95" i="2"/>
  <c r="FI95" i="2"/>
  <c r="AS95" i="2"/>
  <c r="BQ95" i="2"/>
  <c r="CW95" i="2"/>
  <c r="DT95" i="2"/>
  <c r="EV95" i="2"/>
  <c r="FL95" i="2"/>
  <c r="AV95" i="2"/>
  <c r="BT95" i="2"/>
  <c r="CZ95" i="2"/>
  <c r="DU95" i="2"/>
  <c r="EW95" i="2"/>
  <c r="AW95" i="2"/>
  <c r="BY95" i="2"/>
  <c r="DD95" i="2"/>
  <c r="DZ95" i="2"/>
  <c r="EY95" i="2"/>
  <c r="AX95" i="2"/>
  <c r="CB95" i="2"/>
  <c r="DE95" i="2"/>
  <c r="EA95" i="2"/>
  <c r="EZ95" i="2"/>
  <c r="BR95" i="2"/>
  <c r="FJ95" i="2"/>
  <c r="EE95" i="2"/>
  <c r="BX95" i="2"/>
  <c r="EI95" i="2"/>
  <c r="AU95" i="2"/>
  <c r="DX95" i="2"/>
  <c r="CH95" i="2"/>
  <c r="BC95" i="2"/>
  <c r="FE95" i="2"/>
  <c r="CF95" i="2"/>
  <c r="CI95" i="2"/>
  <c r="AZ95" i="2"/>
  <c r="CG95" i="2"/>
  <c r="CX95" i="2"/>
  <c r="BS95" i="2"/>
  <c r="DY95" i="2"/>
  <c r="BV95" i="2"/>
  <c r="CA95" i="2"/>
  <c r="DC95" i="2"/>
  <c r="FD95" i="2"/>
  <c r="DV95" i="2"/>
  <c r="CS95" i="2"/>
  <c r="EH95" i="2"/>
  <c r="AP95" i="2"/>
  <c r="AR95" i="2"/>
  <c r="CY95" i="2"/>
  <c r="FB95" i="2"/>
  <c r="EU95" i="2"/>
  <c r="BA95" i="2"/>
  <c r="DB95" i="2"/>
  <c r="BB95" i="2"/>
  <c r="FK95" i="2"/>
  <c r="AQ95" i="2"/>
  <c r="CR95" i="2"/>
  <c r="ED95" i="2"/>
  <c r="ET95" i="2"/>
  <c r="DG95" i="2"/>
  <c r="BW95" i="2"/>
  <c r="CV26" i="2"/>
  <c r="DF26" i="2"/>
  <c r="EM26" i="2"/>
  <c r="EJ27" i="2"/>
  <c r="FG27" i="2"/>
  <c r="BG27" i="2"/>
  <c r="CD27" i="2"/>
  <c r="DI27" i="2"/>
  <c r="EF27" i="2"/>
  <c r="FK27" i="2"/>
  <c r="BC27" i="2"/>
  <c r="CH27" i="2"/>
  <c r="BA27" i="2"/>
  <c r="DT27" i="2"/>
  <c r="EY27" i="2"/>
  <c r="AQ27" i="2"/>
  <c r="BV27" i="2"/>
  <c r="CS27" i="2"/>
  <c r="DX27" i="2"/>
  <c r="EU27" i="2"/>
  <c r="AU27" i="2"/>
  <c r="BR27" i="2"/>
  <c r="DE27" i="2"/>
  <c r="DD27" i="2"/>
  <c r="EI27" i="2"/>
  <c r="FF27" i="2"/>
  <c r="BF27" i="2"/>
  <c r="CC27" i="2"/>
  <c r="DH27" i="2"/>
  <c r="EE27" i="2"/>
  <c r="FJ27" i="2"/>
  <c r="BB27" i="2"/>
  <c r="AS27" i="2"/>
  <c r="EA27" i="2"/>
  <c r="AX27" i="2"/>
  <c r="BE27" i="2"/>
  <c r="DG27" i="2"/>
  <c r="EK27" i="2"/>
  <c r="CF27" i="2"/>
  <c r="EH27" i="2"/>
  <c r="CZ27" i="2"/>
  <c r="FB27" i="2"/>
  <c r="FI27" i="2"/>
  <c r="BX27" i="2"/>
  <c r="DS27" i="2"/>
  <c r="DZ27" i="2"/>
  <c r="EO27" i="2" s="1"/>
  <c r="AP27" i="2"/>
  <c r="AW27" i="2"/>
  <c r="CR27" i="2"/>
  <c r="CY27" i="2"/>
  <c r="ET27" i="2"/>
  <c r="BY27" i="2"/>
  <c r="CW27" i="2"/>
  <c r="BH27" i="2"/>
  <c r="DC27" i="2"/>
  <c r="DJ27" i="2"/>
  <c r="FE27" i="2"/>
  <c r="FL27" i="2"/>
  <c r="CB27" i="2"/>
  <c r="CI27" i="2"/>
  <c r="ED27" i="2"/>
  <c r="EC27" i="2"/>
  <c r="CG27" i="2"/>
  <c r="BW27" i="2"/>
  <c r="AV27" i="2"/>
  <c r="EZ27" i="2"/>
  <c r="AZ27" i="2"/>
  <c r="DB27" i="2"/>
  <c r="CA27" i="2"/>
  <c r="EW27" i="2"/>
  <c r="FR27" i="2" s="1"/>
  <c r="DY27" i="2"/>
  <c r="FD27" i="2"/>
  <c r="CT27" i="2"/>
  <c r="BS27" i="2"/>
  <c r="DV27" i="2"/>
  <c r="CX27" i="2"/>
  <c r="BQ27" i="2"/>
  <c r="AR27" i="2"/>
  <c r="BL27" i="2" s="1"/>
  <c r="EV27" i="2"/>
  <c r="FP27" i="2" s="1"/>
  <c r="DU27" i="2"/>
  <c r="CU27" i="2"/>
  <c r="BT27" i="2"/>
  <c r="FA27" i="2"/>
  <c r="DN27" i="2"/>
  <c r="BP27" i="2"/>
  <c r="BD27" i="2" s="1"/>
  <c r="BR10" i="2"/>
  <c r="BG10" i="2"/>
  <c r="DI10" i="2"/>
  <c r="AU10" i="2"/>
  <c r="EZ10" i="2"/>
  <c r="CC10" i="2"/>
  <c r="DH10" i="2"/>
  <c r="AS10" i="2"/>
  <c r="EK10" i="2"/>
  <c r="CT10" i="2"/>
  <c r="BC10" i="2"/>
  <c r="AW10" i="2"/>
  <c r="EC10" i="2"/>
  <c r="CB10" i="2"/>
  <c r="BF10" i="2"/>
  <c r="FG10" i="2"/>
  <c r="FB10" i="2"/>
  <c r="ET10" i="2"/>
  <c r="EE10" i="2"/>
  <c r="DY10" i="2"/>
  <c r="BH10" i="2"/>
  <c r="EW10" i="2"/>
  <c r="EH10" i="2"/>
  <c r="DS10" i="2"/>
  <c r="CA10" i="2"/>
  <c r="EF10" i="2"/>
  <c r="AQ10" i="2"/>
  <c r="CW10" i="2"/>
  <c r="CG10" i="2"/>
  <c r="ED10" i="2"/>
  <c r="CD10" i="2"/>
  <c r="CY10" i="2"/>
  <c r="EV10" i="2"/>
  <c r="EJ10" i="2"/>
  <c r="FF10" i="2"/>
  <c r="BB10" i="2"/>
  <c r="AX10" i="2"/>
  <c r="CI10" i="2"/>
  <c r="BQ10" i="2"/>
  <c r="CS10" i="2"/>
  <c r="DL10" i="2" s="1"/>
  <c r="BT10" i="2"/>
  <c r="DG10" i="2"/>
  <c r="AZ10" i="2"/>
  <c r="BV10" i="2"/>
  <c r="AP10" i="2"/>
  <c r="DC10" i="2"/>
  <c r="AR10" i="2"/>
  <c r="DU10" i="2"/>
  <c r="BS10" i="2"/>
  <c r="DD10" i="2"/>
  <c r="CZ10" i="2"/>
  <c r="CH10" i="2"/>
  <c r="FE10" i="2"/>
  <c r="DV10" i="2"/>
  <c r="EQ10" i="2" s="1"/>
  <c r="BE10" i="2"/>
  <c r="CF10" i="2"/>
  <c r="EA10" i="2"/>
  <c r="BA10" i="2"/>
  <c r="BW10" i="2"/>
  <c r="DJ10" i="2"/>
  <c r="FJ10" i="2"/>
  <c r="FL10" i="2"/>
  <c r="EI10" i="2"/>
  <c r="DZ10" i="2"/>
  <c r="BY10" i="2"/>
  <c r="DT10" i="2"/>
  <c r="AV10" i="2"/>
  <c r="CX10" i="2"/>
  <c r="DE10" i="2"/>
  <c r="EU10" i="2"/>
  <c r="FA10" i="2"/>
  <c r="EY10" i="2"/>
  <c r="CR10" i="2"/>
  <c r="FD10" i="2"/>
  <c r="CU10" i="2"/>
  <c r="DX10" i="2"/>
  <c r="BX10" i="2"/>
  <c r="FI10" i="2"/>
  <c r="DB10" i="2"/>
  <c r="FK10" i="2"/>
  <c r="FD18" i="2"/>
  <c r="DV18" i="2"/>
  <c r="DJ18" i="2"/>
  <c r="BH18" i="2"/>
  <c r="AR18" i="2"/>
  <c r="DZ18" i="2"/>
  <c r="BS18" i="2"/>
  <c r="DE18" i="2"/>
  <c r="EY18" i="2"/>
  <c r="FT18" i="2" s="1"/>
  <c r="FC18" i="2" s="1"/>
  <c r="AQ18" i="2"/>
  <c r="CF18" i="2"/>
  <c r="BR18" i="2"/>
  <c r="ET18" i="2"/>
  <c r="CR18" i="2"/>
  <c r="BV18" i="2"/>
  <c r="FB18" i="2"/>
  <c r="AW18" i="2"/>
  <c r="FK18" i="2"/>
  <c r="BC18" i="2"/>
  <c r="CW18" i="2"/>
  <c r="EI18" i="2"/>
  <c r="AZ18" i="2"/>
  <c r="CS18" i="2"/>
  <c r="FJ18" i="2"/>
  <c r="EJ18" i="2"/>
  <c r="DT18" i="2"/>
  <c r="CX18" i="2"/>
  <c r="CB18" i="2"/>
  <c r="CT18" i="2"/>
  <c r="AX18" i="2"/>
  <c r="FF18" i="2"/>
  <c r="EH18" i="2"/>
  <c r="EZ18" i="2"/>
  <c r="DB18" i="2"/>
  <c r="FI18" i="2"/>
  <c r="BA18" i="2"/>
  <c r="BG18" i="2"/>
  <c r="FE18" i="2"/>
  <c r="AP18" i="2"/>
  <c r="EU18" i="2"/>
  <c r="FA18" i="2"/>
  <c r="AS18" i="2"/>
  <c r="BN18" i="2" s="1"/>
  <c r="CZ18" i="2"/>
  <c r="CC18" i="2"/>
  <c r="DH18" i="2"/>
  <c r="DI18" i="2"/>
  <c r="EV18" i="2"/>
  <c r="EE18" i="2"/>
  <c r="EK18" i="2"/>
  <c r="EQ18" i="2" s="1"/>
  <c r="FG18" i="2"/>
  <c r="DY18" i="2"/>
  <c r="CD18" i="2"/>
  <c r="BE18" i="2"/>
  <c r="DG18" i="2"/>
  <c r="EC18" i="2"/>
  <c r="EA18" i="2"/>
  <c r="FL18" i="2"/>
  <c r="FR18" i="2" s="1"/>
  <c r="CH18" i="2"/>
  <c r="CM18" i="2" s="1"/>
  <c r="CY18" i="2"/>
  <c r="DU18" i="2"/>
  <c r="DS18" i="2"/>
  <c r="CI18" i="2"/>
  <c r="CG18" i="2"/>
  <c r="DC18" i="2"/>
  <c r="BF18" i="2"/>
  <c r="BB18" i="2"/>
  <c r="BX18" i="2"/>
  <c r="CA18" i="2"/>
  <c r="BW18" i="2"/>
  <c r="CK18" i="2" s="1"/>
  <c r="EW18" i="2"/>
  <c r="DD18" i="2"/>
  <c r="AU18" i="2"/>
  <c r="BP18" i="2" s="1"/>
  <c r="ED18" i="2"/>
  <c r="BY18" i="2"/>
  <c r="BQ18" i="2"/>
  <c r="CU18" i="2"/>
  <c r="BT18" i="2"/>
  <c r="CO18" i="2" s="1"/>
  <c r="AV18" i="2"/>
  <c r="EF18" i="2"/>
  <c r="DX18" i="2"/>
  <c r="ES18" i="2" s="1"/>
  <c r="FP18" i="2"/>
  <c r="EI17" i="2"/>
  <c r="DC17" i="2"/>
  <c r="DI17" i="2"/>
  <c r="CY17" i="2"/>
  <c r="DT17" i="2"/>
  <c r="DE17" i="2"/>
  <c r="CD17" i="2"/>
  <c r="FL17" i="2"/>
  <c r="DX17" i="2"/>
  <c r="DJ17" i="2"/>
  <c r="CH17" i="2"/>
  <c r="CU17" i="2"/>
  <c r="CS17" i="2"/>
  <c r="CI17" i="2"/>
  <c r="CT17" i="2"/>
  <c r="DN17" i="2" s="1"/>
  <c r="CR17" i="2"/>
  <c r="BQ17" i="2"/>
  <c r="EZ17" i="2"/>
  <c r="CX17" i="2"/>
  <c r="CW17" i="2"/>
  <c r="AW17" i="2"/>
  <c r="BW17" i="2"/>
  <c r="CC17" i="2"/>
  <c r="CA17" i="2"/>
  <c r="CG17" i="2"/>
  <c r="CF17" i="2"/>
  <c r="AS17" i="2"/>
  <c r="BN17" i="2" s="1"/>
  <c r="DZ17" i="2"/>
  <c r="BY17" i="2"/>
  <c r="BX17" i="2"/>
  <c r="ET17" i="2"/>
  <c r="FT17" i="2" s="1"/>
  <c r="FM17" i="2" s="1"/>
  <c r="BG17" i="2"/>
  <c r="BE17" i="2"/>
  <c r="BS17" i="2"/>
  <c r="BT17" i="2"/>
  <c r="BR17" i="2"/>
  <c r="FA17" i="2"/>
  <c r="CZ17" i="2"/>
  <c r="AZ17" i="2"/>
  <c r="AX17" i="2"/>
  <c r="FG17" i="2"/>
  <c r="AQ17" i="2"/>
  <c r="FK17" i="2"/>
  <c r="BC17" i="2"/>
  <c r="BH17" i="2"/>
  <c r="BF17" i="2"/>
  <c r="DB17" i="2"/>
  <c r="BA17" i="2"/>
  <c r="FI17" i="2"/>
  <c r="DH17" i="2"/>
  <c r="EY17" i="2"/>
  <c r="FE17" i="2"/>
  <c r="EU17" i="2"/>
  <c r="AU17" i="2"/>
  <c r="AV17" i="2"/>
  <c r="FB17" i="2"/>
  <c r="CB17" i="2"/>
  <c r="AP17" i="2"/>
  <c r="EV17" i="2"/>
  <c r="BV17" i="2"/>
  <c r="DS17" i="2"/>
  <c r="DW17" i="2" s="1"/>
  <c r="ED17" i="2"/>
  <c r="DV17" i="2"/>
  <c r="EQ17" i="2" s="1"/>
  <c r="EE17" i="2"/>
  <c r="FJ17" i="2"/>
  <c r="EW17" i="2"/>
  <c r="FR17" i="2" s="1"/>
  <c r="EC17" i="2"/>
  <c r="EH17" i="2"/>
  <c r="DG17" i="2"/>
  <c r="FF17" i="2"/>
  <c r="DY17" i="2"/>
  <c r="EM17" i="2" s="1"/>
  <c r="EN17" i="2" s="1"/>
  <c r="DD17" i="2"/>
  <c r="DU17" i="2"/>
  <c r="BB17" i="2"/>
  <c r="AR17" i="2"/>
  <c r="EF17" i="2"/>
  <c r="EK17" i="2"/>
  <c r="EA17" i="2"/>
  <c r="FD17" i="2"/>
  <c r="EJ17" i="2"/>
  <c r="ES17" i="2"/>
  <c r="EO17" i="2"/>
  <c r="BH96" i="2"/>
  <c r="AS96" i="2"/>
  <c r="EC96" i="2"/>
  <c r="AU96" i="2"/>
  <c r="AV96" i="2"/>
  <c r="AW96" i="2"/>
  <c r="DJ96" i="2"/>
  <c r="BV96" i="2"/>
  <c r="BX96" i="2"/>
  <c r="BA96" i="2"/>
  <c r="EK96" i="2"/>
  <c r="BE96" i="2"/>
  <c r="BF96" i="2"/>
  <c r="CF96" i="2"/>
  <c r="BQ96" i="2"/>
  <c r="FA96" i="2"/>
  <c r="CA96" i="2"/>
  <c r="BR96" i="2"/>
  <c r="BS96" i="2"/>
  <c r="FJ96" i="2"/>
  <c r="EF96" i="2"/>
  <c r="CR96" i="2"/>
  <c r="BC96" i="2"/>
  <c r="FE96" i="2"/>
  <c r="DD96" i="2"/>
  <c r="BY96" i="2"/>
  <c r="CT96" i="2"/>
  <c r="CU96" i="2"/>
  <c r="CC96" i="2"/>
  <c r="AX96" i="2"/>
  <c r="FB96" i="2"/>
  <c r="DB96" i="2"/>
  <c r="CG96" i="2"/>
  <c r="CY96" i="2"/>
  <c r="FK96" i="2"/>
  <c r="FL96" i="2"/>
  <c r="CB96" i="2"/>
  <c r="BW96" i="2"/>
  <c r="DT96" i="2"/>
  <c r="DG96" i="2"/>
  <c r="CX96" i="2"/>
  <c r="EJ96" i="2"/>
  <c r="CW96" i="2"/>
  <c r="DZ96" i="2"/>
  <c r="EA96" i="2"/>
  <c r="DH96" i="2"/>
  <c r="DI96" i="2"/>
  <c r="BT96" i="2"/>
  <c r="DX96" i="2"/>
  <c r="CS96" i="2"/>
  <c r="CI96" i="2"/>
  <c r="FI96" i="2"/>
  <c r="AP96" i="2"/>
  <c r="DC96" i="2"/>
  <c r="DE96" i="2"/>
  <c r="BB96" i="2"/>
  <c r="DY96" i="2"/>
  <c r="EE96" i="2"/>
  <c r="FF96" i="2"/>
  <c r="CD96" i="2"/>
  <c r="BG96" i="2"/>
  <c r="EH96" i="2"/>
  <c r="EY96" i="2"/>
  <c r="AR96" i="2"/>
  <c r="FD96" i="2"/>
  <c r="DU96" i="2"/>
  <c r="DS96" i="2"/>
  <c r="CH96" i="2"/>
  <c r="EI96" i="2"/>
  <c r="EV96" i="2"/>
  <c r="EU96" i="2"/>
  <c r="ET96" i="2"/>
  <c r="EW96" i="2"/>
  <c r="AZ96" i="2"/>
  <c r="FG96" i="2"/>
  <c r="CZ96" i="2"/>
  <c r="AQ96" i="2"/>
  <c r="EZ96" i="2"/>
  <c r="ED96" i="2"/>
  <c r="DV96" i="2"/>
  <c r="CV28" i="2"/>
  <c r="CL26" i="2"/>
  <c r="FB13" i="2"/>
  <c r="FF13" i="2"/>
  <c r="BF13" i="2"/>
  <c r="CW13" i="2"/>
  <c r="BE13" i="2"/>
  <c r="CI13" i="2"/>
  <c r="CR13" i="2"/>
  <c r="DU13" i="2"/>
  <c r="CF13" i="2"/>
  <c r="BY13" i="2"/>
  <c r="ET13" i="2"/>
  <c r="EH13" i="2"/>
  <c r="AX13" i="2"/>
  <c r="CB13" i="2"/>
  <c r="AU13" i="2"/>
  <c r="BX13" i="2"/>
  <c r="CG13" i="2"/>
  <c r="CK13" i="2" s="1"/>
  <c r="CZ13" i="2"/>
  <c r="DP13" i="2" s="1"/>
  <c r="FK13" i="2"/>
  <c r="AW13" i="2"/>
  <c r="ED13" i="2"/>
  <c r="DZ13" i="2"/>
  <c r="AP13" i="2"/>
  <c r="BQ13" i="2"/>
  <c r="FE13" i="2"/>
  <c r="BC13" i="2"/>
  <c r="BW13" i="2"/>
  <c r="BT13" i="2"/>
  <c r="DE13" i="2"/>
  <c r="EA13" i="2"/>
  <c r="EQ13" i="2" s="1"/>
  <c r="DJ13" i="2"/>
  <c r="BG13" i="2"/>
  <c r="AR13" i="2"/>
  <c r="BL13" i="2" s="1"/>
  <c r="EV13" i="2"/>
  <c r="FP13" i="2" s="1"/>
  <c r="CY13" i="2"/>
  <c r="DV13" i="2"/>
  <c r="FI13" i="2"/>
  <c r="EU13" i="2"/>
  <c r="BA13" i="2"/>
  <c r="CC13" i="2"/>
  <c r="CX13" i="2"/>
  <c r="DB13" i="2"/>
  <c r="EY13" i="2"/>
  <c r="AV13" i="2"/>
  <c r="EJ13" i="2"/>
  <c r="FD13" i="2"/>
  <c r="AQ13" i="2"/>
  <c r="DT13" i="2"/>
  <c r="AZ13" i="2"/>
  <c r="BP13" i="2" s="1"/>
  <c r="BI13" i="2" s="1"/>
  <c r="AS13" i="2"/>
  <c r="CH13" i="2"/>
  <c r="CT13" i="2"/>
  <c r="EC13" i="2"/>
  <c r="EW13" i="2"/>
  <c r="DY13" i="2"/>
  <c r="EI13" i="2"/>
  <c r="FL13" i="2"/>
  <c r="BH13" i="2"/>
  <c r="CU13" i="2"/>
  <c r="EZ13" i="2"/>
  <c r="FJ13" i="2"/>
  <c r="CA13" i="2"/>
  <c r="DI13" i="2"/>
  <c r="CD13" i="2"/>
  <c r="BS13" i="2"/>
  <c r="CM13" i="2" s="1"/>
  <c r="BV13" i="2"/>
  <c r="BR13" i="2"/>
  <c r="DD13" i="2"/>
  <c r="FG13" i="2"/>
  <c r="DS13" i="2"/>
  <c r="ES13" i="2" s="1"/>
  <c r="EB13" i="2" s="1"/>
  <c r="BB13" i="2"/>
  <c r="CS13" i="2"/>
  <c r="EE13" i="2"/>
  <c r="EO13" i="2" s="1"/>
  <c r="DX13" i="2"/>
  <c r="DC13" i="2"/>
  <c r="FA13" i="2"/>
  <c r="DH13" i="2"/>
  <c r="EF13" i="2"/>
  <c r="DG13" i="2"/>
  <c r="EK13" i="2"/>
  <c r="FT13" i="2"/>
  <c r="FH13" i="2" s="1"/>
  <c r="DN13" i="2"/>
  <c r="DH9" i="2"/>
  <c r="EI9" i="2"/>
  <c r="CG9" i="2"/>
  <c r="DZ9" i="2"/>
  <c r="AW9" i="2"/>
  <c r="DE9" i="2"/>
  <c r="CY9" i="2"/>
  <c r="CR9" i="2"/>
  <c r="EZ9" i="2"/>
  <c r="BV9" i="2"/>
  <c r="DV9" i="2"/>
  <c r="CT9" i="2"/>
  <c r="CU9" i="2"/>
  <c r="FJ9" i="2"/>
  <c r="DX9" i="2"/>
  <c r="BS9" i="2"/>
  <c r="DT9" i="2"/>
  <c r="CW9" i="2"/>
  <c r="CB9" i="2"/>
  <c r="DS9" i="2"/>
  <c r="AV9" i="2"/>
  <c r="DI9" i="2"/>
  <c r="CF9" i="2"/>
  <c r="EC9" i="2"/>
  <c r="AP9" i="2"/>
  <c r="AS9" i="2"/>
  <c r="EJ9" i="2"/>
  <c r="BH9" i="2"/>
  <c r="BC9" i="2"/>
  <c r="FK9" i="2"/>
  <c r="DY9" i="2"/>
  <c r="BX9" i="2"/>
  <c r="BF9" i="2"/>
  <c r="CZ9" i="2"/>
  <c r="EE9" i="2"/>
  <c r="CA9" i="2"/>
  <c r="EW9" i="2"/>
  <c r="AX9" i="2"/>
  <c r="ET9" i="2"/>
  <c r="CC9" i="2"/>
  <c r="BW9" i="2"/>
  <c r="BR9" i="2"/>
  <c r="CK9" i="2" s="1"/>
  <c r="EU9" i="2"/>
  <c r="FA9" i="2"/>
  <c r="AR9" i="2"/>
  <c r="BB9" i="2"/>
  <c r="EA9" i="2"/>
  <c r="BY9" i="2"/>
  <c r="FD9" i="2"/>
  <c r="CX9" i="2"/>
  <c r="EY9" i="2"/>
  <c r="EV9" i="2"/>
  <c r="ED9" i="2"/>
  <c r="BE9" i="2"/>
  <c r="FG9" i="2"/>
  <c r="BT9" i="2"/>
  <c r="BG9" i="2"/>
  <c r="AZ9" i="2"/>
  <c r="FF9" i="2"/>
  <c r="FE9" i="2"/>
  <c r="DD9" i="2"/>
  <c r="DC9" i="2"/>
  <c r="CH9" i="2"/>
  <c r="EK9" i="2"/>
  <c r="AU9" i="2"/>
  <c r="EF9" i="2"/>
  <c r="DU9" i="2"/>
  <c r="CS9" i="2"/>
  <c r="EH9" i="2"/>
  <c r="FI9" i="2"/>
  <c r="DG9" i="2"/>
  <c r="FB9" i="2"/>
  <c r="BQ9" i="2"/>
  <c r="AQ9" i="2"/>
  <c r="BA9" i="2"/>
  <c r="DJ9" i="2"/>
  <c r="CD9" i="2"/>
  <c r="CI9" i="2"/>
  <c r="FL9" i="2"/>
  <c r="DB9" i="2"/>
  <c r="BA94" i="2"/>
  <c r="CA94" i="2"/>
  <c r="CY94" i="2"/>
  <c r="DU94" i="2"/>
  <c r="EK94" i="2"/>
  <c r="FI94" i="2"/>
  <c r="BB94" i="2"/>
  <c r="CD94" i="2"/>
  <c r="DC94" i="2"/>
  <c r="DZ94" i="2"/>
  <c r="ET94" i="2"/>
  <c r="FJ94" i="2"/>
  <c r="BF94" i="2"/>
  <c r="CH94" i="2"/>
  <c r="DD94" i="2"/>
  <c r="EA94" i="2"/>
  <c r="EU94" i="2"/>
  <c r="FK94" i="2"/>
  <c r="BG94" i="2"/>
  <c r="CI94" i="2"/>
  <c r="DE94" i="2"/>
  <c r="EC94" i="2"/>
  <c r="EY94" i="2"/>
  <c r="AQ94" i="2"/>
  <c r="BQ94" i="2"/>
  <c r="CT94" i="2"/>
  <c r="DG94" i="2"/>
  <c r="ED94" i="2"/>
  <c r="EZ94" i="2"/>
  <c r="AR94" i="2"/>
  <c r="BR94" i="2"/>
  <c r="CU94" i="2"/>
  <c r="DJ94" i="2"/>
  <c r="EE94" i="2"/>
  <c r="FA94" i="2"/>
  <c r="AS94" i="2"/>
  <c r="BX94" i="2"/>
  <c r="CW94" i="2"/>
  <c r="DS94" i="2"/>
  <c r="EI94" i="2"/>
  <c r="FF94" i="2"/>
  <c r="AZ94" i="2"/>
  <c r="BY94" i="2"/>
  <c r="CX94" i="2"/>
  <c r="DT94" i="2"/>
  <c r="EJ94" i="2"/>
  <c r="FG94" i="2"/>
  <c r="CR94" i="2"/>
  <c r="FL94" i="2"/>
  <c r="BV94" i="2"/>
  <c r="AX94" i="2"/>
  <c r="BH94" i="2"/>
  <c r="CB94" i="2"/>
  <c r="AU94" i="2"/>
  <c r="DX94" i="2"/>
  <c r="CS94" i="2"/>
  <c r="EW94" i="2"/>
  <c r="EH94" i="2"/>
  <c r="BC94" i="2"/>
  <c r="EF94" i="2"/>
  <c r="DI94" i="2"/>
  <c r="FD94" i="2"/>
  <c r="AV94" i="2"/>
  <c r="EV94" i="2"/>
  <c r="DY94" i="2"/>
  <c r="FB94" i="2"/>
  <c r="BT94" i="2"/>
  <c r="DV94" i="2"/>
  <c r="FE94" i="2"/>
  <c r="DH94" i="2"/>
  <c r="BE94" i="2"/>
  <c r="CF94" i="2"/>
  <c r="BS94" i="2"/>
  <c r="CC94" i="2"/>
  <c r="CG94" i="2"/>
  <c r="DB94" i="2"/>
  <c r="CZ94" i="2"/>
  <c r="AW94" i="2"/>
  <c r="AP94" i="2"/>
  <c r="BW94" i="2"/>
  <c r="FH28" i="2"/>
  <c r="BP28" i="2"/>
  <c r="FG23" i="2"/>
  <c r="BG23" i="2"/>
  <c r="CD23" i="2"/>
  <c r="DI23" i="2"/>
  <c r="EF23" i="2"/>
  <c r="FK23" i="2"/>
  <c r="BC23" i="2"/>
  <c r="CH23" i="2"/>
  <c r="BX23" i="2"/>
  <c r="EC23" i="2"/>
  <c r="EY23" i="2"/>
  <c r="AQ23" i="2"/>
  <c r="BV23" i="2"/>
  <c r="CS23" i="2"/>
  <c r="DX23" i="2"/>
  <c r="EU23" i="2"/>
  <c r="AU23" i="2"/>
  <c r="BR23" i="2"/>
  <c r="BH23" i="2"/>
  <c r="CW23" i="2"/>
  <c r="EI23" i="2"/>
  <c r="FF23" i="2"/>
  <c r="BF23" i="2"/>
  <c r="CC23" i="2"/>
  <c r="DH23" i="2"/>
  <c r="EE23" i="2"/>
  <c r="FJ23" i="2"/>
  <c r="BB23" i="2"/>
  <c r="AZ23" i="2"/>
  <c r="CG23" i="2"/>
  <c r="EA23" i="2"/>
  <c r="EH23" i="2"/>
  <c r="BE23" i="2"/>
  <c r="CZ23" i="2"/>
  <c r="DG23" i="2"/>
  <c r="EZ23" i="2"/>
  <c r="AR23" i="2"/>
  <c r="AX23" i="2"/>
  <c r="FB23" i="2"/>
  <c r="BY23" i="2"/>
  <c r="DS23" i="2"/>
  <c r="DZ23" i="2"/>
  <c r="AP23" i="2"/>
  <c r="BP23" i="2" s="1"/>
  <c r="AW23" i="2"/>
  <c r="CR23" i="2"/>
  <c r="CY23" i="2"/>
  <c r="ET23" i="2"/>
  <c r="FT23" i="2" s="1"/>
  <c r="EJ23" i="2"/>
  <c r="DU23" i="2"/>
  <c r="FI23" i="2"/>
  <c r="DC23" i="2"/>
  <c r="DJ23" i="2"/>
  <c r="FE23" i="2"/>
  <c r="FL23" i="2"/>
  <c r="CB23" i="2"/>
  <c r="CI23" i="2"/>
  <c r="ED23" i="2"/>
  <c r="DT23" i="2"/>
  <c r="DE23" i="2"/>
  <c r="BQ23" i="2"/>
  <c r="EV23" i="2"/>
  <c r="CF23" i="2"/>
  <c r="CU23" i="2"/>
  <c r="AS23" i="2"/>
  <c r="DB23" i="2"/>
  <c r="CT23" i="2"/>
  <c r="EW23" i="2"/>
  <c r="BT23" i="2"/>
  <c r="CA23" i="2"/>
  <c r="EK23" i="2"/>
  <c r="DV23" i="2"/>
  <c r="EQ23" i="2" s="1"/>
  <c r="BW23" i="2"/>
  <c r="AV23" i="2"/>
  <c r="FA23" i="2"/>
  <c r="BA23" i="2"/>
  <c r="BS23" i="2"/>
  <c r="DY23" i="2"/>
  <c r="CX23" i="2"/>
  <c r="FD23" i="2"/>
  <c r="DD23" i="2"/>
  <c r="CM23" i="2"/>
  <c r="EU22" i="2"/>
  <c r="CH22" i="2"/>
  <c r="AR22" i="2"/>
  <c r="BE22" i="2"/>
  <c r="EC22" i="2"/>
  <c r="FG22" i="2"/>
  <c r="FD22" i="2"/>
  <c r="CA22" i="2"/>
  <c r="EZ22" i="2"/>
  <c r="DH22" i="2"/>
  <c r="BS22" i="2"/>
  <c r="EJ22" i="2"/>
  <c r="DX22" i="2"/>
  <c r="BC22" i="2"/>
  <c r="AZ22" i="2"/>
  <c r="AP22" i="2"/>
  <c r="DV22" i="2"/>
  <c r="CU22" i="2"/>
  <c r="BV22" i="2"/>
  <c r="CX22" i="2"/>
  <c r="BW22" i="2"/>
  <c r="AV22" i="2"/>
  <c r="BF22" i="2"/>
  <c r="DU22" i="2"/>
  <c r="BG22" i="2"/>
  <c r="DE22" i="2"/>
  <c r="AS22" i="2"/>
  <c r="DB22" i="2"/>
  <c r="AW22" i="2"/>
  <c r="CT22" i="2"/>
  <c r="DY22" i="2"/>
  <c r="FK22" i="2"/>
  <c r="CZ22" i="2"/>
  <c r="BY22" i="2"/>
  <c r="FL22" i="2"/>
  <c r="BR22" i="2"/>
  <c r="EV22" i="2"/>
  <c r="CI22" i="2"/>
  <c r="DS22" i="2"/>
  <c r="FE22" i="2"/>
  <c r="FB22" i="2"/>
  <c r="EI22" i="2"/>
  <c r="CR22" i="2"/>
  <c r="BQ22" i="2"/>
  <c r="BA22" i="2"/>
  <c r="EF22" i="2"/>
  <c r="DJ22" i="2"/>
  <c r="CG22" i="2"/>
  <c r="AQ22" i="2"/>
  <c r="CB22" i="2"/>
  <c r="FA22" i="2"/>
  <c r="ED22" i="2"/>
  <c r="EH22" i="2"/>
  <c r="BH22" i="2"/>
  <c r="BB22" i="2"/>
  <c r="EY22" i="2"/>
  <c r="ET22" i="2"/>
  <c r="EA22" i="2"/>
  <c r="EK22" i="2"/>
  <c r="FJ22" i="2"/>
  <c r="DT22" i="2"/>
  <c r="AX22" i="2"/>
  <c r="DC22" i="2"/>
  <c r="FF22" i="2"/>
  <c r="DD22" i="2"/>
  <c r="EE22" i="2"/>
  <c r="DI22" i="2"/>
  <c r="BT22" i="2"/>
  <c r="CC22" i="2"/>
  <c r="EW22" i="2"/>
  <c r="DZ22" i="2"/>
  <c r="CF22" i="2"/>
  <c r="CD22" i="2"/>
  <c r="CS22" i="2"/>
  <c r="DL22" i="2" s="1"/>
  <c r="BX22" i="2"/>
  <c r="FI22" i="2"/>
  <c r="CW22" i="2"/>
  <c r="CY22" i="2"/>
  <c r="DG22" i="2"/>
  <c r="AU22" i="2"/>
  <c r="ES22" i="2"/>
  <c r="FP22" i="2"/>
  <c r="DS21" i="2"/>
  <c r="DZ21" i="2"/>
  <c r="AP21" i="2"/>
  <c r="EV21" i="2"/>
  <c r="AV21" i="2"/>
  <c r="CA21" i="2"/>
  <c r="CH21" i="2"/>
  <c r="FA21" i="2"/>
  <c r="AR21" i="2"/>
  <c r="BL21" i="2" s="1"/>
  <c r="ED21" i="2"/>
  <c r="DC21" i="2"/>
  <c r="DJ21" i="2"/>
  <c r="FE21" i="2"/>
  <c r="EF21" i="2"/>
  <c r="FK21" i="2"/>
  <c r="BB21" i="2"/>
  <c r="AU21" i="2"/>
  <c r="BP21" i="2" s="1"/>
  <c r="BI21" i="2" s="1"/>
  <c r="DT21" i="2"/>
  <c r="DE21" i="2"/>
  <c r="CW21" i="2"/>
  <c r="CU21" i="2"/>
  <c r="DP21" i="2" s="1"/>
  <c r="DB21" i="2"/>
  <c r="EW21" i="2"/>
  <c r="DX21" i="2"/>
  <c r="EU21" i="2"/>
  <c r="EZ21" i="2"/>
  <c r="FI21" i="2"/>
  <c r="CI21" i="2"/>
  <c r="CC21" i="2"/>
  <c r="BX21" i="2"/>
  <c r="BW21" i="2"/>
  <c r="CT21" i="2"/>
  <c r="DY21" i="2"/>
  <c r="DH21" i="2"/>
  <c r="EE21" i="2"/>
  <c r="EC21" i="2"/>
  <c r="ES21" i="2" s="1"/>
  <c r="EG21" i="2" s="1"/>
  <c r="BS21" i="2"/>
  <c r="BQ21" i="2"/>
  <c r="BH21" i="2"/>
  <c r="BC21" i="2"/>
  <c r="FG21" i="2"/>
  <c r="BG21" i="2"/>
  <c r="CD21" i="2"/>
  <c r="DI21" i="2"/>
  <c r="CZ21" i="2"/>
  <c r="DG21" i="2"/>
  <c r="BY21" i="2"/>
  <c r="BA21" i="2"/>
  <c r="ET21" i="2"/>
  <c r="EK21" i="2"/>
  <c r="EY21" i="2"/>
  <c r="AQ21" i="2"/>
  <c r="BV21" i="2"/>
  <c r="CS21" i="2"/>
  <c r="CR21" i="2"/>
  <c r="CY21" i="2"/>
  <c r="AZ21" i="2"/>
  <c r="DU21" i="2"/>
  <c r="CG21" i="2"/>
  <c r="CX21" i="2"/>
  <c r="AX21" i="2"/>
  <c r="DD21" i="2"/>
  <c r="EI21" i="2"/>
  <c r="EA21" i="2"/>
  <c r="BE21" i="2"/>
  <c r="FL21" i="2"/>
  <c r="BR21" i="2"/>
  <c r="CB21" i="2"/>
  <c r="BT21" i="2"/>
  <c r="FF21" i="2"/>
  <c r="FD21" i="2"/>
  <c r="AW21" i="2"/>
  <c r="AS21" i="2"/>
  <c r="CF21" i="2"/>
  <c r="FB21" i="2"/>
  <c r="EH21" i="2"/>
  <c r="EJ21" i="2"/>
  <c r="FJ21" i="2"/>
  <c r="BF21" i="2"/>
  <c r="DV21" i="2"/>
  <c r="ED5" i="2"/>
  <c r="FB5" i="2"/>
  <c r="BR5" i="2"/>
  <c r="EC5" i="2"/>
  <c r="EW5" i="2"/>
  <c r="FG5" i="2"/>
  <c r="CY5" i="2"/>
  <c r="EH5" i="2"/>
  <c r="EI5" i="2"/>
  <c r="AS5" i="2"/>
  <c r="AZ5" i="2"/>
  <c r="FF5" i="2"/>
  <c r="FA5" i="2"/>
  <c r="CF5" i="2"/>
  <c r="DZ5" i="2"/>
  <c r="FL5" i="2"/>
  <c r="EZ5" i="2"/>
  <c r="DI5" i="2"/>
  <c r="EE5" i="2"/>
  <c r="DB5" i="2"/>
  <c r="DH5" i="2"/>
  <c r="CZ5" i="2"/>
  <c r="AV5" i="2"/>
  <c r="CG5" i="2"/>
  <c r="BS5" i="2"/>
  <c r="BC5" i="2"/>
  <c r="DU5" i="2"/>
  <c r="FE5" i="2"/>
  <c r="DC5" i="2"/>
  <c r="CW5" i="2"/>
  <c r="FI5" i="2"/>
  <c r="AX5" i="2"/>
  <c r="BY5" i="2"/>
  <c r="BQ5" i="2"/>
  <c r="AW5" i="2"/>
  <c r="AU5" i="2"/>
  <c r="ET5" i="2"/>
  <c r="EK5" i="2"/>
  <c r="BV5" i="2"/>
  <c r="FK5" i="2"/>
  <c r="FD5" i="2"/>
  <c r="CC5" i="2"/>
  <c r="BX5" i="2"/>
  <c r="BH5" i="2"/>
  <c r="CI5" i="2"/>
  <c r="BB5" i="2"/>
  <c r="FJ5" i="2"/>
  <c r="BT5" i="2"/>
  <c r="CT5" i="2"/>
  <c r="EJ5" i="2"/>
  <c r="BG5" i="2"/>
  <c r="EA5" i="2"/>
  <c r="CA5" i="2"/>
  <c r="CU5" i="2"/>
  <c r="EF5" i="2"/>
  <c r="BA5" i="2"/>
  <c r="DG5" i="2"/>
  <c r="CH5" i="2"/>
  <c r="EU5" i="2"/>
  <c r="EY5" i="2"/>
  <c r="DD5" i="2"/>
  <c r="BW5" i="2"/>
  <c r="DE5" i="2"/>
  <c r="DY5" i="2"/>
  <c r="EV5" i="2"/>
  <c r="CX5" i="2"/>
  <c r="DX5" i="2"/>
  <c r="CD5" i="2"/>
  <c r="DS5" i="2"/>
  <c r="CR5" i="2"/>
  <c r="DJ5" i="2"/>
  <c r="CB5" i="2"/>
  <c r="BF5" i="2"/>
  <c r="CS5" i="2"/>
  <c r="DV5" i="2"/>
  <c r="BE5" i="2"/>
  <c r="DT5" i="2"/>
  <c r="EJ25" i="2"/>
  <c r="FG25" i="2"/>
  <c r="FF25" i="2"/>
  <c r="BF25" i="2"/>
  <c r="CC25" i="2"/>
  <c r="DH25" i="2"/>
  <c r="ET25" i="2"/>
  <c r="EC25" i="2"/>
  <c r="EU25" i="2"/>
  <c r="EE25" i="2"/>
  <c r="DD25" i="2"/>
  <c r="EI25" i="2"/>
  <c r="DZ25" i="2"/>
  <c r="AP25" i="2"/>
  <c r="AW25" i="2"/>
  <c r="CR25" i="2"/>
  <c r="DV25" i="2"/>
  <c r="BQ25" i="2"/>
  <c r="CG25" i="2"/>
  <c r="BS25" i="2"/>
  <c r="BX25" i="2"/>
  <c r="DS25" i="2"/>
  <c r="ES25" i="2" s="1"/>
  <c r="DW25" i="2" s="1"/>
  <c r="DB25" i="2"/>
  <c r="EW25" i="2"/>
  <c r="FD25" i="2"/>
  <c r="BT25" i="2"/>
  <c r="CH25" i="2"/>
  <c r="CM25" i="2" s="1"/>
  <c r="AS25" i="2"/>
  <c r="DG25" i="2"/>
  <c r="BY25" i="2"/>
  <c r="BH25" i="2"/>
  <c r="DC25" i="2"/>
  <c r="CT25" i="2"/>
  <c r="AZ25" i="2"/>
  <c r="CU25" i="2"/>
  <c r="DP25" i="2" s="1"/>
  <c r="CD25" i="2"/>
  <c r="DI25" i="2"/>
  <c r="EF25" i="2"/>
  <c r="FJ25" i="2"/>
  <c r="FN25" i="2" s="1"/>
  <c r="BB25" i="2"/>
  <c r="DU25" i="2"/>
  <c r="BC25" i="2"/>
  <c r="DE25" i="2"/>
  <c r="EA25" i="2"/>
  <c r="CS25" i="2"/>
  <c r="FB25" i="2"/>
  <c r="AQ25" i="2"/>
  <c r="BW25" i="2"/>
  <c r="BE25" i="2"/>
  <c r="ED25" i="2"/>
  <c r="CI25" i="2"/>
  <c r="EH25" i="2"/>
  <c r="FL25" i="2"/>
  <c r="CX25" i="2"/>
  <c r="BG25" i="2"/>
  <c r="EZ25" i="2"/>
  <c r="DJ25" i="2"/>
  <c r="EV25" i="2"/>
  <c r="BR25" i="2"/>
  <c r="CK25" i="2" s="1"/>
  <c r="CA25" i="2"/>
  <c r="DT25" i="2"/>
  <c r="EM25" i="2" s="1"/>
  <c r="BV25" i="2"/>
  <c r="DX25" i="2"/>
  <c r="FI25" i="2"/>
  <c r="FK25" i="2"/>
  <c r="CF25" i="2"/>
  <c r="AX25" i="2"/>
  <c r="CZ25" i="2"/>
  <c r="CW25" i="2"/>
  <c r="CY25" i="2"/>
  <c r="AR25" i="2"/>
  <c r="BL25" i="2" s="1"/>
  <c r="FE25" i="2"/>
  <c r="AV25" i="2"/>
  <c r="EY25" i="2"/>
  <c r="AU25" i="2"/>
  <c r="FA25" i="2"/>
  <c r="EK25" i="2"/>
  <c r="BA25" i="2"/>
  <c r="DY25" i="2"/>
  <c r="CB25" i="2"/>
  <c r="AV8" i="2"/>
  <c r="DI8" i="2"/>
  <c r="AQ8" i="2"/>
  <c r="DD8" i="2"/>
  <c r="BY8" i="2"/>
  <c r="DG8" i="2"/>
  <c r="FL8" i="2"/>
  <c r="DZ8" i="2"/>
  <c r="AZ8" i="2"/>
  <c r="ED8" i="2"/>
  <c r="BX8" i="2"/>
  <c r="BS8" i="2"/>
  <c r="EF8" i="2"/>
  <c r="BV8" i="2"/>
  <c r="EI8" i="2"/>
  <c r="FB8" i="2"/>
  <c r="FA8" i="2"/>
  <c r="CB8" i="2"/>
  <c r="AP8" i="2"/>
  <c r="CU8" i="2"/>
  <c r="CH8" i="2"/>
  <c r="BG8" i="2"/>
  <c r="DJ8" i="2"/>
  <c r="EZ8" i="2"/>
  <c r="DE8" i="2"/>
  <c r="FK8" i="2"/>
  <c r="CS8" i="2"/>
  <c r="FF8" i="2"/>
  <c r="CF8" i="2"/>
  <c r="CQ8" i="2" s="1"/>
  <c r="BQ8" i="2"/>
  <c r="CI8" i="2"/>
  <c r="AW8" i="2"/>
  <c r="DB8" i="2"/>
  <c r="CG8" i="2"/>
  <c r="AR8" i="2"/>
  <c r="BR8" i="2"/>
  <c r="BC8" i="2"/>
  <c r="DX8" i="2"/>
  <c r="BF8" i="2"/>
  <c r="EA8" i="2"/>
  <c r="FJ8" i="2"/>
  <c r="EC8" i="2"/>
  <c r="CR8" i="2"/>
  <c r="EW8" i="2"/>
  <c r="DY8" i="2"/>
  <c r="BE8" i="2"/>
  <c r="CA8" i="2"/>
  <c r="BW8" i="2"/>
  <c r="EJ8" i="2"/>
  <c r="CW8" i="2"/>
  <c r="EU8" i="2"/>
  <c r="CC8" i="2"/>
  <c r="EH8" i="2"/>
  <c r="BH8" i="2"/>
  <c r="AS8" i="2"/>
  <c r="CY8" i="2"/>
  <c r="FD8" i="2"/>
  <c r="EE8" i="2"/>
  <c r="CT8" i="2"/>
  <c r="FG8" i="2"/>
  <c r="DV8" i="2"/>
  <c r="AU8" i="2"/>
  <c r="DH8" i="2"/>
  <c r="AX8" i="2"/>
  <c r="BN8" i="2" s="1"/>
  <c r="DC8" i="2"/>
  <c r="ET8" i="2"/>
  <c r="EK8" i="2"/>
  <c r="BT8" i="2"/>
  <c r="BA8" i="2"/>
  <c r="EV8" i="2"/>
  <c r="CD8" i="2"/>
  <c r="EY8" i="2"/>
  <c r="BB8" i="2"/>
  <c r="FI8" i="2"/>
  <c r="CZ8" i="2"/>
  <c r="FE8" i="2"/>
  <c r="DS8" i="2"/>
  <c r="ES8" i="2" s="1"/>
  <c r="CX8" i="2"/>
  <c r="DL8" i="2" s="1"/>
  <c r="DU8" i="2"/>
  <c r="DT8" i="2"/>
  <c r="EO8" i="2"/>
  <c r="EB8" i="2"/>
  <c r="CH97" i="2"/>
  <c r="EY97" i="2"/>
  <c r="DJ97" i="2"/>
  <c r="DV97" i="2"/>
  <c r="AS97" i="2"/>
  <c r="BC97" i="2"/>
  <c r="AU97" i="2"/>
  <c r="CG97" i="2"/>
  <c r="CI97" i="2"/>
  <c r="BR97" i="2"/>
  <c r="FI97" i="2"/>
  <c r="DI97" i="2"/>
  <c r="CD97" i="2"/>
  <c r="CU97" i="2"/>
  <c r="EW97" i="2"/>
  <c r="CW97" i="2"/>
  <c r="DZ97" i="2"/>
  <c r="EC97" i="2"/>
  <c r="EE97" i="2"/>
  <c r="CZ97" i="2"/>
  <c r="FG97" i="2"/>
  <c r="CT97" i="2"/>
  <c r="DD97" i="2"/>
  <c r="BB97" i="2"/>
  <c r="DX97" i="2"/>
  <c r="DY97" i="2"/>
  <c r="EH97" i="2"/>
  <c r="AQ97" i="2"/>
  <c r="EK97" i="2"/>
  <c r="BG97" i="2"/>
  <c r="DE97" i="2"/>
  <c r="CA97" i="2"/>
  <c r="AX97" i="2"/>
  <c r="BX97" i="2"/>
  <c r="DB97" i="2"/>
  <c r="ED97" i="2"/>
  <c r="BT97" i="2"/>
  <c r="EF97" i="2"/>
  <c r="FE97" i="2"/>
  <c r="FF97" i="2"/>
  <c r="AZ97" i="2"/>
  <c r="FA97" i="2"/>
  <c r="DS97" i="2"/>
  <c r="ET97" i="2"/>
  <c r="CC97" i="2"/>
  <c r="EV97" i="2"/>
  <c r="AV97" i="2"/>
  <c r="BH97" i="2"/>
  <c r="AW97" i="2"/>
  <c r="FB97" i="2"/>
  <c r="BE97" i="2"/>
  <c r="BY97" i="2"/>
  <c r="BA97" i="2"/>
  <c r="AP97" i="2"/>
  <c r="AR97" i="2"/>
  <c r="FD97" i="2"/>
  <c r="BQ97" i="2"/>
  <c r="FL97" i="2"/>
  <c r="CS97" i="2"/>
  <c r="BV97" i="2"/>
  <c r="CB97" i="2"/>
  <c r="CF97" i="2"/>
  <c r="FK97" i="2"/>
  <c r="BW97" i="2"/>
  <c r="DH97" i="2"/>
  <c r="EJ97" i="2"/>
  <c r="DU97" i="2"/>
  <c r="CX97" i="2"/>
  <c r="EZ97" i="2"/>
  <c r="EA97" i="2"/>
  <c r="FJ97" i="2"/>
  <c r="CR97" i="2"/>
  <c r="BS97" i="2"/>
  <c r="EU97" i="2"/>
  <c r="DG97" i="2"/>
  <c r="CY97" i="2"/>
  <c r="DT97" i="2"/>
  <c r="DC97" i="2"/>
  <c r="BF97" i="2"/>
  <c r="EI97" i="2"/>
  <c r="FM28" i="2"/>
  <c r="DK26" i="2"/>
  <c r="DN26" i="2"/>
  <c r="DQ26" i="2" s="1"/>
  <c r="CC11" i="2"/>
  <c r="DS11" i="2"/>
  <c r="CA11" i="2"/>
  <c r="FJ11" i="2"/>
  <c r="AU11" i="2"/>
  <c r="DT11" i="2"/>
  <c r="EY11" i="2"/>
  <c r="AV11" i="2"/>
  <c r="CW11" i="2"/>
  <c r="AP11" i="2"/>
  <c r="EK11" i="2"/>
  <c r="EV11" i="2"/>
  <c r="CX11" i="2"/>
  <c r="CB11" i="2"/>
  <c r="CR11" i="2"/>
  <c r="FD11" i="2"/>
  <c r="BB11" i="2"/>
  <c r="AR11" i="2"/>
  <c r="CG11" i="2"/>
  <c r="ET11" i="2"/>
  <c r="FK11" i="2"/>
  <c r="BW11" i="2"/>
  <c r="AS11" i="2"/>
  <c r="DB11" i="2"/>
  <c r="BQ11" i="2"/>
  <c r="BS11" i="2"/>
  <c r="DG11" i="2"/>
  <c r="BV11" i="2"/>
  <c r="EJ11" i="2"/>
  <c r="BH11" i="2"/>
  <c r="EH11" i="2"/>
  <c r="EW11" i="2"/>
  <c r="EC11" i="2"/>
  <c r="CS11" i="2"/>
  <c r="EI11" i="2"/>
  <c r="DI11" i="2"/>
  <c r="BC11" i="2"/>
  <c r="CF11" i="2"/>
  <c r="DE11" i="2"/>
  <c r="FB11" i="2"/>
  <c r="DX11" i="2"/>
  <c r="AX11" i="2"/>
  <c r="DZ11" i="2"/>
  <c r="EZ11" i="2"/>
  <c r="CU11" i="2"/>
  <c r="BX11" i="2"/>
  <c r="CH11" i="2"/>
  <c r="CI11" i="2"/>
  <c r="BG11" i="2"/>
  <c r="BA11" i="2"/>
  <c r="FF11" i="2"/>
  <c r="FI11" i="2"/>
  <c r="BY11" i="2"/>
  <c r="DV11" i="2"/>
  <c r="DY11" i="2"/>
  <c r="CD11" i="2"/>
  <c r="CO11" i="2" s="1"/>
  <c r="FG11" i="2"/>
  <c r="EE11" i="2"/>
  <c r="CT11" i="2"/>
  <c r="BR11" i="2"/>
  <c r="BE11" i="2"/>
  <c r="EF11" i="2"/>
  <c r="BF11" i="2"/>
  <c r="ED11" i="2"/>
  <c r="DU11" i="2"/>
  <c r="EO11" i="2" s="1"/>
  <c r="DJ11" i="2"/>
  <c r="CZ11" i="2"/>
  <c r="DD11" i="2"/>
  <c r="DH11" i="2"/>
  <c r="DC11" i="2"/>
  <c r="CY11" i="2"/>
  <c r="EA11" i="2"/>
  <c r="FA11" i="2"/>
  <c r="BT11" i="2"/>
  <c r="FE11" i="2"/>
  <c r="FL11" i="2"/>
  <c r="AW11" i="2"/>
  <c r="EU11" i="2"/>
  <c r="AZ11" i="2"/>
  <c r="AQ11" i="2"/>
  <c r="AW24" i="2"/>
  <c r="FL24" i="2"/>
  <c r="CX24" i="2"/>
  <c r="DB24" i="2"/>
  <c r="FI24" i="2"/>
  <c r="DU24" i="2"/>
  <c r="EI24" i="2"/>
  <c r="CF24" i="2"/>
  <c r="BE24" i="2"/>
  <c r="FD24" i="2"/>
  <c r="EZ24" i="2"/>
  <c r="CT24" i="2"/>
  <c r="AP24" i="2"/>
  <c r="EW24" i="2"/>
  <c r="EY24" i="2"/>
  <c r="CZ24" i="2"/>
  <c r="EU24" i="2"/>
  <c r="DG24" i="2"/>
  <c r="EV24" i="2"/>
  <c r="FJ24" i="2"/>
  <c r="ET24" i="2"/>
  <c r="FT24" i="2" s="1"/>
  <c r="FC24" i="2" s="1"/>
  <c r="DJ24" i="2"/>
  <c r="BF24" i="2"/>
  <c r="BW24" i="2"/>
  <c r="BX24" i="2"/>
  <c r="CC24" i="2"/>
  <c r="EF24" i="2"/>
  <c r="DS24" i="2"/>
  <c r="FK24" i="2"/>
  <c r="ED24" i="2"/>
  <c r="AV24" i="2"/>
  <c r="BV24" i="2"/>
  <c r="CQ24" i="2" s="1"/>
  <c r="CY24" i="2"/>
  <c r="DX24" i="2"/>
  <c r="CG24" i="2"/>
  <c r="CH24" i="2"/>
  <c r="EC24" i="2"/>
  <c r="BT24" i="2"/>
  <c r="DH24" i="2"/>
  <c r="AZ24" i="2"/>
  <c r="BY24" i="2"/>
  <c r="BR24" i="2"/>
  <c r="AU24" i="2"/>
  <c r="CS24" i="2"/>
  <c r="FB24" i="2"/>
  <c r="CB24" i="2"/>
  <c r="BH24" i="2"/>
  <c r="DY24" i="2"/>
  <c r="CR24" i="2"/>
  <c r="BC24" i="2"/>
  <c r="AX24" i="2"/>
  <c r="DV24" i="2"/>
  <c r="CU24" i="2"/>
  <c r="AQ24" i="2"/>
  <c r="BJ24" i="2" s="1"/>
  <c r="EK24" i="2"/>
  <c r="DC24" i="2"/>
  <c r="BS24" i="2"/>
  <c r="EJ24" i="2"/>
  <c r="DE24" i="2"/>
  <c r="BG24" i="2"/>
  <c r="FA24" i="2"/>
  <c r="EA24" i="2"/>
  <c r="CA24" i="2"/>
  <c r="DT24" i="2"/>
  <c r="EE24" i="2"/>
  <c r="DI24" i="2"/>
  <c r="FE24" i="2"/>
  <c r="CI24" i="2"/>
  <c r="AS24" i="2"/>
  <c r="BN24" i="2" s="1"/>
  <c r="EH24" i="2"/>
  <c r="DZ24" i="2"/>
  <c r="CW24" i="2"/>
  <c r="AR24" i="2"/>
  <c r="BQ24" i="2"/>
  <c r="BB24" i="2"/>
  <c r="FG24" i="2"/>
  <c r="FF24" i="2"/>
  <c r="CD24" i="2"/>
  <c r="BA24" i="2"/>
  <c r="DD24" i="2"/>
  <c r="EO24" i="2"/>
  <c r="FC28" i="2"/>
  <c r="BL26" i="2"/>
  <c r="CU19" i="2"/>
  <c r="CS19" i="2"/>
  <c r="CY19" i="2"/>
  <c r="DZ19" i="2"/>
  <c r="AZ19" i="2"/>
  <c r="AX19" i="2"/>
  <c r="FF19" i="2"/>
  <c r="ED19" i="2"/>
  <c r="EC19" i="2"/>
  <c r="FA19" i="2"/>
  <c r="BW19" i="2"/>
  <c r="CC19" i="2"/>
  <c r="CI19" i="2"/>
  <c r="CZ19" i="2"/>
  <c r="FI19" i="2"/>
  <c r="ET19" i="2"/>
  <c r="EF19" i="2"/>
  <c r="EQ19" i="2" s="1"/>
  <c r="DE19" i="2"/>
  <c r="DD19" i="2"/>
  <c r="EA19" i="2"/>
  <c r="DI19" i="2"/>
  <c r="BS19" i="2"/>
  <c r="DX19" i="2"/>
  <c r="BX19" i="2"/>
  <c r="CT19" i="2"/>
  <c r="DN19" i="2" s="1"/>
  <c r="BF19" i="2"/>
  <c r="BB19" i="2"/>
  <c r="DS19" i="2"/>
  <c r="BE19" i="2"/>
  <c r="BC19" i="2"/>
  <c r="CX19" i="2"/>
  <c r="EH19" i="2"/>
  <c r="CG19" i="2"/>
  <c r="AS19" i="2"/>
  <c r="DC19" i="2"/>
  <c r="AW19" i="2"/>
  <c r="AU19" i="2"/>
  <c r="BY19" i="2"/>
  <c r="DU19" i="2"/>
  <c r="BT19" i="2"/>
  <c r="FB19" i="2"/>
  <c r="BG19" i="2"/>
  <c r="FK19" i="2"/>
  <c r="FL19" i="2"/>
  <c r="EV19" i="2"/>
  <c r="DH19" i="2"/>
  <c r="BH19" i="2"/>
  <c r="CD19" i="2"/>
  <c r="AQ19" i="2"/>
  <c r="EU19" i="2"/>
  <c r="EZ19" i="2"/>
  <c r="EJ19" i="2"/>
  <c r="CH19" i="2"/>
  <c r="FD19" i="2"/>
  <c r="BQ19" i="2"/>
  <c r="FG19" i="2"/>
  <c r="FE19" i="2"/>
  <c r="FN19" i="2" s="1"/>
  <c r="EE19" i="2"/>
  <c r="BA19" i="2"/>
  <c r="DV19" i="2"/>
  <c r="BV19" i="2"/>
  <c r="CR19" i="2"/>
  <c r="AR19" i="2"/>
  <c r="BL19" i="2" s="1"/>
  <c r="EY19" i="2"/>
  <c r="DJ19" i="2"/>
  <c r="AP19" i="2"/>
  <c r="EI19" i="2"/>
  <c r="CW19" i="2"/>
  <c r="BR19" i="2"/>
  <c r="EW19" i="2"/>
  <c r="AV19" i="2"/>
  <c r="FJ19" i="2"/>
  <c r="DY19" i="2"/>
  <c r="DT19" i="2"/>
  <c r="DG19" i="2"/>
  <c r="CF19" i="2"/>
  <c r="EK19" i="2"/>
  <c r="CA19" i="2"/>
  <c r="CB19" i="2"/>
  <c r="ES19" i="2"/>
  <c r="DB19" i="2"/>
  <c r="EH20" i="2"/>
  <c r="EK20" i="2"/>
  <c r="AR20" i="2"/>
  <c r="BE20" i="2"/>
  <c r="BR20" i="2"/>
  <c r="DZ20" i="2"/>
  <c r="CS20" i="2"/>
  <c r="FJ20" i="2"/>
  <c r="BC20" i="2"/>
  <c r="CG20" i="2"/>
  <c r="EA20" i="2"/>
  <c r="CZ20" i="2"/>
  <c r="CH20" i="2"/>
  <c r="CX20" i="2"/>
  <c r="DJ20" i="2"/>
  <c r="DX20" i="2"/>
  <c r="FI20" i="2"/>
  <c r="EV20" i="2"/>
  <c r="EY20" i="2"/>
  <c r="FC20" i="2" s="1"/>
  <c r="AU20" i="2"/>
  <c r="BY20" i="2"/>
  <c r="DS20" i="2"/>
  <c r="DY20" i="2"/>
  <c r="BB20" i="2"/>
  <c r="FF20" i="2"/>
  <c r="BH20" i="2"/>
  <c r="AW20" i="2"/>
  <c r="BV20" i="2"/>
  <c r="AX20" i="2"/>
  <c r="CD20" i="2"/>
  <c r="CO20" i="2" s="1"/>
  <c r="DI20" i="2"/>
  <c r="EI20" i="2"/>
  <c r="AV20" i="2"/>
  <c r="CB20" i="2"/>
  <c r="CC20" i="2"/>
  <c r="FK20" i="2"/>
  <c r="CA20" i="2"/>
  <c r="BQ20" i="2"/>
  <c r="BW20" i="2"/>
  <c r="BX20" i="2"/>
  <c r="DD20" i="2"/>
  <c r="DH20" i="2"/>
  <c r="EU20" i="2"/>
  <c r="BS20" i="2"/>
  <c r="BA20" i="2"/>
  <c r="BG20" i="2"/>
  <c r="BL20" i="2" s="1"/>
  <c r="DV20" i="2"/>
  <c r="DB20" i="2"/>
  <c r="ED20" i="2"/>
  <c r="EE20" i="2"/>
  <c r="AP20" i="2"/>
  <c r="FB20" i="2"/>
  <c r="FL20" i="2"/>
  <c r="BF20" i="2"/>
  <c r="BJ20" i="2" s="1"/>
  <c r="EZ20" i="2"/>
  <c r="EW20" i="2"/>
  <c r="FE20" i="2"/>
  <c r="AZ20" i="2"/>
  <c r="CT20" i="2"/>
  <c r="CR20" i="2"/>
  <c r="BT20" i="2"/>
  <c r="EF20" i="2"/>
  <c r="EC20" i="2"/>
  <c r="ET20" i="2"/>
  <c r="FD20" i="2"/>
  <c r="CI20" i="2"/>
  <c r="CU20" i="2"/>
  <c r="FG20" i="2"/>
  <c r="AQ20" i="2"/>
  <c r="AS20" i="2"/>
  <c r="BN20" i="2" s="1"/>
  <c r="BO20" i="2" s="1"/>
  <c r="DG20" i="2"/>
  <c r="DU20" i="2"/>
  <c r="EO20" i="2" s="1"/>
  <c r="DT20" i="2"/>
  <c r="DE20" i="2"/>
  <c r="FA20" i="2"/>
  <c r="CW20" i="2"/>
  <c r="CF20" i="2"/>
  <c r="CY20" i="2"/>
  <c r="DC20" i="2"/>
  <c r="EJ20" i="2"/>
  <c r="BP20" i="2"/>
  <c r="AT20" i="2" s="1"/>
  <c r="FT20" i="2"/>
  <c r="AY20" i="2"/>
  <c r="FL15" i="2"/>
  <c r="CB15" i="2"/>
  <c r="CX15" i="2"/>
  <c r="DU15" i="2"/>
  <c r="EZ15" i="2"/>
  <c r="AR15" i="2"/>
  <c r="BV15" i="2"/>
  <c r="BG15" i="2"/>
  <c r="DG15" i="2"/>
  <c r="CA15" i="2"/>
  <c r="EV15" i="2"/>
  <c r="AV15" i="2"/>
  <c r="BR15" i="2"/>
  <c r="CK15" i="2" s="1"/>
  <c r="CW15" i="2"/>
  <c r="DT15" i="2"/>
  <c r="EH15" i="2"/>
  <c r="ES15" i="2" s="1"/>
  <c r="AX15" i="2"/>
  <c r="EI15" i="2"/>
  <c r="EY15" i="2"/>
  <c r="BS15" i="2"/>
  <c r="DX15" i="2"/>
  <c r="FB15" i="2"/>
  <c r="FI15" i="2"/>
  <c r="BY15" i="2"/>
  <c r="CF15" i="2"/>
  <c r="DJ15" i="2"/>
  <c r="FK15" i="2"/>
  <c r="BW15" i="2"/>
  <c r="AQ15" i="2"/>
  <c r="BE15" i="2"/>
  <c r="DH15" i="2"/>
  <c r="ET15" i="2"/>
  <c r="FA15" i="2"/>
  <c r="FP15" i="2" s="1"/>
  <c r="BQ15" i="2"/>
  <c r="BX15" i="2"/>
  <c r="DB15" i="2"/>
  <c r="DS15" i="2"/>
  <c r="BC15" i="2"/>
  <c r="EU15" i="2"/>
  <c r="FG15" i="2"/>
  <c r="CZ15" i="2"/>
  <c r="ED15" i="2"/>
  <c r="EK15" i="2"/>
  <c r="BA15" i="2"/>
  <c r="BH15" i="2"/>
  <c r="CT15" i="2"/>
  <c r="CY15" i="2"/>
  <c r="EW15" i="2"/>
  <c r="CI15" i="2"/>
  <c r="DC15" i="2"/>
  <c r="DV15" i="2"/>
  <c r="DD15" i="2"/>
  <c r="FE15" i="2"/>
  <c r="AW15" i="2"/>
  <c r="CH15" i="2"/>
  <c r="AZ15" i="2"/>
  <c r="CS15" i="2"/>
  <c r="DL15" i="2" s="1"/>
  <c r="BB15" i="2"/>
  <c r="FF15" i="2"/>
  <c r="EA15" i="2"/>
  <c r="FD15" i="2"/>
  <c r="EC15" i="2"/>
  <c r="DZ15" i="2"/>
  <c r="AU15" i="2"/>
  <c r="BP15" i="2" s="1"/>
  <c r="EF15" i="2"/>
  <c r="DE15" i="2"/>
  <c r="CD15" i="2"/>
  <c r="CU15" i="2"/>
  <c r="CR15" i="2"/>
  <c r="CG15" i="2"/>
  <c r="BF15" i="2"/>
  <c r="EE15" i="2"/>
  <c r="BT15" i="2"/>
  <c r="AS15" i="2"/>
  <c r="AP15" i="2"/>
  <c r="DY15" i="2"/>
  <c r="FJ15" i="2"/>
  <c r="CC15" i="2"/>
  <c r="CM15" i="2" s="1"/>
  <c r="CN15" i="2" s="1"/>
  <c r="DI15" i="2"/>
  <c r="EJ15" i="2"/>
  <c r="CO15" i="2"/>
  <c r="AZ6" i="2"/>
  <c r="CD6" i="2"/>
  <c r="DI6" i="2"/>
  <c r="EF6" i="2"/>
  <c r="FK6" i="2"/>
  <c r="BC6" i="2"/>
  <c r="CW6" i="2"/>
  <c r="CX6" i="2"/>
  <c r="DS6" i="2"/>
  <c r="AQ6" i="2"/>
  <c r="EJ6" i="2"/>
  <c r="FF6" i="2"/>
  <c r="BF6" i="2"/>
  <c r="CC6" i="2"/>
  <c r="DH6" i="2"/>
  <c r="EE6" i="2"/>
  <c r="FI6" i="2"/>
  <c r="BY6" i="2"/>
  <c r="CO6" i="2" s="1"/>
  <c r="FG6" i="2"/>
  <c r="ET6" i="2"/>
  <c r="DD6" i="2"/>
  <c r="DZ6" i="2"/>
  <c r="AP6" i="2"/>
  <c r="AW6" i="2"/>
  <c r="CR6" i="2"/>
  <c r="CY6" i="2"/>
  <c r="EK6" i="2"/>
  <c r="EQ6" i="2" s="1"/>
  <c r="BA6" i="2"/>
  <c r="CU6" i="2"/>
  <c r="BB6" i="2"/>
  <c r="CF6" i="2"/>
  <c r="DJ6" i="2"/>
  <c r="FE6" i="2"/>
  <c r="FL6" i="2"/>
  <c r="CB6" i="2"/>
  <c r="CI6" i="2"/>
  <c r="EC6" i="2"/>
  <c r="AS6" i="2"/>
  <c r="FB6" i="2"/>
  <c r="EI6" i="2"/>
  <c r="BX6" i="2"/>
  <c r="DB6" i="2"/>
  <c r="EW6" i="2"/>
  <c r="FD6" i="2"/>
  <c r="BT6" i="2"/>
  <c r="CA6" i="2"/>
  <c r="DU6" i="2"/>
  <c r="FJ6" i="2"/>
  <c r="DV6" i="2"/>
  <c r="DC6" i="2"/>
  <c r="EH6" i="2"/>
  <c r="ES6" i="2" s="1"/>
  <c r="EG6" i="2" s="1"/>
  <c r="DX6" i="2"/>
  <c r="DE6" i="2"/>
  <c r="CH6" i="2"/>
  <c r="CT6" i="2"/>
  <c r="CZ6" i="2"/>
  <c r="CG6" i="2"/>
  <c r="BW6" i="2"/>
  <c r="BV6" i="2"/>
  <c r="AV6" i="2"/>
  <c r="BQ6" i="2"/>
  <c r="AX6" i="2"/>
  <c r="EU6" i="2"/>
  <c r="FN6" i="2" s="1"/>
  <c r="ED6" i="2"/>
  <c r="EZ6" i="2"/>
  <c r="DY6" i="2"/>
  <c r="EM6" i="2" s="1"/>
  <c r="DG6" i="2"/>
  <c r="BR6" i="2"/>
  <c r="DT6" i="2"/>
  <c r="CS6" i="2"/>
  <c r="BS6" i="2"/>
  <c r="CM6" i="2" s="1"/>
  <c r="EA6" i="2"/>
  <c r="BH6" i="2"/>
  <c r="BE6" i="2"/>
  <c r="AU6" i="2"/>
  <c r="EY6" i="2"/>
  <c r="AR6" i="2"/>
  <c r="EV6" i="2"/>
  <c r="FA6" i="2"/>
  <c r="BG6" i="2"/>
  <c r="FG16" i="2"/>
  <c r="CF16" i="2"/>
  <c r="DZ16" i="2"/>
  <c r="AP16" i="2"/>
  <c r="BE16" i="2"/>
  <c r="CB16" i="2"/>
  <c r="CH16" i="2"/>
  <c r="DU16" i="2"/>
  <c r="ED16" i="2"/>
  <c r="FB16" i="2"/>
  <c r="EY16" i="2"/>
  <c r="BX16" i="2"/>
  <c r="DJ16" i="2"/>
  <c r="FE16" i="2"/>
  <c r="AW16" i="2"/>
  <c r="BT16" i="2"/>
  <c r="BR16" i="2"/>
  <c r="CK16" i="2" s="1"/>
  <c r="CY16" i="2"/>
  <c r="DG16" i="2"/>
  <c r="CI16" i="2"/>
  <c r="EI16" i="2"/>
  <c r="BH16" i="2"/>
  <c r="DB16" i="2"/>
  <c r="ET16" i="2"/>
  <c r="FD16" i="2"/>
  <c r="AV16" i="2"/>
  <c r="BB16" i="2"/>
  <c r="CU16" i="2"/>
  <c r="BQ16" i="2"/>
  <c r="CA16" i="2"/>
  <c r="FL16" i="2"/>
  <c r="EA16" i="2"/>
  <c r="AZ16" i="2"/>
  <c r="CT16" i="2"/>
  <c r="EJ16" i="2"/>
  <c r="EH16" i="2"/>
  <c r="EZ16" i="2"/>
  <c r="FN16" i="2" s="1"/>
  <c r="BY16" i="2"/>
  <c r="AU16" i="2"/>
  <c r="BS16" i="2"/>
  <c r="FI16" i="2"/>
  <c r="AR16" i="2"/>
  <c r="CD16" i="2"/>
  <c r="DY16" i="2"/>
  <c r="DX16" i="2"/>
  <c r="ES16" i="2" s="1"/>
  <c r="EB16" i="2" s="1"/>
  <c r="FA16" i="2"/>
  <c r="DC16" i="2"/>
  <c r="BC16" i="2"/>
  <c r="BG16" i="2"/>
  <c r="DS16" i="2"/>
  <c r="FK16" i="2"/>
  <c r="EC16" i="2"/>
  <c r="FF16" i="2"/>
  <c r="FP16" i="2" s="1"/>
  <c r="BV16" i="2"/>
  <c r="DI16" i="2"/>
  <c r="DH16" i="2"/>
  <c r="EF16" i="2"/>
  <c r="CG16" i="2"/>
  <c r="BW16" i="2"/>
  <c r="DE16" i="2"/>
  <c r="EK16" i="2"/>
  <c r="CX16" i="2"/>
  <c r="EU16" i="2"/>
  <c r="EE16" i="2"/>
  <c r="CW16" i="2"/>
  <c r="BF16" i="2"/>
  <c r="AQ16" i="2"/>
  <c r="BA16" i="2"/>
  <c r="FJ16" i="2"/>
  <c r="DT16" i="2"/>
  <c r="AX16" i="2"/>
  <c r="EW16" i="2"/>
  <c r="CS16" i="2"/>
  <c r="DL16" i="2" s="1"/>
  <c r="CC16" i="2"/>
  <c r="CZ16" i="2"/>
  <c r="DD16" i="2"/>
  <c r="CR16" i="2"/>
  <c r="AS16" i="2"/>
  <c r="EV16" i="2"/>
  <c r="DV16" i="2"/>
  <c r="EO16" i="2"/>
  <c r="DP16" i="2"/>
  <c r="FB88" i="2"/>
  <c r="AQ89" i="2"/>
  <c r="FF89" i="2"/>
  <c r="AZ89" i="2"/>
  <c r="BA89" i="2"/>
  <c r="CA89" i="2"/>
  <c r="CD89" i="2"/>
  <c r="BS89" i="2"/>
  <c r="CY89" i="2"/>
  <c r="DH89" i="2"/>
  <c r="CX89" i="2"/>
  <c r="AW89" i="2"/>
  <c r="BB89" i="2"/>
  <c r="FG89" i="2"/>
  <c r="AS89" i="2"/>
  <c r="EE89" i="2"/>
  <c r="CU89" i="2"/>
  <c r="AX89" i="2"/>
  <c r="DJ89" i="2"/>
  <c r="AP89" i="2"/>
  <c r="BQ89" i="2"/>
  <c r="CI89" i="2"/>
  <c r="EF89" i="2"/>
  <c r="FK89" i="2"/>
  <c r="CH89" i="2"/>
  <c r="DI89" i="2"/>
  <c r="DV89" i="2"/>
  <c r="AU89" i="2"/>
  <c r="AV89" i="2"/>
  <c r="CZ89" i="2"/>
  <c r="CC89" i="2"/>
  <c r="BF89" i="2"/>
  <c r="AR89" i="2"/>
  <c r="DE89" i="2"/>
  <c r="BE89" i="2"/>
  <c r="BH89" i="2"/>
  <c r="BY89" i="2"/>
  <c r="DC89" i="2"/>
  <c r="CS89" i="2"/>
  <c r="BC89" i="2"/>
  <c r="BG89" i="2"/>
  <c r="BV89" i="2"/>
  <c r="EA89" i="2"/>
  <c r="EK89" i="2"/>
  <c r="DS89" i="2"/>
  <c r="DZ89" i="2"/>
  <c r="ED89" i="2"/>
  <c r="AP88" i="2"/>
  <c r="CT88" i="2"/>
  <c r="DC88" i="2"/>
  <c r="CD90" i="2"/>
  <c r="CR90" i="2"/>
  <c r="ED88" i="2"/>
  <c r="BY88" i="2"/>
  <c r="DJ90" i="2"/>
  <c r="EH88" i="2"/>
  <c r="FA88" i="2"/>
  <c r="BW88" i="2"/>
  <c r="DY88" i="2"/>
  <c r="BX88" i="2"/>
  <c r="DZ88" i="2"/>
  <c r="BC88" i="2"/>
  <c r="BS88" i="2"/>
  <c r="EH89" i="2"/>
  <c r="AW88" i="2"/>
  <c r="CZ88" i="2"/>
  <c r="EJ89" i="2"/>
  <c r="AR90" i="2"/>
  <c r="BV90" i="2"/>
  <c r="EK90" i="2"/>
  <c r="BQ90" i="2"/>
  <c r="AX90" i="2"/>
  <c r="DG90" i="2"/>
  <c r="EZ90" i="2"/>
  <c r="DH90" i="2"/>
  <c r="DX90" i="2"/>
  <c r="EY90" i="2"/>
  <c r="AW90" i="2"/>
  <c r="DV90" i="2"/>
  <c r="FF90" i="2"/>
  <c r="FK90" i="2"/>
  <c r="BB90" i="2"/>
  <c r="CA90" i="2"/>
  <c r="BG90" i="2"/>
  <c r="CF90" i="2"/>
  <c r="AS88" i="2"/>
  <c r="BV88" i="2"/>
  <c r="CG89" i="2"/>
  <c r="DD89" i="2"/>
  <c r="DG89" i="2"/>
  <c r="DJ88" i="2"/>
  <c r="DU89" i="2"/>
  <c r="BT89" i="2"/>
  <c r="EJ88" i="2"/>
  <c r="EC89" i="2"/>
  <c r="FK88" i="2"/>
  <c r="CH88" i="2"/>
  <c r="BW89" i="2"/>
  <c r="DD90" i="2"/>
  <c r="DB89" i="2"/>
  <c r="CW89" i="2"/>
  <c r="EK88" i="2"/>
  <c r="EV89" i="2"/>
  <c r="AR88" i="2"/>
  <c r="CR88" i="2"/>
  <c r="EW88" i="2"/>
  <c r="BG88" i="2"/>
  <c r="CC88" i="2"/>
  <c r="CF89" i="2"/>
  <c r="CW88" i="2"/>
  <c r="DT89" i="2"/>
  <c r="EI89" i="2"/>
  <c r="EA90" i="2"/>
  <c r="ET89" i="2"/>
  <c r="BE88" i="2"/>
  <c r="CB90" i="2"/>
  <c r="BR88" i="2"/>
  <c r="BR89" i="2"/>
  <c r="CT89" i="2"/>
  <c r="EE88" i="2"/>
  <c r="AZ88" i="2"/>
  <c r="CX90" i="2"/>
  <c r="DX89" i="2"/>
  <c r="ED90" i="2"/>
  <c r="CB89" i="2"/>
  <c r="BX89" i="2"/>
  <c r="DI90" i="2"/>
  <c r="CR89" i="2"/>
  <c r="DY89" i="2"/>
  <c r="DS90" i="2"/>
  <c r="FE88" i="2"/>
  <c r="FA89" i="2"/>
  <c r="BA88" i="2"/>
  <c r="CB88" i="2"/>
  <c r="BR90" i="2"/>
  <c r="EH90" i="2"/>
  <c r="DU90" i="2"/>
  <c r="BA90" i="2"/>
  <c r="CS90" i="2"/>
  <c r="DZ90" i="2"/>
  <c r="AS90" i="2"/>
  <c r="CZ90" i="2"/>
  <c r="EC90" i="2"/>
  <c r="BF90" i="2"/>
  <c r="CY90" i="2"/>
  <c r="EZ89" i="2"/>
  <c r="AQ90" i="2"/>
  <c r="DT90" i="2"/>
  <c r="AU90" i="2"/>
  <c r="BW90" i="2"/>
  <c r="BS90" i="2"/>
  <c r="EJ90" i="2"/>
  <c r="EE90" i="2"/>
  <c r="EU89" i="2"/>
  <c r="AP90" i="2"/>
  <c r="BT90" i="2"/>
  <c r="CT90" i="2"/>
  <c r="FA90" i="2"/>
  <c r="BH90" i="2"/>
  <c r="BC90" i="2"/>
  <c r="CC90" i="2"/>
  <c r="BT88" i="2"/>
  <c r="DB90" i="2"/>
  <c r="DB88" i="2"/>
  <c r="CS88" i="2"/>
  <c r="DS88" i="2"/>
  <c r="EY88" i="2"/>
  <c r="ET90" i="2"/>
  <c r="CD88" i="2"/>
  <c r="DG88" i="2"/>
  <c r="DY90" i="2"/>
  <c r="FG88" i="2"/>
  <c r="AV90" i="2"/>
  <c r="AU88" i="2"/>
  <c r="CH90" i="2"/>
  <c r="DC90" i="2"/>
  <c r="DD88" i="2"/>
  <c r="EF90" i="2"/>
  <c r="FF88" i="2"/>
  <c r="FE90" i="2"/>
  <c r="FI90" i="2"/>
  <c r="EW90" i="2"/>
  <c r="FB90" i="2"/>
  <c r="FG90" i="2"/>
  <c r="EZ88" i="2"/>
  <c r="CI90" i="2"/>
  <c r="CG88" i="2"/>
  <c r="CF88" i="2"/>
  <c r="CY88" i="2"/>
  <c r="DV88" i="2"/>
  <c r="FJ90" i="2"/>
  <c r="EU90" i="2"/>
  <c r="EF88" i="2"/>
  <c r="BH88" i="2"/>
  <c r="BX90" i="2"/>
  <c r="DE90" i="2"/>
  <c r="CW90" i="2"/>
  <c r="CU88" i="2"/>
  <c r="FL90" i="2"/>
  <c r="EV90" i="2"/>
  <c r="FD90" i="2"/>
  <c r="AZ90" i="2"/>
  <c r="BE90" i="2"/>
  <c r="BF88" i="2"/>
  <c r="CG90" i="2"/>
  <c r="BY90" i="2"/>
  <c r="BQ88" i="2"/>
  <c r="CU90" i="2"/>
  <c r="DE88" i="2"/>
  <c r="EI88" i="2"/>
  <c r="EI90" i="2"/>
  <c r="EY89" i="2"/>
  <c r="FJ89" i="2"/>
  <c r="FE89" i="2"/>
  <c r="FD89" i="2"/>
  <c r="FI89" i="2"/>
  <c r="FB89" i="2"/>
  <c r="EW89" i="2"/>
  <c r="FL89" i="2"/>
  <c r="CA88" i="2"/>
  <c r="CI88" i="2"/>
  <c r="DX88" i="2"/>
  <c r="DT88" i="2"/>
  <c r="FJ88" i="2"/>
  <c r="EU88" i="2"/>
  <c r="AQ88" i="2"/>
  <c r="DI88" i="2"/>
  <c r="DU88" i="2"/>
  <c r="FI88" i="2"/>
  <c r="ET88" i="2"/>
  <c r="BB88" i="2"/>
  <c r="AV88" i="2"/>
  <c r="EA88" i="2"/>
  <c r="FL88" i="2"/>
  <c r="EV88" i="2"/>
  <c r="FD88" i="2"/>
  <c r="AX88" i="2"/>
  <c r="DH88" i="2"/>
  <c r="CX88" i="2"/>
  <c r="EC88" i="2"/>
  <c r="EW61" i="2"/>
  <c r="FI61" i="2"/>
  <c r="FK61" i="2"/>
  <c r="FL61" i="2"/>
  <c r="FD61" i="2"/>
  <c r="FE61" i="2"/>
  <c r="ET61" i="2"/>
  <c r="EY61" i="2"/>
  <c r="EZ61" i="2"/>
  <c r="FA61" i="2"/>
  <c r="FB61" i="2"/>
  <c r="FF61" i="2"/>
  <c r="FG61" i="2"/>
  <c r="FJ61" i="2"/>
  <c r="EU61" i="2"/>
  <c r="EV61" i="2"/>
  <c r="FJ54" i="2"/>
  <c r="FL54" i="2"/>
  <c r="FA54" i="2"/>
  <c r="FE54" i="2"/>
  <c r="ET54" i="2"/>
  <c r="EU54" i="2"/>
  <c r="FK54" i="2"/>
  <c r="EV54" i="2"/>
  <c r="EW54" i="2"/>
  <c r="EY54" i="2"/>
  <c r="EZ54" i="2"/>
  <c r="FB54" i="2"/>
  <c r="FD54" i="2"/>
  <c r="FF54" i="2"/>
  <c r="FG54" i="2"/>
  <c r="FI54" i="2"/>
  <c r="ET64" i="2"/>
  <c r="EV64" i="2"/>
  <c r="EW64" i="2"/>
  <c r="FA64" i="2"/>
  <c r="FF64" i="2"/>
  <c r="FG64" i="2"/>
  <c r="FI64" i="2"/>
  <c r="EU64" i="2"/>
  <c r="FJ64" i="2"/>
  <c r="FK64" i="2"/>
  <c r="EY64" i="2"/>
  <c r="FL64" i="2"/>
  <c r="EZ64" i="2"/>
  <c r="FB64" i="2"/>
  <c r="FD64" i="2"/>
  <c r="FE64" i="2"/>
  <c r="FL69" i="2"/>
  <c r="FA69" i="2"/>
  <c r="FB69" i="2"/>
  <c r="FD69" i="2"/>
  <c r="FE69" i="2"/>
  <c r="ET69" i="2"/>
  <c r="EU69" i="2"/>
  <c r="FF69" i="2"/>
  <c r="FG69" i="2"/>
  <c r="EV69" i="2"/>
  <c r="EW69" i="2"/>
  <c r="FI69" i="2"/>
  <c r="FJ69" i="2"/>
  <c r="EY69" i="2"/>
  <c r="EZ69" i="2"/>
  <c r="FK69" i="2"/>
  <c r="FG59" i="2"/>
  <c r="EY59" i="2"/>
  <c r="EZ59" i="2"/>
  <c r="FB59" i="2"/>
  <c r="FD59" i="2"/>
  <c r="FA59" i="2"/>
  <c r="FE59" i="2"/>
  <c r="FF59" i="2"/>
  <c r="FI59" i="2"/>
  <c r="FJ59" i="2"/>
  <c r="ET59" i="2"/>
  <c r="FK59" i="2"/>
  <c r="EU59" i="2"/>
  <c r="FL59" i="2"/>
  <c r="EV59" i="2"/>
  <c r="EW59" i="2"/>
  <c r="FD62" i="2"/>
  <c r="FF62" i="2"/>
  <c r="FG62" i="2"/>
  <c r="EY62" i="2"/>
  <c r="EZ62" i="2"/>
  <c r="FK62" i="2"/>
  <c r="FI62" i="2"/>
  <c r="FJ62" i="2"/>
  <c r="FL62" i="2"/>
  <c r="ET62" i="2"/>
  <c r="EU62" i="2"/>
  <c r="EV62" i="2"/>
  <c r="EW62" i="2"/>
  <c r="FA62" i="2"/>
  <c r="FB62" i="2"/>
  <c r="FE62" i="2"/>
  <c r="FF50" i="2"/>
  <c r="FJ50" i="2"/>
  <c r="EY50" i="2"/>
  <c r="FA50" i="2"/>
  <c r="FB50" i="2"/>
  <c r="ET50" i="2"/>
  <c r="FK50" i="2"/>
  <c r="EU50" i="2"/>
  <c r="FL50" i="2"/>
  <c r="EV50" i="2"/>
  <c r="EW50" i="2"/>
  <c r="EZ50" i="2"/>
  <c r="FD50" i="2"/>
  <c r="FE50" i="2"/>
  <c r="FG50" i="2"/>
  <c r="FI50" i="2"/>
  <c r="EZ84" i="2"/>
  <c r="FE84" i="2"/>
  <c r="FA84" i="2"/>
  <c r="FB84" i="2"/>
  <c r="FD84" i="2"/>
  <c r="ET84" i="2"/>
  <c r="FF84" i="2"/>
  <c r="EU84" i="2"/>
  <c r="FG84" i="2"/>
  <c r="FI84" i="2"/>
  <c r="EV84" i="2"/>
  <c r="FJ84" i="2"/>
  <c r="EW84" i="2"/>
  <c r="FK84" i="2"/>
  <c r="EY84" i="2"/>
  <c r="FL84" i="2"/>
  <c r="FD73" i="2"/>
  <c r="FE73" i="2"/>
  <c r="ET73" i="2"/>
  <c r="EU73" i="2"/>
  <c r="FF73" i="2"/>
  <c r="FG73" i="2"/>
  <c r="EV73" i="2"/>
  <c r="EW73" i="2"/>
  <c r="FI73" i="2"/>
  <c r="FJ73" i="2"/>
  <c r="EY73" i="2"/>
  <c r="EZ73" i="2"/>
  <c r="FK73" i="2"/>
  <c r="FL73" i="2"/>
  <c r="FA73" i="2"/>
  <c r="FB73" i="2"/>
  <c r="FB60" i="2"/>
  <c r="ET60" i="2"/>
  <c r="EU60" i="2"/>
  <c r="EW60" i="2"/>
  <c r="FI60" i="2"/>
  <c r="FJ60" i="2"/>
  <c r="EY60" i="2"/>
  <c r="FG60" i="2"/>
  <c r="FK60" i="2"/>
  <c r="FL60" i="2"/>
  <c r="EV60" i="2"/>
  <c r="EZ60" i="2"/>
  <c r="FA60" i="2"/>
  <c r="FD60" i="2"/>
  <c r="FE60" i="2"/>
  <c r="FF60" i="2"/>
  <c r="EY47" i="2"/>
  <c r="FA47" i="2"/>
  <c r="FB47" i="2"/>
  <c r="ET47" i="2"/>
  <c r="EU47" i="2"/>
  <c r="FF47" i="2"/>
  <c r="FD47" i="2"/>
  <c r="FE47" i="2"/>
  <c r="FG47" i="2"/>
  <c r="FI47" i="2"/>
  <c r="FJ47" i="2"/>
  <c r="FK47" i="2"/>
  <c r="FL47" i="2"/>
  <c r="EV47" i="2"/>
  <c r="EW47" i="2"/>
  <c r="EZ47" i="2"/>
  <c r="EZ56" i="2"/>
  <c r="FB56" i="2"/>
  <c r="EU56" i="2"/>
  <c r="FF56" i="2"/>
  <c r="FG56" i="2"/>
  <c r="FJ56" i="2"/>
  <c r="FK56" i="2"/>
  <c r="ET56" i="2"/>
  <c r="FL56" i="2"/>
  <c r="EV56" i="2"/>
  <c r="EW56" i="2"/>
  <c r="EY56" i="2"/>
  <c r="FA56" i="2"/>
  <c r="FD56" i="2"/>
  <c r="FE56" i="2"/>
  <c r="FI56" i="2"/>
  <c r="EU87" i="2"/>
  <c r="EZ87" i="2"/>
  <c r="FF87" i="2"/>
  <c r="ET87" i="2"/>
  <c r="FG87" i="2"/>
  <c r="FI87" i="2"/>
  <c r="EV87" i="2"/>
  <c r="FJ87" i="2"/>
  <c r="EW87" i="2"/>
  <c r="FK87" i="2"/>
  <c r="EY87" i="2"/>
  <c r="FL87" i="2"/>
  <c r="FA87" i="2"/>
  <c r="FB87" i="2"/>
  <c r="FD87" i="2"/>
  <c r="FE87" i="2"/>
  <c r="FA51" i="2"/>
  <c r="FE51" i="2"/>
  <c r="ET51" i="2"/>
  <c r="EV51" i="2"/>
  <c r="EW51" i="2"/>
  <c r="FI51" i="2"/>
  <c r="FJ51" i="2"/>
  <c r="FB51" i="2"/>
  <c r="FD51" i="2"/>
  <c r="FF51" i="2"/>
  <c r="FG51" i="2"/>
  <c r="FK51" i="2"/>
  <c r="EU51" i="2"/>
  <c r="FL51" i="2"/>
  <c r="EY51" i="2"/>
  <c r="EZ51" i="2"/>
  <c r="FD46" i="2"/>
  <c r="FF46" i="2"/>
  <c r="FG46" i="2"/>
  <c r="EY46" i="2"/>
  <c r="EZ46" i="2"/>
  <c r="FK46" i="2"/>
  <c r="EU46" i="2"/>
  <c r="EV46" i="2"/>
  <c r="EW46" i="2"/>
  <c r="FA46" i="2"/>
  <c r="FB46" i="2"/>
  <c r="FE46" i="2"/>
  <c r="FI46" i="2"/>
  <c r="FJ46" i="2"/>
  <c r="FL46" i="2"/>
  <c r="ET46" i="2"/>
  <c r="FK49" i="2"/>
  <c r="FD49" i="2"/>
  <c r="FF49" i="2"/>
  <c r="FG49" i="2"/>
  <c r="EV49" i="2"/>
  <c r="FB49" i="2"/>
  <c r="FE49" i="2"/>
  <c r="FI49" i="2"/>
  <c r="FJ49" i="2"/>
  <c r="ET49" i="2"/>
  <c r="FL49" i="2"/>
  <c r="EU49" i="2"/>
  <c r="EW49" i="2"/>
  <c r="EY49" i="2"/>
  <c r="EZ49" i="2"/>
  <c r="FA49" i="2"/>
  <c r="ET48" i="2"/>
  <c r="EV48" i="2"/>
  <c r="EW48" i="2"/>
  <c r="FI48" i="2"/>
  <c r="FK48" i="2"/>
  <c r="FL48" i="2"/>
  <c r="FA48" i="2"/>
  <c r="EU48" i="2"/>
  <c r="EY48" i="2"/>
  <c r="EZ48" i="2"/>
  <c r="FB48" i="2"/>
  <c r="FD48" i="2"/>
  <c r="FE48" i="2"/>
  <c r="FF48" i="2"/>
  <c r="FG48" i="2"/>
  <c r="FJ48" i="2"/>
  <c r="EV80" i="2"/>
  <c r="FA80" i="2"/>
  <c r="EU80" i="2"/>
  <c r="FG80" i="2"/>
  <c r="FI80" i="2"/>
  <c r="FJ80" i="2"/>
  <c r="EW80" i="2"/>
  <c r="EY80" i="2"/>
  <c r="FK80" i="2"/>
  <c r="EZ80" i="2"/>
  <c r="FL80" i="2"/>
  <c r="FB80" i="2"/>
  <c r="FD80" i="2"/>
  <c r="FE80" i="2"/>
  <c r="ET80" i="2"/>
  <c r="FF80" i="2"/>
  <c r="FJ91" i="2"/>
  <c r="EY91" i="2"/>
  <c r="EZ91" i="2"/>
  <c r="FK91" i="2"/>
  <c r="FL91" i="2"/>
  <c r="FA91" i="2"/>
  <c r="FB91" i="2"/>
  <c r="FD91" i="2"/>
  <c r="FE91" i="2"/>
  <c r="EU91" i="2"/>
  <c r="ET91" i="2"/>
  <c r="FF91" i="2"/>
  <c r="FG91" i="2"/>
  <c r="EV91" i="2"/>
  <c r="EW91" i="2"/>
  <c r="FI91" i="2"/>
  <c r="EU85" i="2"/>
  <c r="FG85" i="2"/>
  <c r="EZ85" i="2"/>
  <c r="FA85" i="2"/>
  <c r="FB85" i="2"/>
  <c r="FD85" i="2"/>
  <c r="FE85" i="2"/>
  <c r="FF85" i="2"/>
  <c r="FI85" i="2"/>
  <c r="ET85" i="2"/>
  <c r="FJ85" i="2"/>
  <c r="EV85" i="2"/>
  <c r="FK85" i="2"/>
  <c r="EW85" i="2"/>
  <c r="FL85" i="2"/>
  <c r="EY85" i="2"/>
  <c r="FJ82" i="2"/>
  <c r="FD82" i="2"/>
  <c r="FE82" i="2"/>
  <c r="ET82" i="2"/>
  <c r="FF82" i="2"/>
  <c r="EU82" i="2"/>
  <c r="FG82" i="2"/>
  <c r="FI82" i="2"/>
  <c r="EV82" i="2"/>
  <c r="EW82" i="2"/>
  <c r="EY82" i="2"/>
  <c r="FK82" i="2"/>
  <c r="EZ82" i="2"/>
  <c r="FL82" i="2"/>
  <c r="FA82" i="2"/>
  <c r="FB82" i="2"/>
  <c r="FE75" i="2"/>
  <c r="ET75" i="2"/>
  <c r="EU75" i="2"/>
  <c r="FF75" i="2"/>
  <c r="FG75" i="2"/>
  <c r="EV75" i="2"/>
  <c r="EW75" i="2"/>
  <c r="FI75" i="2"/>
  <c r="FJ75" i="2"/>
  <c r="EY75" i="2"/>
  <c r="EZ75" i="2"/>
  <c r="FK75" i="2"/>
  <c r="FL75" i="2"/>
  <c r="FA75" i="2"/>
  <c r="FB75" i="2"/>
  <c r="FD75" i="2"/>
  <c r="EU53" i="2"/>
  <c r="FF53" i="2"/>
  <c r="FJ53" i="2"/>
  <c r="EY53" i="2"/>
  <c r="EZ53" i="2"/>
  <c r="FA53" i="2"/>
  <c r="FB53" i="2"/>
  <c r="FD53" i="2"/>
  <c r="FE53" i="2"/>
  <c r="FG53" i="2"/>
  <c r="FI53" i="2"/>
  <c r="FK53" i="2"/>
  <c r="FL53" i="2"/>
  <c r="ET53" i="2"/>
  <c r="EV53" i="2"/>
  <c r="EW53" i="2"/>
  <c r="EU57" i="2"/>
  <c r="EW57" i="2"/>
  <c r="FI57" i="2"/>
  <c r="FJ57" i="2"/>
  <c r="FL57" i="2"/>
  <c r="FA57" i="2"/>
  <c r="FB57" i="2"/>
  <c r="EZ57" i="2"/>
  <c r="FD57" i="2"/>
  <c r="FE57" i="2"/>
  <c r="FF57" i="2"/>
  <c r="FG57" i="2"/>
  <c r="ET57" i="2"/>
  <c r="FK57" i="2"/>
  <c r="EV57" i="2"/>
  <c r="EY57" i="2"/>
  <c r="FB71" i="2"/>
  <c r="FD71" i="2"/>
  <c r="FE71" i="2"/>
  <c r="ET71" i="2"/>
  <c r="EU71" i="2"/>
  <c r="FF71" i="2"/>
  <c r="FG71" i="2"/>
  <c r="EV71" i="2"/>
  <c r="EW71" i="2"/>
  <c r="FI71" i="2"/>
  <c r="FJ71" i="2"/>
  <c r="EY71" i="2"/>
  <c r="EZ71" i="2"/>
  <c r="FK71" i="2"/>
  <c r="FL71" i="2"/>
  <c r="FA71" i="2"/>
  <c r="FA78" i="2"/>
  <c r="FB78" i="2"/>
  <c r="FD78" i="2"/>
  <c r="FE78" i="2"/>
  <c r="ET78" i="2"/>
  <c r="EU78" i="2"/>
  <c r="FF78" i="2"/>
  <c r="EV78" i="2"/>
  <c r="EW78" i="2"/>
  <c r="FJ78" i="2"/>
  <c r="EY78" i="2"/>
  <c r="EZ78" i="2"/>
  <c r="FK78" i="2"/>
  <c r="FG78" i="2"/>
  <c r="FI78" i="2"/>
  <c r="FL78" i="2"/>
  <c r="FA65" i="2"/>
  <c r="FB65" i="2"/>
  <c r="FD65" i="2"/>
  <c r="FE65" i="2"/>
  <c r="ET65" i="2"/>
  <c r="FF65" i="2"/>
  <c r="EU65" i="2"/>
  <c r="FG65" i="2"/>
  <c r="FI65" i="2"/>
  <c r="FJ65" i="2"/>
  <c r="EV65" i="2"/>
  <c r="EW65" i="2"/>
  <c r="EY65" i="2"/>
  <c r="FK65" i="2"/>
  <c r="EZ65" i="2"/>
  <c r="FL65" i="2"/>
  <c r="EZ74" i="2"/>
  <c r="FL74" i="2"/>
  <c r="FA74" i="2"/>
  <c r="FB74" i="2"/>
  <c r="FD74" i="2"/>
  <c r="FE74" i="2"/>
  <c r="ET74" i="2"/>
  <c r="FF74" i="2"/>
  <c r="EU74" i="2"/>
  <c r="FG74" i="2"/>
  <c r="FI74" i="2"/>
  <c r="FJ74" i="2"/>
  <c r="EV74" i="2"/>
  <c r="EW74" i="2"/>
  <c r="EY74" i="2"/>
  <c r="FK74" i="2"/>
  <c r="EV52" i="2"/>
  <c r="EZ52" i="2"/>
  <c r="FK52" i="2"/>
  <c r="FD52" i="2"/>
  <c r="FE52" i="2"/>
  <c r="ET52" i="2"/>
  <c r="EU52" i="2"/>
  <c r="FL52" i="2"/>
  <c r="EW52" i="2"/>
  <c r="EY52" i="2"/>
  <c r="FA52" i="2"/>
  <c r="FB52" i="2"/>
  <c r="FF52" i="2"/>
  <c r="FG52" i="2"/>
  <c r="FI52" i="2"/>
  <c r="FJ52" i="2"/>
  <c r="FL58" i="2"/>
  <c r="FD58" i="2"/>
  <c r="FE58" i="2"/>
  <c r="FG58" i="2"/>
  <c r="EV58" i="2"/>
  <c r="EW58" i="2"/>
  <c r="FI58" i="2"/>
  <c r="FJ58" i="2"/>
  <c r="ET58" i="2"/>
  <c r="FK58" i="2"/>
  <c r="EU58" i="2"/>
  <c r="EY58" i="2"/>
  <c r="EZ58" i="2"/>
  <c r="FA58" i="2"/>
  <c r="FB58" i="2"/>
  <c r="FF58" i="2"/>
  <c r="FE92" i="2"/>
  <c r="ET92" i="2"/>
  <c r="FF92" i="2"/>
  <c r="EV92" i="2"/>
  <c r="EW92" i="2"/>
  <c r="FI92" i="2"/>
  <c r="FJ92" i="2"/>
  <c r="EY92" i="2"/>
  <c r="FL92" i="2"/>
  <c r="FB92" i="2"/>
  <c r="FK92" i="2"/>
  <c r="EZ92" i="2"/>
  <c r="FA92" i="2"/>
  <c r="FD92" i="2"/>
  <c r="EU92" i="2"/>
  <c r="FG92" i="2"/>
  <c r="EW72" i="2"/>
  <c r="FI72" i="2"/>
  <c r="FJ72" i="2"/>
  <c r="EY72" i="2"/>
  <c r="EZ72" i="2"/>
  <c r="FK72" i="2"/>
  <c r="FL72" i="2"/>
  <c r="FA72" i="2"/>
  <c r="FB72" i="2"/>
  <c r="FD72" i="2"/>
  <c r="FE72" i="2"/>
  <c r="ET72" i="2"/>
  <c r="EU72" i="2"/>
  <c r="FF72" i="2"/>
  <c r="FG72" i="2"/>
  <c r="EV72" i="2"/>
  <c r="EZ67" i="2"/>
  <c r="FK67" i="2"/>
  <c r="FL67" i="2"/>
  <c r="FA67" i="2"/>
  <c r="FB67" i="2"/>
  <c r="FD67" i="2"/>
  <c r="FE67" i="2"/>
  <c r="ET67" i="2"/>
  <c r="EU67" i="2"/>
  <c r="FF67" i="2"/>
  <c r="FG67" i="2"/>
  <c r="EV67" i="2"/>
  <c r="EW67" i="2"/>
  <c r="FI67" i="2"/>
  <c r="FJ67" i="2"/>
  <c r="EY67" i="2"/>
  <c r="FE55" i="2"/>
  <c r="FG55" i="2"/>
  <c r="EV55" i="2"/>
  <c r="EZ55" i="2"/>
  <c r="FK55" i="2"/>
  <c r="FL55" i="2"/>
  <c r="FA55" i="2"/>
  <c r="FB55" i="2"/>
  <c r="FD55" i="2"/>
  <c r="FF55" i="2"/>
  <c r="FI55" i="2"/>
  <c r="FJ55" i="2"/>
  <c r="ET55" i="2"/>
  <c r="EU55" i="2"/>
  <c r="EW55" i="2"/>
  <c r="EY55" i="2"/>
  <c r="EZ86" i="2"/>
  <c r="FE86" i="2"/>
  <c r="ET86" i="2"/>
  <c r="FG86" i="2"/>
  <c r="FI86" i="2"/>
  <c r="EV86" i="2"/>
  <c r="FJ86" i="2"/>
  <c r="EW86" i="2"/>
  <c r="FK86" i="2"/>
  <c r="EY86" i="2"/>
  <c r="FL86" i="2"/>
  <c r="FA86" i="2"/>
  <c r="FB86" i="2"/>
  <c r="FD86" i="2"/>
  <c r="FF86" i="2"/>
  <c r="EU86" i="2"/>
  <c r="FE83" i="2"/>
  <c r="FJ83" i="2"/>
  <c r="FA83" i="2"/>
  <c r="FB83" i="2"/>
  <c r="FD83" i="2"/>
  <c r="ET83" i="2"/>
  <c r="FF83" i="2"/>
  <c r="EU83" i="2"/>
  <c r="FG83" i="2"/>
  <c r="FI83" i="2"/>
  <c r="EV83" i="2"/>
  <c r="EW83" i="2"/>
  <c r="EY83" i="2"/>
  <c r="FK83" i="2"/>
  <c r="EZ83" i="2"/>
  <c r="FL83" i="2"/>
  <c r="EU68" i="2"/>
  <c r="FF68" i="2"/>
  <c r="FG68" i="2"/>
  <c r="EV68" i="2"/>
  <c r="EW68" i="2"/>
  <c r="FI68" i="2"/>
  <c r="FJ68" i="2"/>
  <c r="EY68" i="2"/>
  <c r="EZ68" i="2"/>
  <c r="FK68" i="2"/>
  <c r="FL68" i="2"/>
  <c r="FA68" i="2"/>
  <c r="FB68" i="2"/>
  <c r="FD68" i="2"/>
  <c r="FE68" i="2"/>
  <c r="ET68" i="2"/>
  <c r="FE66" i="2"/>
  <c r="ET66" i="2"/>
  <c r="EU66" i="2"/>
  <c r="FF66" i="2"/>
  <c r="FG66" i="2"/>
  <c r="EV66" i="2"/>
  <c r="EW66" i="2"/>
  <c r="FI66" i="2"/>
  <c r="FJ66" i="2"/>
  <c r="EY66" i="2"/>
  <c r="EZ66" i="2"/>
  <c r="FK66" i="2"/>
  <c r="FL66" i="2"/>
  <c r="FA66" i="2"/>
  <c r="FB66" i="2"/>
  <c r="FD66" i="2"/>
  <c r="EV81" i="2"/>
  <c r="ET81" i="2"/>
  <c r="FF81" i="2"/>
  <c r="EU81" i="2"/>
  <c r="FG81" i="2"/>
  <c r="FI81" i="2"/>
  <c r="FJ81" i="2"/>
  <c r="EW81" i="2"/>
  <c r="EY81" i="2"/>
  <c r="FK81" i="2"/>
  <c r="EZ81" i="2"/>
  <c r="FL81" i="2"/>
  <c r="FA81" i="2"/>
  <c r="FB81" i="2"/>
  <c r="FD81" i="2"/>
  <c r="FE81" i="2"/>
  <c r="FG70" i="2"/>
  <c r="EV70" i="2"/>
  <c r="EW70" i="2"/>
  <c r="FI70" i="2"/>
  <c r="FJ70" i="2"/>
  <c r="EY70" i="2"/>
  <c r="EZ70" i="2"/>
  <c r="FK70" i="2"/>
  <c r="FL70" i="2"/>
  <c r="FA70" i="2"/>
  <c r="FB70" i="2"/>
  <c r="FD70" i="2"/>
  <c r="FE70" i="2"/>
  <c r="ET70" i="2"/>
  <c r="EU70" i="2"/>
  <c r="FF70" i="2"/>
  <c r="EY63" i="2"/>
  <c r="FA63" i="2"/>
  <c r="FB63" i="2"/>
  <c r="ET63" i="2"/>
  <c r="EU63" i="2"/>
  <c r="FF63" i="2"/>
  <c r="EW63" i="2"/>
  <c r="EZ63" i="2"/>
  <c r="FD63" i="2"/>
  <c r="FE63" i="2"/>
  <c r="FG63" i="2"/>
  <c r="FI63" i="2"/>
  <c r="FJ63" i="2"/>
  <c r="FK63" i="2"/>
  <c r="FL63" i="2"/>
  <c r="EV63" i="2"/>
  <c r="EW45" i="2"/>
  <c r="FI45" i="2"/>
  <c r="FK45" i="2"/>
  <c r="FL45" i="2"/>
  <c r="FD45" i="2"/>
  <c r="FE45" i="2"/>
  <c r="ET45" i="2"/>
  <c r="FF45" i="2"/>
  <c r="FG45" i="2"/>
  <c r="FJ45" i="2"/>
  <c r="EU45" i="2"/>
  <c r="EV45" i="2"/>
  <c r="EY45" i="2"/>
  <c r="EZ45" i="2"/>
  <c r="FA45" i="2"/>
  <c r="FB45" i="2"/>
  <c r="FA79" i="2"/>
  <c r="ET79" i="2"/>
  <c r="FF79" i="2"/>
  <c r="FI79" i="2"/>
  <c r="EV79" i="2"/>
  <c r="FJ79" i="2"/>
  <c r="EW79" i="2"/>
  <c r="EY79" i="2"/>
  <c r="FK79" i="2"/>
  <c r="EZ79" i="2"/>
  <c r="FL79" i="2"/>
  <c r="FB79" i="2"/>
  <c r="FD79" i="2"/>
  <c r="FE79" i="2"/>
  <c r="FG79" i="2"/>
  <c r="EU79" i="2"/>
  <c r="EU77" i="2"/>
  <c r="FF77" i="2"/>
  <c r="FG77" i="2"/>
  <c r="EV77" i="2"/>
  <c r="EW77" i="2"/>
  <c r="FI77" i="2"/>
  <c r="FJ77" i="2"/>
  <c r="EY77" i="2"/>
  <c r="EZ77" i="2"/>
  <c r="FK77" i="2"/>
  <c r="FL77" i="2"/>
  <c r="FA77" i="2"/>
  <c r="FB77" i="2"/>
  <c r="FD77" i="2"/>
  <c r="FE77" i="2"/>
  <c r="ET77" i="2"/>
  <c r="EZ76" i="2"/>
  <c r="FK76" i="2"/>
  <c r="FL76" i="2"/>
  <c r="FA76" i="2"/>
  <c r="FB76" i="2"/>
  <c r="FD76" i="2"/>
  <c r="FE76" i="2"/>
  <c r="ET76" i="2"/>
  <c r="EU76" i="2"/>
  <c r="FF76" i="2"/>
  <c r="FG76" i="2"/>
  <c r="EV76" i="2"/>
  <c r="EW76" i="2"/>
  <c r="FI76" i="2"/>
  <c r="FJ76" i="2"/>
  <c r="EY76" i="2"/>
  <c r="FD41" i="2"/>
  <c r="FE41" i="2"/>
  <c r="ET41" i="2"/>
  <c r="EU41" i="2"/>
  <c r="FF41" i="2"/>
  <c r="FG41" i="2"/>
  <c r="EV41" i="2"/>
  <c r="EW41" i="2"/>
  <c r="FI41" i="2"/>
  <c r="FJ41" i="2"/>
  <c r="EY41" i="2"/>
  <c r="EZ41" i="2"/>
  <c r="FK41" i="2"/>
  <c r="FL41" i="2"/>
  <c r="FA41" i="2"/>
  <c r="FB41" i="2"/>
  <c r="EU36" i="2"/>
  <c r="FF36" i="2"/>
  <c r="FG36" i="2"/>
  <c r="EV36" i="2"/>
  <c r="EW36" i="2"/>
  <c r="FI36" i="2"/>
  <c r="FJ36" i="2"/>
  <c r="EY36" i="2"/>
  <c r="FE36" i="2"/>
  <c r="EZ36" i="2"/>
  <c r="FK36" i="2"/>
  <c r="FL36" i="2"/>
  <c r="FA36" i="2"/>
  <c r="FB36" i="2"/>
  <c r="FD36" i="2"/>
  <c r="ET36" i="2"/>
  <c r="FA29" i="2"/>
  <c r="EV29" i="2"/>
  <c r="EZ29" i="2"/>
  <c r="FL29" i="2"/>
  <c r="EW29" i="2"/>
  <c r="FK29" i="2"/>
  <c r="EU29" i="2"/>
  <c r="FE29" i="2"/>
  <c r="FJ29" i="2"/>
  <c r="FG29" i="2"/>
  <c r="FF29" i="2"/>
  <c r="FB29" i="2"/>
  <c r="EY42" i="2"/>
  <c r="EW42" i="2"/>
  <c r="EZ42" i="2"/>
  <c r="FK42" i="2"/>
  <c r="FL42" i="2"/>
  <c r="FI42" i="2"/>
  <c r="FA42" i="2"/>
  <c r="FB42" i="2"/>
  <c r="FD42" i="2"/>
  <c r="FE42" i="2"/>
  <c r="ET42" i="2"/>
  <c r="EU42" i="2"/>
  <c r="FF42" i="2"/>
  <c r="FG42" i="2"/>
  <c r="EV42" i="2"/>
  <c r="FJ42" i="2"/>
  <c r="FL37" i="2"/>
  <c r="FA37" i="2"/>
  <c r="FB37" i="2"/>
  <c r="FD37" i="2"/>
  <c r="FE37" i="2"/>
  <c r="ET37" i="2"/>
  <c r="EU37" i="2"/>
  <c r="FF37" i="2"/>
  <c r="FG37" i="2"/>
  <c r="EV37" i="2"/>
  <c r="EW37" i="2"/>
  <c r="FI37" i="2"/>
  <c r="FJ37" i="2"/>
  <c r="EY37" i="2"/>
  <c r="EZ37" i="2"/>
  <c r="FK37" i="2"/>
  <c r="FG38" i="2"/>
  <c r="EV38" i="2"/>
  <c r="EW38" i="2"/>
  <c r="FI38" i="2"/>
  <c r="FJ38" i="2"/>
  <c r="EY38" i="2"/>
  <c r="EZ38" i="2"/>
  <c r="FK38" i="2"/>
  <c r="FL38" i="2"/>
  <c r="EU38" i="2"/>
  <c r="FA38" i="2"/>
  <c r="FB38" i="2"/>
  <c r="FD38" i="2"/>
  <c r="FE38" i="2"/>
  <c r="ET38" i="2"/>
  <c r="FF38" i="2"/>
  <c r="EZ33" i="2"/>
  <c r="FK33" i="2"/>
  <c r="FJ33" i="2"/>
  <c r="FL33" i="2"/>
  <c r="FA33" i="2"/>
  <c r="FB33" i="2"/>
  <c r="FD33" i="2"/>
  <c r="FE33" i="2"/>
  <c r="ET33" i="2"/>
  <c r="EU33" i="2"/>
  <c r="FF33" i="2"/>
  <c r="FG33" i="2"/>
  <c r="EV33" i="2"/>
  <c r="EW33" i="2"/>
  <c r="FI33" i="2"/>
  <c r="EY33" i="2"/>
  <c r="FB39" i="2"/>
  <c r="FD39" i="2"/>
  <c r="FE39" i="2"/>
  <c r="ET39" i="2"/>
  <c r="EU39" i="2"/>
  <c r="FF39" i="2"/>
  <c r="FG39" i="2"/>
  <c r="EV39" i="2"/>
  <c r="EW39" i="2"/>
  <c r="FI39" i="2"/>
  <c r="FJ39" i="2"/>
  <c r="EY39" i="2"/>
  <c r="EZ39" i="2"/>
  <c r="FK39" i="2"/>
  <c r="FL39" i="2"/>
  <c r="FA39" i="2"/>
  <c r="EW40" i="2"/>
  <c r="FI40" i="2"/>
  <c r="FJ40" i="2"/>
  <c r="FG40" i="2"/>
  <c r="EY40" i="2"/>
  <c r="EZ40" i="2"/>
  <c r="FK40" i="2"/>
  <c r="FL40" i="2"/>
  <c r="FA40" i="2"/>
  <c r="FB40" i="2"/>
  <c r="FD40" i="2"/>
  <c r="FE40" i="2"/>
  <c r="ET40" i="2"/>
  <c r="EU40" i="2"/>
  <c r="FF40" i="2"/>
  <c r="EV40" i="2"/>
  <c r="EZ35" i="2"/>
  <c r="FK35" i="2"/>
  <c r="FL35" i="2"/>
  <c r="FA35" i="2"/>
  <c r="FB35" i="2"/>
  <c r="FD35" i="2"/>
  <c r="FE35" i="2"/>
  <c r="ET35" i="2"/>
  <c r="EU35" i="2"/>
  <c r="FF35" i="2"/>
  <c r="FG35" i="2"/>
  <c r="FJ35" i="2"/>
  <c r="EV35" i="2"/>
  <c r="EW35" i="2"/>
  <c r="FI35" i="2"/>
  <c r="EY35" i="2"/>
  <c r="FD30" i="2"/>
  <c r="FE30" i="2"/>
  <c r="ET30" i="2"/>
  <c r="EU30" i="2"/>
  <c r="FF30" i="2"/>
  <c r="FG30" i="2"/>
  <c r="EV30" i="2"/>
  <c r="EW30" i="2"/>
  <c r="FI30" i="2"/>
  <c r="FJ30" i="2"/>
  <c r="EY30" i="2"/>
  <c r="EZ30" i="2"/>
  <c r="FK30" i="2"/>
  <c r="FL30" i="2"/>
  <c r="FA30" i="2"/>
  <c r="FB30" i="2"/>
  <c r="FK44" i="2"/>
  <c r="FL44" i="2"/>
  <c r="FA44" i="2"/>
  <c r="FB44" i="2"/>
  <c r="FD44" i="2"/>
  <c r="FE44" i="2"/>
  <c r="ET44" i="2"/>
  <c r="EU44" i="2"/>
  <c r="FF44" i="2"/>
  <c r="FG44" i="2"/>
  <c r="EV44" i="2"/>
  <c r="EW44" i="2"/>
  <c r="FI44" i="2"/>
  <c r="FJ44" i="2"/>
  <c r="EZ44" i="2"/>
  <c r="EY44" i="2"/>
  <c r="EU34" i="2"/>
  <c r="FG34" i="2"/>
  <c r="FI34" i="2"/>
  <c r="FJ34" i="2"/>
  <c r="EV34" i="2"/>
  <c r="EW34" i="2"/>
  <c r="EY34" i="2"/>
  <c r="FK34" i="2"/>
  <c r="EZ34" i="2"/>
  <c r="FL34" i="2"/>
  <c r="FA34" i="2"/>
  <c r="FB34" i="2"/>
  <c r="FD34" i="2"/>
  <c r="FE34" i="2"/>
  <c r="ET34" i="2"/>
  <c r="FF34" i="2"/>
  <c r="ET43" i="2"/>
  <c r="EU43" i="2"/>
  <c r="FF43" i="2"/>
  <c r="FG43" i="2"/>
  <c r="EV43" i="2"/>
  <c r="EW43" i="2"/>
  <c r="FI43" i="2"/>
  <c r="FJ43" i="2"/>
  <c r="EY43" i="2"/>
  <c r="EZ43" i="2"/>
  <c r="FK43" i="2"/>
  <c r="FL43" i="2"/>
  <c r="FA43" i="2"/>
  <c r="FB43" i="2"/>
  <c r="FD43" i="2"/>
  <c r="FE43" i="2"/>
  <c r="FJ31" i="2"/>
  <c r="EY31" i="2"/>
  <c r="EZ31" i="2"/>
  <c r="FK31" i="2"/>
  <c r="FL31" i="2"/>
  <c r="FA31" i="2"/>
  <c r="FB31" i="2"/>
  <c r="FD31" i="2"/>
  <c r="FE31" i="2"/>
  <c r="ET31" i="2"/>
  <c r="EU31" i="2"/>
  <c r="FF31" i="2"/>
  <c r="FG31" i="2"/>
  <c r="EV31" i="2"/>
  <c r="EW31" i="2"/>
  <c r="FI31" i="2"/>
  <c r="FE32" i="2"/>
  <c r="ET32" i="2"/>
  <c r="EU32" i="2"/>
  <c r="FF32" i="2"/>
  <c r="FG32" i="2"/>
  <c r="EV32" i="2"/>
  <c r="EW32" i="2"/>
  <c r="FI32" i="2"/>
  <c r="FJ32" i="2"/>
  <c r="EY32" i="2"/>
  <c r="EZ32" i="2"/>
  <c r="FK32" i="2"/>
  <c r="FL32" i="2"/>
  <c r="FA32" i="2"/>
  <c r="FB32" i="2"/>
  <c r="FD32" i="2"/>
  <c r="EJ87" i="2"/>
  <c r="DY87" i="2"/>
  <c r="DX87" i="2"/>
  <c r="EH87" i="2"/>
  <c r="DV87" i="2"/>
  <c r="DU87" i="2"/>
  <c r="EF87" i="2"/>
  <c r="EE87" i="2"/>
  <c r="DT87" i="2"/>
  <c r="DS87" i="2"/>
  <c r="ED87" i="2"/>
  <c r="EK87" i="2"/>
  <c r="EC87" i="2"/>
  <c r="EA87" i="2"/>
  <c r="DZ87" i="2"/>
  <c r="EI87" i="2"/>
  <c r="EI50" i="2"/>
  <c r="EH50" i="2"/>
  <c r="DV50" i="2"/>
  <c r="DU50" i="2"/>
  <c r="EE50" i="2"/>
  <c r="DT50" i="2"/>
  <c r="DS50" i="2"/>
  <c r="ED50" i="2"/>
  <c r="DZ50" i="2"/>
  <c r="DY50" i="2"/>
  <c r="EA50" i="2"/>
  <c r="EK50" i="2"/>
  <c r="EJ50" i="2"/>
  <c r="EF50" i="2"/>
  <c r="EC50" i="2"/>
  <c r="DX50" i="2"/>
  <c r="EI61" i="2"/>
  <c r="EH61" i="2"/>
  <c r="DV61" i="2"/>
  <c r="DU61" i="2"/>
  <c r="EE61" i="2"/>
  <c r="DT61" i="2"/>
  <c r="DS61" i="2"/>
  <c r="ED61" i="2"/>
  <c r="EC61" i="2"/>
  <c r="DY61" i="2"/>
  <c r="DX61" i="2"/>
  <c r="EK61" i="2"/>
  <c r="EF61" i="2"/>
  <c r="DZ61" i="2"/>
  <c r="EJ61" i="2"/>
  <c r="EA61" i="2"/>
  <c r="EE46" i="2"/>
  <c r="DT46" i="2"/>
  <c r="DS46" i="2"/>
  <c r="EC46" i="2"/>
  <c r="EA46" i="2"/>
  <c r="DZ46" i="2"/>
  <c r="EJ46" i="2"/>
  <c r="DX46" i="2"/>
  <c r="DU46" i="2"/>
  <c r="EK46" i="2"/>
  <c r="EI46" i="2"/>
  <c r="EH46" i="2"/>
  <c r="EF46" i="2"/>
  <c r="ED46" i="2"/>
  <c r="DV46" i="2"/>
  <c r="DY46" i="2"/>
  <c r="DX43" i="2"/>
  <c r="EI43" i="2"/>
  <c r="EH43" i="2"/>
  <c r="DV43" i="2"/>
  <c r="EF43" i="2"/>
  <c r="EE43" i="2"/>
  <c r="DT43" i="2"/>
  <c r="DS43" i="2"/>
  <c r="EC43" i="2"/>
  <c r="EA43" i="2"/>
  <c r="EJ43" i="2"/>
  <c r="EK43" i="2"/>
  <c r="ED43" i="2"/>
  <c r="DZ43" i="2"/>
  <c r="DY43" i="2"/>
  <c r="DU43" i="2"/>
  <c r="ED84" i="2"/>
  <c r="EC84" i="2"/>
  <c r="DZ84" i="2"/>
  <c r="EK84" i="2"/>
  <c r="EJ84" i="2"/>
  <c r="DY84" i="2"/>
  <c r="DX84" i="2"/>
  <c r="EI84" i="2"/>
  <c r="EH84" i="2"/>
  <c r="DV84" i="2"/>
  <c r="EF84" i="2"/>
  <c r="DS84" i="2"/>
  <c r="DU84" i="2"/>
  <c r="DT84" i="2"/>
  <c r="EE84" i="2"/>
  <c r="EA84" i="2"/>
  <c r="DU48" i="2"/>
  <c r="EF48" i="2"/>
  <c r="EE48" i="2"/>
  <c r="DS48" i="2"/>
  <c r="ED48" i="2"/>
  <c r="EC48" i="2"/>
  <c r="DZ48" i="2"/>
  <c r="EJ48" i="2"/>
  <c r="EI48" i="2"/>
  <c r="DX48" i="2"/>
  <c r="DV48" i="2"/>
  <c r="DT48" i="2"/>
  <c r="EK48" i="2"/>
  <c r="EH48" i="2"/>
  <c r="DY48" i="2"/>
  <c r="EA48" i="2"/>
  <c r="DZ80" i="2"/>
  <c r="EK80" i="2"/>
  <c r="EJ80" i="2"/>
  <c r="DX80" i="2"/>
  <c r="EI80" i="2"/>
  <c r="EH80" i="2"/>
  <c r="DV80" i="2"/>
  <c r="DU80" i="2"/>
  <c r="EF80" i="2"/>
  <c r="EE80" i="2"/>
  <c r="DT80" i="2"/>
  <c r="ED80" i="2"/>
  <c r="EA80" i="2"/>
  <c r="EC80" i="2"/>
  <c r="DY80" i="2"/>
  <c r="DS80" i="2"/>
  <c r="DZ47" i="2"/>
  <c r="EK47" i="2"/>
  <c r="EJ47" i="2"/>
  <c r="DX47" i="2"/>
  <c r="EI47" i="2"/>
  <c r="EH47" i="2"/>
  <c r="DV47" i="2"/>
  <c r="DU47" i="2"/>
  <c r="EE47" i="2"/>
  <c r="DS47" i="2"/>
  <c r="DT47" i="2"/>
  <c r="EF47" i="2"/>
  <c r="ED47" i="2"/>
  <c r="DY47" i="2"/>
  <c r="EC47" i="2"/>
  <c r="EA47" i="2"/>
  <c r="EA56" i="2"/>
  <c r="DZ56" i="2"/>
  <c r="EK56" i="2"/>
  <c r="DY56" i="2"/>
  <c r="DX56" i="2"/>
  <c r="EI56" i="2"/>
  <c r="EH56" i="2"/>
  <c r="DV56" i="2"/>
  <c r="EF56" i="2"/>
  <c r="DT56" i="2"/>
  <c r="EC56" i="2"/>
  <c r="EJ56" i="2"/>
  <c r="EE56" i="2"/>
  <c r="ED56" i="2"/>
  <c r="DU56" i="2"/>
  <c r="DS56" i="2"/>
  <c r="DT37" i="2"/>
  <c r="DS37" i="2"/>
  <c r="ED37" i="2"/>
  <c r="EA37" i="2"/>
  <c r="DZ37" i="2"/>
  <c r="EK37" i="2"/>
  <c r="DY37" i="2"/>
  <c r="EI37" i="2"/>
  <c r="EF37" i="2"/>
  <c r="DX37" i="2"/>
  <c r="DV37" i="2"/>
  <c r="DU37" i="2"/>
  <c r="EJ37" i="2"/>
  <c r="EH37" i="2"/>
  <c r="EC37" i="2"/>
  <c r="EE37" i="2"/>
  <c r="EK38" i="2"/>
  <c r="EJ38" i="2"/>
  <c r="DY38" i="2"/>
  <c r="EI38" i="2"/>
  <c r="EH38" i="2"/>
  <c r="DV38" i="2"/>
  <c r="DU38" i="2"/>
  <c r="EF38" i="2"/>
  <c r="DT38" i="2"/>
  <c r="ED38" i="2"/>
  <c r="EA38" i="2"/>
  <c r="DZ38" i="2"/>
  <c r="DX38" i="2"/>
  <c r="DS38" i="2"/>
  <c r="EC38" i="2"/>
  <c r="EE38" i="2"/>
  <c r="EK85" i="2"/>
  <c r="DY85" i="2"/>
  <c r="EJ85" i="2"/>
  <c r="DX85" i="2"/>
  <c r="DU85" i="2"/>
  <c r="EI85" i="2"/>
  <c r="EH85" i="2"/>
  <c r="EF85" i="2"/>
  <c r="DT85" i="2"/>
  <c r="EE85" i="2"/>
  <c r="DS85" i="2"/>
  <c r="EC85" i="2"/>
  <c r="ED85" i="2"/>
  <c r="EA85" i="2"/>
  <c r="DZ85" i="2"/>
  <c r="DV85" i="2"/>
  <c r="EA82" i="2"/>
  <c r="DZ82" i="2"/>
  <c r="EJ82" i="2"/>
  <c r="DY82" i="2"/>
  <c r="DX82" i="2"/>
  <c r="EI82" i="2"/>
  <c r="EH82" i="2"/>
  <c r="DV82" i="2"/>
  <c r="DU82" i="2"/>
  <c r="EF82" i="2"/>
  <c r="DT82" i="2"/>
  <c r="EC82" i="2"/>
  <c r="EE82" i="2"/>
  <c r="ED82" i="2"/>
  <c r="DS82" i="2"/>
  <c r="EK82" i="2"/>
  <c r="EC75" i="2"/>
  <c r="EA75" i="2"/>
  <c r="EK75" i="2"/>
  <c r="EJ75" i="2"/>
  <c r="DY75" i="2"/>
  <c r="DX75" i="2"/>
  <c r="EI75" i="2"/>
  <c r="EH75" i="2"/>
  <c r="DV75" i="2"/>
  <c r="DU75" i="2"/>
  <c r="EE75" i="2"/>
  <c r="ED75" i="2"/>
  <c r="EF75" i="2"/>
  <c r="DZ75" i="2"/>
  <c r="DT75" i="2"/>
  <c r="DS75" i="2"/>
  <c r="EA49" i="2"/>
  <c r="DZ49" i="2"/>
  <c r="EJ49" i="2"/>
  <c r="DY49" i="2"/>
  <c r="DX49" i="2"/>
  <c r="EI49" i="2"/>
  <c r="DU49" i="2"/>
  <c r="EE49" i="2"/>
  <c r="ED49" i="2"/>
  <c r="DV49" i="2"/>
  <c r="DS49" i="2"/>
  <c r="EK49" i="2"/>
  <c r="EH49" i="2"/>
  <c r="EF49" i="2"/>
  <c r="EC49" i="2"/>
  <c r="DT49" i="2"/>
  <c r="EE29" i="2"/>
  <c r="EA29" i="2"/>
  <c r="EK29" i="2"/>
  <c r="DY29" i="2"/>
  <c r="EJ29" i="2"/>
  <c r="EF29" i="2"/>
  <c r="EI29" i="2"/>
  <c r="ED29" i="2"/>
  <c r="DZ29" i="2"/>
  <c r="EC71" i="2"/>
  <c r="EA71" i="2"/>
  <c r="EK71" i="2"/>
  <c r="EJ71" i="2"/>
  <c r="DY71" i="2"/>
  <c r="DX71" i="2"/>
  <c r="EI71" i="2"/>
  <c r="EH71" i="2"/>
  <c r="DV71" i="2"/>
  <c r="DU71" i="2"/>
  <c r="EE71" i="2"/>
  <c r="ED71" i="2"/>
  <c r="DZ71" i="2"/>
  <c r="DS71" i="2"/>
  <c r="EF71" i="2"/>
  <c r="DT71" i="2"/>
  <c r="EC42" i="2"/>
  <c r="EA42" i="2"/>
  <c r="EK42" i="2"/>
  <c r="EJ42" i="2"/>
  <c r="DY42" i="2"/>
  <c r="DX42" i="2"/>
  <c r="EH42" i="2"/>
  <c r="DV42" i="2"/>
  <c r="EF42" i="2"/>
  <c r="DS42" i="2"/>
  <c r="EI42" i="2"/>
  <c r="ED42" i="2"/>
  <c r="DZ42" i="2"/>
  <c r="DU42" i="2"/>
  <c r="DT42" i="2"/>
  <c r="EE42" i="2"/>
  <c r="DT53" i="2"/>
  <c r="DS53" i="2"/>
  <c r="ED53" i="2"/>
  <c r="EA53" i="2"/>
  <c r="DZ53" i="2"/>
  <c r="EK53" i="2"/>
  <c r="DY53" i="2"/>
  <c r="EI53" i="2"/>
  <c r="EF53" i="2"/>
  <c r="EH53" i="2"/>
  <c r="EC53" i="2"/>
  <c r="DX53" i="2"/>
  <c r="DV53" i="2"/>
  <c r="DU53" i="2"/>
  <c r="EJ53" i="2"/>
  <c r="EE53" i="2"/>
  <c r="EE57" i="2"/>
  <c r="EC57" i="2"/>
  <c r="EA57" i="2"/>
  <c r="DZ57" i="2"/>
  <c r="EK57" i="2"/>
  <c r="DV57" i="2"/>
  <c r="DU57" i="2"/>
  <c r="EJ57" i="2"/>
  <c r="DT57" i="2"/>
  <c r="DS57" i="2"/>
  <c r="EI57" i="2"/>
  <c r="ED57" i="2"/>
  <c r="DX57" i="2"/>
  <c r="EH57" i="2"/>
  <c r="EF57" i="2"/>
  <c r="DY57" i="2"/>
  <c r="EK74" i="2"/>
  <c r="DY74" i="2"/>
  <c r="EJ74" i="2"/>
  <c r="DX74" i="2"/>
  <c r="DV74" i="2"/>
  <c r="EI74" i="2"/>
  <c r="DU74" i="2"/>
  <c r="EH74" i="2"/>
  <c r="EF74" i="2"/>
  <c r="EE74" i="2"/>
  <c r="DT74" i="2"/>
  <c r="DS74" i="2"/>
  <c r="EC74" i="2"/>
  <c r="DZ74" i="2"/>
  <c r="EA74" i="2"/>
  <c r="ED74" i="2"/>
  <c r="DX72" i="2"/>
  <c r="EI72" i="2"/>
  <c r="EH72" i="2"/>
  <c r="DV72" i="2"/>
  <c r="EF72" i="2"/>
  <c r="EE72" i="2"/>
  <c r="DT72" i="2"/>
  <c r="DS72" i="2"/>
  <c r="ED72" i="2"/>
  <c r="EC72" i="2"/>
  <c r="DZ72" i="2"/>
  <c r="DY72" i="2"/>
  <c r="EA72" i="2"/>
  <c r="EJ72" i="2"/>
  <c r="EK72" i="2"/>
  <c r="DU72" i="2"/>
  <c r="EH41" i="2"/>
  <c r="DV41" i="2"/>
  <c r="DU41" i="2"/>
  <c r="EF41" i="2"/>
  <c r="DT41" i="2"/>
  <c r="DS41" i="2"/>
  <c r="ED41" i="2"/>
  <c r="EC41" i="2"/>
  <c r="EA41" i="2"/>
  <c r="EK41" i="2"/>
  <c r="DX41" i="2"/>
  <c r="EI41" i="2"/>
  <c r="EE41" i="2"/>
  <c r="DZ41" i="2"/>
  <c r="DY41" i="2"/>
  <c r="EJ41" i="2"/>
  <c r="ED51" i="2"/>
  <c r="EC51" i="2"/>
  <c r="DZ51" i="2"/>
  <c r="EK51" i="2"/>
  <c r="EJ51" i="2"/>
  <c r="DY51" i="2"/>
  <c r="EI51" i="2"/>
  <c r="DU51" i="2"/>
  <c r="DT51" i="2"/>
  <c r="EE51" i="2"/>
  <c r="EA51" i="2"/>
  <c r="DV51" i="2"/>
  <c r="DS51" i="2"/>
  <c r="EH51" i="2"/>
  <c r="EF51" i="2"/>
  <c r="DX51" i="2"/>
  <c r="EK54" i="2"/>
  <c r="EJ54" i="2"/>
  <c r="DY54" i="2"/>
  <c r="EI54" i="2"/>
  <c r="EH54" i="2"/>
  <c r="DV54" i="2"/>
  <c r="DU54" i="2"/>
  <c r="EF54" i="2"/>
  <c r="DT54" i="2"/>
  <c r="ED54" i="2"/>
  <c r="EA54" i="2"/>
  <c r="EC54" i="2"/>
  <c r="DZ54" i="2"/>
  <c r="DX54" i="2"/>
  <c r="DS54" i="2"/>
  <c r="EE54" i="2"/>
  <c r="DZ65" i="2"/>
  <c r="EJ65" i="2"/>
  <c r="DX65" i="2"/>
  <c r="DV65" i="2"/>
  <c r="DU65" i="2"/>
  <c r="EI65" i="2"/>
  <c r="EH65" i="2"/>
  <c r="ED65" i="2"/>
  <c r="EC65" i="2"/>
  <c r="EA65" i="2"/>
  <c r="DT65" i="2"/>
  <c r="DS65" i="2"/>
  <c r="EK65" i="2"/>
  <c r="EE65" i="2"/>
  <c r="DY65" i="2"/>
  <c r="EF65" i="2"/>
  <c r="DY63" i="2"/>
  <c r="DX63" i="2"/>
  <c r="EI63" i="2"/>
  <c r="DU63" i="2"/>
  <c r="EF63" i="2"/>
  <c r="EE63" i="2"/>
  <c r="DT63" i="2"/>
  <c r="DS63" i="2"/>
  <c r="EK63" i="2"/>
  <c r="EJ63" i="2"/>
  <c r="ED63" i="2"/>
  <c r="EC63" i="2"/>
  <c r="EA63" i="2"/>
  <c r="DV63" i="2"/>
  <c r="EH63" i="2"/>
  <c r="DZ63" i="2"/>
  <c r="EI92" i="2"/>
  <c r="EH92" i="2"/>
  <c r="DV92" i="2"/>
  <c r="DU92" i="2"/>
  <c r="EE92" i="2"/>
  <c r="DT92" i="2"/>
  <c r="DS92" i="2"/>
  <c r="ED92" i="2"/>
  <c r="EC92" i="2"/>
  <c r="EA92" i="2"/>
  <c r="EK92" i="2"/>
  <c r="DX92" i="2"/>
  <c r="EJ92" i="2"/>
  <c r="DZ92" i="2"/>
  <c r="DY92" i="2"/>
  <c r="EF92" i="2"/>
  <c r="EF32" i="2"/>
  <c r="EE32" i="2"/>
  <c r="DT32" i="2"/>
  <c r="ED32" i="2"/>
  <c r="EC32" i="2"/>
  <c r="DZ32" i="2"/>
  <c r="EA32" i="2"/>
  <c r="EK32" i="2"/>
  <c r="DY32" i="2"/>
  <c r="EH32" i="2"/>
  <c r="DV32" i="2"/>
  <c r="DU32" i="2"/>
  <c r="DX32" i="2"/>
  <c r="EJ32" i="2"/>
  <c r="EI32" i="2"/>
  <c r="DS32" i="2"/>
  <c r="EF68" i="2"/>
  <c r="EE68" i="2"/>
  <c r="DT68" i="2"/>
  <c r="ED68" i="2"/>
  <c r="EC68" i="2"/>
  <c r="EA68" i="2"/>
  <c r="DZ68" i="2"/>
  <c r="DV68" i="2"/>
  <c r="DU68" i="2"/>
  <c r="EK68" i="2"/>
  <c r="EJ68" i="2"/>
  <c r="EH68" i="2"/>
  <c r="DY68" i="2"/>
  <c r="DS68" i="2"/>
  <c r="EI68" i="2"/>
  <c r="DX68" i="2"/>
  <c r="DS86" i="2"/>
  <c r="ED86" i="2"/>
  <c r="EC86" i="2"/>
  <c r="EA86" i="2"/>
  <c r="DZ86" i="2"/>
  <c r="EK86" i="2"/>
  <c r="EJ86" i="2"/>
  <c r="DY86" i="2"/>
  <c r="DX86" i="2"/>
  <c r="EI86" i="2"/>
  <c r="DU86" i="2"/>
  <c r="DT86" i="2"/>
  <c r="DV86" i="2"/>
  <c r="EE86" i="2"/>
  <c r="EH86" i="2"/>
  <c r="EF86" i="2"/>
  <c r="EI83" i="2"/>
  <c r="EH83" i="2"/>
  <c r="DV83" i="2"/>
  <c r="DU83" i="2"/>
  <c r="EE83" i="2"/>
  <c r="DT83" i="2"/>
  <c r="DS83" i="2"/>
  <c r="ED83" i="2"/>
  <c r="EC83" i="2"/>
  <c r="EA83" i="2"/>
  <c r="EK83" i="2"/>
  <c r="DX83" i="2"/>
  <c r="EJ83" i="2"/>
  <c r="EF83" i="2"/>
  <c r="DY83" i="2"/>
  <c r="DZ83" i="2"/>
  <c r="DY52" i="2"/>
  <c r="DX52" i="2"/>
  <c r="EI52" i="2"/>
  <c r="DU52" i="2"/>
  <c r="EF52" i="2"/>
  <c r="EE52" i="2"/>
  <c r="DT52" i="2"/>
  <c r="ED52" i="2"/>
  <c r="EK52" i="2"/>
  <c r="EH52" i="2"/>
  <c r="EC52" i="2"/>
  <c r="DZ52" i="2"/>
  <c r="DV52" i="2"/>
  <c r="DS52" i="2"/>
  <c r="EJ52" i="2"/>
  <c r="EA52" i="2"/>
  <c r="DZ58" i="2"/>
  <c r="EK58" i="2"/>
  <c r="EJ58" i="2"/>
  <c r="DX58" i="2"/>
  <c r="EI58" i="2"/>
  <c r="EH58" i="2"/>
  <c r="DV58" i="2"/>
  <c r="DU58" i="2"/>
  <c r="EF58" i="2"/>
  <c r="EE58" i="2"/>
  <c r="ED58" i="2"/>
  <c r="DY58" i="2"/>
  <c r="DS58" i="2"/>
  <c r="EA58" i="2"/>
  <c r="DT58" i="2"/>
  <c r="EC58" i="2"/>
  <c r="EA33" i="2"/>
  <c r="DZ33" i="2"/>
  <c r="EK33" i="2"/>
  <c r="DY33" i="2"/>
  <c r="DX33" i="2"/>
  <c r="EI33" i="2"/>
  <c r="EH33" i="2"/>
  <c r="DV33" i="2"/>
  <c r="DU33" i="2"/>
  <c r="EF33" i="2"/>
  <c r="DT33" i="2"/>
  <c r="EC33" i="2"/>
  <c r="ED33" i="2"/>
  <c r="DS33" i="2"/>
  <c r="EJ33" i="2"/>
  <c r="EE33" i="2"/>
  <c r="DU81" i="2"/>
  <c r="EF81" i="2"/>
  <c r="EE81" i="2"/>
  <c r="DS81" i="2"/>
  <c r="ED81" i="2"/>
  <c r="EC81" i="2"/>
  <c r="EA81" i="2"/>
  <c r="DZ81" i="2"/>
  <c r="EK81" i="2"/>
  <c r="DY81" i="2"/>
  <c r="EH81" i="2"/>
  <c r="DV81" i="2"/>
  <c r="EJ81" i="2"/>
  <c r="EI81" i="2"/>
  <c r="DX81" i="2"/>
  <c r="DT81" i="2"/>
  <c r="EH70" i="2"/>
  <c r="DV70" i="2"/>
  <c r="DU70" i="2"/>
  <c r="EF70" i="2"/>
  <c r="DT70" i="2"/>
  <c r="DS70" i="2"/>
  <c r="ED70" i="2"/>
  <c r="EC70" i="2"/>
  <c r="DZ70" i="2"/>
  <c r="EJ70" i="2"/>
  <c r="EK70" i="2"/>
  <c r="EE70" i="2"/>
  <c r="EA70" i="2"/>
  <c r="DX70" i="2"/>
  <c r="EI70" i="2"/>
  <c r="DY70" i="2"/>
  <c r="EK67" i="2"/>
  <c r="EJ67" i="2"/>
  <c r="DY67" i="2"/>
  <c r="EI67" i="2"/>
  <c r="EH67" i="2"/>
  <c r="DV67" i="2"/>
  <c r="DU67" i="2"/>
  <c r="EF67" i="2"/>
  <c r="EE67" i="2"/>
  <c r="EA67" i="2"/>
  <c r="DZ67" i="2"/>
  <c r="DT67" i="2"/>
  <c r="DS67" i="2"/>
  <c r="ED67" i="2"/>
  <c r="EC67" i="2"/>
  <c r="DX67" i="2"/>
  <c r="EF55" i="2"/>
  <c r="EE55" i="2"/>
  <c r="DT55" i="2"/>
  <c r="ED55" i="2"/>
  <c r="EC55" i="2"/>
  <c r="EA55" i="2"/>
  <c r="EK55" i="2"/>
  <c r="DY55" i="2"/>
  <c r="EH55" i="2"/>
  <c r="DV55" i="2"/>
  <c r="EJ55" i="2"/>
  <c r="EI55" i="2"/>
  <c r="DZ55" i="2"/>
  <c r="DX55" i="2"/>
  <c r="DU55" i="2"/>
  <c r="DS55" i="2"/>
  <c r="EF39" i="2"/>
  <c r="EE39" i="2"/>
  <c r="DT39" i="2"/>
  <c r="ED39" i="2"/>
  <c r="EC39" i="2"/>
  <c r="EA39" i="2"/>
  <c r="EK39" i="2"/>
  <c r="DY39" i="2"/>
  <c r="EH39" i="2"/>
  <c r="DV39" i="2"/>
  <c r="DZ39" i="2"/>
  <c r="DU39" i="2"/>
  <c r="DS39" i="2"/>
  <c r="EI39" i="2"/>
  <c r="DX39" i="2"/>
  <c r="EJ39" i="2"/>
  <c r="EA40" i="2"/>
  <c r="DZ40" i="2"/>
  <c r="EK40" i="2"/>
  <c r="DY40" i="2"/>
  <c r="DX40" i="2"/>
  <c r="EI40" i="2"/>
  <c r="EH40" i="2"/>
  <c r="DV40" i="2"/>
  <c r="EF40" i="2"/>
  <c r="DT40" i="2"/>
  <c r="EC40" i="2"/>
  <c r="EE40" i="2"/>
  <c r="ED40" i="2"/>
  <c r="DU40" i="2"/>
  <c r="DS40" i="2"/>
  <c r="EJ40" i="2"/>
  <c r="EA69" i="2"/>
  <c r="DZ69" i="2"/>
  <c r="EK69" i="2"/>
  <c r="DY69" i="2"/>
  <c r="DX69" i="2"/>
  <c r="EI69" i="2"/>
  <c r="EH69" i="2"/>
  <c r="DV69" i="2"/>
  <c r="DU69" i="2"/>
  <c r="EF69" i="2"/>
  <c r="EE69" i="2"/>
  <c r="EC69" i="2"/>
  <c r="DT69" i="2"/>
  <c r="EJ69" i="2"/>
  <c r="ED69" i="2"/>
  <c r="DS69" i="2"/>
  <c r="DY36" i="2"/>
  <c r="DX36" i="2"/>
  <c r="EI36" i="2"/>
  <c r="DU36" i="2"/>
  <c r="EF36" i="2"/>
  <c r="EE36" i="2"/>
  <c r="DT36" i="2"/>
  <c r="ED36" i="2"/>
  <c r="EK36" i="2"/>
  <c r="DV36" i="2"/>
  <c r="DS36" i="2"/>
  <c r="EJ36" i="2"/>
  <c r="EH36" i="2"/>
  <c r="DZ36" i="2"/>
  <c r="EC36" i="2"/>
  <c r="EA36" i="2"/>
  <c r="DT66" i="2"/>
  <c r="DS66" i="2"/>
  <c r="ED66" i="2"/>
  <c r="EA66" i="2"/>
  <c r="DZ66" i="2"/>
  <c r="EK66" i="2"/>
  <c r="EJ66" i="2"/>
  <c r="EF66" i="2"/>
  <c r="EE66" i="2"/>
  <c r="DY66" i="2"/>
  <c r="DX66" i="2"/>
  <c r="DV66" i="2"/>
  <c r="EI66" i="2"/>
  <c r="EH66" i="2"/>
  <c r="EC66" i="2"/>
  <c r="DU66" i="2"/>
  <c r="ED35" i="2"/>
  <c r="EC35" i="2"/>
  <c r="DZ35" i="2"/>
  <c r="EK35" i="2"/>
  <c r="EJ35" i="2"/>
  <c r="DY35" i="2"/>
  <c r="EI35" i="2"/>
  <c r="DU35" i="2"/>
  <c r="DT35" i="2"/>
  <c r="DS35" i="2"/>
  <c r="EH35" i="2"/>
  <c r="EF35" i="2"/>
  <c r="DV35" i="2"/>
  <c r="EE35" i="2"/>
  <c r="EA35" i="2"/>
  <c r="DX35" i="2"/>
  <c r="EE79" i="2"/>
  <c r="DT79" i="2"/>
  <c r="DS79" i="2"/>
  <c r="EC79" i="2"/>
  <c r="EA79" i="2"/>
  <c r="DZ79" i="2"/>
  <c r="EK79" i="2"/>
  <c r="EJ79" i="2"/>
  <c r="DY79" i="2"/>
  <c r="EI79" i="2"/>
  <c r="EF79" i="2"/>
  <c r="DX79" i="2"/>
  <c r="DV79" i="2"/>
  <c r="DU79" i="2"/>
  <c r="EH79" i="2"/>
  <c r="ED79" i="2"/>
  <c r="DS77" i="2"/>
  <c r="ED77" i="2"/>
  <c r="EC77" i="2"/>
  <c r="EA77" i="2"/>
  <c r="DZ77" i="2"/>
  <c r="EK77" i="2"/>
  <c r="EJ77" i="2"/>
  <c r="DY77" i="2"/>
  <c r="DX77" i="2"/>
  <c r="EI77" i="2"/>
  <c r="DU77" i="2"/>
  <c r="DT77" i="2"/>
  <c r="EH77" i="2"/>
  <c r="EF77" i="2"/>
  <c r="EE77" i="2"/>
  <c r="DV77" i="2"/>
  <c r="DX76" i="2"/>
  <c r="EI76" i="2"/>
  <c r="EH76" i="2"/>
  <c r="DV76" i="2"/>
  <c r="EF76" i="2"/>
  <c r="EE76" i="2"/>
  <c r="DT76" i="2"/>
  <c r="DS76" i="2"/>
  <c r="ED76" i="2"/>
  <c r="EC76" i="2"/>
  <c r="DZ76" i="2"/>
  <c r="DY76" i="2"/>
  <c r="EK76" i="2"/>
  <c r="EJ76" i="2"/>
  <c r="EA76" i="2"/>
  <c r="DU76" i="2"/>
  <c r="EA60" i="2"/>
  <c r="DZ60" i="2"/>
  <c r="EJ60" i="2"/>
  <c r="DY60" i="2"/>
  <c r="DX60" i="2"/>
  <c r="EI60" i="2"/>
  <c r="EH60" i="2"/>
  <c r="DV60" i="2"/>
  <c r="ED60" i="2"/>
  <c r="EC60" i="2"/>
  <c r="DU60" i="2"/>
  <c r="DT60" i="2"/>
  <c r="EK60" i="2"/>
  <c r="EE60" i="2"/>
  <c r="EF60" i="2"/>
  <c r="DS60" i="2"/>
  <c r="DT64" i="2"/>
  <c r="DS64" i="2"/>
  <c r="ED64" i="2"/>
  <c r="EA64" i="2"/>
  <c r="DZ64" i="2"/>
  <c r="EK64" i="2"/>
  <c r="EJ64" i="2"/>
  <c r="EF64" i="2"/>
  <c r="EE64" i="2"/>
  <c r="DY64" i="2"/>
  <c r="DX64" i="2"/>
  <c r="DV64" i="2"/>
  <c r="EI64" i="2"/>
  <c r="EH64" i="2"/>
  <c r="EC64" i="2"/>
  <c r="DU64" i="2"/>
  <c r="DT30" i="2"/>
  <c r="DS30" i="2"/>
  <c r="ED30" i="2"/>
  <c r="EA30" i="2"/>
  <c r="DZ30" i="2"/>
  <c r="EJ30" i="2"/>
  <c r="EK30" i="2"/>
  <c r="DY30" i="2"/>
  <c r="EI30" i="2"/>
  <c r="EF30" i="2"/>
  <c r="EE30" i="2"/>
  <c r="DX30" i="2"/>
  <c r="DU30" i="2"/>
  <c r="EH30" i="2"/>
  <c r="DV30" i="2"/>
  <c r="EC30" i="2"/>
  <c r="DS44" i="2"/>
  <c r="ED44" i="2"/>
  <c r="EC44" i="2"/>
  <c r="EA44" i="2"/>
  <c r="DZ44" i="2"/>
  <c r="EK44" i="2"/>
  <c r="EJ44" i="2"/>
  <c r="DX44" i="2"/>
  <c r="EH44" i="2"/>
  <c r="DV44" i="2"/>
  <c r="EE44" i="2"/>
  <c r="EI44" i="2"/>
  <c r="EF44" i="2"/>
  <c r="DY44" i="2"/>
  <c r="DU44" i="2"/>
  <c r="DT44" i="2"/>
  <c r="EK34" i="2"/>
  <c r="DY34" i="2"/>
  <c r="EJ34" i="2"/>
  <c r="DX34" i="2"/>
  <c r="DU34" i="2"/>
  <c r="EI34" i="2"/>
  <c r="EH34" i="2"/>
  <c r="EF34" i="2"/>
  <c r="DT34" i="2"/>
  <c r="ED34" i="2"/>
  <c r="DZ34" i="2"/>
  <c r="EC34" i="2"/>
  <c r="EA34" i="2"/>
  <c r="DV34" i="2"/>
  <c r="DS34" i="2"/>
  <c r="EE34" i="2"/>
  <c r="EJ45" i="2"/>
  <c r="DY45" i="2"/>
  <c r="DX45" i="2"/>
  <c r="EH45" i="2"/>
  <c r="DV45" i="2"/>
  <c r="DU45" i="2"/>
  <c r="EF45" i="2"/>
  <c r="EE45" i="2"/>
  <c r="DS45" i="2"/>
  <c r="EC45" i="2"/>
  <c r="DZ45" i="2"/>
  <c r="EK45" i="2"/>
  <c r="EI45" i="2"/>
  <c r="ED45" i="2"/>
  <c r="EA45" i="2"/>
  <c r="DT45" i="2"/>
  <c r="DS73" i="2"/>
  <c r="ED73" i="2"/>
  <c r="EC73" i="2"/>
  <c r="EA73" i="2"/>
  <c r="DZ73" i="2"/>
  <c r="EK73" i="2"/>
  <c r="EJ73" i="2"/>
  <c r="DY73" i="2"/>
  <c r="DX73" i="2"/>
  <c r="EI73" i="2"/>
  <c r="DU73" i="2"/>
  <c r="DT73" i="2"/>
  <c r="EH73" i="2"/>
  <c r="EF73" i="2"/>
  <c r="EE73" i="2"/>
  <c r="DV73" i="2"/>
  <c r="EJ78" i="2"/>
  <c r="DY78" i="2"/>
  <c r="DX78" i="2"/>
  <c r="EH78" i="2"/>
  <c r="DV78" i="2"/>
  <c r="DU78" i="2"/>
  <c r="EF78" i="2"/>
  <c r="EE78" i="2"/>
  <c r="DT78" i="2"/>
  <c r="DS78" i="2"/>
  <c r="ED78" i="2"/>
  <c r="EK78" i="2"/>
  <c r="EI78" i="2"/>
  <c r="EA78" i="2"/>
  <c r="EC78" i="2"/>
  <c r="DZ78" i="2"/>
  <c r="EK31" i="2"/>
  <c r="EJ31" i="2"/>
  <c r="DY31" i="2"/>
  <c r="EI31" i="2"/>
  <c r="EH31" i="2"/>
  <c r="DV31" i="2"/>
  <c r="DU31" i="2"/>
  <c r="EE31" i="2"/>
  <c r="EF31" i="2"/>
  <c r="DT31" i="2"/>
  <c r="ED31" i="2"/>
  <c r="EA31" i="2"/>
  <c r="DZ31" i="2"/>
  <c r="EC31" i="2"/>
  <c r="DX31" i="2"/>
  <c r="DS31" i="2"/>
  <c r="DU59" i="2"/>
  <c r="EF59" i="2"/>
  <c r="EE59" i="2"/>
  <c r="DS59" i="2"/>
  <c r="ED59" i="2"/>
  <c r="EC59" i="2"/>
  <c r="EA59" i="2"/>
  <c r="EI59" i="2"/>
  <c r="EH59" i="2"/>
  <c r="DZ59" i="2"/>
  <c r="DY59" i="2"/>
  <c r="DT59" i="2"/>
  <c r="EJ59" i="2"/>
  <c r="EK59" i="2"/>
  <c r="DV59" i="2"/>
  <c r="DX59" i="2"/>
  <c r="ED62" i="2"/>
  <c r="EC62" i="2"/>
  <c r="DZ62" i="2"/>
  <c r="EK62" i="2"/>
  <c r="EJ62" i="2"/>
  <c r="DY62" i="2"/>
  <c r="DX62" i="2"/>
  <c r="DT62" i="2"/>
  <c r="DS62" i="2"/>
  <c r="EI62" i="2"/>
  <c r="EH62" i="2"/>
  <c r="EF62" i="2"/>
  <c r="EA62" i="2"/>
  <c r="DU62" i="2"/>
  <c r="EE62" i="2"/>
  <c r="DV62" i="2"/>
  <c r="EA91" i="2"/>
  <c r="DZ91" i="2"/>
  <c r="EJ91" i="2"/>
  <c r="DY91" i="2"/>
  <c r="DX91" i="2"/>
  <c r="EI91" i="2"/>
  <c r="EH91" i="2"/>
  <c r="DV91" i="2"/>
  <c r="DU91" i="2"/>
  <c r="EF91" i="2"/>
  <c r="DT91" i="2"/>
  <c r="EC91" i="2"/>
  <c r="DS91" i="2"/>
  <c r="EK91" i="2"/>
  <c r="ED91" i="2"/>
  <c r="EE91" i="2"/>
  <c r="DC66" i="2"/>
  <c r="DE66" i="2"/>
  <c r="DH66" i="2"/>
  <c r="DD66" i="2"/>
  <c r="CY66" i="2"/>
  <c r="DI66" i="2"/>
  <c r="CW66" i="2"/>
  <c r="CX66" i="2"/>
  <c r="CZ66" i="2"/>
  <c r="DB66" i="2"/>
  <c r="DG66" i="2"/>
  <c r="CU66" i="2"/>
  <c r="CR66" i="2"/>
  <c r="CT66" i="2"/>
  <c r="DJ66" i="2"/>
  <c r="CS66" i="2"/>
  <c r="DH35" i="2"/>
  <c r="CW35" i="2"/>
  <c r="CX35" i="2"/>
  <c r="DI35" i="2"/>
  <c r="DJ35" i="2"/>
  <c r="CY35" i="2"/>
  <c r="CZ35" i="2"/>
  <c r="DB35" i="2"/>
  <c r="DC35" i="2"/>
  <c r="CR35" i="2"/>
  <c r="CS35" i="2"/>
  <c r="DD35" i="2"/>
  <c r="DE35" i="2"/>
  <c r="CT35" i="2"/>
  <c r="DG35" i="2"/>
  <c r="CU35" i="2"/>
  <c r="DJ69" i="2"/>
  <c r="DB69" i="2"/>
  <c r="CS69" i="2"/>
  <c r="CR69" i="2"/>
  <c r="CZ69" i="2"/>
  <c r="DC69" i="2"/>
  <c r="DE69" i="2"/>
  <c r="DG69" i="2"/>
  <c r="CU69" i="2"/>
  <c r="CW69" i="2"/>
  <c r="CX69" i="2"/>
  <c r="CY69" i="2"/>
  <c r="DD69" i="2"/>
  <c r="DH69" i="2"/>
  <c r="CT69" i="2"/>
  <c r="DI69" i="2"/>
  <c r="CR77" i="2"/>
  <c r="CT77" i="2"/>
  <c r="CW77" i="2"/>
  <c r="CX77" i="2"/>
  <c r="CZ77" i="2"/>
  <c r="DC77" i="2"/>
  <c r="DG77" i="2"/>
  <c r="DH77" i="2"/>
  <c r="DI77" i="2"/>
  <c r="CS77" i="2"/>
  <c r="DJ77" i="2"/>
  <c r="CU77" i="2"/>
  <c r="DD77" i="2"/>
  <c r="DE77" i="2"/>
  <c r="CY77" i="2"/>
  <c r="DB77" i="2"/>
  <c r="CW76" i="2"/>
  <c r="CY76" i="2"/>
  <c r="DB76" i="2"/>
  <c r="DJ76" i="2"/>
  <c r="CZ76" i="2"/>
  <c r="CT76" i="2"/>
  <c r="CU76" i="2"/>
  <c r="CX76" i="2"/>
  <c r="DC76" i="2"/>
  <c r="DD76" i="2"/>
  <c r="DE76" i="2"/>
  <c r="DG76" i="2"/>
  <c r="CR76" i="2"/>
  <c r="CS76" i="2"/>
  <c r="DH76" i="2"/>
  <c r="DI76" i="2"/>
  <c r="CR45" i="2"/>
  <c r="CS45" i="2"/>
  <c r="DD45" i="2"/>
  <c r="DE45" i="2"/>
  <c r="DH45" i="2"/>
  <c r="CX45" i="2"/>
  <c r="DI45" i="2"/>
  <c r="DJ45" i="2"/>
  <c r="CZ45" i="2"/>
  <c r="DB45" i="2"/>
  <c r="CT45" i="2"/>
  <c r="DC45" i="2"/>
  <c r="CU45" i="2"/>
  <c r="CW45" i="2"/>
  <c r="CY45" i="2"/>
  <c r="DG45" i="2"/>
  <c r="CR59" i="2"/>
  <c r="CS59" i="2"/>
  <c r="CX59" i="2"/>
  <c r="DJ59" i="2"/>
  <c r="CY59" i="2"/>
  <c r="CZ59" i="2"/>
  <c r="CT59" i="2"/>
  <c r="DC59" i="2"/>
  <c r="DE59" i="2"/>
  <c r="CU59" i="2"/>
  <c r="CW59" i="2"/>
  <c r="DB59" i="2"/>
  <c r="DD59" i="2"/>
  <c r="DI59" i="2"/>
  <c r="DG59" i="2"/>
  <c r="DH59" i="2"/>
  <c r="CU62" i="2"/>
  <c r="DG62" i="2"/>
  <c r="DH62" i="2"/>
  <c r="CW62" i="2"/>
  <c r="CX62" i="2"/>
  <c r="CZ62" i="2"/>
  <c r="DC62" i="2"/>
  <c r="CY62" i="2"/>
  <c r="DB62" i="2"/>
  <c r="DD62" i="2"/>
  <c r="DE62" i="2"/>
  <c r="DI62" i="2"/>
  <c r="DJ62" i="2"/>
  <c r="CR62" i="2"/>
  <c r="CS62" i="2"/>
  <c r="CT62" i="2"/>
  <c r="DB73" i="2"/>
  <c r="DD73" i="2"/>
  <c r="CU73" i="2"/>
  <c r="DG73" i="2"/>
  <c r="CS73" i="2"/>
  <c r="DH73" i="2"/>
  <c r="CY73" i="2"/>
  <c r="CR73" i="2"/>
  <c r="CX73" i="2"/>
  <c r="DJ73" i="2"/>
  <c r="CT73" i="2"/>
  <c r="DI73" i="2"/>
  <c r="CW73" i="2"/>
  <c r="CZ73" i="2"/>
  <c r="DC73" i="2"/>
  <c r="DE73" i="2"/>
  <c r="DI78" i="2"/>
  <c r="CR78" i="2"/>
  <c r="CW78" i="2"/>
  <c r="CZ78" i="2"/>
  <c r="CU78" i="2"/>
  <c r="DC78" i="2"/>
  <c r="CX78" i="2"/>
  <c r="CY78" i="2"/>
  <c r="DB78" i="2"/>
  <c r="DD78" i="2"/>
  <c r="DE78" i="2"/>
  <c r="CS78" i="2"/>
  <c r="CT78" i="2"/>
  <c r="DG78" i="2"/>
  <c r="DH78" i="2"/>
  <c r="DJ78" i="2"/>
  <c r="DB50" i="2"/>
  <c r="DC50" i="2"/>
  <c r="CR50" i="2"/>
  <c r="DE50" i="2"/>
  <c r="CU50" i="2"/>
  <c r="DG50" i="2"/>
  <c r="DH50" i="2"/>
  <c r="CW50" i="2"/>
  <c r="DI50" i="2"/>
  <c r="DJ50" i="2"/>
  <c r="CY50" i="2"/>
  <c r="CZ50" i="2"/>
  <c r="CX50" i="2"/>
  <c r="DD50" i="2"/>
  <c r="CS50" i="2"/>
  <c r="CT50" i="2"/>
  <c r="CZ61" i="2"/>
  <c r="DB61" i="2"/>
  <c r="DI61" i="2"/>
  <c r="DC61" i="2"/>
  <c r="CT61" i="2"/>
  <c r="CW61" i="2"/>
  <c r="CY61" i="2"/>
  <c r="CS61" i="2"/>
  <c r="DE61" i="2"/>
  <c r="DH61" i="2"/>
  <c r="DG61" i="2"/>
  <c r="DJ61" i="2"/>
  <c r="CR61" i="2"/>
  <c r="CU61" i="2"/>
  <c r="CX61" i="2"/>
  <c r="DD61" i="2"/>
  <c r="DI46" i="2"/>
  <c r="DJ46" i="2"/>
  <c r="CY46" i="2"/>
  <c r="CZ46" i="2"/>
  <c r="DC46" i="2"/>
  <c r="CS46" i="2"/>
  <c r="DD46" i="2"/>
  <c r="DE46" i="2"/>
  <c r="CU46" i="2"/>
  <c r="DG46" i="2"/>
  <c r="DH46" i="2"/>
  <c r="CW46" i="2"/>
  <c r="DB46" i="2"/>
  <c r="CR46" i="2"/>
  <c r="CT46" i="2"/>
  <c r="CX46" i="2"/>
  <c r="DB43" i="2"/>
  <c r="DC43" i="2"/>
  <c r="CR43" i="2"/>
  <c r="CS43" i="2"/>
  <c r="CT43" i="2"/>
  <c r="DH43" i="2"/>
  <c r="CW43" i="2"/>
  <c r="CX43" i="2"/>
  <c r="DJ43" i="2"/>
  <c r="CY43" i="2"/>
  <c r="CZ43" i="2"/>
  <c r="DD43" i="2"/>
  <c r="DE43" i="2"/>
  <c r="DG43" i="2"/>
  <c r="CU43" i="2"/>
  <c r="DI43" i="2"/>
  <c r="DE91" i="2"/>
  <c r="CW91" i="2"/>
  <c r="DJ91" i="2"/>
  <c r="DB91" i="2"/>
  <c r="DH91" i="2"/>
  <c r="CT91" i="2"/>
  <c r="CU91" i="2"/>
  <c r="DI91" i="2"/>
  <c r="CX91" i="2"/>
  <c r="CZ91" i="2"/>
  <c r="CR91" i="2"/>
  <c r="CS91" i="2"/>
  <c r="CY91" i="2"/>
  <c r="DC91" i="2"/>
  <c r="DD91" i="2"/>
  <c r="DG91" i="2"/>
  <c r="DE60" i="2"/>
  <c r="CT60" i="2"/>
  <c r="CU60" i="2"/>
  <c r="DG60" i="2"/>
  <c r="CW60" i="2"/>
  <c r="DJ60" i="2"/>
  <c r="CY60" i="2"/>
  <c r="DB60" i="2"/>
  <c r="DD60" i="2"/>
  <c r="CS60" i="2"/>
  <c r="CX60" i="2"/>
  <c r="DH60" i="2"/>
  <c r="DI60" i="2"/>
  <c r="CR60" i="2"/>
  <c r="CZ60" i="2"/>
  <c r="DC60" i="2"/>
  <c r="CT31" i="2"/>
  <c r="CU31" i="2"/>
  <c r="DG31" i="2"/>
  <c r="DH31" i="2"/>
  <c r="CW31" i="2"/>
  <c r="CX31" i="2"/>
  <c r="DI31" i="2"/>
  <c r="DJ31" i="2"/>
  <c r="CY31" i="2"/>
  <c r="CZ31" i="2"/>
  <c r="DB31" i="2"/>
  <c r="DC31" i="2"/>
  <c r="CR31" i="2"/>
  <c r="CS31" i="2"/>
  <c r="DD31" i="2"/>
  <c r="DE31" i="2"/>
  <c r="DB32" i="2"/>
  <c r="DC32" i="2"/>
  <c r="CR32" i="2"/>
  <c r="CS32" i="2"/>
  <c r="DD32" i="2"/>
  <c r="DE32" i="2"/>
  <c r="CT32" i="2"/>
  <c r="CU32" i="2"/>
  <c r="DG32" i="2"/>
  <c r="DH32" i="2"/>
  <c r="CW32" i="2"/>
  <c r="CX32" i="2"/>
  <c r="DI32" i="2"/>
  <c r="DJ32" i="2"/>
  <c r="CY32" i="2"/>
  <c r="CZ32" i="2"/>
  <c r="DC84" i="2"/>
  <c r="DH84" i="2"/>
  <c r="DB84" i="2"/>
  <c r="CS84" i="2"/>
  <c r="DE84" i="2"/>
  <c r="CT84" i="2"/>
  <c r="CZ84" i="2"/>
  <c r="CR84" i="2"/>
  <c r="DI84" i="2"/>
  <c r="DJ84" i="2"/>
  <c r="CU84" i="2"/>
  <c r="CW84" i="2"/>
  <c r="CX84" i="2"/>
  <c r="CY84" i="2"/>
  <c r="DD84" i="2"/>
  <c r="DG84" i="2"/>
  <c r="CR34" i="2"/>
  <c r="DD34" i="2"/>
  <c r="CS34" i="2"/>
  <c r="DE34" i="2"/>
  <c r="DG34" i="2"/>
  <c r="DH34" i="2"/>
  <c r="CT34" i="2"/>
  <c r="CU34" i="2"/>
  <c r="CW34" i="2"/>
  <c r="DI34" i="2"/>
  <c r="CX34" i="2"/>
  <c r="DJ34" i="2"/>
  <c r="CY34" i="2"/>
  <c r="CZ34" i="2"/>
  <c r="DB34" i="2"/>
  <c r="DC34" i="2"/>
  <c r="CZ41" i="2"/>
  <c r="DB41" i="2"/>
  <c r="DC41" i="2"/>
  <c r="CS41" i="2"/>
  <c r="DD41" i="2"/>
  <c r="CT41" i="2"/>
  <c r="CU41" i="2"/>
  <c r="DG41" i="2"/>
  <c r="DH41" i="2"/>
  <c r="CX41" i="2"/>
  <c r="DI41" i="2"/>
  <c r="DJ41" i="2"/>
  <c r="DE41" i="2"/>
  <c r="CR41" i="2"/>
  <c r="CW41" i="2"/>
  <c r="CY41" i="2"/>
  <c r="DC36" i="2"/>
  <c r="CR36" i="2"/>
  <c r="CS36" i="2"/>
  <c r="DD36" i="2"/>
  <c r="DE36" i="2"/>
  <c r="CT36" i="2"/>
  <c r="CU36" i="2"/>
  <c r="DG36" i="2"/>
  <c r="DH36" i="2"/>
  <c r="CW36" i="2"/>
  <c r="CX36" i="2"/>
  <c r="DI36" i="2"/>
  <c r="DJ36" i="2"/>
  <c r="CY36" i="2"/>
  <c r="CZ36" i="2"/>
  <c r="DB36" i="2"/>
  <c r="CX87" i="2"/>
  <c r="DC87" i="2"/>
  <c r="DG87" i="2"/>
  <c r="CW87" i="2"/>
  <c r="DJ87" i="2"/>
  <c r="CY87" i="2"/>
  <c r="DH87" i="2"/>
  <c r="CZ87" i="2"/>
  <c r="DB87" i="2"/>
  <c r="DE87" i="2"/>
  <c r="CR87" i="2"/>
  <c r="CT87" i="2"/>
  <c r="CU87" i="2"/>
  <c r="DD87" i="2"/>
  <c r="DI87" i="2"/>
  <c r="CS87" i="2"/>
  <c r="DH51" i="2"/>
  <c r="CW51" i="2"/>
  <c r="CX51" i="2"/>
  <c r="DI51" i="2"/>
  <c r="CZ51" i="2"/>
  <c r="DB51" i="2"/>
  <c r="DC51" i="2"/>
  <c r="CR51" i="2"/>
  <c r="DD51" i="2"/>
  <c r="DE51" i="2"/>
  <c r="CT51" i="2"/>
  <c r="DJ51" i="2"/>
  <c r="CY51" i="2"/>
  <c r="DG51" i="2"/>
  <c r="CS51" i="2"/>
  <c r="CU51" i="2"/>
  <c r="DD47" i="2"/>
  <c r="DE47" i="2"/>
  <c r="CT47" i="2"/>
  <c r="CU47" i="2"/>
  <c r="DG47" i="2"/>
  <c r="CX47" i="2"/>
  <c r="DJ47" i="2"/>
  <c r="CY47" i="2"/>
  <c r="CZ47" i="2"/>
  <c r="DB47" i="2"/>
  <c r="DC47" i="2"/>
  <c r="CR47" i="2"/>
  <c r="DI47" i="2"/>
  <c r="CW47" i="2"/>
  <c r="CS47" i="2"/>
  <c r="DH47" i="2"/>
  <c r="DE56" i="2"/>
  <c r="CT56" i="2"/>
  <c r="CU56" i="2"/>
  <c r="DG56" i="2"/>
  <c r="DH56" i="2"/>
  <c r="DI56" i="2"/>
  <c r="CY56" i="2"/>
  <c r="CZ56" i="2"/>
  <c r="DC56" i="2"/>
  <c r="CR56" i="2"/>
  <c r="CS56" i="2"/>
  <c r="CW56" i="2"/>
  <c r="DB56" i="2"/>
  <c r="DJ56" i="2"/>
  <c r="CX56" i="2"/>
  <c r="DD56" i="2"/>
  <c r="CX37" i="2"/>
  <c r="DI37" i="2"/>
  <c r="DJ37" i="2"/>
  <c r="CY37" i="2"/>
  <c r="CZ37" i="2"/>
  <c r="DB37" i="2"/>
  <c r="DC37" i="2"/>
  <c r="CR37" i="2"/>
  <c r="CS37" i="2"/>
  <c r="DD37" i="2"/>
  <c r="DE37" i="2"/>
  <c r="CT37" i="2"/>
  <c r="CU37" i="2"/>
  <c r="DG37" i="2"/>
  <c r="DH37" i="2"/>
  <c r="CW37" i="2"/>
  <c r="CS38" i="2"/>
  <c r="DD38" i="2"/>
  <c r="DE38" i="2"/>
  <c r="CT38" i="2"/>
  <c r="DH38" i="2"/>
  <c r="CW38" i="2"/>
  <c r="CX38" i="2"/>
  <c r="DI38" i="2"/>
  <c r="DJ38" i="2"/>
  <c r="CY38" i="2"/>
  <c r="DB38" i="2"/>
  <c r="DC38" i="2"/>
  <c r="CR38" i="2"/>
  <c r="CZ38" i="2"/>
  <c r="CU38" i="2"/>
  <c r="DG38" i="2"/>
  <c r="CY48" i="2"/>
  <c r="CZ48" i="2"/>
  <c r="DB48" i="2"/>
  <c r="CS48" i="2"/>
  <c r="DE48" i="2"/>
  <c r="CT48" i="2"/>
  <c r="CU48" i="2"/>
  <c r="DG48" i="2"/>
  <c r="CW48" i="2"/>
  <c r="CX48" i="2"/>
  <c r="DI48" i="2"/>
  <c r="CR48" i="2"/>
  <c r="DC48" i="2"/>
  <c r="DD48" i="2"/>
  <c r="DJ48" i="2"/>
  <c r="DH48" i="2"/>
  <c r="CY80" i="2"/>
  <c r="DD80" i="2"/>
  <c r="DB80" i="2"/>
  <c r="DG80" i="2"/>
  <c r="CR80" i="2"/>
  <c r="DH80" i="2"/>
  <c r="CS80" i="2"/>
  <c r="DI80" i="2"/>
  <c r="CT80" i="2"/>
  <c r="DJ80" i="2"/>
  <c r="CU80" i="2"/>
  <c r="CW80" i="2"/>
  <c r="CX80" i="2"/>
  <c r="CZ80" i="2"/>
  <c r="DE80" i="2"/>
  <c r="DC80" i="2"/>
  <c r="CT49" i="2"/>
  <c r="CU49" i="2"/>
  <c r="DG49" i="2"/>
  <c r="DH49" i="2"/>
  <c r="CW49" i="2"/>
  <c r="DJ49" i="2"/>
  <c r="CZ49" i="2"/>
  <c r="DB49" i="2"/>
  <c r="CR49" i="2"/>
  <c r="CS49" i="2"/>
  <c r="DD49" i="2"/>
  <c r="CY49" i="2"/>
  <c r="CX49" i="2"/>
  <c r="DC49" i="2"/>
  <c r="DE49" i="2"/>
  <c r="DI49" i="2"/>
  <c r="DV29" i="2"/>
  <c r="DU29" i="2"/>
  <c r="DT29" i="2"/>
  <c r="DH29" i="2"/>
  <c r="CY29" i="2"/>
  <c r="CX29" i="2"/>
  <c r="DE29" i="2"/>
  <c r="DD29" i="2"/>
  <c r="DC29" i="2"/>
  <c r="DI29" i="2"/>
  <c r="CZ29" i="2"/>
  <c r="DJ29" i="2"/>
  <c r="DB85" i="2"/>
  <c r="DE85" i="2"/>
  <c r="CW85" i="2"/>
  <c r="CX85" i="2"/>
  <c r="CY85" i="2"/>
  <c r="CZ85" i="2"/>
  <c r="DC85" i="2"/>
  <c r="DD85" i="2"/>
  <c r="DG85" i="2"/>
  <c r="DH85" i="2"/>
  <c r="CU85" i="2"/>
  <c r="DI85" i="2"/>
  <c r="DJ85" i="2"/>
  <c r="CR85" i="2"/>
  <c r="CT85" i="2"/>
  <c r="CS85" i="2"/>
  <c r="CT82" i="2"/>
  <c r="CS82" i="2"/>
  <c r="DE82" i="2"/>
  <c r="CR82" i="2"/>
  <c r="CY82" i="2"/>
  <c r="CZ82" i="2"/>
  <c r="DC82" i="2"/>
  <c r="DD82" i="2"/>
  <c r="DB82" i="2"/>
  <c r="DG82" i="2"/>
  <c r="DH82" i="2"/>
  <c r="CX82" i="2"/>
  <c r="DI82" i="2"/>
  <c r="DJ82" i="2"/>
  <c r="CW82" i="2"/>
  <c r="CU82" i="2"/>
  <c r="DB75" i="2"/>
  <c r="DD75" i="2"/>
  <c r="CU75" i="2"/>
  <c r="DG75" i="2"/>
  <c r="CW75" i="2"/>
  <c r="DJ75" i="2"/>
  <c r="CY75" i="2"/>
  <c r="DC75" i="2"/>
  <c r="DE75" i="2"/>
  <c r="DH75" i="2"/>
  <c r="DI75" i="2"/>
  <c r="CR75" i="2"/>
  <c r="CS75" i="2"/>
  <c r="CZ75" i="2"/>
  <c r="CT75" i="2"/>
  <c r="CX75" i="2"/>
  <c r="CY30" i="2"/>
  <c r="CZ30" i="2"/>
  <c r="DB30" i="2"/>
  <c r="DC30" i="2"/>
  <c r="CR30" i="2"/>
  <c r="CS30" i="2"/>
  <c r="DD30" i="2"/>
  <c r="DE30" i="2"/>
  <c r="CT30" i="2"/>
  <c r="CU30" i="2"/>
  <c r="DG30" i="2"/>
  <c r="DH30" i="2"/>
  <c r="CW30" i="2"/>
  <c r="CX30" i="2"/>
  <c r="DI30" i="2"/>
  <c r="DJ30" i="2"/>
  <c r="DD79" i="2"/>
  <c r="DI79" i="2"/>
  <c r="CX79" i="2"/>
  <c r="DC79" i="2"/>
  <c r="DE79" i="2"/>
  <c r="DG79" i="2"/>
  <c r="DH79" i="2"/>
  <c r="CR79" i="2"/>
  <c r="CS79" i="2"/>
  <c r="DJ79" i="2"/>
  <c r="CT79" i="2"/>
  <c r="CY79" i="2"/>
  <c r="CZ79" i="2"/>
  <c r="DB79" i="2"/>
  <c r="CU79" i="2"/>
  <c r="CW79" i="2"/>
  <c r="CZ71" i="2"/>
  <c r="CR71" i="2"/>
  <c r="DE71" i="2"/>
  <c r="CS71" i="2"/>
  <c r="DC71" i="2"/>
  <c r="DG71" i="2"/>
  <c r="CY71" i="2"/>
  <c r="DB71" i="2"/>
  <c r="DD71" i="2"/>
  <c r="DH71" i="2"/>
  <c r="DI71" i="2"/>
  <c r="DJ71" i="2"/>
  <c r="CX71" i="2"/>
  <c r="CW71" i="2"/>
  <c r="CU71" i="2"/>
  <c r="CT71" i="2"/>
  <c r="CW44" i="2"/>
  <c r="CX44" i="2"/>
  <c r="DI44" i="2"/>
  <c r="DJ44" i="2"/>
  <c r="DC44" i="2"/>
  <c r="CR44" i="2"/>
  <c r="CS44" i="2"/>
  <c r="DE44" i="2"/>
  <c r="CT44" i="2"/>
  <c r="CU44" i="2"/>
  <c r="DG44" i="2"/>
  <c r="CZ44" i="2"/>
  <c r="CY44" i="2"/>
  <c r="DB44" i="2"/>
  <c r="DD44" i="2"/>
  <c r="DH44" i="2"/>
  <c r="CU42" i="2"/>
  <c r="DG42" i="2"/>
  <c r="DH42" i="2"/>
  <c r="CW42" i="2"/>
  <c r="CX42" i="2"/>
  <c r="CY42" i="2"/>
  <c r="DB42" i="2"/>
  <c r="DC42" i="2"/>
  <c r="CS42" i="2"/>
  <c r="DD42" i="2"/>
  <c r="DE42" i="2"/>
  <c r="DI42" i="2"/>
  <c r="CR42" i="2"/>
  <c r="CT42" i="2"/>
  <c r="DJ42" i="2"/>
  <c r="CZ42" i="2"/>
  <c r="CX53" i="2"/>
  <c r="DI53" i="2"/>
  <c r="DJ53" i="2"/>
  <c r="CY53" i="2"/>
  <c r="DB53" i="2"/>
  <c r="CR53" i="2"/>
  <c r="CS53" i="2"/>
  <c r="DD53" i="2"/>
  <c r="CT53" i="2"/>
  <c r="CU53" i="2"/>
  <c r="DG53" i="2"/>
  <c r="DH53" i="2"/>
  <c r="CZ53" i="2"/>
  <c r="DE53" i="2"/>
  <c r="CW53" i="2"/>
  <c r="DC53" i="2"/>
  <c r="CZ57" i="2"/>
  <c r="DB57" i="2"/>
  <c r="DC57" i="2"/>
  <c r="DD57" i="2"/>
  <c r="CT57" i="2"/>
  <c r="CU57" i="2"/>
  <c r="DG57" i="2"/>
  <c r="DH57" i="2"/>
  <c r="CX57" i="2"/>
  <c r="DI57" i="2"/>
  <c r="DJ57" i="2"/>
  <c r="CW57" i="2"/>
  <c r="CS57" i="2"/>
  <c r="DE57" i="2"/>
  <c r="CR57" i="2"/>
  <c r="CY57" i="2"/>
  <c r="CS54" i="2"/>
  <c r="DD54" i="2"/>
  <c r="DE54" i="2"/>
  <c r="CT54" i="2"/>
  <c r="CW54" i="2"/>
  <c r="DI54" i="2"/>
  <c r="DJ54" i="2"/>
  <c r="CY54" i="2"/>
  <c r="DB54" i="2"/>
  <c r="DC54" i="2"/>
  <c r="CX54" i="2"/>
  <c r="DH54" i="2"/>
  <c r="CR54" i="2"/>
  <c r="CU54" i="2"/>
  <c r="CZ54" i="2"/>
  <c r="DG54" i="2"/>
  <c r="CR65" i="2"/>
  <c r="CS65" i="2"/>
  <c r="DB65" i="2"/>
  <c r="CT65" i="2"/>
  <c r="DJ65" i="2"/>
  <c r="DE65" i="2"/>
  <c r="DH65" i="2"/>
  <c r="DI65" i="2"/>
  <c r="CU65" i="2"/>
  <c r="CW65" i="2"/>
  <c r="CX65" i="2"/>
  <c r="CY65" i="2"/>
  <c r="CZ65" i="2"/>
  <c r="DC65" i="2"/>
  <c r="DD65" i="2"/>
  <c r="DG65" i="2"/>
  <c r="DB63" i="2"/>
  <c r="DC63" i="2"/>
  <c r="CR63" i="2"/>
  <c r="CW63" i="2"/>
  <c r="DJ63" i="2"/>
  <c r="CY63" i="2"/>
  <c r="CX63" i="2"/>
  <c r="DG63" i="2"/>
  <c r="CS63" i="2"/>
  <c r="DI63" i="2"/>
  <c r="CZ63" i="2"/>
  <c r="DD63" i="2"/>
  <c r="DE63" i="2"/>
  <c r="DH63" i="2"/>
  <c r="CT63" i="2"/>
  <c r="CU63" i="2"/>
  <c r="CX74" i="2"/>
  <c r="DJ74" i="2"/>
  <c r="CZ74" i="2"/>
  <c r="DB74" i="2"/>
  <c r="DE74" i="2"/>
  <c r="CS74" i="2"/>
  <c r="CY74" i="2"/>
  <c r="DC74" i="2"/>
  <c r="DD74" i="2"/>
  <c r="DG74" i="2"/>
  <c r="DH74" i="2"/>
  <c r="DI74" i="2"/>
  <c r="CR74" i="2"/>
  <c r="CT74" i="2"/>
  <c r="CU74" i="2"/>
  <c r="CW74" i="2"/>
  <c r="CU72" i="2"/>
  <c r="DG72" i="2"/>
  <c r="DI72" i="2"/>
  <c r="CZ72" i="2"/>
  <c r="CS72" i="2"/>
  <c r="CY72" i="2"/>
  <c r="DB72" i="2"/>
  <c r="CR72" i="2"/>
  <c r="DE72" i="2"/>
  <c r="CT72" i="2"/>
  <c r="CW72" i="2"/>
  <c r="CX72" i="2"/>
  <c r="DC72" i="2"/>
  <c r="DD72" i="2"/>
  <c r="DH72" i="2"/>
  <c r="DJ72" i="2"/>
  <c r="CW64" i="2"/>
  <c r="CX64" i="2"/>
  <c r="DI64" i="2"/>
  <c r="DD64" i="2"/>
  <c r="CT64" i="2"/>
  <c r="CZ64" i="2"/>
  <c r="DJ64" i="2"/>
  <c r="CU64" i="2"/>
  <c r="CY64" i="2"/>
  <c r="DB64" i="2"/>
  <c r="DC64" i="2"/>
  <c r="DE64" i="2"/>
  <c r="DG64" i="2"/>
  <c r="DH64" i="2"/>
  <c r="CR64" i="2"/>
  <c r="CS64" i="2"/>
  <c r="CS68" i="2"/>
  <c r="CU68" i="2"/>
  <c r="DG68" i="2"/>
  <c r="CX68" i="2"/>
  <c r="DE68" i="2"/>
  <c r="CZ68" i="2"/>
  <c r="DB68" i="2"/>
  <c r="DD68" i="2"/>
  <c r="CT68" i="2"/>
  <c r="DC68" i="2"/>
  <c r="DH68" i="2"/>
  <c r="DI68" i="2"/>
  <c r="DJ68" i="2"/>
  <c r="CR68" i="2"/>
  <c r="CW68" i="2"/>
  <c r="CY68" i="2"/>
  <c r="CZ92" i="2"/>
  <c r="CR92" i="2"/>
  <c r="DE92" i="2"/>
  <c r="DB92" i="2"/>
  <c r="CT92" i="2"/>
  <c r="CU92" i="2"/>
  <c r="CW92" i="2"/>
  <c r="DI92" i="2"/>
  <c r="DJ92" i="2"/>
  <c r="CX92" i="2"/>
  <c r="CY92" i="2"/>
  <c r="CS92" i="2"/>
  <c r="DD92" i="2"/>
  <c r="DC92" i="2"/>
  <c r="DG92" i="2"/>
  <c r="DH92" i="2"/>
  <c r="DC52" i="2"/>
  <c r="CR52" i="2"/>
  <c r="CS52" i="2"/>
  <c r="DD52" i="2"/>
  <c r="CU52" i="2"/>
  <c r="DG52" i="2"/>
  <c r="CW52" i="2"/>
  <c r="CX52" i="2"/>
  <c r="DI52" i="2"/>
  <c r="CY52" i="2"/>
  <c r="CZ52" i="2"/>
  <c r="DB52" i="2"/>
  <c r="DH52" i="2"/>
  <c r="DJ52" i="2"/>
  <c r="CT52" i="2"/>
  <c r="DE52" i="2"/>
  <c r="CU58" i="2"/>
  <c r="DG58" i="2"/>
  <c r="DH58" i="2"/>
  <c r="CW58" i="2"/>
  <c r="CX58" i="2"/>
  <c r="CY58" i="2"/>
  <c r="DC58" i="2"/>
  <c r="CS58" i="2"/>
  <c r="DD58" i="2"/>
  <c r="DE58" i="2"/>
  <c r="DJ58" i="2"/>
  <c r="CT58" i="2"/>
  <c r="CZ58" i="2"/>
  <c r="DI58" i="2"/>
  <c r="DB58" i="2"/>
  <c r="CR58" i="2"/>
  <c r="DH33" i="2"/>
  <c r="CW33" i="2"/>
  <c r="CX33" i="2"/>
  <c r="DI33" i="2"/>
  <c r="DJ33" i="2"/>
  <c r="CY33" i="2"/>
  <c r="CZ33" i="2"/>
  <c r="DB33" i="2"/>
  <c r="DC33" i="2"/>
  <c r="CR33" i="2"/>
  <c r="CS33" i="2"/>
  <c r="DD33" i="2"/>
  <c r="DE33" i="2"/>
  <c r="CT33" i="2"/>
  <c r="DG33" i="2"/>
  <c r="CU33" i="2"/>
  <c r="DC86" i="2"/>
  <c r="DH86" i="2"/>
  <c r="CU86" i="2"/>
  <c r="DJ86" i="2"/>
  <c r="CT86" i="2"/>
  <c r="CW86" i="2"/>
  <c r="CX86" i="2"/>
  <c r="CY86" i="2"/>
  <c r="CZ86" i="2"/>
  <c r="DB86" i="2"/>
  <c r="CR86" i="2"/>
  <c r="CS86" i="2"/>
  <c r="DD86" i="2"/>
  <c r="DE86" i="2"/>
  <c r="DI86" i="2"/>
  <c r="DG86" i="2"/>
  <c r="DH83" i="2"/>
  <c r="DG83" i="2"/>
  <c r="CW83" i="2"/>
  <c r="DI83" i="2"/>
  <c r="CX83" i="2"/>
  <c r="DD83" i="2"/>
  <c r="DJ83" i="2"/>
  <c r="DE83" i="2"/>
  <c r="CR83" i="2"/>
  <c r="CS83" i="2"/>
  <c r="CT83" i="2"/>
  <c r="CU83" i="2"/>
  <c r="DC83" i="2"/>
  <c r="CY83" i="2"/>
  <c r="CZ83" i="2"/>
  <c r="DB83" i="2"/>
  <c r="CX67" i="2"/>
  <c r="CZ67" i="2"/>
  <c r="DC67" i="2"/>
  <c r="CR67" i="2"/>
  <c r="DE67" i="2"/>
  <c r="CY67" i="2"/>
  <c r="DB67" i="2"/>
  <c r="DD67" i="2"/>
  <c r="DI67" i="2"/>
  <c r="CS67" i="2"/>
  <c r="DJ67" i="2"/>
  <c r="CT67" i="2"/>
  <c r="CU67" i="2"/>
  <c r="CW67" i="2"/>
  <c r="DH67" i="2"/>
  <c r="DG67" i="2"/>
  <c r="DJ55" i="2"/>
  <c r="CY55" i="2"/>
  <c r="CZ55" i="2"/>
  <c r="CR55" i="2"/>
  <c r="DD55" i="2"/>
  <c r="DE55" i="2"/>
  <c r="CT55" i="2"/>
  <c r="DH55" i="2"/>
  <c r="CW55" i="2"/>
  <c r="CX55" i="2"/>
  <c r="DG55" i="2"/>
  <c r="CU55" i="2"/>
  <c r="DC55" i="2"/>
  <c r="CS55" i="2"/>
  <c r="DI55" i="2"/>
  <c r="DB55" i="2"/>
  <c r="DJ39" i="2"/>
  <c r="CY39" i="2"/>
  <c r="CZ39" i="2"/>
  <c r="DC39" i="2"/>
  <c r="CR39" i="2"/>
  <c r="CS39" i="2"/>
  <c r="DD39" i="2"/>
  <c r="DE39" i="2"/>
  <c r="CT39" i="2"/>
  <c r="DH39" i="2"/>
  <c r="CW39" i="2"/>
  <c r="CX39" i="2"/>
  <c r="DI39" i="2"/>
  <c r="DB39" i="2"/>
  <c r="DG39" i="2"/>
  <c r="CU39" i="2"/>
  <c r="DE40" i="2"/>
  <c r="CT40" i="2"/>
  <c r="CU40" i="2"/>
  <c r="DG40" i="2"/>
  <c r="DH40" i="2"/>
  <c r="CX40" i="2"/>
  <c r="DI40" i="2"/>
  <c r="DJ40" i="2"/>
  <c r="CY40" i="2"/>
  <c r="CZ40" i="2"/>
  <c r="DC40" i="2"/>
  <c r="CR40" i="2"/>
  <c r="CS40" i="2"/>
  <c r="DD40" i="2"/>
  <c r="CW40" i="2"/>
  <c r="DB40" i="2"/>
  <c r="CT81" i="2"/>
  <c r="CY81" i="2"/>
  <c r="DH81" i="2"/>
  <c r="CX81" i="2"/>
  <c r="DJ81" i="2"/>
  <c r="CZ81" i="2"/>
  <c r="CU81" i="2"/>
  <c r="CW81" i="2"/>
  <c r="DB81" i="2"/>
  <c r="DC81" i="2"/>
  <c r="CR81" i="2"/>
  <c r="CS81" i="2"/>
  <c r="DD81" i="2"/>
  <c r="DE81" i="2"/>
  <c r="DG81" i="2"/>
  <c r="DI81" i="2"/>
  <c r="DE70" i="2"/>
  <c r="CW70" i="2"/>
  <c r="DJ70" i="2"/>
  <c r="CR70" i="2"/>
  <c r="CY70" i="2"/>
  <c r="DC70" i="2"/>
  <c r="DD70" i="2"/>
  <c r="DI70" i="2"/>
  <c r="CS70" i="2"/>
  <c r="CT70" i="2"/>
  <c r="CU70" i="2"/>
  <c r="CX70" i="2"/>
  <c r="CZ70" i="2"/>
  <c r="DB70" i="2"/>
  <c r="DG70" i="2"/>
  <c r="DH70" i="2"/>
  <c r="CS29" i="2"/>
  <c r="CU29" i="2"/>
  <c r="CT29" i="2"/>
  <c r="BX58" i="2"/>
  <c r="CA58" i="2"/>
  <c r="BQ58" i="2"/>
  <c r="CC58" i="2"/>
  <c r="BT58" i="2"/>
  <c r="CF58" i="2"/>
  <c r="CG58" i="2"/>
  <c r="BR58" i="2"/>
  <c r="BS58" i="2"/>
  <c r="CI58" i="2"/>
  <c r="BW58" i="2"/>
  <c r="BV58" i="2"/>
  <c r="BY58" i="2"/>
  <c r="CH58" i="2"/>
  <c r="CB58" i="2"/>
  <c r="CD58" i="2"/>
  <c r="BY68" i="2"/>
  <c r="CA68" i="2"/>
  <c r="BQ68" i="2"/>
  <c r="BS68" i="2"/>
  <c r="BV68" i="2"/>
  <c r="BR68" i="2"/>
  <c r="BT68" i="2"/>
  <c r="BW68" i="2"/>
  <c r="CB68" i="2"/>
  <c r="CF68" i="2"/>
  <c r="CH68" i="2"/>
  <c r="CI68" i="2"/>
  <c r="BX68" i="2"/>
  <c r="CD68" i="2"/>
  <c r="CG68" i="2"/>
  <c r="CC68" i="2"/>
  <c r="BV71" i="2"/>
  <c r="CH71" i="2"/>
  <c r="BX71" i="2"/>
  <c r="CC71" i="2"/>
  <c r="CA71" i="2"/>
  <c r="CD71" i="2"/>
  <c r="BR71" i="2"/>
  <c r="CG71" i="2"/>
  <c r="BY71" i="2"/>
  <c r="CI71" i="2"/>
  <c r="BQ71" i="2"/>
  <c r="BS71" i="2"/>
  <c r="BW71" i="2"/>
  <c r="CF71" i="2"/>
  <c r="BT71" i="2"/>
  <c r="CB71" i="2"/>
  <c r="BQ39" i="2"/>
  <c r="CD39" i="2"/>
  <c r="BT39" i="2"/>
  <c r="CF39" i="2"/>
  <c r="BV39" i="2"/>
  <c r="CI39" i="2"/>
  <c r="BY39" i="2"/>
  <c r="CA39" i="2"/>
  <c r="CB39" i="2"/>
  <c r="BS39" i="2"/>
  <c r="BX39" i="2"/>
  <c r="CH39" i="2"/>
  <c r="BR39" i="2"/>
  <c r="CC39" i="2"/>
  <c r="CG39" i="2"/>
  <c r="BW39" i="2"/>
  <c r="CH40" i="2"/>
  <c r="BY40" i="2"/>
  <c r="CA40" i="2"/>
  <c r="BQ40" i="2"/>
  <c r="CD40" i="2"/>
  <c r="BT40" i="2"/>
  <c r="CF40" i="2"/>
  <c r="BV40" i="2"/>
  <c r="CG40" i="2"/>
  <c r="BR40" i="2"/>
  <c r="CI40" i="2"/>
  <c r="BW40" i="2"/>
  <c r="CC40" i="2"/>
  <c r="CB40" i="2"/>
  <c r="BS40" i="2"/>
  <c r="BX40" i="2"/>
  <c r="CF74" i="2"/>
  <c r="BS74" i="2"/>
  <c r="BV74" i="2"/>
  <c r="CH74" i="2"/>
  <c r="CB74" i="2"/>
  <c r="BX74" i="2"/>
  <c r="CA74" i="2"/>
  <c r="BQ74" i="2"/>
  <c r="CI74" i="2"/>
  <c r="CC74" i="2"/>
  <c r="CD74" i="2"/>
  <c r="BR74" i="2"/>
  <c r="BT74" i="2"/>
  <c r="BW74" i="2"/>
  <c r="BY74" i="2"/>
  <c r="CG74" i="2"/>
  <c r="BQ72" i="2"/>
  <c r="CC72" i="2"/>
  <c r="BS72" i="2"/>
  <c r="BX72" i="2"/>
  <c r="CG72" i="2"/>
  <c r="BR72" i="2"/>
  <c r="CI72" i="2"/>
  <c r="CA72" i="2"/>
  <c r="CF72" i="2"/>
  <c r="CH72" i="2"/>
  <c r="BT72" i="2"/>
  <c r="BW72" i="2"/>
  <c r="CB72" i="2"/>
  <c r="CD72" i="2"/>
  <c r="BV72" i="2"/>
  <c r="BY72" i="2"/>
  <c r="CI66" i="2"/>
  <c r="BY66" i="2"/>
  <c r="CA66" i="2"/>
  <c r="CC66" i="2"/>
  <c r="BT66" i="2"/>
  <c r="CF66" i="2"/>
  <c r="BW66" i="2"/>
  <c r="CB66" i="2"/>
  <c r="CD66" i="2"/>
  <c r="BQ66" i="2"/>
  <c r="BR66" i="2"/>
  <c r="BX66" i="2"/>
  <c r="CG66" i="2"/>
  <c r="CH66" i="2"/>
  <c r="BS66" i="2"/>
  <c r="BV66" i="2"/>
  <c r="BY35" i="2"/>
  <c r="CB35" i="2"/>
  <c r="BR35" i="2"/>
  <c r="CD35" i="2"/>
  <c r="CG35" i="2"/>
  <c r="BW35" i="2"/>
  <c r="CI35" i="2"/>
  <c r="BQ35" i="2"/>
  <c r="BT35" i="2"/>
  <c r="BV35" i="2"/>
  <c r="CC35" i="2"/>
  <c r="CH35" i="2"/>
  <c r="CA35" i="2"/>
  <c r="CF35" i="2"/>
  <c r="BS35" i="2"/>
  <c r="BX35" i="2"/>
  <c r="BS92" i="2"/>
  <c r="CI92" i="2"/>
  <c r="BX92" i="2"/>
  <c r="CA92" i="2"/>
  <c r="CB92" i="2"/>
  <c r="CF92" i="2"/>
  <c r="BW92" i="2"/>
  <c r="BY92" i="2"/>
  <c r="CC92" i="2"/>
  <c r="CD92" i="2"/>
  <c r="CG92" i="2"/>
  <c r="CH92" i="2"/>
  <c r="BQ92" i="2"/>
  <c r="BR92" i="2"/>
  <c r="BV92" i="2"/>
  <c r="BT92" i="2"/>
  <c r="BY33" i="2"/>
  <c r="CB33" i="2"/>
  <c r="BR33" i="2"/>
  <c r="CD33" i="2"/>
  <c r="CG33" i="2"/>
  <c r="BW33" i="2"/>
  <c r="CI33" i="2"/>
  <c r="BV33" i="2"/>
  <c r="CA33" i="2"/>
  <c r="CH33" i="2"/>
  <c r="BS33" i="2"/>
  <c r="CF33" i="2"/>
  <c r="BX33" i="2"/>
  <c r="CC33" i="2"/>
  <c r="BQ33" i="2"/>
  <c r="BT33" i="2"/>
  <c r="CG45" i="2"/>
  <c r="CH45" i="2"/>
  <c r="BX45" i="2"/>
  <c r="BQ45" i="2"/>
  <c r="CC45" i="2"/>
  <c r="BS45" i="2"/>
  <c r="CA45" i="2"/>
  <c r="CF45" i="2"/>
  <c r="CI45" i="2"/>
  <c r="BT45" i="2"/>
  <c r="CD45" i="2"/>
  <c r="BV45" i="2"/>
  <c r="BR45" i="2"/>
  <c r="BW45" i="2"/>
  <c r="BY45" i="2"/>
  <c r="CB45" i="2"/>
  <c r="CC81" i="2"/>
  <c r="BT81" i="2"/>
  <c r="CF81" i="2"/>
  <c r="CG81" i="2"/>
  <c r="BV81" i="2"/>
  <c r="BQ81" i="2"/>
  <c r="CH81" i="2"/>
  <c r="BR81" i="2"/>
  <c r="CI81" i="2"/>
  <c r="BS81" i="2"/>
  <c r="BW81" i="2"/>
  <c r="BX81" i="2"/>
  <c r="BY81" i="2"/>
  <c r="CB81" i="2"/>
  <c r="CD81" i="2"/>
  <c r="CA81" i="2"/>
  <c r="CA70" i="2"/>
  <c r="BQ70" i="2"/>
  <c r="CC70" i="2"/>
  <c r="CH70" i="2"/>
  <c r="CB70" i="2"/>
  <c r="BS70" i="2"/>
  <c r="BV70" i="2"/>
  <c r="CI70" i="2"/>
  <c r="BT70" i="2"/>
  <c r="BR70" i="2"/>
  <c r="BW70" i="2"/>
  <c r="BX70" i="2"/>
  <c r="CF70" i="2"/>
  <c r="CG70" i="2"/>
  <c r="BY70" i="2"/>
  <c r="CD70" i="2"/>
  <c r="BS59" i="2"/>
  <c r="BV59" i="2"/>
  <c r="CH59" i="2"/>
  <c r="BX59" i="2"/>
  <c r="CA59" i="2"/>
  <c r="BT59" i="2"/>
  <c r="BW59" i="2"/>
  <c r="BY59" i="2"/>
  <c r="CF59" i="2"/>
  <c r="BQ59" i="2"/>
  <c r="CB59" i="2"/>
  <c r="CG59" i="2"/>
  <c r="BR59" i="2"/>
  <c r="CC59" i="2"/>
  <c r="CD59" i="2"/>
  <c r="CI59" i="2"/>
  <c r="CB62" i="2"/>
  <c r="CC62" i="2"/>
  <c r="BS62" i="2"/>
  <c r="CG62" i="2"/>
  <c r="CH62" i="2"/>
  <c r="BT62" i="2"/>
  <c r="BW62" i="2"/>
  <c r="BX62" i="2"/>
  <c r="CA62" i="2"/>
  <c r="CF62" i="2"/>
  <c r="BQ62" i="2"/>
  <c r="BR62" i="2"/>
  <c r="CD62" i="2"/>
  <c r="CI62" i="2"/>
  <c r="BV62" i="2"/>
  <c r="BY62" i="2"/>
  <c r="BT69" i="2"/>
  <c r="CF69" i="2"/>
  <c r="BV69" i="2"/>
  <c r="CH69" i="2"/>
  <c r="BQ69" i="2"/>
  <c r="BX69" i="2"/>
  <c r="BY69" i="2"/>
  <c r="CB69" i="2"/>
  <c r="CI69" i="2"/>
  <c r="BR69" i="2"/>
  <c r="BS69" i="2"/>
  <c r="CA69" i="2"/>
  <c r="CD69" i="2"/>
  <c r="CG69" i="2"/>
  <c r="BW69" i="2"/>
  <c r="CC69" i="2"/>
  <c r="CD50" i="2"/>
  <c r="CG50" i="2"/>
  <c r="BW50" i="2"/>
  <c r="CI50" i="2"/>
  <c r="BR50" i="2"/>
  <c r="BS50" i="2"/>
  <c r="BV50" i="2"/>
  <c r="BX50" i="2"/>
  <c r="BY50" i="2"/>
  <c r="CB50" i="2"/>
  <c r="CH50" i="2"/>
  <c r="BQ50" i="2"/>
  <c r="CA50" i="2"/>
  <c r="CC50" i="2"/>
  <c r="CF50" i="2"/>
  <c r="BT50" i="2"/>
  <c r="CG61" i="2"/>
  <c r="CH61" i="2"/>
  <c r="BX61" i="2"/>
  <c r="BQ61" i="2"/>
  <c r="BR61" i="2"/>
  <c r="CI61" i="2"/>
  <c r="BV61" i="2"/>
  <c r="BW61" i="2"/>
  <c r="CA61" i="2"/>
  <c r="BS61" i="2"/>
  <c r="BT61" i="2"/>
  <c r="BY61" i="2"/>
  <c r="CC61" i="2"/>
  <c r="CD61" i="2"/>
  <c r="CB61" i="2"/>
  <c r="CF61" i="2"/>
  <c r="CB46" i="2"/>
  <c r="CC46" i="2"/>
  <c r="BS46" i="2"/>
  <c r="CG46" i="2"/>
  <c r="CH46" i="2"/>
  <c r="BX46" i="2"/>
  <c r="BV46" i="2"/>
  <c r="CD46" i="2"/>
  <c r="CI46" i="2"/>
  <c r="BQ46" i="2"/>
  <c r="BR46" i="2"/>
  <c r="BY46" i="2"/>
  <c r="CF46" i="2"/>
  <c r="BW46" i="2"/>
  <c r="CA46" i="2"/>
  <c r="BT46" i="2"/>
  <c r="BS43" i="2"/>
  <c r="BV43" i="2"/>
  <c r="CH43" i="2"/>
  <c r="BX43" i="2"/>
  <c r="CA43" i="2"/>
  <c r="BQ43" i="2"/>
  <c r="CC43" i="2"/>
  <c r="CD43" i="2"/>
  <c r="CF43" i="2"/>
  <c r="CI43" i="2"/>
  <c r="BT43" i="2"/>
  <c r="BW43" i="2"/>
  <c r="BY43" i="2"/>
  <c r="BR43" i="2"/>
  <c r="CB43" i="2"/>
  <c r="CG43" i="2"/>
  <c r="CB79" i="2"/>
  <c r="BR79" i="2"/>
  <c r="BW79" i="2"/>
  <c r="CA79" i="2"/>
  <c r="CC79" i="2"/>
  <c r="CD79" i="2"/>
  <c r="BQ79" i="2"/>
  <c r="CG79" i="2"/>
  <c r="BV79" i="2"/>
  <c r="BX79" i="2"/>
  <c r="BY79" i="2"/>
  <c r="CF79" i="2"/>
  <c r="CH79" i="2"/>
  <c r="BS79" i="2"/>
  <c r="BT79" i="2"/>
  <c r="CI79" i="2"/>
  <c r="BX77" i="2"/>
  <c r="CB77" i="2"/>
  <c r="CG77" i="2"/>
  <c r="BV77" i="2"/>
  <c r="BY77" i="2"/>
  <c r="CA77" i="2"/>
  <c r="BS77" i="2"/>
  <c r="CH77" i="2"/>
  <c r="CC77" i="2"/>
  <c r="CD77" i="2"/>
  <c r="CF77" i="2"/>
  <c r="CI77" i="2"/>
  <c r="BQ77" i="2"/>
  <c r="BR77" i="2"/>
  <c r="BT77" i="2"/>
  <c r="BW77" i="2"/>
  <c r="CC76" i="2"/>
  <c r="BS76" i="2"/>
  <c r="CG76" i="2"/>
  <c r="CH76" i="2"/>
  <c r="BW76" i="2"/>
  <c r="BY76" i="2"/>
  <c r="BQ76" i="2"/>
  <c r="CD76" i="2"/>
  <c r="CF76" i="2"/>
  <c r="CI76" i="2"/>
  <c r="BR76" i="2"/>
  <c r="BV76" i="2"/>
  <c r="BX76" i="2"/>
  <c r="BT76" i="2"/>
  <c r="CA76" i="2"/>
  <c r="CB76" i="2"/>
  <c r="CD67" i="2"/>
  <c r="BT67" i="2"/>
  <c r="CF67" i="2"/>
  <c r="BV67" i="2"/>
  <c r="BX67" i="2"/>
  <c r="CA67" i="2"/>
  <c r="CG67" i="2"/>
  <c r="BQ67" i="2"/>
  <c r="CI67" i="2"/>
  <c r="BW67" i="2"/>
  <c r="CC67" i="2"/>
  <c r="BR67" i="2"/>
  <c r="BS67" i="2"/>
  <c r="BY67" i="2"/>
  <c r="CB67" i="2"/>
  <c r="CH67" i="2"/>
  <c r="BS83" i="2"/>
  <c r="BV83" i="2"/>
  <c r="BW83" i="2"/>
  <c r="CH83" i="2"/>
  <c r="BX83" i="2"/>
  <c r="BY83" i="2"/>
  <c r="CA83" i="2"/>
  <c r="CB83" i="2"/>
  <c r="CC83" i="2"/>
  <c r="BR83" i="2"/>
  <c r="CG83" i="2"/>
  <c r="CI83" i="2"/>
  <c r="CD83" i="2"/>
  <c r="CF83" i="2"/>
  <c r="BQ83" i="2"/>
  <c r="BT83" i="2"/>
  <c r="BQ60" i="2"/>
  <c r="CC60" i="2"/>
  <c r="BS60" i="2"/>
  <c r="BV60" i="2"/>
  <c r="BY60" i="2"/>
  <c r="CB60" i="2"/>
  <c r="CD60" i="2"/>
  <c r="BR60" i="2"/>
  <c r="CH60" i="2"/>
  <c r="BT60" i="2"/>
  <c r="BW60" i="2"/>
  <c r="BX60" i="2"/>
  <c r="CF60" i="2"/>
  <c r="CG60" i="2"/>
  <c r="CA60" i="2"/>
  <c r="CI60" i="2"/>
  <c r="CI31" i="2"/>
  <c r="CB31" i="2"/>
  <c r="BR31" i="2"/>
  <c r="BS31" i="2"/>
  <c r="CG31" i="2"/>
  <c r="BW31" i="2"/>
  <c r="BQ31" i="2"/>
  <c r="BT31" i="2"/>
  <c r="BV31" i="2"/>
  <c r="BY31" i="2"/>
  <c r="CC31" i="2"/>
  <c r="CD31" i="2"/>
  <c r="CH31" i="2"/>
  <c r="BX31" i="2"/>
  <c r="CA31" i="2"/>
  <c r="CF31" i="2"/>
  <c r="CD32" i="2"/>
  <c r="CG32" i="2"/>
  <c r="BW32" i="2"/>
  <c r="CI32" i="2"/>
  <c r="CB32" i="2"/>
  <c r="BR32" i="2"/>
  <c r="CC32" i="2"/>
  <c r="CH32" i="2"/>
  <c r="BV32" i="2"/>
  <c r="CA32" i="2"/>
  <c r="BS32" i="2"/>
  <c r="BT32" i="2"/>
  <c r="BX32" i="2"/>
  <c r="BY32" i="2"/>
  <c r="CF32" i="2"/>
  <c r="BQ32" i="2"/>
  <c r="BT52" i="2"/>
  <c r="CF52" i="2"/>
  <c r="BW52" i="2"/>
  <c r="CI52" i="2"/>
  <c r="BY52" i="2"/>
  <c r="CB52" i="2"/>
  <c r="CD52" i="2"/>
  <c r="CC52" i="2"/>
  <c r="CG52" i="2"/>
  <c r="BR52" i="2"/>
  <c r="BV52" i="2"/>
  <c r="BS52" i="2"/>
  <c r="BX52" i="2"/>
  <c r="CA52" i="2"/>
  <c r="BQ52" i="2"/>
  <c r="CH52" i="2"/>
  <c r="BQ55" i="2"/>
  <c r="CD55" i="2"/>
  <c r="BT55" i="2"/>
  <c r="CF55" i="2"/>
  <c r="BV55" i="2"/>
  <c r="CI55" i="2"/>
  <c r="CG55" i="2"/>
  <c r="BR55" i="2"/>
  <c r="CH55" i="2"/>
  <c r="BS55" i="2"/>
  <c r="BX55" i="2"/>
  <c r="CA55" i="2"/>
  <c r="CB55" i="2"/>
  <c r="BW55" i="2"/>
  <c r="BY55" i="2"/>
  <c r="CC55" i="2"/>
  <c r="BR64" i="2"/>
  <c r="BS64" i="2"/>
  <c r="CG64" i="2"/>
  <c r="BW64" i="2"/>
  <c r="BX64" i="2"/>
  <c r="CD64" i="2"/>
  <c r="CI64" i="2"/>
  <c r="CC64" i="2"/>
  <c r="BQ64" i="2"/>
  <c r="BV64" i="2"/>
  <c r="CB64" i="2"/>
  <c r="CF64" i="2"/>
  <c r="CH64" i="2"/>
  <c r="CA64" i="2"/>
  <c r="BY64" i="2"/>
  <c r="BT64" i="2"/>
  <c r="BX86" i="2"/>
  <c r="CA86" i="2"/>
  <c r="CB86" i="2"/>
  <c r="BQ86" i="2"/>
  <c r="BY86" i="2"/>
  <c r="CC86" i="2"/>
  <c r="CD86" i="2"/>
  <c r="BR86" i="2"/>
  <c r="CF86" i="2"/>
  <c r="BS86" i="2"/>
  <c r="BT86" i="2"/>
  <c r="CH86" i="2"/>
  <c r="BW86" i="2"/>
  <c r="CI86" i="2"/>
  <c r="BV86" i="2"/>
  <c r="CG86" i="2"/>
  <c r="CC41" i="2"/>
  <c r="BT41" i="2"/>
  <c r="CF41" i="2"/>
  <c r="BV41" i="2"/>
  <c r="CH41" i="2"/>
  <c r="BY41" i="2"/>
  <c r="CA41" i="2"/>
  <c r="BQ41" i="2"/>
  <c r="BX41" i="2"/>
  <c r="CD41" i="2"/>
  <c r="BS41" i="2"/>
  <c r="CB41" i="2"/>
  <c r="BR41" i="2"/>
  <c r="BW41" i="2"/>
  <c r="CG41" i="2"/>
  <c r="CI41" i="2"/>
  <c r="BT36" i="2"/>
  <c r="CF36" i="2"/>
  <c r="BW36" i="2"/>
  <c r="CI36" i="2"/>
  <c r="BY36" i="2"/>
  <c r="CB36" i="2"/>
  <c r="BR36" i="2"/>
  <c r="CD36" i="2"/>
  <c r="CC36" i="2"/>
  <c r="CH36" i="2"/>
  <c r="BV36" i="2"/>
  <c r="CA36" i="2"/>
  <c r="BQ36" i="2"/>
  <c r="BS36" i="2"/>
  <c r="CG36" i="2"/>
  <c r="BX36" i="2"/>
  <c r="CH73" i="2"/>
  <c r="BX73" i="2"/>
  <c r="BS73" i="2"/>
  <c r="BQ73" i="2"/>
  <c r="CF73" i="2"/>
  <c r="BT73" i="2"/>
  <c r="CI73" i="2"/>
  <c r="BW73" i="2"/>
  <c r="CB73" i="2"/>
  <c r="CC73" i="2"/>
  <c r="CD73" i="2"/>
  <c r="CG73" i="2"/>
  <c r="BR73" i="2"/>
  <c r="BV73" i="2"/>
  <c r="BY73" i="2"/>
  <c r="CA73" i="2"/>
  <c r="BS78" i="2"/>
  <c r="CG78" i="2"/>
  <c r="BW78" i="2"/>
  <c r="CB78" i="2"/>
  <c r="BX78" i="2"/>
  <c r="CA78" i="2"/>
  <c r="CD78" i="2"/>
  <c r="BY78" i="2"/>
  <c r="CC78" i="2"/>
  <c r="CF78" i="2"/>
  <c r="CH78" i="2"/>
  <c r="CI78" i="2"/>
  <c r="BQ78" i="2"/>
  <c r="BR78" i="2"/>
  <c r="BT78" i="2"/>
  <c r="BV78" i="2"/>
  <c r="BT34" i="2"/>
  <c r="BX34" i="2"/>
  <c r="CA34" i="2"/>
  <c r="BR34" i="2"/>
  <c r="CD34" i="2"/>
  <c r="CG34" i="2"/>
  <c r="BS34" i="2"/>
  <c r="BV34" i="2"/>
  <c r="CC34" i="2"/>
  <c r="CH34" i="2"/>
  <c r="BW34" i="2"/>
  <c r="BY34" i="2"/>
  <c r="BQ34" i="2"/>
  <c r="CF34" i="2"/>
  <c r="CB34" i="2"/>
  <c r="CI34" i="2"/>
  <c r="BW91" i="2"/>
  <c r="BX91" i="2"/>
  <c r="BY91" i="2"/>
  <c r="BV91" i="2"/>
  <c r="CA91" i="2"/>
  <c r="CB91" i="2"/>
  <c r="CC91" i="2"/>
  <c r="BR91" i="2"/>
  <c r="CF91" i="2"/>
  <c r="CG91" i="2"/>
  <c r="BT91" i="2"/>
  <c r="CI91" i="2"/>
  <c r="BQ91" i="2"/>
  <c r="BS91" i="2"/>
  <c r="CH91" i="2"/>
  <c r="CD91" i="2"/>
  <c r="BW47" i="2"/>
  <c r="BX47" i="2"/>
  <c r="CB47" i="2"/>
  <c r="CC47" i="2"/>
  <c r="BS47" i="2"/>
  <c r="CG47" i="2"/>
  <c r="CF47" i="2"/>
  <c r="CH47" i="2"/>
  <c r="BQ47" i="2"/>
  <c r="BT47" i="2"/>
  <c r="BV47" i="2"/>
  <c r="BY47" i="2"/>
  <c r="BR47" i="2"/>
  <c r="CA47" i="2"/>
  <c r="CD47" i="2"/>
  <c r="CI47" i="2"/>
  <c r="CH56" i="2"/>
  <c r="BY56" i="2"/>
  <c r="CA56" i="2"/>
  <c r="BQ56" i="2"/>
  <c r="CD56" i="2"/>
  <c r="BW56" i="2"/>
  <c r="BX56" i="2"/>
  <c r="CC56" i="2"/>
  <c r="CG56" i="2"/>
  <c r="BS56" i="2"/>
  <c r="CB56" i="2"/>
  <c r="CF56" i="2"/>
  <c r="CI56" i="2"/>
  <c r="BR56" i="2"/>
  <c r="BT56" i="2"/>
  <c r="BV56" i="2"/>
  <c r="CA37" i="2"/>
  <c r="BR37" i="2"/>
  <c r="CD37" i="2"/>
  <c r="BT37" i="2"/>
  <c r="CF37" i="2"/>
  <c r="BW37" i="2"/>
  <c r="CI37" i="2"/>
  <c r="BY37" i="2"/>
  <c r="BV37" i="2"/>
  <c r="CB37" i="2"/>
  <c r="CH37" i="2"/>
  <c r="BS37" i="2"/>
  <c r="BQ37" i="2"/>
  <c r="CC37" i="2"/>
  <c r="CG37" i="2"/>
  <c r="BX37" i="2"/>
  <c r="BV38" i="2"/>
  <c r="CI38" i="2"/>
  <c r="BY38" i="2"/>
  <c r="CA38" i="2"/>
  <c r="BR38" i="2"/>
  <c r="CD38" i="2"/>
  <c r="BT38" i="2"/>
  <c r="CF38" i="2"/>
  <c r="CH38" i="2"/>
  <c r="BS38" i="2"/>
  <c r="CB38" i="2"/>
  <c r="CG38" i="2"/>
  <c r="BX38" i="2"/>
  <c r="CC38" i="2"/>
  <c r="BQ38" i="2"/>
  <c r="BW38" i="2"/>
  <c r="BQ84" i="2"/>
  <c r="BR84" i="2"/>
  <c r="CC84" i="2"/>
  <c r="BY84" i="2"/>
  <c r="CA84" i="2"/>
  <c r="CD84" i="2"/>
  <c r="CF84" i="2"/>
  <c r="CG84" i="2"/>
  <c r="CI84" i="2"/>
  <c r="BV84" i="2"/>
  <c r="BT84" i="2"/>
  <c r="BW84" i="2"/>
  <c r="BS84" i="2"/>
  <c r="BX84" i="2"/>
  <c r="CB84" i="2"/>
  <c r="CH84" i="2"/>
  <c r="BQ44" i="2"/>
  <c r="CC44" i="2"/>
  <c r="BS44" i="2"/>
  <c r="BV44" i="2"/>
  <c r="CH44" i="2"/>
  <c r="BX44" i="2"/>
  <c r="BW44" i="2"/>
  <c r="CB44" i="2"/>
  <c r="BT44" i="2"/>
  <c r="CA44" i="2"/>
  <c r="CD44" i="2"/>
  <c r="CG44" i="2"/>
  <c r="BY44" i="2"/>
  <c r="CI44" i="2"/>
  <c r="BR44" i="2"/>
  <c r="CF44" i="2"/>
  <c r="CI49" i="2"/>
  <c r="CB49" i="2"/>
  <c r="BR49" i="2"/>
  <c r="BS49" i="2"/>
  <c r="CG49" i="2"/>
  <c r="BW49" i="2"/>
  <c r="BQ49" i="2"/>
  <c r="BV49" i="2"/>
  <c r="BY49" i="2"/>
  <c r="CA49" i="2"/>
  <c r="CD49" i="2"/>
  <c r="BT49" i="2"/>
  <c r="BX49" i="2"/>
  <c r="CF49" i="2"/>
  <c r="CC49" i="2"/>
  <c r="CH49" i="2"/>
  <c r="CD29" i="2"/>
  <c r="CC29" i="2"/>
  <c r="CB29" i="2"/>
  <c r="CI29" i="2"/>
  <c r="BX29" i="2"/>
  <c r="BW29" i="2"/>
  <c r="CH29" i="2"/>
  <c r="CG29" i="2"/>
  <c r="BY29" i="2"/>
  <c r="BS87" i="2"/>
  <c r="BV87" i="2"/>
  <c r="BW87" i="2"/>
  <c r="CH87" i="2"/>
  <c r="CB87" i="2"/>
  <c r="CC87" i="2"/>
  <c r="BR87" i="2"/>
  <c r="CG87" i="2"/>
  <c r="CD87" i="2"/>
  <c r="BQ87" i="2"/>
  <c r="CF87" i="2"/>
  <c r="CI87" i="2"/>
  <c r="CA87" i="2"/>
  <c r="BT87" i="2"/>
  <c r="BY87" i="2"/>
  <c r="BX87" i="2"/>
  <c r="BY51" i="2"/>
  <c r="CB51" i="2"/>
  <c r="BR51" i="2"/>
  <c r="CD51" i="2"/>
  <c r="CG51" i="2"/>
  <c r="CI51" i="2"/>
  <c r="BS51" i="2"/>
  <c r="BV51" i="2"/>
  <c r="CA51" i="2"/>
  <c r="CF51" i="2"/>
  <c r="BQ51" i="2"/>
  <c r="BW51" i="2"/>
  <c r="BX51" i="2"/>
  <c r="CH51" i="2"/>
  <c r="BT51" i="2"/>
  <c r="CC51" i="2"/>
  <c r="BX42" i="2"/>
  <c r="CA42" i="2"/>
  <c r="BQ42" i="2"/>
  <c r="CC42" i="2"/>
  <c r="BT42" i="2"/>
  <c r="CF42" i="2"/>
  <c r="BV42" i="2"/>
  <c r="CH42" i="2"/>
  <c r="BR42" i="2"/>
  <c r="BW42" i="2"/>
  <c r="BS42" i="2"/>
  <c r="BY42" i="2"/>
  <c r="CD42" i="2"/>
  <c r="CG42" i="2"/>
  <c r="CB42" i="2"/>
  <c r="CI42" i="2"/>
  <c r="CA53" i="2"/>
  <c r="BR53" i="2"/>
  <c r="CD53" i="2"/>
  <c r="BT53" i="2"/>
  <c r="CF53" i="2"/>
  <c r="BW53" i="2"/>
  <c r="BY53" i="2"/>
  <c r="CB53" i="2"/>
  <c r="BS53" i="2"/>
  <c r="BX53" i="2"/>
  <c r="CC53" i="2"/>
  <c r="BV53" i="2"/>
  <c r="CH53" i="2"/>
  <c r="CI53" i="2"/>
  <c r="BQ53" i="2"/>
  <c r="CG53" i="2"/>
  <c r="CC57" i="2"/>
  <c r="BT57" i="2"/>
  <c r="CF57" i="2"/>
  <c r="BV57" i="2"/>
  <c r="CH57" i="2"/>
  <c r="BY57" i="2"/>
  <c r="CA57" i="2"/>
  <c r="CD57" i="2"/>
  <c r="BQ57" i="2"/>
  <c r="BR57" i="2"/>
  <c r="CI57" i="2"/>
  <c r="BX57" i="2"/>
  <c r="BS57" i="2"/>
  <c r="BW57" i="2"/>
  <c r="CG57" i="2"/>
  <c r="CB57" i="2"/>
  <c r="BR48" i="2"/>
  <c r="BS48" i="2"/>
  <c r="CG48" i="2"/>
  <c r="BW48" i="2"/>
  <c r="BX48" i="2"/>
  <c r="CB48" i="2"/>
  <c r="CA48" i="2"/>
  <c r="CC48" i="2"/>
  <c r="CH48" i="2"/>
  <c r="BQ48" i="2"/>
  <c r="BT48" i="2"/>
  <c r="BY48" i="2"/>
  <c r="CI48" i="2"/>
  <c r="BV48" i="2"/>
  <c r="CF48" i="2"/>
  <c r="CD48" i="2"/>
  <c r="CH80" i="2"/>
  <c r="BY80" i="2"/>
  <c r="CA80" i="2"/>
  <c r="BQ80" i="2"/>
  <c r="CC80" i="2"/>
  <c r="CD80" i="2"/>
  <c r="CF80" i="2"/>
  <c r="BR80" i="2"/>
  <c r="CG80" i="2"/>
  <c r="BS80" i="2"/>
  <c r="CI80" i="2"/>
  <c r="BV80" i="2"/>
  <c r="BW80" i="2"/>
  <c r="CB80" i="2"/>
  <c r="BX80" i="2"/>
  <c r="BT80" i="2"/>
  <c r="BQ30" i="2"/>
  <c r="BR30" i="2"/>
  <c r="BS30" i="2"/>
  <c r="CG30" i="2"/>
  <c r="BW30" i="2"/>
  <c r="CI30" i="2"/>
  <c r="BX30" i="2"/>
  <c r="CB30" i="2"/>
  <c r="BY30" i="2"/>
  <c r="CA30" i="2"/>
  <c r="CD30" i="2"/>
  <c r="CH30" i="2"/>
  <c r="BT30" i="2"/>
  <c r="CF30" i="2"/>
  <c r="BV30" i="2"/>
  <c r="CC30" i="2"/>
  <c r="BV54" i="2"/>
  <c r="CI54" i="2"/>
  <c r="BY54" i="2"/>
  <c r="CA54" i="2"/>
  <c r="BR54" i="2"/>
  <c r="BT54" i="2"/>
  <c r="CB54" i="2"/>
  <c r="CC54" i="2"/>
  <c r="BQ54" i="2"/>
  <c r="CH54" i="2"/>
  <c r="BW54" i="2"/>
  <c r="CD54" i="2"/>
  <c r="CG54" i="2"/>
  <c r="BS54" i="2"/>
  <c r="CF54" i="2"/>
  <c r="BX54" i="2"/>
  <c r="BR65" i="2"/>
  <c r="BS65" i="2"/>
  <c r="BV65" i="2"/>
  <c r="CH65" i="2"/>
  <c r="CA65" i="2"/>
  <c r="BY65" i="2"/>
  <c r="CC65" i="2"/>
  <c r="CD65" i="2"/>
  <c r="CF65" i="2"/>
  <c r="BW65" i="2"/>
  <c r="BQ65" i="2"/>
  <c r="BT65" i="2"/>
  <c r="BX65" i="2"/>
  <c r="CB65" i="2"/>
  <c r="CG65" i="2"/>
  <c r="CI65" i="2"/>
  <c r="BW63" i="2"/>
  <c r="BX63" i="2"/>
  <c r="CB63" i="2"/>
  <c r="CC63" i="2"/>
  <c r="BY63" i="2"/>
  <c r="CD63" i="2"/>
  <c r="BR63" i="2"/>
  <c r="BT63" i="2"/>
  <c r="CH63" i="2"/>
  <c r="BQ63" i="2"/>
  <c r="CA63" i="2"/>
  <c r="CF63" i="2"/>
  <c r="BV63" i="2"/>
  <c r="CG63" i="2"/>
  <c r="CI63" i="2"/>
  <c r="BS63" i="2"/>
  <c r="BV85" i="2"/>
  <c r="CH85" i="2"/>
  <c r="BX85" i="2"/>
  <c r="BY85" i="2"/>
  <c r="CD85" i="2"/>
  <c r="CF85" i="2"/>
  <c r="BQ85" i="2"/>
  <c r="BR85" i="2"/>
  <c r="CI85" i="2"/>
  <c r="BS85" i="2"/>
  <c r="CA85" i="2"/>
  <c r="BT85" i="2"/>
  <c r="BW85" i="2"/>
  <c r="CB85" i="2"/>
  <c r="CC85" i="2"/>
  <c r="CG85" i="2"/>
  <c r="BX82" i="2"/>
  <c r="CA82" i="2"/>
  <c r="CB82" i="2"/>
  <c r="BQ82" i="2"/>
  <c r="CI82" i="2"/>
  <c r="BV82" i="2"/>
  <c r="BY82" i="2"/>
  <c r="BR82" i="2"/>
  <c r="CF82" i="2"/>
  <c r="BS82" i="2"/>
  <c r="BT82" i="2"/>
  <c r="BW82" i="2"/>
  <c r="CD82" i="2"/>
  <c r="CC82" i="2"/>
  <c r="CG82" i="2"/>
  <c r="CH82" i="2"/>
  <c r="CH75" i="2"/>
  <c r="BX75" i="2"/>
  <c r="BS75" i="2"/>
  <c r="BQ75" i="2"/>
  <c r="CF75" i="2"/>
  <c r="BT75" i="2"/>
  <c r="CI75" i="2"/>
  <c r="BW75" i="2"/>
  <c r="CC75" i="2"/>
  <c r="BR75" i="2"/>
  <c r="BV75" i="2"/>
  <c r="CA75" i="2"/>
  <c r="CB75" i="2"/>
  <c r="CD75" i="2"/>
  <c r="CG75" i="2"/>
  <c r="BY75" i="2"/>
  <c r="AS50" i="2"/>
  <c r="BE50" i="2"/>
  <c r="BA50" i="2"/>
  <c r="AQ50" i="2"/>
  <c r="BC50" i="2"/>
  <c r="BG50" i="2"/>
  <c r="AR50" i="2"/>
  <c r="BH50" i="2"/>
  <c r="AV50" i="2"/>
  <c r="AW50" i="2"/>
  <c r="AX50" i="2"/>
  <c r="AU50" i="2"/>
  <c r="BB50" i="2"/>
  <c r="AP50" i="2"/>
  <c r="AZ50" i="2"/>
  <c r="BF50" i="2"/>
  <c r="AQ61" i="2"/>
  <c r="BG61" i="2"/>
  <c r="AW61" i="2"/>
  <c r="BA61" i="2"/>
  <c r="AR61" i="2"/>
  <c r="AV61" i="2"/>
  <c r="AZ61" i="2"/>
  <c r="AU61" i="2"/>
  <c r="BH61" i="2"/>
  <c r="AS61" i="2"/>
  <c r="BB61" i="2"/>
  <c r="BC61" i="2"/>
  <c r="BF61" i="2"/>
  <c r="AP61" i="2"/>
  <c r="AX61" i="2"/>
  <c r="BE61" i="2"/>
  <c r="AS46" i="2"/>
  <c r="BE46" i="2"/>
  <c r="BF46" i="2"/>
  <c r="AV46" i="2"/>
  <c r="BG46" i="2"/>
  <c r="BH46" i="2"/>
  <c r="AW46" i="2"/>
  <c r="AZ46" i="2"/>
  <c r="BA46" i="2"/>
  <c r="AP46" i="2"/>
  <c r="AQ46" i="2"/>
  <c r="BB46" i="2"/>
  <c r="BC46" i="2"/>
  <c r="AX46" i="2"/>
  <c r="AR46" i="2"/>
  <c r="AU46" i="2"/>
  <c r="BG43" i="2"/>
  <c r="BH43" i="2"/>
  <c r="AX43" i="2"/>
  <c r="AZ43" i="2"/>
  <c r="BA43" i="2"/>
  <c r="AQ43" i="2"/>
  <c r="BB43" i="2"/>
  <c r="BC43" i="2"/>
  <c r="AR43" i="2"/>
  <c r="AS43" i="2"/>
  <c r="BE43" i="2"/>
  <c r="BF43" i="2"/>
  <c r="AU43" i="2"/>
  <c r="AW43" i="2"/>
  <c r="AV43" i="2"/>
  <c r="AP43" i="2"/>
  <c r="AP84" i="2"/>
  <c r="AR84" i="2"/>
  <c r="AU84" i="2"/>
  <c r="AV84" i="2"/>
  <c r="AX84" i="2"/>
  <c r="BA84" i="2"/>
  <c r="BB84" i="2"/>
  <c r="BC84" i="2"/>
  <c r="BF84" i="2"/>
  <c r="BH84" i="2"/>
  <c r="AW84" i="2"/>
  <c r="AQ84" i="2"/>
  <c r="AZ84" i="2"/>
  <c r="BE84" i="2"/>
  <c r="BG84" i="2"/>
  <c r="AS84" i="2"/>
  <c r="AQ41" i="2"/>
  <c r="BB41" i="2"/>
  <c r="AR41" i="2"/>
  <c r="AS41" i="2"/>
  <c r="BE41" i="2"/>
  <c r="BF41" i="2"/>
  <c r="AU41" i="2"/>
  <c r="BG41" i="2"/>
  <c r="BH41" i="2"/>
  <c r="AW41" i="2"/>
  <c r="AX41" i="2"/>
  <c r="AZ41" i="2"/>
  <c r="BA41" i="2"/>
  <c r="AV41" i="2"/>
  <c r="BC41" i="2"/>
  <c r="AP41" i="2"/>
  <c r="AZ36" i="2"/>
  <c r="BA36" i="2"/>
  <c r="AP36" i="2"/>
  <c r="AQ36" i="2"/>
  <c r="BB36" i="2"/>
  <c r="BC36" i="2"/>
  <c r="AS36" i="2"/>
  <c r="BE36" i="2"/>
  <c r="BF36" i="2"/>
  <c r="AU36" i="2"/>
  <c r="AV36" i="2"/>
  <c r="BG36" i="2"/>
  <c r="BH36" i="2"/>
  <c r="AW36" i="2"/>
  <c r="AX36" i="2"/>
  <c r="AR36" i="2"/>
  <c r="AP87" i="2"/>
  <c r="AR87" i="2"/>
  <c r="AU87" i="2"/>
  <c r="BH87" i="2"/>
  <c r="AW87" i="2"/>
  <c r="AZ87" i="2"/>
  <c r="AX87" i="2"/>
  <c r="BA87" i="2"/>
  <c r="BC87" i="2"/>
  <c r="BE87" i="2"/>
  <c r="AS87" i="2"/>
  <c r="BB87" i="2"/>
  <c r="BF87" i="2"/>
  <c r="BG87" i="2"/>
  <c r="AV87" i="2"/>
  <c r="AQ87" i="2"/>
  <c r="BG51" i="2"/>
  <c r="AQ51" i="2"/>
  <c r="BC51" i="2"/>
  <c r="AS51" i="2"/>
  <c r="BE51" i="2"/>
  <c r="AU51" i="2"/>
  <c r="BF51" i="2"/>
  <c r="AR51" i="2"/>
  <c r="AV51" i="2"/>
  <c r="AW51" i="2"/>
  <c r="AX51" i="2"/>
  <c r="BA51" i="2"/>
  <c r="BH51" i="2"/>
  <c r="AP51" i="2"/>
  <c r="AZ51" i="2"/>
  <c r="BB51" i="2"/>
  <c r="AZ48" i="2"/>
  <c r="AP48" i="2"/>
  <c r="BB48" i="2"/>
  <c r="AS48" i="2"/>
  <c r="BE48" i="2"/>
  <c r="BF48" i="2"/>
  <c r="AU48" i="2"/>
  <c r="AV48" i="2"/>
  <c r="BG48" i="2"/>
  <c r="BH48" i="2"/>
  <c r="AW48" i="2"/>
  <c r="AQ48" i="2"/>
  <c r="BA48" i="2"/>
  <c r="BC48" i="2"/>
  <c r="AR48" i="2"/>
  <c r="AX48" i="2"/>
  <c r="AP80" i="2"/>
  <c r="AR80" i="2"/>
  <c r="AU80" i="2"/>
  <c r="AQ80" i="2"/>
  <c r="BE80" i="2"/>
  <c r="BH80" i="2"/>
  <c r="AV80" i="2"/>
  <c r="AW80" i="2"/>
  <c r="AZ80" i="2"/>
  <c r="BB80" i="2"/>
  <c r="AS80" i="2"/>
  <c r="AX80" i="2"/>
  <c r="BA80" i="2"/>
  <c r="BC80" i="2"/>
  <c r="BF80" i="2"/>
  <c r="BG80" i="2"/>
  <c r="BG47" i="2"/>
  <c r="BH47" i="2"/>
  <c r="AX47" i="2"/>
  <c r="AZ47" i="2"/>
  <c r="BA47" i="2"/>
  <c r="AQ47" i="2"/>
  <c r="BB47" i="2"/>
  <c r="BC47" i="2"/>
  <c r="AR47" i="2"/>
  <c r="AS47" i="2"/>
  <c r="BE47" i="2"/>
  <c r="BF47" i="2"/>
  <c r="AU47" i="2"/>
  <c r="AW47" i="2"/>
  <c r="AV47" i="2"/>
  <c r="AP47" i="2"/>
  <c r="AS56" i="2"/>
  <c r="BE56" i="2"/>
  <c r="AU56" i="2"/>
  <c r="BG56" i="2"/>
  <c r="AW56" i="2"/>
  <c r="BC56" i="2"/>
  <c r="BH56" i="2"/>
  <c r="AP56" i="2"/>
  <c r="AR56" i="2"/>
  <c r="AX56" i="2"/>
  <c r="AZ56" i="2"/>
  <c r="AQ56" i="2"/>
  <c r="AV56" i="2"/>
  <c r="BA56" i="2"/>
  <c r="BB56" i="2"/>
  <c r="BF56" i="2"/>
  <c r="AQ37" i="2"/>
  <c r="BB37" i="2"/>
  <c r="BC37" i="2"/>
  <c r="AR37" i="2"/>
  <c r="AS37" i="2"/>
  <c r="BE37" i="2"/>
  <c r="BF37" i="2"/>
  <c r="AU37" i="2"/>
  <c r="BG37" i="2"/>
  <c r="BH37" i="2"/>
  <c r="AW37" i="2"/>
  <c r="AX37" i="2"/>
  <c r="AZ37" i="2"/>
  <c r="BA37" i="2"/>
  <c r="AP37" i="2"/>
  <c r="AV37" i="2"/>
  <c r="AS38" i="2"/>
  <c r="BE38" i="2"/>
  <c r="BF38" i="2"/>
  <c r="AU38" i="2"/>
  <c r="AV38" i="2"/>
  <c r="BG38" i="2"/>
  <c r="BH38" i="2"/>
  <c r="AW38" i="2"/>
  <c r="AZ38" i="2"/>
  <c r="BA38" i="2"/>
  <c r="AP38" i="2"/>
  <c r="AQ38" i="2"/>
  <c r="BB38" i="2"/>
  <c r="BC38" i="2"/>
  <c r="AR38" i="2"/>
  <c r="AX38" i="2"/>
  <c r="AR85" i="2"/>
  <c r="AX85" i="2"/>
  <c r="BE85" i="2"/>
  <c r="BH85" i="2"/>
  <c r="AV85" i="2"/>
  <c r="AP85" i="2"/>
  <c r="BA85" i="2"/>
  <c r="BC85" i="2"/>
  <c r="BF85" i="2"/>
  <c r="BG85" i="2"/>
  <c r="AU85" i="2"/>
  <c r="AZ85" i="2"/>
  <c r="BB85" i="2"/>
  <c r="AQ85" i="2"/>
  <c r="AS85" i="2"/>
  <c r="AW85" i="2"/>
  <c r="AV82" i="2"/>
  <c r="AX82" i="2"/>
  <c r="BA82" i="2"/>
  <c r="AR82" i="2"/>
  <c r="BF82" i="2"/>
  <c r="AQ82" i="2"/>
  <c r="BG82" i="2"/>
  <c r="BH82" i="2"/>
  <c r="AS82" i="2"/>
  <c r="AW82" i="2"/>
  <c r="BC82" i="2"/>
  <c r="BE82" i="2"/>
  <c r="AZ82" i="2"/>
  <c r="BB82" i="2"/>
  <c r="AU82" i="2"/>
  <c r="AX75" i="2"/>
  <c r="AP75" i="2"/>
  <c r="BC75" i="2"/>
  <c r="AR75" i="2"/>
  <c r="AV75" i="2"/>
  <c r="AW75" i="2"/>
  <c r="AZ75" i="2"/>
  <c r="AQ75" i="2"/>
  <c r="BG75" i="2"/>
  <c r="BH75" i="2"/>
  <c r="AS75" i="2"/>
  <c r="AU75" i="2"/>
  <c r="BA75" i="2"/>
  <c r="BB75" i="2"/>
  <c r="BE75" i="2"/>
  <c r="BF75" i="2"/>
  <c r="AQ49" i="2"/>
  <c r="AR49" i="2"/>
  <c r="BF49" i="2"/>
  <c r="BG49" i="2"/>
  <c r="AW49" i="2"/>
  <c r="BA49" i="2"/>
  <c r="AS49" i="2"/>
  <c r="AX49" i="2"/>
  <c r="BB49" i="2"/>
  <c r="BH49" i="2"/>
  <c r="AP49" i="2"/>
  <c r="AU49" i="2"/>
  <c r="AZ49" i="2"/>
  <c r="BC49" i="2"/>
  <c r="BE49" i="2"/>
  <c r="AV49" i="2"/>
  <c r="BT29" i="2"/>
  <c r="BS29" i="2"/>
  <c r="BR29" i="2"/>
  <c r="AS29" i="2"/>
  <c r="AR29" i="2"/>
  <c r="BG29" i="2"/>
  <c r="BF29" i="2"/>
  <c r="AX29" i="2"/>
  <c r="AW29" i="2"/>
  <c r="BC29" i="2"/>
  <c r="BB29" i="2"/>
  <c r="AV29" i="2"/>
  <c r="BA29" i="2"/>
  <c r="BH29" i="2"/>
  <c r="AS71" i="2"/>
  <c r="BE71" i="2"/>
  <c r="AU71" i="2"/>
  <c r="BG71" i="2"/>
  <c r="AW71" i="2"/>
  <c r="AP71" i="2"/>
  <c r="BF71" i="2"/>
  <c r="AR71" i="2"/>
  <c r="AZ71" i="2"/>
  <c r="BA71" i="2"/>
  <c r="BB71" i="2"/>
  <c r="BH71" i="2"/>
  <c r="AX71" i="2"/>
  <c r="BC71" i="2"/>
  <c r="AQ71" i="2"/>
  <c r="AV71" i="2"/>
  <c r="AS42" i="2"/>
  <c r="BE42" i="2"/>
  <c r="BF42" i="2"/>
  <c r="AV42" i="2"/>
  <c r="BG42" i="2"/>
  <c r="BH42" i="2"/>
  <c r="AW42" i="2"/>
  <c r="AZ42" i="2"/>
  <c r="BA42" i="2"/>
  <c r="AP42" i="2"/>
  <c r="AQ42" i="2"/>
  <c r="BB42" i="2"/>
  <c r="BC42" i="2"/>
  <c r="AR42" i="2"/>
  <c r="AU42" i="2"/>
  <c r="AX42" i="2"/>
  <c r="AQ53" i="2"/>
  <c r="BG53" i="2"/>
  <c r="AW53" i="2"/>
  <c r="BA53" i="2"/>
  <c r="BB53" i="2"/>
  <c r="BC53" i="2"/>
  <c r="BE53" i="2"/>
  <c r="BF53" i="2"/>
  <c r="AP53" i="2"/>
  <c r="AR53" i="2"/>
  <c r="AS53" i="2"/>
  <c r="AU53" i="2"/>
  <c r="AV53" i="2"/>
  <c r="AZ53" i="2"/>
  <c r="BH53" i="2"/>
  <c r="AX53" i="2"/>
  <c r="AQ57" i="2"/>
  <c r="BG57" i="2"/>
  <c r="AW57" i="2"/>
  <c r="BA57" i="2"/>
  <c r="BE57" i="2"/>
  <c r="AP57" i="2"/>
  <c r="AX57" i="2"/>
  <c r="BB57" i="2"/>
  <c r="BC57" i="2"/>
  <c r="BH57" i="2"/>
  <c r="AR57" i="2"/>
  <c r="AS57" i="2"/>
  <c r="AU57" i="2"/>
  <c r="AV57" i="2"/>
  <c r="AZ57" i="2"/>
  <c r="BF57" i="2"/>
  <c r="AR74" i="2"/>
  <c r="AX74" i="2"/>
  <c r="AV74" i="2"/>
  <c r="BA74" i="2"/>
  <c r="BB74" i="2"/>
  <c r="AP74" i="2"/>
  <c r="AQ74" i="2"/>
  <c r="AS74" i="2"/>
  <c r="AU74" i="2"/>
  <c r="AZ74" i="2"/>
  <c r="BC74" i="2"/>
  <c r="BG74" i="2"/>
  <c r="BH74" i="2"/>
  <c r="AW74" i="2"/>
  <c r="BE74" i="2"/>
  <c r="BF74" i="2"/>
  <c r="AQ72" i="2"/>
  <c r="BG72" i="2"/>
  <c r="AW72" i="2"/>
  <c r="BA72" i="2"/>
  <c r="BC72" i="2"/>
  <c r="AS72" i="2"/>
  <c r="AX72" i="2"/>
  <c r="AZ72" i="2"/>
  <c r="BH72" i="2"/>
  <c r="BB72" i="2"/>
  <c r="BE72" i="2"/>
  <c r="BF72" i="2"/>
  <c r="AV72" i="2"/>
  <c r="AR72" i="2"/>
  <c r="AU72" i="2"/>
  <c r="AP72" i="2"/>
  <c r="BG32" i="2"/>
  <c r="BH32" i="2"/>
  <c r="AW32" i="2"/>
  <c r="AX32" i="2"/>
  <c r="AZ32" i="2"/>
  <c r="BA32" i="2"/>
  <c r="AQ32" i="2"/>
  <c r="BB32" i="2"/>
  <c r="BC32" i="2"/>
  <c r="AR32" i="2"/>
  <c r="AS32" i="2"/>
  <c r="BE32" i="2"/>
  <c r="BF32" i="2"/>
  <c r="AU32" i="2"/>
  <c r="AP32" i="2"/>
  <c r="AV32" i="2"/>
  <c r="AS54" i="2"/>
  <c r="BE54" i="2"/>
  <c r="BA54" i="2"/>
  <c r="AQ54" i="2"/>
  <c r="BC54" i="2"/>
  <c r="AU54" i="2"/>
  <c r="AW54" i="2"/>
  <c r="AX54" i="2"/>
  <c r="BG54" i="2"/>
  <c r="AP54" i="2"/>
  <c r="AV54" i="2"/>
  <c r="AZ54" i="2"/>
  <c r="BB54" i="2"/>
  <c r="BH54" i="2"/>
  <c r="AR54" i="2"/>
  <c r="BF54" i="2"/>
  <c r="AQ65" i="2"/>
  <c r="BC65" i="2"/>
  <c r="AX65" i="2"/>
  <c r="BA65" i="2"/>
  <c r="BH65" i="2"/>
  <c r="AU65" i="2"/>
  <c r="AW65" i="2"/>
  <c r="AR65" i="2"/>
  <c r="AS65" i="2"/>
  <c r="AZ65" i="2"/>
  <c r="BE65" i="2"/>
  <c r="BF65" i="2"/>
  <c r="AP65" i="2"/>
  <c r="AV65" i="2"/>
  <c r="BB65" i="2"/>
  <c r="BG65" i="2"/>
  <c r="BG63" i="2"/>
  <c r="AQ63" i="2"/>
  <c r="BC63" i="2"/>
  <c r="AS63" i="2"/>
  <c r="BE63" i="2"/>
  <c r="AU63" i="2"/>
  <c r="AW63" i="2"/>
  <c r="BA63" i="2"/>
  <c r="AR63" i="2"/>
  <c r="AZ63" i="2"/>
  <c r="BB63" i="2"/>
  <c r="BF63" i="2"/>
  <c r="BH63" i="2"/>
  <c r="AP63" i="2"/>
  <c r="AV63" i="2"/>
  <c r="AX63" i="2"/>
  <c r="AR92" i="2"/>
  <c r="AV92" i="2"/>
  <c r="AW92" i="2"/>
  <c r="AQ92" i="2"/>
  <c r="BA92" i="2"/>
  <c r="BC92" i="2"/>
  <c r="BE92" i="2"/>
  <c r="AP92" i="2"/>
  <c r="BG92" i="2"/>
  <c r="BH92" i="2"/>
  <c r="AS92" i="2"/>
  <c r="AU92" i="2"/>
  <c r="AX92" i="2"/>
  <c r="AZ92" i="2"/>
  <c r="BB92" i="2"/>
  <c r="BF92" i="2"/>
  <c r="AQ68" i="2"/>
  <c r="BG68" i="2"/>
  <c r="AW68" i="2"/>
  <c r="BA68" i="2"/>
  <c r="AZ68" i="2"/>
  <c r="AV68" i="2"/>
  <c r="BB68" i="2"/>
  <c r="BF68" i="2"/>
  <c r="AR68" i="2"/>
  <c r="AS68" i="2"/>
  <c r="AX68" i="2"/>
  <c r="BE68" i="2"/>
  <c r="BH68" i="2"/>
  <c r="AP68" i="2"/>
  <c r="AU68" i="2"/>
  <c r="BC68" i="2"/>
  <c r="AX86" i="2"/>
  <c r="AP86" i="2"/>
  <c r="BC86" i="2"/>
  <c r="AZ86" i="2"/>
  <c r="AR86" i="2"/>
  <c r="AW86" i="2"/>
  <c r="BA86" i="2"/>
  <c r="BB86" i="2"/>
  <c r="BE86" i="2"/>
  <c r="AQ86" i="2"/>
  <c r="BG86" i="2"/>
  <c r="AS86" i="2"/>
  <c r="AU86" i="2"/>
  <c r="AV86" i="2"/>
  <c r="BF86" i="2"/>
  <c r="BH86" i="2"/>
  <c r="AX83" i="2"/>
  <c r="AP83" i="2"/>
  <c r="BC83" i="2"/>
  <c r="BA83" i="2"/>
  <c r="AQ83" i="2"/>
  <c r="BE83" i="2"/>
  <c r="AS83" i="2"/>
  <c r="BF83" i="2"/>
  <c r="BH83" i="2"/>
  <c r="AR83" i="2"/>
  <c r="AU83" i="2"/>
  <c r="AV83" i="2"/>
  <c r="BB83" i="2"/>
  <c r="BG83" i="2"/>
  <c r="AW83" i="2"/>
  <c r="AZ83" i="2"/>
  <c r="AS52" i="2"/>
  <c r="BE52" i="2"/>
  <c r="AU52" i="2"/>
  <c r="BG52" i="2"/>
  <c r="AW52" i="2"/>
  <c r="AP52" i="2"/>
  <c r="BF52" i="2"/>
  <c r="BH52" i="2"/>
  <c r="BA52" i="2"/>
  <c r="BB52" i="2"/>
  <c r="AQ52" i="2"/>
  <c r="AR52" i="2"/>
  <c r="BC52" i="2"/>
  <c r="AZ52" i="2"/>
  <c r="AV52" i="2"/>
  <c r="AX52" i="2"/>
  <c r="AS58" i="2"/>
  <c r="BE58" i="2"/>
  <c r="BA58" i="2"/>
  <c r="AQ58" i="2"/>
  <c r="BC58" i="2"/>
  <c r="BF58" i="2"/>
  <c r="AP58" i="2"/>
  <c r="AU58" i="2"/>
  <c r="AW58" i="2"/>
  <c r="AX58" i="2"/>
  <c r="BH58" i="2"/>
  <c r="AV58" i="2"/>
  <c r="BG58" i="2"/>
  <c r="AR58" i="2"/>
  <c r="AZ58" i="2"/>
  <c r="BB58" i="2"/>
  <c r="AZ33" i="2"/>
  <c r="BA33" i="2"/>
  <c r="AP33" i="2"/>
  <c r="AQ33" i="2"/>
  <c r="BB33" i="2"/>
  <c r="BC33" i="2"/>
  <c r="AS33" i="2"/>
  <c r="BE33" i="2"/>
  <c r="BF33" i="2"/>
  <c r="AU33" i="2"/>
  <c r="AV33" i="2"/>
  <c r="BG33" i="2"/>
  <c r="BH33" i="2"/>
  <c r="AW33" i="2"/>
  <c r="AR33" i="2"/>
  <c r="AX33" i="2"/>
  <c r="AR81" i="2"/>
  <c r="AV81" i="2"/>
  <c r="AW81" i="2"/>
  <c r="AQ81" i="2"/>
  <c r="BE81" i="2"/>
  <c r="AS81" i="2"/>
  <c r="AZ81" i="2"/>
  <c r="BA81" i="2"/>
  <c r="AU81" i="2"/>
  <c r="AX81" i="2"/>
  <c r="BB81" i="2"/>
  <c r="BC81" i="2"/>
  <c r="BF81" i="2"/>
  <c r="BG81" i="2"/>
  <c r="BH81" i="2"/>
  <c r="AP81" i="2"/>
  <c r="BG70" i="2"/>
  <c r="AQ70" i="2"/>
  <c r="BC70" i="2"/>
  <c r="AS70" i="2"/>
  <c r="BE70" i="2"/>
  <c r="AU70" i="2"/>
  <c r="AR70" i="2"/>
  <c r="AW70" i="2"/>
  <c r="AZ70" i="2"/>
  <c r="AX70" i="2"/>
  <c r="BB70" i="2"/>
  <c r="BH70" i="2"/>
  <c r="AP70" i="2"/>
  <c r="AV70" i="2"/>
  <c r="BA70" i="2"/>
  <c r="BF70" i="2"/>
  <c r="AS67" i="2"/>
  <c r="BE67" i="2"/>
  <c r="AU67" i="2"/>
  <c r="BG67" i="2"/>
  <c r="AW67" i="2"/>
  <c r="BB67" i="2"/>
  <c r="AQ67" i="2"/>
  <c r="AR67" i="2"/>
  <c r="AX67" i="2"/>
  <c r="BF67" i="2"/>
  <c r="AP67" i="2"/>
  <c r="AV67" i="2"/>
  <c r="BC67" i="2"/>
  <c r="BH67" i="2"/>
  <c r="BA67" i="2"/>
  <c r="AZ67" i="2"/>
  <c r="BG55" i="2"/>
  <c r="AQ55" i="2"/>
  <c r="BC55" i="2"/>
  <c r="AS55" i="2"/>
  <c r="BE55" i="2"/>
  <c r="AU55" i="2"/>
  <c r="AP55" i="2"/>
  <c r="BH55" i="2"/>
  <c r="AV55" i="2"/>
  <c r="AX55" i="2"/>
  <c r="AW55" i="2"/>
  <c r="AR55" i="2"/>
  <c r="AZ55" i="2"/>
  <c r="BF55" i="2"/>
  <c r="BA55" i="2"/>
  <c r="BB55" i="2"/>
  <c r="BG39" i="2"/>
  <c r="BH39" i="2"/>
  <c r="AX39" i="2"/>
  <c r="AZ39" i="2"/>
  <c r="BA39" i="2"/>
  <c r="AQ39" i="2"/>
  <c r="BB39" i="2"/>
  <c r="BC39" i="2"/>
  <c r="AR39" i="2"/>
  <c r="AS39" i="2"/>
  <c r="BE39" i="2"/>
  <c r="BF39" i="2"/>
  <c r="AU39" i="2"/>
  <c r="AP39" i="2"/>
  <c r="AV39" i="2"/>
  <c r="AW39" i="2"/>
  <c r="AZ40" i="2"/>
  <c r="AP40" i="2"/>
  <c r="AQ40" i="2"/>
  <c r="BB40" i="2"/>
  <c r="BC40" i="2"/>
  <c r="AS40" i="2"/>
  <c r="BE40" i="2"/>
  <c r="BF40" i="2"/>
  <c r="AU40" i="2"/>
  <c r="AV40" i="2"/>
  <c r="BG40" i="2"/>
  <c r="BH40" i="2"/>
  <c r="AW40" i="2"/>
  <c r="BA40" i="2"/>
  <c r="AR40" i="2"/>
  <c r="AX40" i="2"/>
  <c r="AS69" i="2"/>
  <c r="BE69" i="2"/>
  <c r="BA69" i="2"/>
  <c r="AQ69" i="2"/>
  <c r="BC69" i="2"/>
  <c r="AZ69" i="2"/>
  <c r="AW69" i="2"/>
  <c r="BB69" i="2"/>
  <c r="BG69" i="2"/>
  <c r="BF69" i="2"/>
  <c r="AX69" i="2"/>
  <c r="BH69" i="2"/>
  <c r="AP69" i="2"/>
  <c r="AR69" i="2"/>
  <c r="AU69" i="2"/>
  <c r="AV69" i="2"/>
  <c r="BG66" i="2"/>
  <c r="AQ66" i="2"/>
  <c r="BC66" i="2"/>
  <c r="AS66" i="2"/>
  <c r="BE66" i="2"/>
  <c r="AU66" i="2"/>
  <c r="AW66" i="2"/>
  <c r="AX66" i="2"/>
  <c r="BA66" i="2"/>
  <c r="BF66" i="2"/>
  <c r="BB66" i="2"/>
  <c r="BH66" i="2"/>
  <c r="AZ66" i="2"/>
  <c r="AP66" i="2"/>
  <c r="AR66" i="2"/>
  <c r="AV66" i="2"/>
  <c r="BG35" i="2"/>
  <c r="BH35" i="2"/>
  <c r="AW35" i="2"/>
  <c r="AX35" i="2"/>
  <c r="AZ35" i="2"/>
  <c r="BA35" i="2"/>
  <c r="AQ35" i="2"/>
  <c r="BB35" i="2"/>
  <c r="BC35" i="2"/>
  <c r="AR35" i="2"/>
  <c r="AS35" i="2"/>
  <c r="BE35" i="2"/>
  <c r="BF35" i="2"/>
  <c r="AU35" i="2"/>
  <c r="AV35" i="2"/>
  <c r="AP35" i="2"/>
  <c r="AX79" i="2"/>
  <c r="AP79" i="2"/>
  <c r="BC79" i="2"/>
  <c r="AZ79" i="2"/>
  <c r="BB79" i="2"/>
  <c r="AW79" i="2"/>
  <c r="BF79" i="2"/>
  <c r="AS79" i="2"/>
  <c r="AV79" i="2"/>
  <c r="BA79" i="2"/>
  <c r="BE79" i="2"/>
  <c r="BG79" i="2"/>
  <c r="BH79" i="2"/>
  <c r="AU79" i="2"/>
  <c r="AQ79" i="2"/>
  <c r="AR79" i="2"/>
  <c r="AR77" i="2"/>
  <c r="AV77" i="2"/>
  <c r="AW77" i="2"/>
  <c r="BH77" i="2"/>
  <c r="AX77" i="2"/>
  <c r="BA77" i="2"/>
  <c r="BB77" i="2"/>
  <c r="BC77" i="2"/>
  <c r="BE77" i="2"/>
  <c r="AP77" i="2"/>
  <c r="AQ77" i="2"/>
  <c r="BG77" i="2"/>
  <c r="AS77" i="2"/>
  <c r="AZ77" i="2"/>
  <c r="BF77" i="2"/>
  <c r="AU77" i="2"/>
  <c r="AP76" i="2"/>
  <c r="AR76" i="2"/>
  <c r="AU76" i="2"/>
  <c r="AZ76" i="2"/>
  <c r="BC76" i="2"/>
  <c r="BF76" i="2"/>
  <c r="BG76" i="2"/>
  <c r="AQ76" i="2"/>
  <c r="BH76" i="2"/>
  <c r="AS76" i="2"/>
  <c r="BA76" i="2"/>
  <c r="BB76" i="2"/>
  <c r="BE76" i="2"/>
  <c r="AW76" i="2"/>
  <c r="AV76" i="2"/>
  <c r="AX76" i="2"/>
  <c r="AS60" i="2"/>
  <c r="BE60" i="2"/>
  <c r="AU60" i="2"/>
  <c r="BG60" i="2"/>
  <c r="AW60" i="2"/>
  <c r="AQ60" i="2"/>
  <c r="AX60" i="2"/>
  <c r="AP60" i="2"/>
  <c r="AV60" i="2"/>
  <c r="BA60" i="2"/>
  <c r="BB60" i="2"/>
  <c r="BC60" i="2"/>
  <c r="BF60" i="2"/>
  <c r="BH60" i="2"/>
  <c r="AR60" i="2"/>
  <c r="AZ60" i="2"/>
  <c r="AS31" i="2"/>
  <c r="BE31" i="2"/>
  <c r="BF31" i="2"/>
  <c r="AU31" i="2"/>
  <c r="AV31" i="2"/>
  <c r="BG31" i="2"/>
  <c r="BH31" i="2"/>
  <c r="AW31" i="2"/>
  <c r="AZ31" i="2"/>
  <c r="BA31" i="2"/>
  <c r="AP31" i="2"/>
  <c r="AQ31" i="2"/>
  <c r="BB31" i="2"/>
  <c r="BC31" i="2"/>
  <c r="AR31" i="2"/>
  <c r="AX31" i="2"/>
  <c r="AS64" i="2"/>
  <c r="BE64" i="2"/>
  <c r="AU64" i="2"/>
  <c r="BG64" i="2"/>
  <c r="AW64" i="2"/>
  <c r="AR64" i="2"/>
  <c r="AX64" i="2"/>
  <c r="BB64" i="2"/>
  <c r="BH64" i="2"/>
  <c r="AQ64" i="2"/>
  <c r="BF64" i="2"/>
  <c r="AV64" i="2"/>
  <c r="BA64" i="2"/>
  <c r="BC64" i="2"/>
  <c r="AZ64" i="2"/>
  <c r="AP64" i="2"/>
  <c r="AQ30" i="2"/>
  <c r="BB30" i="2"/>
  <c r="BC30" i="2"/>
  <c r="AR30" i="2"/>
  <c r="AS30" i="2"/>
  <c r="BE30" i="2"/>
  <c r="BF30" i="2"/>
  <c r="AU30" i="2"/>
  <c r="BG30" i="2"/>
  <c r="BH30" i="2"/>
  <c r="AW30" i="2"/>
  <c r="AX30" i="2"/>
  <c r="AZ30" i="2"/>
  <c r="BA30" i="2"/>
  <c r="AP30" i="2"/>
  <c r="AV30" i="2"/>
  <c r="AZ44" i="2"/>
  <c r="AP44" i="2"/>
  <c r="AQ44" i="2"/>
  <c r="BB44" i="2"/>
  <c r="BC44" i="2"/>
  <c r="AS44" i="2"/>
  <c r="BE44" i="2"/>
  <c r="BF44" i="2"/>
  <c r="AU44" i="2"/>
  <c r="AV44" i="2"/>
  <c r="BG44" i="2"/>
  <c r="BH44" i="2"/>
  <c r="AW44" i="2"/>
  <c r="AX44" i="2"/>
  <c r="BA44" i="2"/>
  <c r="AR44" i="2"/>
  <c r="AQ34" i="2"/>
  <c r="BC34" i="2"/>
  <c r="BE34" i="2"/>
  <c r="BF34" i="2"/>
  <c r="AR34" i="2"/>
  <c r="AS34" i="2"/>
  <c r="AU34" i="2"/>
  <c r="BG34" i="2"/>
  <c r="AV34" i="2"/>
  <c r="BH34" i="2"/>
  <c r="AW34" i="2"/>
  <c r="AX34" i="2"/>
  <c r="AZ34" i="2"/>
  <c r="BA34" i="2"/>
  <c r="AP34" i="2"/>
  <c r="BB34" i="2"/>
  <c r="AQ45" i="2"/>
  <c r="BB45" i="2"/>
  <c r="AR45" i="2"/>
  <c r="AS45" i="2"/>
  <c r="BE45" i="2"/>
  <c r="BF45" i="2"/>
  <c r="AU45" i="2"/>
  <c r="BG45" i="2"/>
  <c r="BH45" i="2"/>
  <c r="AW45" i="2"/>
  <c r="AX45" i="2"/>
  <c r="AZ45" i="2"/>
  <c r="BA45" i="2"/>
  <c r="AP45" i="2"/>
  <c r="AV45" i="2"/>
  <c r="BC45" i="2"/>
  <c r="AS73" i="2"/>
  <c r="BA73" i="2"/>
  <c r="AQ73" i="2"/>
  <c r="BC73" i="2"/>
  <c r="AX73" i="2"/>
  <c r="AP73" i="2"/>
  <c r="AW73" i="2"/>
  <c r="AZ73" i="2"/>
  <c r="BE73" i="2"/>
  <c r="BG73" i="2"/>
  <c r="BH73" i="2"/>
  <c r="AR73" i="2"/>
  <c r="AU73" i="2"/>
  <c r="AV73" i="2"/>
  <c r="BB73" i="2"/>
  <c r="BF73" i="2"/>
  <c r="AV78" i="2"/>
  <c r="AX78" i="2"/>
  <c r="BA78" i="2"/>
  <c r="BB78" i="2"/>
  <c r="BF78" i="2"/>
  <c r="BH78" i="2"/>
  <c r="AZ78" i="2"/>
  <c r="BE78" i="2"/>
  <c r="AQ78" i="2"/>
  <c r="BG78" i="2"/>
  <c r="AS78" i="2"/>
  <c r="AU78" i="2"/>
  <c r="AR78" i="2"/>
  <c r="AW78" i="2"/>
  <c r="BC78" i="2"/>
  <c r="AP78" i="2"/>
  <c r="BG59" i="2"/>
  <c r="AQ59" i="2"/>
  <c r="BC59" i="2"/>
  <c r="AS59" i="2"/>
  <c r="BE59" i="2"/>
  <c r="AU59" i="2"/>
  <c r="AX59" i="2"/>
  <c r="BA59" i="2"/>
  <c r="AP59" i="2"/>
  <c r="AV59" i="2"/>
  <c r="AZ59" i="2"/>
  <c r="AR59" i="2"/>
  <c r="AW59" i="2"/>
  <c r="BF59" i="2"/>
  <c r="BB59" i="2"/>
  <c r="BH59" i="2"/>
  <c r="AS62" i="2"/>
  <c r="BE62" i="2"/>
  <c r="BA62" i="2"/>
  <c r="AQ62" i="2"/>
  <c r="BC62" i="2"/>
  <c r="AZ62" i="2"/>
  <c r="BF62" i="2"/>
  <c r="BG62" i="2"/>
  <c r="AR62" i="2"/>
  <c r="AX62" i="2"/>
  <c r="AP62" i="2"/>
  <c r="AU62" i="2"/>
  <c r="AW62" i="2"/>
  <c r="AV62" i="2"/>
  <c r="BB62" i="2"/>
  <c r="BH62" i="2"/>
  <c r="AP91" i="2"/>
  <c r="AR91" i="2"/>
  <c r="AU91" i="2"/>
  <c r="AX91" i="2"/>
  <c r="AQ91" i="2"/>
  <c r="BE91" i="2"/>
  <c r="BB91" i="2"/>
  <c r="BC91" i="2"/>
  <c r="BF91" i="2"/>
  <c r="BG91" i="2"/>
  <c r="BH91" i="2"/>
  <c r="AS91" i="2"/>
  <c r="BA91" i="2"/>
  <c r="AZ91" i="2"/>
  <c r="AV91" i="2"/>
  <c r="AW91" i="2"/>
  <c r="CR29" i="2"/>
  <c r="CA29" i="2"/>
  <c r="CW29" i="2"/>
  <c r="BE29" i="2"/>
  <c r="FD29" i="2"/>
  <c r="DG29" i="2"/>
  <c r="EY29" i="2"/>
  <c r="BV29" i="2"/>
  <c r="AZ29" i="2"/>
  <c r="AQ29" i="2"/>
  <c r="EC29" i="2"/>
  <c r="DB29" i="2"/>
  <c r="ET29" i="2"/>
  <c r="DS29" i="2"/>
  <c r="CF29" i="2"/>
  <c r="AU29" i="2"/>
  <c r="EH29" i="2"/>
  <c r="FI29" i="2"/>
  <c r="AP29" i="2"/>
  <c r="BQ29" i="2"/>
  <c r="DX29" i="2"/>
  <c r="B29" i="39"/>
  <c r="CK94" i="2" l="1"/>
  <c r="DR95" i="2"/>
  <c r="DA95" i="2" s="1"/>
  <c r="CM93" i="2"/>
  <c r="EO94" i="2"/>
  <c r="BJ96" i="2"/>
  <c r="DL95" i="2"/>
  <c r="BN95" i="2"/>
  <c r="FT93" i="2"/>
  <c r="FC93" i="2" s="1"/>
  <c r="EQ97" i="2"/>
  <c r="CK93" i="2"/>
  <c r="BL95" i="2"/>
  <c r="BN93" i="2"/>
  <c r="CM95" i="2"/>
  <c r="DR93" i="2"/>
  <c r="DF93" i="2" s="1"/>
  <c r="DA93" i="2"/>
  <c r="CQ96" i="2"/>
  <c r="BU96" i="2" s="1"/>
  <c r="CM94" i="2"/>
  <c r="FR94" i="2"/>
  <c r="CQ94" i="2"/>
  <c r="BU94" i="2" s="1"/>
  <c r="CK96" i="2"/>
  <c r="ES93" i="2"/>
  <c r="EB93" i="2" s="1"/>
  <c r="ES94" i="2"/>
  <c r="EG94" i="2" s="1"/>
  <c r="FT94" i="2"/>
  <c r="FH94" i="2" s="1"/>
  <c r="BL96" i="2"/>
  <c r="FP96" i="2"/>
  <c r="DK95" i="2"/>
  <c r="BJ94" i="2"/>
  <c r="CK95" i="2"/>
  <c r="DN95" i="2"/>
  <c r="DW94" i="2"/>
  <c r="DP95" i="2"/>
  <c r="DL93" i="2"/>
  <c r="EO93" i="2"/>
  <c r="FR97" i="2"/>
  <c r="DP94" i="2"/>
  <c r="DR96" i="2"/>
  <c r="DF96" i="2" s="1"/>
  <c r="DN96" i="2"/>
  <c r="EQ95" i="2"/>
  <c r="CO93" i="2"/>
  <c r="CL93" i="2" s="1"/>
  <c r="DP93" i="2"/>
  <c r="FN93" i="2"/>
  <c r="DP96" i="2"/>
  <c r="FP97" i="2"/>
  <c r="FN94" i="2"/>
  <c r="EO96" i="2"/>
  <c r="FN95" i="2"/>
  <c r="BJ93" i="2"/>
  <c r="CQ95" i="2"/>
  <c r="EM97" i="2"/>
  <c r="EM96" i="2"/>
  <c r="EQ5" i="2"/>
  <c r="EO6" i="2"/>
  <c r="EP6" i="2" s="1"/>
  <c r="DN6" i="2"/>
  <c r="BJ6" i="2"/>
  <c r="DP5" i="2"/>
  <c r="BP5" i="2"/>
  <c r="EO5" i="2"/>
  <c r="AY15" i="2"/>
  <c r="AT15" i="2"/>
  <c r="BZ24" i="2"/>
  <c r="CE24" i="2"/>
  <c r="FC17" i="2"/>
  <c r="FH7" i="2"/>
  <c r="FO12" i="2"/>
  <c r="FQ26" i="2"/>
  <c r="DR6" i="2"/>
  <c r="FR15" i="2"/>
  <c r="CK19" i="2"/>
  <c r="EM24" i="2"/>
  <c r="ER24" i="2" s="1"/>
  <c r="EB6" i="2"/>
  <c r="FN20" i="2"/>
  <c r="EQ20" i="2"/>
  <c r="EP20" i="2" s="1"/>
  <c r="CK20" i="2"/>
  <c r="EM20" i="2"/>
  <c r="DP20" i="2"/>
  <c r="EM19" i="2"/>
  <c r="ER19" i="2" s="1"/>
  <c r="CQ5" i="2"/>
  <c r="CJ5" i="2" s="1"/>
  <c r="FT5" i="2"/>
  <c r="FC5" i="2" s="1"/>
  <c r="DL21" i="2"/>
  <c r="EQ21" i="2"/>
  <c r="BN23" i="2"/>
  <c r="FN23" i="2"/>
  <c r="DP9" i="2"/>
  <c r="FC13" i="2"/>
  <c r="BJ13" i="2"/>
  <c r="FR10" i="2"/>
  <c r="FS10" i="2" s="1"/>
  <c r="CK27" i="2"/>
  <c r="DL27" i="2"/>
  <c r="FN27" i="2"/>
  <c r="FO27" i="2" s="1"/>
  <c r="EO18" i="2"/>
  <c r="FN18" i="2"/>
  <c r="FO18" i="2" s="1"/>
  <c r="EM10" i="2"/>
  <c r="BL10" i="2"/>
  <c r="ES27" i="2"/>
  <c r="DW27" i="2" s="1"/>
  <c r="DP7" i="2"/>
  <c r="DO7" i="2" s="1"/>
  <c r="FS12" i="2"/>
  <c r="DN12" i="2"/>
  <c r="FO26" i="2"/>
  <c r="CK12" i="2"/>
  <c r="EN6" i="2"/>
  <c r="EO9" i="2"/>
  <c r="EP9" i="2" s="1"/>
  <c r="CO16" i="2"/>
  <c r="FN15" i="2"/>
  <c r="FO15" i="2" s="1"/>
  <c r="EM15" i="2"/>
  <c r="CQ15" i="2"/>
  <c r="BJ19" i="2"/>
  <c r="EO19" i="2"/>
  <c r="EP19" i="2" s="1"/>
  <c r="FP19" i="2"/>
  <c r="FQ19" i="2" s="1"/>
  <c r="DA25" i="2"/>
  <c r="DL25" i="2"/>
  <c r="DK25" i="2"/>
  <c r="EO25" i="2"/>
  <c r="CO5" i="2"/>
  <c r="EO21" i="2"/>
  <c r="AT21" i="2"/>
  <c r="CK22" i="2"/>
  <c r="FP23" i="2"/>
  <c r="CQ23" i="2"/>
  <c r="BZ23" i="2" s="1"/>
  <c r="CO13" i="2"/>
  <c r="CL13" i="2" s="1"/>
  <c r="EM13" i="2"/>
  <c r="AT18" i="2"/>
  <c r="ES10" i="2"/>
  <c r="EG10" i="2" s="1"/>
  <c r="CM27" i="2"/>
  <c r="BJ7" i="2"/>
  <c r="BK7" i="2" s="1"/>
  <c r="CV14" i="2"/>
  <c r="EN12" i="2"/>
  <c r="CO12" i="2"/>
  <c r="EQ12" i="2"/>
  <c r="CV12" i="2"/>
  <c r="DL12" i="2"/>
  <c r="DM12" i="2" s="1"/>
  <c r="BK28" i="2"/>
  <c r="CM16" i="2"/>
  <c r="CL16" i="2" s="1"/>
  <c r="DN16" i="2"/>
  <c r="DO16" i="2" s="1"/>
  <c r="BI15" i="2"/>
  <c r="BL15" i="2"/>
  <c r="FR19" i="2"/>
  <c r="CM19" i="2"/>
  <c r="DP19" i="2"/>
  <c r="DQ19" i="2" s="1"/>
  <c r="EQ11" i="2"/>
  <c r="CM11" i="2"/>
  <c r="EL25" i="2"/>
  <c r="EQ25" i="2"/>
  <c r="BJ25" i="2"/>
  <c r="BL22" i="2"/>
  <c r="DP22" i="2"/>
  <c r="FN9" i="2"/>
  <c r="DR13" i="2"/>
  <c r="EL17" i="2"/>
  <c r="CK17" i="2"/>
  <c r="DR17" i="2"/>
  <c r="DA17" i="2" s="1"/>
  <c r="CM10" i="2"/>
  <c r="EQ27" i="2"/>
  <c r="FP7" i="2"/>
  <c r="FN7" i="2"/>
  <c r="EM7" i="2"/>
  <c r="EP7" i="2" s="1"/>
  <c r="EM14" i="2"/>
  <c r="EN14" i="2" s="1"/>
  <c r="FT14" i="2"/>
  <c r="BP14" i="2"/>
  <c r="AY14" i="2" s="1"/>
  <c r="DW26" i="2"/>
  <c r="BO28" i="2"/>
  <c r="EX23" i="2"/>
  <c r="DK12" i="2"/>
  <c r="EM16" i="2"/>
  <c r="CK6" i="2"/>
  <c r="CL6" i="2" s="1"/>
  <c r="FT15" i="2"/>
  <c r="BD20" i="2"/>
  <c r="FP20" i="2"/>
  <c r="EM8" i="2"/>
  <c r="DN25" i="2"/>
  <c r="DO25" i="2" s="1"/>
  <c r="DL5" i="2"/>
  <c r="BD21" i="2"/>
  <c r="AY21" i="2"/>
  <c r="FR22" i="2"/>
  <c r="BN22" i="2"/>
  <c r="DN22" i="2"/>
  <c r="EX13" i="2"/>
  <c r="EG17" i="2"/>
  <c r="FP17" i="2"/>
  <c r="CO17" i="2"/>
  <c r="CP17" i="2" s="1"/>
  <c r="EX18" i="2"/>
  <c r="BL18" i="2"/>
  <c r="FP10" i="2"/>
  <c r="CQ10" i="2"/>
  <c r="ES7" i="2"/>
  <c r="CM14" i="2"/>
  <c r="CN14" i="2" s="1"/>
  <c r="EO12" i="2"/>
  <c r="EB26" i="2"/>
  <c r="BN13" i="2"/>
  <c r="BD15" i="2"/>
  <c r="EM5" i="2"/>
  <c r="BM13" i="2"/>
  <c r="BN16" i="2"/>
  <c r="FP6" i="2"/>
  <c r="BN6" i="2"/>
  <c r="DP15" i="2"/>
  <c r="EQ15" i="2"/>
  <c r="ER15" i="2" s="1"/>
  <c r="EO15" i="2"/>
  <c r="EQ24" i="2"/>
  <c r="DL24" i="2"/>
  <c r="CM24" i="2"/>
  <c r="DN24" i="2"/>
  <c r="CO8" i="2"/>
  <c r="CK8" i="2"/>
  <c r="FP8" i="2"/>
  <c r="CM8" i="2"/>
  <c r="DR25" i="2"/>
  <c r="FP25" i="2"/>
  <c r="FQ25" i="2" s="1"/>
  <c r="BP25" i="2"/>
  <c r="CO25" i="2"/>
  <c r="CP25" i="2" s="1"/>
  <c r="FR25" i="2"/>
  <c r="DN5" i="2"/>
  <c r="DM5" i="2" s="1"/>
  <c r="DN21" i="2"/>
  <c r="CM22" i="2"/>
  <c r="DP23" i="2"/>
  <c r="BL23" i="2"/>
  <c r="BJ17" i="2"/>
  <c r="CM17" i="2"/>
  <c r="FN17" i="2"/>
  <c r="FS17" i="2" s="1"/>
  <c r="DL17" i="2"/>
  <c r="FN10" i="2"/>
  <c r="DR27" i="2"/>
  <c r="DF27" i="2" s="1"/>
  <c r="BN27" i="2"/>
  <c r="BO27" i="2" s="1"/>
  <c r="CN7" i="2"/>
  <c r="DO14" i="2"/>
  <c r="EQ14" i="2"/>
  <c r="DP14" i="2"/>
  <c r="DQ14" i="2" s="1"/>
  <c r="DL14" i="2"/>
  <c r="EG26" i="2"/>
  <c r="DQ16" i="2"/>
  <c r="BL6" i="2"/>
  <c r="DP6" i="2"/>
  <c r="FR20" i="2"/>
  <c r="FO20" i="2" s="1"/>
  <c r="FP24" i="2"/>
  <c r="EQ8" i="2"/>
  <c r="ER8" i="2" s="1"/>
  <c r="DN8" i="2"/>
  <c r="FN8" i="2"/>
  <c r="BL8" i="2"/>
  <c r="BP8" i="2"/>
  <c r="AT8" i="2" s="1"/>
  <c r="BJ8" i="2"/>
  <c r="BO8" i="2" s="1"/>
  <c r="FR5" i="2"/>
  <c r="BL5" i="2"/>
  <c r="DR21" i="2"/>
  <c r="DF21" i="2" s="1"/>
  <c r="CO21" i="2"/>
  <c r="CK21" i="2"/>
  <c r="FR21" i="2"/>
  <c r="CM21" i="2"/>
  <c r="CN21" i="2" s="1"/>
  <c r="CO22" i="2"/>
  <c r="BJ23" i="2"/>
  <c r="BM23" i="2" s="1"/>
  <c r="DR23" i="2"/>
  <c r="DL23" i="2"/>
  <c r="FR23" i="2"/>
  <c r="DL9" i="2"/>
  <c r="DN9" i="2"/>
  <c r="EB17" i="2"/>
  <c r="DN18" i="2"/>
  <c r="DP18" i="2"/>
  <c r="BJ27" i="2"/>
  <c r="AT25" i="2"/>
  <c r="BI25" i="2"/>
  <c r="BD25" i="2"/>
  <c r="DQ21" i="2"/>
  <c r="DM21" i="2"/>
  <c r="BD22" i="2"/>
  <c r="CP15" i="2"/>
  <c r="CL15" i="2"/>
  <c r="DR16" i="2"/>
  <c r="EL6" i="2"/>
  <c r="DW6" i="2"/>
  <c r="DW15" i="2"/>
  <c r="EG15" i="2"/>
  <c r="FS15" i="2"/>
  <c r="EL15" i="2"/>
  <c r="CQ19" i="2"/>
  <c r="CE19" i="2" s="1"/>
  <c r="DL19" i="2"/>
  <c r="DR24" i="2"/>
  <c r="DF24" i="2" s="1"/>
  <c r="CJ11" i="2"/>
  <c r="CQ11" i="2"/>
  <c r="BZ11" i="2" s="1"/>
  <c r="EL8" i="2"/>
  <c r="DW8" i="2"/>
  <c r="CE8" i="2"/>
  <c r="BU8" i="2"/>
  <c r="BZ8" i="2"/>
  <c r="EN25" i="2"/>
  <c r="BJ21" i="2"/>
  <c r="DO21" i="2"/>
  <c r="FP21" i="2"/>
  <c r="CO23" i="2"/>
  <c r="BI28" i="2"/>
  <c r="AT28" i="2"/>
  <c r="BD28" i="2"/>
  <c r="AY28" i="2"/>
  <c r="BZ94" i="2"/>
  <c r="DF9" i="2"/>
  <c r="CM9" i="2"/>
  <c r="AY13" i="2"/>
  <c r="BO13" i="2"/>
  <c r="BL17" i="2"/>
  <c r="CL17" i="2"/>
  <c r="FS18" i="2"/>
  <c r="FH18" i="2"/>
  <c r="FT27" i="2"/>
  <c r="FH27" i="2" s="1"/>
  <c r="BJ14" i="2"/>
  <c r="BK14" i="2" s="1"/>
  <c r="CL12" i="2"/>
  <c r="D15" i="59"/>
  <c r="FS19" i="2"/>
  <c r="BN19" i="2"/>
  <c r="BO19" i="2" s="1"/>
  <c r="DA21" i="2"/>
  <c r="EG22" i="2"/>
  <c r="EB22" i="2"/>
  <c r="CE94" i="2"/>
  <c r="DR9" i="2"/>
  <c r="DA9" i="2" s="1"/>
  <c r="DK9" i="2"/>
  <c r="FT9" i="2"/>
  <c r="FH9" i="2" s="1"/>
  <c r="CN13" i="2"/>
  <c r="FR13" i="2"/>
  <c r="FO17" i="2"/>
  <c r="EL18" i="2"/>
  <c r="EX14" i="2"/>
  <c r="FH14" i="2"/>
  <c r="ES12" i="2"/>
  <c r="BJ12" i="2"/>
  <c r="BK12" i="2" s="1"/>
  <c r="BP12" i="2"/>
  <c r="BI12" i="2" s="1"/>
  <c r="BJ16" i="2"/>
  <c r="CP16" i="2"/>
  <c r="DK16" i="2"/>
  <c r="AT6" i="2"/>
  <c r="DN15" i="2"/>
  <c r="BN15" i="2"/>
  <c r="FH20" i="2"/>
  <c r="FO19" i="2"/>
  <c r="CO24" i="2"/>
  <c r="DR8" i="2"/>
  <c r="CV8" i="2" s="1"/>
  <c r="BM8" i="2"/>
  <c r="BI8" i="2"/>
  <c r="BK8" i="2"/>
  <c r="EN5" i="2"/>
  <c r="ES5" i="2"/>
  <c r="DK21" i="2"/>
  <c r="CQ21" i="2"/>
  <c r="BU21" i="2" s="1"/>
  <c r="FN22" i="2"/>
  <c r="FO22" i="2" s="1"/>
  <c r="FM9" i="2"/>
  <c r="DO9" i="2"/>
  <c r="BD13" i="2"/>
  <c r="DL13" i="2"/>
  <c r="DM13" i="2" s="1"/>
  <c r="CP13" i="2"/>
  <c r="CQ13" i="2"/>
  <c r="ER17" i="2"/>
  <c r="DP27" i="2"/>
  <c r="DM27" i="2" s="1"/>
  <c r="DK27" i="2"/>
  <c r="DA27" i="2"/>
  <c r="FP95" i="2"/>
  <c r="DM7" i="2"/>
  <c r="FM7" i="2"/>
  <c r="FC7" i="2"/>
  <c r="CQ14" i="2"/>
  <c r="BZ14" i="2" s="1"/>
  <c r="CK14" i="2"/>
  <c r="CP14" i="2" s="1"/>
  <c r="EO14" i="2"/>
  <c r="BZ12" i="2"/>
  <c r="BU12" i="2"/>
  <c r="CJ12" i="2"/>
  <c r="CE12" i="2"/>
  <c r="ER12" i="2"/>
  <c r="EP15" i="2"/>
  <c r="BU15" i="2"/>
  <c r="CJ15" i="2"/>
  <c r="CE15" i="2"/>
  <c r="BZ15" i="2"/>
  <c r="CL8" i="2"/>
  <c r="FT21" i="2"/>
  <c r="FH21" i="2" s="1"/>
  <c r="ES9" i="2"/>
  <c r="DW9" i="2" s="1"/>
  <c r="EN13" i="2"/>
  <c r="EP13" i="2"/>
  <c r="CJ13" i="2"/>
  <c r="AT17" i="2"/>
  <c r="BP17" i="2"/>
  <c r="BI17" i="2" s="1"/>
  <c r="DW18" i="2"/>
  <c r="EG18" i="2"/>
  <c r="BI14" i="2"/>
  <c r="BD14" i="2"/>
  <c r="EG16" i="2"/>
  <c r="EL16" i="2"/>
  <c r="DW16" i="2"/>
  <c r="BL16" i="2"/>
  <c r="CQ16" i="2"/>
  <c r="CJ16" i="2" s="1"/>
  <c r="DL6" i="2"/>
  <c r="EB15" i="2"/>
  <c r="DR15" i="2"/>
  <c r="CV15" i="2"/>
  <c r="FM15" i="2"/>
  <c r="EX15" i="2"/>
  <c r="FC15" i="2"/>
  <c r="BJ15" i="2"/>
  <c r="BK15" i="2" s="1"/>
  <c r="DR20" i="2"/>
  <c r="DK20" i="2" s="1"/>
  <c r="DP24" i="2"/>
  <c r="DQ24" i="2" s="1"/>
  <c r="FR24" i="2"/>
  <c r="FH24" i="2"/>
  <c r="EX24" i="2"/>
  <c r="FM24" i="2"/>
  <c r="FT8" i="2"/>
  <c r="EX8" i="2" s="1"/>
  <c r="EG8" i="2"/>
  <c r="BP22" i="2"/>
  <c r="AY22" i="2" s="1"/>
  <c r="FH23" i="2"/>
  <c r="FC23" i="2"/>
  <c r="FQ23" i="2"/>
  <c r="CJ23" i="2"/>
  <c r="CE23" i="2"/>
  <c r="BU23" i="2"/>
  <c r="BL94" i="2"/>
  <c r="DL94" i="2"/>
  <c r="DR94" i="2"/>
  <c r="DK94" i="2" s="1"/>
  <c r="FR9" i="2"/>
  <c r="DQ9" i="2"/>
  <c r="ER13" i="2"/>
  <c r="AT13" i="2"/>
  <c r="DA13" i="2"/>
  <c r="CV13" i="2"/>
  <c r="DK13" i="2"/>
  <c r="DF13" i="2"/>
  <c r="BK27" i="2"/>
  <c r="DQ7" i="2"/>
  <c r="DM14" i="2"/>
  <c r="CN12" i="2"/>
  <c r="ER16" i="2"/>
  <c r="DM16" i="2"/>
  <c r="FT16" i="2"/>
  <c r="FC16" i="2" s="1"/>
  <c r="DQ15" i="2"/>
  <c r="DF15" i="2"/>
  <c r="ER20" i="2"/>
  <c r="EN20" i="2"/>
  <c r="DL20" i="2"/>
  <c r="EB19" i="2"/>
  <c r="EG19" i="2"/>
  <c r="DW19" i="2"/>
  <c r="EL19" i="2"/>
  <c r="ES24" i="2"/>
  <c r="DW24" i="2" s="1"/>
  <c r="CE11" i="2"/>
  <c r="EP8" i="2"/>
  <c r="EB5" i="2"/>
  <c r="FN5" i="2"/>
  <c r="DW22" i="2"/>
  <c r="FN13" i="2"/>
  <c r="FO13" i="2" s="1"/>
  <c r="CP18" i="2"/>
  <c r="CL18" i="2"/>
  <c r="AY27" i="2"/>
  <c r="BI27" i="2"/>
  <c r="FQ27" i="2"/>
  <c r="AT27" i="2"/>
  <c r="FT95" i="2"/>
  <c r="EX95" i="2" s="1"/>
  <c r="BI7" i="2"/>
  <c r="AT7" i="2"/>
  <c r="BD7" i="2"/>
  <c r="DR7" i="2"/>
  <c r="DF7" i="2" s="1"/>
  <c r="EP12" i="2"/>
  <c r="EQ16" i="2"/>
  <c r="EP16" i="2" s="1"/>
  <c r="FR16" i="2"/>
  <c r="FS16" i="2" s="1"/>
  <c r="BO16" i="2"/>
  <c r="EX16" i="2"/>
  <c r="DN20" i="2"/>
  <c r="BK20" i="2"/>
  <c r="BM20" i="2"/>
  <c r="ES20" i="2"/>
  <c r="FT19" i="2"/>
  <c r="FM19" i="2" s="1"/>
  <c r="EN19" i="2"/>
  <c r="BL24" i="2"/>
  <c r="BO24" i="2" s="1"/>
  <c r="FN24" i="2"/>
  <c r="FO24" i="2" s="1"/>
  <c r="BP11" i="2"/>
  <c r="BI11" i="2" s="1"/>
  <c r="ES11" i="2"/>
  <c r="EL11" i="2" s="1"/>
  <c r="DN97" i="2"/>
  <c r="CJ8" i="2"/>
  <c r="FO25" i="2"/>
  <c r="ER25" i="2"/>
  <c r="BN25" i="2"/>
  <c r="BM25" i="2" s="1"/>
  <c r="BK25" i="2"/>
  <c r="EP5" i="2"/>
  <c r="CK5" i="2"/>
  <c r="FS22" i="2"/>
  <c r="DO22" i="2"/>
  <c r="DK23" i="2"/>
  <c r="FC9" i="2"/>
  <c r="EP17" i="2"/>
  <c r="FQ18" i="2"/>
  <c r="BM27" i="2"/>
  <c r="FS27" i="2"/>
  <c r="EM27" i="2"/>
  <c r="EN27" i="2" s="1"/>
  <c r="EN7" i="2"/>
  <c r="FR7" i="2"/>
  <c r="FS7" i="2" s="1"/>
  <c r="FC14" i="2"/>
  <c r="CQ93" i="2"/>
  <c r="CJ93" i="2" s="1"/>
  <c r="EN16" i="2"/>
  <c r="BP6" i="2"/>
  <c r="AY6" i="2" s="1"/>
  <c r="DK6" i="2"/>
  <c r="CQ6" i="2"/>
  <c r="FR6" i="2"/>
  <c r="ER6" i="2"/>
  <c r="FH15" i="2"/>
  <c r="EN15" i="2"/>
  <c r="CQ20" i="2"/>
  <c r="BU20" i="2" s="1"/>
  <c r="DO19" i="2"/>
  <c r="CK24" i="2"/>
  <c r="BP97" i="2"/>
  <c r="BI97" i="2" s="1"/>
  <c r="EB25" i="2"/>
  <c r="EG25" i="2"/>
  <c r="AY25" i="2"/>
  <c r="FP5" i="2"/>
  <c r="BN5" i="2"/>
  <c r="DM22" i="2"/>
  <c r="DR22" i="2"/>
  <c r="DA22" i="2" s="1"/>
  <c r="EL22" i="2"/>
  <c r="DN23" i="2"/>
  <c r="DO23" i="2" s="1"/>
  <c r="EM23" i="2"/>
  <c r="ER23" i="2" s="1"/>
  <c r="FM23" i="2"/>
  <c r="CK23" i="2"/>
  <c r="EG23" i="2"/>
  <c r="CO94" i="2"/>
  <c r="FR96" i="2"/>
  <c r="AY18" i="2"/>
  <c r="BI18" i="2"/>
  <c r="BD18" i="2"/>
  <c r="FM18" i="2"/>
  <c r="ES95" i="2"/>
  <c r="ER7" i="2"/>
  <c r="BU7" i="2"/>
  <c r="CE7" i="2"/>
  <c r="BZ7" i="2"/>
  <c r="CJ7" i="2"/>
  <c r="EB7" i="2"/>
  <c r="EG7" i="2"/>
  <c r="EL7" i="2"/>
  <c r="DW7" i="2"/>
  <c r="FM14" i="2"/>
  <c r="FP14" i="2"/>
  <c r="FQ14" i="2" s="1"/>
  <c r="DF6" i="2"/>
  <c r="DA6" i="2"/>
  <c r="CV6" i="2"/>
  <c r="CP6" i="2"/>
  <c r="BK6" i="2"/>
  <c r="DM15" i="2"/>
  <c r="EX20" i="2"/>
  <c r="FM20" i="2"/>
  <c r="CO19" i="2"/>
  <c r="CP19" i="2" s="1"/>
  <c r="BN11" i="2"/>
  <c r="DF25" i="2"/>
  <c r="CV25" i="2"/>
  <c r="FT25" i="2"/>
  <c r="CQ25" i="2"/>
  <c r="CJ25" i="2" s="1"/>
  <c r="FS25" i="2"/>
  <c r="BJ5" i="2"/>
  <c r="EL21" i="2"/>
  <c r="EB21" i="2"/>
  <c r="BN21" i="2"/>
  <c r="BO21" i="2" s="1"/>
  <c r="EM21" i="2"/>
  <c r="EN21" i="2" s="1"/>
  <c r="FN21" i="2"/>
  <c r="FO21" i="2" s="1"/>
  <c r="DW21" i="2"/>
  <c r="BI22" i="2"/>
  <c r="AT23" i="2"/>
  <c r="BD23" i="2"/>
  <c r="DF23" i="2"/>
  <c r="DA23" i="2"/>
  <c r="CV23" i="2"/>
  <c r="EO23" i="2"/>
  <c r="EP23" i="2" s="1"/>
  <c r="ES23" i="2"/>
  <c r="EL23" i="2" s="1"/>
  <c r="BI23" i="2"/>
  <c r="DM23" i="2"/>
  <c r="AY23" i="2"/>
  <c r="FS23" i="2"/>
  <c r="CQ9" i="2"/>
  <c r="BK13" i="2"/>
  <c r="CV17" i="2"/>
  <c r="DK17" i="2"/>
  <c r="DP17" i="2"/>
  <c r="DQ17" i="2" s="1"/>
  <c r="CN18" i="2"/>
  <c r="EM18" i="2"/>
  <c r="EN18" i="2" s="1"/>
  <c r="BJ18" i="2"/>
  <c r="BK18" i="2" s="1"/>
  <c r="DR10" i="2"/>
  <c r="DK10" i="2" s="1"/>
  <c r="BU10" i="2"/>
  <c r="BZ10" i="2"/>
  <c r="CE10" i="2"/>
  <c r="EO10" i="2"/>
  <c r="EP10" i="2" s="1"/>
  <c r="CO27" i="2"/>
  <c r="CP27" i="2" s="1"/>
  <c r="AY7" i="2"/>
  <c r="AT14" i="2"/>
  <c r="BD12" i="2"/>
  <c r="FT12" i="2"/>
  <c r="FM12" i="2" s="1"/>
  <c r="BK26" i="2"/>
  <c r="BM26" i="2"/>
  <c r="FR11" i="2"/>
  <c r="BL11" i="2"/>
  <c r="FR8" i="2"/>
  <c r="FS8" i="2" s="1"/>
  <c r="DP8" i="2"/>
  <c r="DQ8" i="2" s="1"/>
  <c r="BJ22" i="2"/>
  <c r="BK22" i="2" s="1"/>
  <c r="BP94" i="2"/>
  <c r="AY94" i="2" s="1"/>
  <c r="FP94" i="2"/>
  <c r="EQ9" i="2"/>
  <c r="CO9" i="2"/>
  <c r="CP9" i="2" s="1"/>
  <c r="EX17" i="2"/>
  <c r="CQ17" i="2"/>
  <c r="BU17" i="2" s="1"/>
  <c r="EB18" i="2"/>
  <c r="CJ10" i="2"/>
  <c r="CO10" i="2"/>
  <c r="EL27" i="2"/>
  <c r="DF14" i="2"/>
  <c r="DN93" i="2"/>
  <c r="FR95" i="2"/>
  <c r="EM93" i="2"/>
  <c r="D50" i="55"/>
  <c r="BP16" i="2"/>
  <c r="AT16" i="2" s="1"/>
  <c r="BP19" i="2"/>
  <c r="AT19" i="2" s="1"/>
  <c r="BU24" i="2"/>
  <c r="BP24" i="2"/>
  <c r="AT24" i="2" s="1"/>
  <c r="CK11" i="2"/>
  <c r="DP11" i="2"/>
  <c r="DR11" i="2"/>
  <c r="DF11" i="2" s="1"/>
  <c r="DO26" i="2"/>
  <c r="DM26" i="2"/>
  <c r="FN97" i="2"/>
  <c r="EO97" i="2"/>
  <c r="DP97" i="2"/>
  <c r="BD8" i="2"/>
  <c r="CM5" i="2"/>
  <c r="DR5" i="2"/>
  <c r="EM22" i="2"/>
  <c r="EQ22" i="2"/>
  <c r="BL9" i="2"/>
  <c r="EL13" i="2"/>
  <c r="FN96" i="2"/>
  <c r="FT96" i="2"/>
  <c r="EX96" i="2" s="1"/>
  <c r="DR18" i="2"/>
  <c r="DF18" i="2" s="1"/>
  <c r="CQ18" i="2"/>
  <c r="CJ18" i="2" s="1"/>
  <c r="DL18" i="2"/>
  <c r="DW10" i="2"/>
  <c r="DP10" i="2"/>
  <c r="FT10" i="2"/>
  <c r="FM10" i="2" s="1"/>
  <c r="DN10" i="2"/>
  <c r="CV27" i="2"/>
  <c r="EX7" i="2"/>
  <c r="ES14" i="2"/>
  <c r="BO26" i="2"/>
  <c r="O30" i="57"/>
  <c r="FT6" i="2"/>
  <c r="CM20" i="2"/>
  <c r="CN20" i="2" s="1"/>
  <c r="DN11" i="2"/>
  <c r="FN11" i="2"/>
  <c r="EM11" i="2"/>
  <c r="EN11" i="2" s="1"/>
  <c r="CO97" i="2"/>
  <c r="BN97" i="2"/>
  <c r="EQ94" i="2"/>
  <c r="FP9" i="2"/>
  <c r="DW13" i="2"/>
  <c r="BU13" i="2"/>
  <c r="FH17" i="2"/>
  <c r="CK10" i="2"/>
  <c r="CL10" i="2" s="1"/>
  <c r="BJ95" i="2"/>
  <c r="DA14" i="2"/>
  <c r="BP93" i="2"/>
  <c r="FP93" i="2"/>
  <c r="FR93" i="2"/>
  <c r="O65" i="55"/>
  <c r="BI20" i="2"/>
  <c r="DR19" i="2"/>
  <c r="DA19" i="2" s="1"/>
  <c r="BJ11" i="2"/>
  <c r="BK11" i="2" s="1"/>
  <c r="CQ97" i="2"/>
  <c r="BU97" i="2" s="1"/>
  <c r="BL97" i="2"/>
  <c r="DR97" i="2"/>
  <c r="DF97" i="2" s="1"/>
  <c r="BJ97" i="2"/>
  <c r="CQ22" i="2"/>
  <c r="DN94" i="2"/>
  <c r="FM13" i="2"/>
  <c r="EG13" i="2"/>
  <c r="BP96" i="2"/>
  <c r="AT96" i="2" s="1"/>
  <c r="DL96" i="2"/>
  <c r="CM96" i="2"/>
  <c r="BP10" i="2"/>
  <c r="BI10" i="2" s="1"/>
  <c r="BN10" i="2"/>
  <c r="CQ27" i="2"/>
  <c r="EN26" i="2"/>
  <c r="EP26" i="2"/>
  <c r="EM95" i="2"/>
  <c r="DA12" i="2"/>
  <c r="BL93" i="2"/>
  <c r="D15" i="56"/>
  <c r="CJ24" i="2"/>
  <c r="DL11" i="2"/>
  <c r="DM11" i="2" s="1"/>
  <c r="FT11" i="2"/>
  <c r="FP11" i="2"/>
  <c r="DL97" i="2"/>
  <c r="FT97" i="2"/>
  <c r="ES97" i="2"/>
  <c r="EG97" i="2" s="1"/>
  <c r="BJ9" i="2"/>
  <c r="BN9" i="2"/>
  <c r="CO96" i="2"/>
  <c r="BP95" i="2"/>
  <c r="BD95" i="2" s="1"/>
  <c r="CO95" i="2"/>
  <c r="EQ93" i="2"/>
  <c r="D15" i="57"/>
  <c r="AC15" i="52"/>
  <c r="D15" i="52" s="1"/>
  <c r="O30" i="56"/>
  <c r="BU11" i="2"/>
  <c r="CM97" i="2"/>
  <c r="CK97" i="2"/>
  <c r="EO22" i="2"/>
  <c r="FT22" i="2"/>
  <c r="FC22" i="2" s="1"/>
  <c r="EM94" i="2"/>
  <c r="BN94" i="2"/>
  <c r="BP9" i="2"/>
  <c r="AT9" i="2" s="1"/>
  <c r="EM9" i="2"/>
  <c r="ES96" i="2"/>
  <c r="EB96" i="2" s="1"/>
  <c r="EQ96" i="2"/>
  <c r="BN96" i="2"/>
  <c r="BJ10" i="2"/>
  <c r="BK10" i="2" s="1"/>
  <c r="EB27" i="2"/>
  <c r="CE95" i="2"/>
  <c r="EO95" i="2"/>
  <c r="ER26" i="2"/>
  <c r="CO56" i="2"/>
  <c r="DN89" i="2"/>
  <c r="CK32" i="2"/>
  <c r="CM79" i="2"/>
  <c r="EO88" i="2"/>
  <c r="BP36" i="2"/>
  <c r="BD36" i="2" s="1"/>
  <c r="CQ51" i="2"/>
  <c r="BZ51" i="2" s="1"/>
  <c r="DR91" i="2"/>
  <c r="DK91" i="2" s="1"/>
  <c r="FN31" i="2"/>
  <c r="FP44" i="2"/>
  <c r="FR37" i="2"/>
  <c r="DL29" i="2"/>
  <c r="EQ39" i="2"/>
  <c r="EQ55" i="2"/>
  <c r="ES42" i="2"/>
  <c r="EL42" i="2" s="1"/>
  <c r="DL40" i="2"/>
  <c r="CQ86" i="2"/>
  <c r="BZ86" i="2" s="1"/>
  <c r="EM29" i="2"/>
  <c r="BJ43" i="2"/>
  <c r="FT48" i="2"/>
  <c r="FC48" i="2" s="1"/>
  <c r="CK29" i="2"/>
  <c r="CO48" i="2"/>
  <c r="DL53" i="2"/>
  <c r="BN86" i="2"/>
  <c r="BJ92" i="2"/>
  <c r="BN82" i="2"/>
  <c r="CM80" i="2"/>
  <c r="CM32" i="2"/>
  <c r="FT31" i="2"/>
  <c r="FM31" i="2" s="1"/>
  <c r="FP91" i="2"/>
  <c r="EM36" i="2"/>
  <c r="EM63" i="2"/>
  <c r="BJ54" i="2"/>
  <c r="CO91" i="2"/>
  <c r="CM60" i="2"/>
  <c r="EO29" i="2"/>
  <c r="EM39" i="2"/>
  <c r="FN83" i="2"/>
  <c r="FP78" i="2"/>
  <c r="FR53" i="2"/>
  <c r="FP46" i="2"/>
  <c r="DL36" i="2"/>
  <c r="CM76" i="2"/>
  <c r="CM39" i="2"/>
  <c r="EQ41" i="2"/>
  <c r="BJ79" i="2"/>
  <c r="DN54" i="2"/>
  <c r="DL71" i="2"/>
  <c r="DR75" i="2"/>
  <c r="DF75" i="2" s="1"/>
  <c r="DR37" i="2"/>
  <c r="DK37" i="2" s="1"/>
  <c r="DL61" i="2"/>
  <c r="EQ91" i="2"/>
  <c r="EM30" i="2"/>
  <c r="FN38" i="2"/>
  <c r="FP38" i="2"/>
  <c r="FR42" i="2"/>
  <c r="FN55" i="2"/>
  <c r="FT52" i="2"/>
  <c r="FC52" i="2" s="1"/>
  <c r="BJ91" i="2"/>
  <c r="BP92" i="2"/>
  <c r="AY92" i="2" s="1"/>
  <c r="BJ82" i="2"/>
  <c r="DP86" i="2"/>
  <c r="FN47" i="2"/>
  <c r="FR62" i="2"/>
  <c r="FT69" i="2"/>
  <c r="EX69" i="2" s="1"/>
  <c r="FN88" i="2"/>
  <c r="DL90" i="2"/>
  <c r="CO75" i="2"/>
  <c r="DL46" i="2"/>
  <c r="EO44" i="2"/>
  <c r="EO57" i="2"/>
  <c r="BJ32" i="2"/>
  <c r="DL42" i="2"/>
  <c r="ES91" i="2"/>
  <c r="DW91" i="2" s="1"/>
  <c r="EQ46" i="2"/>
  <c r="FR31" i="2"/>
  <c r="FP30" i="2"/>
  <c r="FT38" i="2"/>
  <c r="FH38" i="2" s="1"/>
  <c r="FP83" i="2"/>
  <c r="BP29" i="2"/>
  <c r="BD29" i="2" s="1"/>
  <c r="BP70" i="2"/>
  <c r="AT70" i="2" s="1"/>
  <c r="CQ69" i="2"/>
  <c r="BZ69" i="2" s="1"/>
  <c r="CQ92" i="2"/>
  <c r="CE92" i="2" s="1"/>
  <c r="EM41" i="2"/>
  <c r="ES38" i="2"/>
  <c r="EG38" i="2" s="1"/>
  <c r="EQ38" i="2"/>
  <c r="FN91" i="2"/>
  <c r="DP88" i="2"/>
  <c r="BN80" i="2"/>
  <c r="ES50" i="2"/>
  <c r="EG50" i="2" s="1"/>
  <c r="BJ30" i="2"/>
  <c r="BP52" i="2"/>
  <c r="AY52" i="2" s="1"/>
  <c r="CO29" i="2"/>
  <c r="BJ37" i="2"/>
  <c r="CK86" i="2"/>
  <c r="CQ64" i="2"/>
  <c r="CJ64" i="2" s="1"/>
  <c r="CK52" i="2"/>
  <c r="CO60" i="2"/>
  <c r="DN39" i="2"/>
  <c r="DP58" i="2"/>
  <c r="DP72" i="2"/>
  <c r="DR63" i="2"/>
  <c r="DF63" i="2" s="1"/>
  <c r="DN79" i="2"/>
  <c r="DL80" i="2"/>
  <c r="DP38" i="2"/>
  <c r="DL51" i="2"/>
  <c r="DP36" i="2"/>
  <c r="DL60" i="2"/>
  <c r="EO62" i="2"/>
  <c r="ES31" i="2"/>
  <c r="DW31" i="2" s="1"/>
  <c r="EM44" i="2"/>
  <c r="EQ60" i="2"/>
  <c r="EQ77" i="2"/>
  <c r="EO81" i="2"/>
  <c r="EM54" i="2"/>
  <c r="EM51" i="2"/>
  <c r="EM56" i="2"/>
  <c r="FP31" i="2"/>
  <c r="FR43" i="2"/>
  <c r="FN40" i="2"/>
  <c r="FP29" i="2"/>
  <c r="FP70" i="2"/>
  <c r="FT81" i="2"/>
  <c r="FM81" i="2" s="1"/>
  <c r="FT66" i="2"/>
  <c r="EX66" i="2" s="1"/>
  <c r="FP69" i="2"/>
  <c r="CM90" i="2"/>
  <c r="CK90" i="2"/>
  <c r="EM89" i="2"/>
  <c r="BN76" i="2"/>
  <c r="BP86" i="2"/>
  <c r="AT86" i="2" s="1"/>
  <c r="CM29" i="2"/>
  <c r="CK61" i="2"/>
  <c r="DP29" i="2"/>
  <c r="DP60" i="2"/>
  <c r="ES45" i="2"/>
  <c r="EL45" i="2" s="1"/>
  <c r="EM40" i="2"/>
  <c r="EM61" i="2"/>
  <c r="FP42" i="2"/>
  <c r="EQ88" i="2"/>
  <c r="BP59" i="2"/>
  <c r="AY59" i="2" s="1"/>
  <c r="BJ77" i="2"/>
  <c r="BL58" i="2"/>
  <c r="BJ29" i="2"/>
  <c r="BP60" i="2"/>
  <c r="BI60" i="2" s="1"/>
  <c r="BP77" i="2"/>
  <c r="BP79" i="2"/>
  <c r="BI79" i="2" s="1"/>
  <c r="BP47" i="2"/>
  <c r="AY47" i="2" s="1"/>
  <c r="CQ30" i="2"/>
  <c r="CE30" i="2" s="1"/>
  <c r="CK48" i="2"/>
  <c r="CK42" i="2"/>
  <c r="CO37" i="2"/>
  <c r="CQ78" i="2"/>
  <c r="CJ78" i="2" s="1"/>
  <c r="CK73" i="2"/>
  <c r="CO52" i="2"/>
  <c r="CM83" i="2"/>
  <c r="CM69" i="2"/>
  <c r="CQ62" i="2"/>
  <c r="CE62" i="2" s="1"/>
  <c r="CQ71" i="2"/>
  <c r="BU71" i="2" s="1"/>
  <c r="DP39" i="2"/>
  <c r="DR71" i="2"/>
  <c r="DK71" i="2" s="1"/>
  <c r="DN36" i="2"/>
  <c r="DL31" i="2"/>
  <c r="DP62" i="2"/>
  <c r="EO31" i="2"/>
  <c r="EQ30" i="2"/>
  <c r="EQ40" i="2"/>
  <c r="EO58" i="2"/>
  <c r="EQ68" i="2"/>
  <c r="EO51" i="2"/>
  <c r="EQ42" i="2"/>
  <c r="EO82" i="2"/>
  <c r="EM38" i="2"/>
  <c r="ES47" i="2"/>
  <c r="EB47" i="2" s="1"/>
  <c r="ES48" i="2"/>
  <c r="EG48" i="2" s="1"/>
  <c r="EQ43" i="2"/>
  <c r="EO61" i="2"/>
  <c r="FP43" i="2"/>
  <c r="FN39" i="2"/>
  <c r="FN36" i="2"/>
  <c r="FP81" i="2"/>
  <c r="FN75" i="2"/>
  <c r="FN50" i="2"/>
  <c r="CQ37" i="2"/>
  <c r="CE37" i="2" s="1"/>
  <c r="CQ41" i="2"/>
  <c r="CJ41" i="2" s="1"/>
  <c r="CQ44" i="2"/>
  <c r="BZ44" i="2" s="1"/>
  <c r="CQ52" i="2"/>
  <c r="CJ52" i="2" s="1"/>
  <c r="CO83" i="2"/>
  <c r="CM61" i="2"/>
  <c r="CQ58" i="2"/>
  <c r="CE58" i="2" s="1"/>
  <c r="DN55" i="2"/>
  <c r="DL54" i="2"/>
  <c r="DR31" i="2"/>
  <c r="DK31" i="2" s="1"/>
  <c r="EQ31" i="2"/>
  <c r="EQ58" i="2"/>
  <c r="EO54" i="2"/>
  <c r="EM42" i="2"/>
  <c r="EQ56" i="2"/>
  <c r="FR44" i="2"/>
  <c r="FN30" i="2"/>
  <c r="FN42" i="2"/>
  <c r="FT36" i="2"/>
  <c r="FM36" i="2" s="1"/>
  <c r="FR41" i="2"/>
  <c r="FT76" i="2"/>
  <c r="FM76" i="2" s="1"/>
  <c r="FR57" i="2"/>
  <c r="FR82" i="2"/>
  <c r="BN90" i="2"/>
  <c r="CO89" i="2"/>
  <c r="BN68" i="2"/>
  <c r="CQ42" i="2"/>
  <c r="CE42" i="2" s="1"/>
  <c r="CM84" i="2"/>
  <c r="CK56" i="2"/>
  <c r="BJ66" i="2"/>
  <c r="BJ58" i="2"/>
  <c r="BL92" i="2"/>
  <c r="BL63" i="2"/>
  <c r="BJ57" i="2"/>
  <c r="BL36" i="2"/>
  <c r="CK69" i="2"/>
  <c r="CK70" i="2"/>
  <c r="AY29" i="2"/>
  <c r="BN79" i="2"/>
  <c r="BL48" i="2"/>
  <c r="BL50" i="2"/>
  <c r="CK63" i="2"/>
  <c r="CO47" i="2"/>
  <c r="CQ31" i="2"/>
  <c r="BZ31" i="2" s="1"/>
  <c r="CQ76" i="2"/>
  <c r="BZ76" i="2" s="1"/>
  <c r="CO79" i="2"/>
  <c r="CQ79" i="2"/>
  <c r="CQ72" i="2"/>
  <c r="CE72" i="2" s="1"/>
  <c r="DL39" i="2"/>
  <c r="DR68" i="2"/>
  <c r="DK68" i="2" s="1"/>
  <c r="DN71" i="2"/>
  <c r="DL48" i="2"/>
  <c r="DP47" i="2"/>
  <c r="DL32" i="2"/>
  <c r="DP43" i="2"/>
  <c r="DL50" i="2"/>
  <c r="DL62" i="2"/>
  <c r="DR45" i="2"/>
  <c r="CV45" i="2" s="1"/>
  <c r="DP69" i="2"/>
  <c r="EO91" i="2"/>
  <c r="EM59" i="2"/>
  <c r="ES59" i="2"/>
  <c r="EG59" i="2" s="1"/>
  <c r="EQ45" i="2"/>
  <c r="ES41" i="2"/>
  <c r="EL41" i="2" s="1"/>
  <c r="EO42" i="2"/>
  <c r="EO38" i="2"/>
  <c r="ES80" i="2"/>
  <c r="EL80" i="2" s="1"/>
  <c r="FT30" i="2"/>
  <c r="EX30" i="2" s="1"/>
  <c r="FR38" i="2"/>
  <c r="FN29" i="2"/>
  <c r="FP41" i="2"/>
  <c r="FR55" i="2"/>
  <c r="FN57" i="2"/>
  <c r="FN53" i="2"/>
  <c r="FP82" i="2"/>
  <c r="FP61" i="2"/>
  <c r="FR89" i="2"/>
  <c r="EO89" i="2"/>
  <c r="DR32" i="2"/>
  <c r="DK32" i="2" s="1"/>
  <c r="FT32" i="2"/>
  <c r="FC32" i="2" s="1"/>
  <c r="FN43" i="2"/>
  <c r="FN48" i="2"/>
  <c r="BJ90" i="2"/>
  <c r="EQ89" i="2"/>
  <c r="BN91" i="2"/>
  <c r="BL73" i="2"/>
  <c r="BL81" i="2"/>
  <c r="BL83" i="2"/>
  <c r="BN29" i="2"/>
  <c r="BL75" i="2"/>
  <c r="BL37" i="2"/>
  <c r="BL61" i="2"/>
  <c r="CO30" i="2"/>
  <c r="CK91" i="2"/>
  <c r="CO36" i="2"/>
  <c r="CQ43" i="2"/>
  <c r="CJ43" i="2" s="1"/>
  <c r="DL81" i="2"/>
  <c r="DR40" i="2"/>
  <c r="DK40" i="2" s="1"/>
  <c r="DN67" i="2"/>
  <c r="DP83" i="2"/>
  <c r="DL86" i="2"/>
  <c r="DP54" i="2"/>
  <c r="DP57" i="2"/>
  <c r="DL30" i="2"/>
  <c r="DN78" i="2"/>
  <c r="DN69" i="2"/>
  <c r="EO77" i="2"/>
  <c r="ES36" i="2"/>
  <c r="EL36" i="2" s="1"/>
  <c r="EO36" i="2"/>
  <c r="EO39" i="2"/>
  <c r="EP39" i="2" s="1"/>
  <c r="EM67" i="2"/>
  <c r="ES81" i="2"/>
  <c r="EL81" i="2" s="1"/>
  <c r="EO32" i="2"/>
  <c r="EQ72" i="2"/>
  <c r="EO43" i="2"/>
  <c r="FT43" i="2"/>
  <c r="FH43" i="2" s="1"/>
  <c r="FR40" i="2"/>
  <c r="FR39" i="2"/>
  <c r="FR29" i="2"/>
  <c r="FR36" i="2"/>
  <c r="FR68" i="2"/>
  <c r="FT57" i="2"/>
  <c r="FM57" i="2" s="1"/>
  <c r="FR75" i="2"/>
  <c r="FT46" i="2"/>
  <c r="EX46" i="2" s="1"/>
  <c r="FT47" i="2"/>
  <c r="FM47" i="2" s="1"/>
  <c r="DP90" i="2"/>
  <c r="FP90" i="2"/>
  <c r="BP62" i="2"/>
  <c r="AY62" i="2" s="1"/>
  <c r="BN78" i="2"/>
  <c r="BJ73" i="2"/>
  <c r="BJ44" i="2"/>
  <c r="BN77" i="2"/>
  <c r="BP39" i="2"/>
  <c r="BI39" i="2" s="1"/>
  <c r="BI47" i="2"/>
  <c r="BJ36" i="2"/>
  <c r="BJ50" i="2"/>
  <c r="CQ82" i="2"/>
  <c r="CE82" i="2" s="1"/>
  <c r="CM86" i="2"/>
  <c r="CE86" i="2"/>
  <c r="CO59" i="2"/>
  <c r="CM70" i="2"/>
  <c r="CM45" i="2"/>
  <c r="CK72" i="2"/>
  <c r="CK68" i="2"/>
  <c r="DN29" i="2"/>
  <c r="DR54" i="2"/>
  <c r="DA54" i="2" s="1"/>
  <c r="EQ29" i="2"/>
  <c r="DL91" i="2"/>
  <c r="EM31" i="2"/>
  <c r="EQ44" i="2"/>
  <c r="EM79" i="2"/>
  <c r="ES66" i="2"/>
  <c r="DW66" i="2" s="1"/>
  <c r="EQ36" i="2"/>
  <c r="EM68" i="2"/>
  <c r="EQ32" i="2"/>
  <c r="EM32" i="2"/>
  <c r="EO41" i="2"/>
  <c r="EM43" i="2"/>
  <c r="FN44" i="2"/>
  <c r="FR30" i="2"/>
  <c r="FP40" i="2"/>
  <c r="FP39" i="2"/>
  <c r="FP36" i="2"/>
  <c r="FN41" i="2"/>
  <c r="FP68" i="2"/>
  <c r="FP75" i="2"/>
  <c r="FP84" i="2"/>
  <c r="FR69" i="2"/>
  <c r="EM88" i="2"/>
  <c r="DR89" i="2"/>
  <c r="DF89" i="2" s="1"/>
  <c r="BN31" i="2"/>
  <c r="FT29" i="2"/>
  <c r="FH29" i="2" s="1"/>
  <c r="BI29" i="2"/>
  <c r="CQ29" i="2"/>
  <c r="AT29" i="2"/>
  <c r="BP78" i="2"/>
  <c r="AT78" i="2" s="1"/>
  <c r="BN73" i="2"/>
  <c r="BN45" i="2"/>
  <c r="BP76" i="2"/>
  <c r="AT76" i="2" s="1"/>
  <c r="DR29" i="2"/>
  <c r="BL78" i="2"/>
  <c r="BL44" i="2"/>
  <c r="BP44" i="2"/>
  <c r="BJ67" i="2"/>
  <c r="BJ39" i="2"/>
  <c r="BL91" i="2"/>
  <c r="BJ78" i="2"/>
  <c r="BP68" i="2"/>
  <c r="BI68" i="2" s="1"/>
  <c r="BP40" i="2"/>
  <c r="BI40" i="2" s="1"/>
  <c r="BP30" i="2"/>
  <c r="BI30" i="2" s="1"/>
  <c r="BJ60" i="2"/>
  <c r="BJ76" i="2"/>
  <c r="BJ55" i="2"/>
  <c r="ES29" i="2"/>
  <c r="EG29" i="2" s="1"/>
  <c r="BN62" i="2"/>
  <c r="BL40" i="2"/>
  <c r="BP55" i="2"/>
  <c r="BD55" i="2" s="1"/>
  <c r="BL57" i="2"/>
  <c r="BL29" i="2"/>
  <c r="BJ75" i="2"/>
  <c r="BN38" i="2"/>
  <c r="BP80" i="2"/>
  <c r="BI80" i="2" s="1"/>
  <c r="BN48" i="2"/>
  <c r="BP84" i="2"/>
  <c r="AT84" i="2" s="1"/>
  <c r="BN50" i="2"/>
  <c r="CM75" i="2"/>
  <c r="CM54" i="2"/>
  <c r="CK80" i="2"/>
  <c r="CK37" i="2"/>
  <c r="CO78" i="2"/>
  <c r="CQ60" i="2"/>
  <c r="BZ60" i="2" s="1"/>
  <c r="CQ67" i="2"/>
  <c r="BZ67" i="2" s="1"/>
  <c r="CO77" i="2"/>
  <c r="CQ46" i="2"/>
  <c r="CE46" i="2" s="1"/>
  <c r="CK62" i="2"/>
  <c r="CO45" i="2"/>
  <c r="CK92" i="2"/>
  <c r="CO58" i="2"/>
  <c r="DN70" i="2"/>
  <c r="DN81" i="2"/>
  <c r="DN92" i="2"/>
  <c r="DN68" i="2"/>
  <c r="DP42" i="2"/>
  <c r="DP30" i="2"/>
  <c r="DL84" i="2"/>
  <c r="DR60" i="2"/>
  <c r="DF60" i="2" s="1"/>
  <c r="EQ59" i="2"/>
  <c r="BL77" i="2"/>
  <c r="BL67" i="2"/>
  <c r="BL54" i="2"/>
  <c r="BP71" i="2"/>
  <c r="BD71" i="2" s="1"/>
  <c r="BN47" i="2"/>
  <c r="BN51" i="2"/>
  <c r="BN36" i="2"/>
  <c r="BJ84" i="2"/>
  <c r="BP43" i="2"/>
  <c r="AY43" i="2" s="1"/>
  <c r="BP50" i="2"/>
  <c r="CQ63" i="2"/>
  <c r="BU63" i="2" s="1"/>
  <c r="CM57" i="2"/>
  <c r="CO53" i="2"/>
  <c r="CK78" i="2"/>
  <c r="CM78" i="2"/>
  <c r="CO86" i="2"/>
  <c r="CQ55" i="2"/>
  <c r="CJ55" i="2" s="1"/>
  <c r="CK77" i="2"/>
  <c r="CM59" i="2"/>
  <c r="CK81" i="2"/>
  <c r="CM92" i="2"/>
  <c r="DP40" i="2"/>
  <c r="DP53" i="2"/>
  <c r="DR42" i="2"/>
  <c r="DK42" i="2" s="1"/>
  <c r="DL75" i="2"/>
  <c r="DP82" i="2"/>
  <c r="DL82" i="2"/>
  <c r="DN48" i="2"/>
  <c r="DP37" i="2"/>
  <c r="DP56" i="2"/>
  <c r="DN32" i="2"/>
  <c r="DN43" i="2"/>
  <c r="ES44" i="2"/>
  <c r="DW44" i="2" s="1"/>
  <c r="BN54" i="2"/>
  <c r="BJ53" i="2"/>
  <c r="BJ38" i="2"/>
  <c r="BP37" i="2"/>
  <c r="AY37" i="2" s="1"/>
  <c r="BP48" i="2"/>
  <c r="CM30" i="2"/>
  <c r="CQ53" i="2"/>
  <c r="CJ53" i="2" s="1"/>
  <c r="CM51" i="2"/>
  <c r="CM44" i="2"/>
  <c r="CQ56" i="2"/>
  <c r="BZ56" i="2" s="1"/>
  <c r="CQ77" i="2"/>
  <c r="CE77" i="2" s="1"/>
  <c r="CO50" i="2"/>
  <c r="CK59" i="2"/>
  <c r="CM71" i="2"/>
  <c r="DL70" i="2"/>
  <c r="DR81" i="2"/>
  <c r="DA81" i="2" s="1"/>
  <c r="DR39" i="2"/>
  <c r="DN86" i="2"/>
  <c r="DL58" i="2"/>
  <c r="DN72" i="2"/>
  <c r="DN30" i="2"/>
  <c r="DL43" i="2"/>
  <c r="DR78" i="2"/>
  <c r="CV78" i="2" s="1"/>
  <c r="BL62" i="2"/>
  <c r="BL59" i="2"/>
  <c r="BL31" i="2"/>
  <c r="BL79" i="2"/>
  <c r="BN66" i="2"/>
  <c r="BN55" i="2"/>
  <c r="BN72" i="2"/>
  <c r="BP38" i="2"/>
  <c r="AY38" i="2" s="1"/>
  <c r="BL47" i="2"/>
  <c r="BJ51" i="2"/>
  <c r="CO63" i="2"/>
  <c r="CK30" i="2"/>
  <c r="CK53" i="2"/>
  <c r="CO42" i="2"/>
  <c r="CK44" i="2"/>
  <c r="CM37" i="2"/>
  <c r="CM47" i="2"/>
  <c r="CO31" i="2"/>
  <c r="CQ83" i="2"/>
  <c r="CE83" i="2" s="1"/>
  <c r="CK79" i="2"/>
  <c r="CO61" i="2"/>
  <c r="CQ81" i="2"/>
  <c r="CE81" i="2" s="1"/>
  <c r="CM66" i="2"/>
  <c r="CM72" i="2"/>
  <c r="DN40" i="2"/>
  <c r="DP67" i="2"/>
  <c r="DR92" i="2"/>
  <c r="DA92" i="2" s="1"/>
  <c r="DN57" i="2"/>
  <c r="DN53" i="2"/>
  <c r="DN82" i="2"/>
  <c r="DN37" i="2"/>
  <c r="DN56" i="2"/>
  <c r="DR43" i="2"/>
  <c r="BP32" i="2"/>
  <c r="BI32" i="2" s="1"/>
  <c r="CQ80" i="2"/>
  <c r="BU80" i="2" s="1"/>
  <c r="CM38" i="2"/>
  <c r="CQ70" i="2"/>
  <c r="CO40" i="2"/>
  <c r="DR72" i="2"/>
  <c r="DK72" i="2" s="1"/>
  <c r="ES77" i="2"/>
  <c r="DW77" i="2" s="1"/>
  <c r="EL38" i="2"/>
  <c r="EO30" i="2"/>
  <c r="EB38" i="2"/>
  <c r="BL45" i="2"/>
  <c r="BN44" i="2"/>
  <c r="BJ31" i="2"/>
  <c r="BJ69" i="2"/>
  <c r="BN58" i="2"/>
  <c r="BJ68" i="2"/>
  <c r="BN53" i="2"/>
  <c r="BL42" i="2"/>
  <c r="BN42" i="2"/>
  <c r="BN71" i="2"/>
  <c r="BJ47" i="2"/>
  <c r="BJ48" i="2"/>
  <c r="BL46" i="2"/>
  <c r="CO80" i="2"/>
  <c r="CK51" i="2"/>
  <c r="CM36" i="2"/>
  <c r="CQ32" i="2"/>
  <c r="BU32" i="2" s="1"/>
  <c r="CQ50" i="2"/>
  <c r="BU50" i="2" s="1"/>
  <c r="CO62" i="2"/>
  <c r="CQ59" i="2"/>
  <c r="CQ40" i="2"/>
  <c r="CE40" i="2" s="1"/>
  <c r="DL92" i="2"/>
  <c r="DR53" i="2"/>
  <c r="DK53" i="2" s="1"/>
  <c r="DP71" i="2"/>
  <c r="DP79" i="2"/>
  <c r="DR30" i="2"/>
  <c r="DA30" i="2" s="1"/>
  <c r="DL37" i="2"/>
  <c r="DL56" i="2"/>
  <c r="DL47" i="2"/>
  <c r="DN47" i="2"/>
  <c r="DL59" i="2"/>
  <c r="BP45" i="2"/>
  <c r="BD45" i="2" s="1"/>
  <c r="BP31" i="2"/>
  <c r="AT31" i="2" s="1"/>
  <c r="BL60" i="2"/>
  <c r="BN60" i="2"/>
  <c r="BN39" i="2"/>
  <c r="BJ86" i="2"/>
  <c r="BP72" i="2"/>
  <c r="AT72" i="2" s="1"/>
  <c r="BP57" i="2"/>
  <c r="BL53" i="2"/>
  <c r="BP75" i="2"/>
  <c r="BP82" i="2"/>
  <c r="BN56" i="2"/>
  <c r="CK75" i="2"/>
  <c r="CQ54" i="2"/>
  <c r="BZ54" i="2" s="1"/>
  <c r="CK57" i="2"/>
  <c r="CK84" i="2"/>
  <c r="CO38" i="2"/>
  <c r="CQ36" i="2"/>
  <c r="CJ36" i="2" s="1"/>
  <c r="CQ45" i="2"/>
  <c r="CE45" i="2" s="1"/>
  <c r="CK66" i="2"/>
  <c r="CK71" i="2"/>
  <c r="DR55" i="2"/>
  <c r="DL67" i="2"/>
  <c r="DN83" i="2"/>
  <c r="DP68" i="2"/>
  <c r="DR57" i="2"/>
  <c r="DA57" i="2" s="1"/>
  <c r="DR56" i="2"/>
  <c r="DK56" i="2" s="1"/>
  <c r="DN61" i="2"/>
  <c r="BP91" i="2"/>
  <c r="AY91" i="2" s="1"/>
  <c r="BJ62" i="2"/>
  <c r="BJ45" i="2"/>
  <c r="BL66" i="2"/>
  <c r="BN40" i="2"/>
  <c r="BL70" i="2"/>
  <c r="BN83" i="2"/>
  <c r="BP54" i="2"/>
  <c r="AT54" i="2" s="1"/>
  <c r="BP53" i="2"/>
  <c r="BJ71" i="2"/>
  <c r="BN41" i="2"/>
  <c r="BN46" i="2"/>
  <c r="CQ57" i="2"/>
  <c r="CE57" i="2" s="1"/>
  <c r="CM53" i="2"/>
  <c r="CQ84" i="2"/>
  <c r="CE84" i="2" s="1"/>
  <c r="CO41" i="2"/>
  <c r="CM55" i="2"/>
  <c r="CK60" i="2"/>
  <c r="CO67" i="2"/>
  <c r="CM77" i="2"/>
  <c r="CK43" i="2"/>
  <c r="CO81" i="2"/>
  <c r="CO72" i="2"/>
  <c r="DP81" i="2"/>
  <c r="DL83" i="2"/>
  <c r="DL68" i="2"/>
  <c r="DL72" i="2"/>
  <c r="DL63" i="2"/>
  <c r="DP80" i="2"/>
  <c r="DP41" i="2"/>
  <c r="DP84" i="2"/>
  <c r="ES78" i="2"/>
  <c r="DW78" i="2" s="1"/>
  <c r="BP66" i="2"/>
  <c r="AY66" i="2" s="1"/>
  <c r="BL69" i="2"/>
  <c r="BL39" i="2"/>
  <c r="BL55" i="2"/>
  <c r="BN67" i="2"/>
  <c r="BN52" i="2"/>
  <c r="BN32" i="2"/>
  <c r="BJ42" i="2"/>
  <c r="BL82" i="2"/>
  <c r="BP41" i="2"/>
  <c r="AT41" i="2" s="1"/>
  <c r="BN43" i="2"/>
  <c r="CM63" i="2"/>
  <c r="CK38" i="2"/>
  <c r="CK47" i="2"/>
  <c r="CM52" i="2"/>
  <c r="CM31" i="2"/>
  <c r="CM43" i="2"/>
  <c r="CO69" i="2"/>
  <c r="CM40" i="2"/>
  <c r="DR70" i="2"/>
  <c r="DR83" i="2"/>
  <c r="DK83" i="2" s="1"/>
  <c r="DR58" i="2"/>
  <c r="DL64" i="2"/>
  <c r="DL57" i="2"/>
  <c r="DP44" i="2"/>
  <c r="DN38" i="2"/>
  <c r="DP51" i="2"/>
  <c r="DR46" i="2"/>
  <c r="DF46" i="2" s="1"/>
  <c r="BP69" i="2"/>
  <c r="BI69" i="2" s="1"/>
  <c r="BN69" i="2"/>
  <c r="BN81" i="2"/>
  <c r="BJ83" i="2"/>
  <c r="BL72" i="2"/>
  <c r="BJ72" i="2"/>
  <c r="BP42" i="2"/>
  <c r="BJ56" i="2"/>
  <c r="BL41" i="2"/>
  <c r="CO82" i="2"/>
  <c r="CO51" i="2"/>
  <c r="CO44" i="2"/>
  <c r="CK41" i="2"/>
  <c r="CK55" i="2"/>
  <c r="CK31" i="2"/>
  <c r="CM67" i="2"/>
  <c r="CO46" i="2"/>
  <c r="CO68" i="2"/>
  <c r="DN80" i="2"/>
  <c r="DR48" i="2"/>
  <c r="DN41" i="2"/>
  <c r="DP31" i="2"/>
  <c r="DP91" i="2"/>
  <c r="ES40" i="2"/>
  <c r="DW40" i="2" s="1"/>
  <c r="BN30" i="2"/>
  <c r="BL76" i="2"/>
  <c r="BJ40" i="2"/>
  <c r="BN70" i="2"/>
  <c r="BL68" i="2"/>
  <c r="BN63" i="2"/>
  <c r="BL32" i="2"/>
  <c r="BL43" i="2"/>
  <c r="BJ46" i="2"/>
  <c r="BP61" i="2"/>
  <c r="AT61" i="2" s="1"/>
  <c r="CM82" i="2"/>
  <c r="CO54" i="2"/>
  <c r="CM48" i="2"/>
  <c r="CO84" i="2"/>
  <c r="CM56" i="2"/>
  <c r="CO32" i="2"/>
  <c r="CK83" i="2"/>
  <c r="CK67" i="2"/>
  <c r="CO43" i="2"/>
  <c r="CM46" i="2"/>
  <c r="CQ61" i="2"/>
  <c r="CE61" i="2" s="1"/>
  <c r="CM62" i="2"/>
  <c r="CO70" i="2"/>
  <c r="CO39" i="2"/>
  <c r="DL55" i="2"/>
  <c r="DR86" i="2"/>
  <c r="DA86" i="2" s="1"/>
  <c r="DN44" i="2"/>
  <c r="DR47" i="2"/>
  <c r="DF47" i="2" s="1"/>
  <c r="DR36" i="2"/>
  <c r="DA36" i="2" s="1"/>
  <c r="DR77" i="2"/>
  <c r="DF77" i="2" s="1"/>
  <c r="EO40" i="2"/>
  <c r="BJ81" i="2"/>
  <c r="BL52" i="2"/>
  <c r="BJ80" i="2"/>
  <c r="BJ41" i="2"/>
  <c r="BP46" i="2"/>
  <c r="BI46" i="2" s="1"/>
  <c r="BJ61" i="2"/>
  <c r="CK54" i="2"/>
  <c r="CM42" i="2"/>
  <c r="CM41" i="2"/>
  <c r="CO76" i="2"/>
  <c r="CM58" i="2"/>
  <c r="DP52" i="2"/>
  <c r="DL79" i="2"/>
  <c r="DR38" i="2"/>
  <c r="CV38" i="2" s="1"/>
  <c r="DL38" i="2"/>
  <c r="DL41" i="2"/>
  <c r="DR84" i="2"/>
  <c r="DK84" i="2" s="1"/>
  <c r="DN31" i="2"/>
  <c r="DP61" i="2"/>
  <c r="DP50" i="2"/>
  <c r="DP45" i="2"/>
  <c r="FC31" i="2"/>
  <c r="BN59" i="2"/>
  <c r="BL30" i="2"/>
  <c r="BP67" i="2"/>
  <c r="BD67" i="2" s="1"/>
  <c r="BJ70" i="2"/>
  <c r="BJ52" i="2"/>
  <c r="BP83" i="2"/>
  <c r="AT83" i="2" s="1"/>
  <c r="BL86" i="2"/>
  <c r="BN92" i="2"/>
  <c r="BJ63" i="2"/>
  <c r="BN75" i="2"/>
  <c r="BL56" i="2"/>
  <c r="BL51" i="2"/>
  <c r="BN84" i="2"/>
  <c r="CK82" i="2"/>
  <c r="CQ38" i="2"/>
  <c r="CQ47" i="2"/>
  <c r="BZ47" i="2" s="1"/>
  <c r="CM50" i="2"/>
  <c r="CK45" i="2"/>
  <c r="CO66" i="2"/>
  <c r="CQ39" i="2"/>
  <c r="CK58" i="2"/>
  <c r="DP55" i="2"/>
  <c r="DR67" i="2"/>
  <c r="DA67" i="2" s="1"/>
  <c r="DP63" i="2"/>
  <c r="DL44" i="2"/>
  <c r="DR79" i="2"/>
  <c r="DA79" i="2" s="1"/>
  <c r="DR82" i="2"/>
  <c r="DN60" i="2"/>
  <c r="DN91" i="2"/>
  <c r="DR76" i="2"/>
  <c r="CV76" i="2" s="1"/>
  <c r="BP63" i="2"/>
  <c r="AY63" i="2" s="1"/>
  <c r="BP56" i="2"/>
  <c r="BI56" i="2" s="1"/>
  <c r="CQ75" i="2"/>
  <c r="BU75" i="2" s="1"/>
  <c r="CM91" i="2"/>
  <c r="CO92" i="2"/>
  <c r="CK39" i="2"/>
  <c r="CM68" i="2"/>
  <c r="DN58" i="2"/>
  <c r="DL52" i="2"/>
  <c r="DN63" i="2"/>
  <c r="DR44" i="2"/>
  <c r="DA44" i="2" s="1"/>
  <c r="DN75" i="2"/>
  <c r="DP75" i="2"/>
  <c r="DR80" i="2"/>
  <c r="DA80" i="2" s="1"/>
  <c r="DN51" i="2"/>
  <c r="DN84" i="2"/>
  <c r="DN50" i="2"/>
  <c r="DR50" i="2"/>
  <c r="DP59" i="2"/>
  <c r="DN45" i="2"/>
  <c r="BJ59" i="2"/>
  <c r="BP81" i="2"/>
  <c r="AY81" i="2" s="1"/>
  <c r="BP58" i="2"/>
  <c r="BN57" i="2"/>
  <c r="BL71" i="2"/>
  <c r="BL38" i="2"/>
  <c r="BN37" i="2"/>
  <c r="BL80" i="2"/>
  <c r="AT36" i="2"/>
  <c r="BL84" i="2"/>
  <c r="BN61" i="2"/>
  <c r="CQ48" i="2"/>
  <c r="CO57" i="2"/>
  <c r="CQ91" i="2"/>
  <c r="CJ91" i="2" s="1"/>
  <c r="CK36" i="2"/>
  <c r="CO55" i="2"/>
  <c r="CK76" i="2"/>
  <c r="CK46" i="2"/>
  <c r="CK50" i="2"/>
  <c r="CM81" i="2"/>
  <c r="CK40" i="2"/>
  <c r="CO71" i="2"/>
  <c r="CQ68" i="2"/>
  <c r="BU68" i="2" s="1"/>
  <c r="DP70" i="2"/>
  <c r="DN52" i="2"/>
  <c r="DR52" i="2"/>
  <c r="DF52" i="2" s="1"/>
  <c r="DP92" i="2"/>
  <c r="CV57" i="2"/>
  <c r="DN42" i="2"/>
  <c r="DP48" i="2"/>
  <c r="DR41" i="2"/>
  <c r="CV41" i="2" s="1"/>
  <c r="DP32" i="2"/>
  <c r="DP77" i="2"/>
  <c r="ES52" i="2"/>
  <c r="DW52" i="2" s="1"/>
  <c r="FP76" i="2"/>
  <c r="FP79" i="2"/>
  <c r="FT70" i="2"/>
  <c r="FM70" i="2" s="1"/>
  <c r="FN81" i="2"/>
  <c r="FP66" i="2"/>
  <c r="FT67" i="2"/>
  <c r="FC67" i="2" s="1"/>
  <c r="FT92" i="2"/>
  <c r="EX92" i="2" s="1"/>
  <c r="BN88" i="2"/>
  <c r="BN89" i="2"/>
  <c r="BJ89" i="2"/>
  <c r="ES39" i="2"/>
  <c r="EG39" i="2" s="1"/>
  <c r="DL78" i="2"/>
  <c r="DN62" i="2"/>
  <c r="DN59" i="2"/>
  <c r="EM73" i="2"/>
  <c r="EM69" i="2"/>
  <c r="ES67" i="2"/>
  <c r="EO70" i="2"/>
  <c r="EQ52" i="2"/>
  <c r="EQ83" i="2"/>
  <c r="EO68" i="2"/>
  <c r="EQ92" i="2"/>
  <c r="EQ51" i="2"/>
  <c r="EO72" i="2"/>
  <c r="EQ57" i="2"/>
  <c r="EM71" i="2"/>
  <c r="EO75" i="2"/>
  <c r="DW38" i="2"/>
  <c r="EQ84" i="2"/>
  <c r="ES61" i="2"/>
  <c r="DW61" i="2" s="1"/>
  <c r="FN77" i="2"/>
  <c r="FP58" i="2"/>
  <c r="FN52" i="2"/>
  <c r="FN80" i="2"/>
  <c r="FM48" i="2"/>
  <c r="FN51" i="2"/>
  <c r="CQ90" i="2"/>
  <c r="BZ90" i="2" s="1"/>
  <c r="FT40" i="2"/>
  <c r="FH40" i="2" s="1"/>
  <c r="FT42" i="2"/>
  <c r="FH42" i="2" s="1"/>
  <c r="DN46" i="2"/>
  <c r="DR62" i="2"/>
  <c r="DA62" i="2" s="1"/>
  <c r="DN77" i="2"/>
  <c r="EO59" i="2"/>
  <c r="EM78" i="2"/>
  <c r="EQ70" i="2"/>
  <c r="EO63" i="2"/>
  <c r="ES71" i="2"/>
  <c r="EB71" i="2" s="1"/>
  <c r="EQ75" i="2"/>
  <c r="EM82" i="2"/>
  <c r="EM47" i="2"/>
  <c r="ES46" i="2"/>
  <c r="EG46" i="2" s="1"/>
  <c r="FN76" i="2"/>
  <c r="FN79" i="2"/>
  <c r="FT79" i="2"/>
  <c r="EX79" i="2" s="1"/>
  <c r="FT45" i="2"/>
  <c r="FM45" i="2" s="1"/>
  <c r="FN66" i="2"/>
  <c r="FP55" i="2"/>
  <c r="FR78" i="2"/>
  <c r="FP53" i="2"/>
  <c r="FT80" i="2"/>
  <c r="EX80" i="2" s="1"/>
  <c r="DL88" i="2"/>
  <c r="DL89" i="2"/>
  <c r="EM46" i="2"/>
  <c r="FT91" i="2"/>
  <c r="FH91" i="2" s="1"/>
  <c r="FR50" i="2"/>
  <c r="FN61" i="2"/>
  <c r="BL90" i="2"/>
  <c r="DR90" i="2"/>
  <c r="DR69" i="2"/>
  <c r="DA69" i="2" s="1"/>
  <c r="EO69" i="2"/>
  <c r="EM81" i="2"/>
  <c r="FC81" i="2"/>
  <c r="FR71" i="2"/>
  <c r="FT53" i="2"/>
  <c r="FC53" i="2" s="1"/>
  <c r="FP80" i="2"/>
  <c r="FR46" i="2"/>
  <c r="FR56" i="2"/>
  <c r="FR47" i="2"/>
  <c r="FN84" i="2"/>
  <c r="FP50" i="2"/>
  <c r="FN69" i="2"/>
  <c r="FR61" i="2"/>
  <c r="EM90" i="2"/>
  <c r="EO90" i="2"/>
  <c r="FT44" i="2"/>
  <c r="FH44" i="2" s="1"/>
  <c r="DL69" i="2"/>
  <c r="ES62" i="2"/>
  <c r="EL62" i="2" s="1"/>
  <c r="EO78" i="2"/>
  <c r="EM77" i="2"/>
  <c r="ES79" i="2"/>
  <c r="EQ54" i="2"/>
  <c r="EQ61" i="2"/>
  <c r="EM50" i="2"/>
  <c r="FP37" i="2"/>
  <c r="FR63" i="2"/>
  <c r="FT68" i="2"/>
  <c r="FC68" i="2" s="1"/>
  <c r="FT83" i="2"/>
  <c r="FH83" i="2" s="1"/>
  <c r="FN78" i="2"/>
  <c r="FP71" i="2"/>
  <c r="FN82" i="2"/>
  <c r="FR48" i="2"/>
  <c r="FP47" i="2"/>
  <c r="FR60" i="2"/>
  <c r="FR59" i="2"/>
  <c r="BJ88" i="2"/>
  <c r="CO88" i="2"/>
  <c r="EM62" i="2"/>
  <c r="EQ69" i="2"/>
  <c r="EQ63" i="2"/>
  <c r="EO71" i="2"/>
  <c r="EQ82" i="2"/>
  <c r="EO47" i="2"/>
  <c r="FT55" i="2"/>
  <c r="FH55" i="2" s="1"/>
  <c r="FT78" i="2"/>
  <c r="EX78" i="2" s="1"/>
  <c r="FN46" i="2"/>
  <c r="FP56" i="2"/>
  <c r="FN60" i="2"/>
  <c r="FT84" i="2"/>
  <c r="FM84" i="2" s="1"/>
  <c r="FP59" i="2"/>
  <c r="FR54" i="2"/>
  <c r="FR88" i="2"/>
  <c r="EQ90" i="2"/>
  <c r="FT39" i="2"/>
  <c r="FC39" i="2" s="1"/>
  <c r="ES43" i="2"/>
  <c r="DW43" i="2" s="1"/>
  <c r="DR61" i="2"/>
  <c r="DK61" i="2" s="1"/>
  <c r="DR59" i="2"/>
  <c r="DK59" i="2" s="1"/>
  <c r="DP76" i="2"/>
  <c r="EQ78" i="2"/>
  <c r="ES76" i="2"/>
  <c r="EB76" i="2" s="1"/>
  <c r="EO79" i="2"/>
  <c r="EM66" i="2"/>
  <c r="EO67" i="2"/>
  <c r="EM52" i="2"/>
  <c r="ES86" i="2"/>
  <c r="EQ71" i="2"/>
  <c r="ES37" i="2"/>
  <c r="EM80" i="2"/>
  <c r="EO48" i="2"/>
  <c r="EO50" i="2"/>
  <c r="FN63" i="2"/>
  <c r="FT75" i="2"/>
  <c r="FH75" i="2" s="1"/>
  <c r="FT82" i="2"/>
  <c r="FH82" i="2" s="1"/>
  <c r="FP48" i="2"/>
  <c r="FT60" i="2"/>
  <c r="FM60" i="2" s="1"/>
  <c r="FP62" i="2"/>
  <c r="FP54" i="2"/>
  <c r="DN88" i="2"/>
  <c r="ES30" i="2"/>
  <c r="EL30" i="2" s="1"/>
  <c r="DP78" i="2"/>
  <c r="DR73" i="2"/>
  <c r="DK73" i="2" s="1"/>
  <c r="DN76" i="2"/>
  <c r="DL77" i="2"/>
  <c r="DL66" i="2"/>
  <c r="EO64" i="2"/>
  <c r="EM76" i="2"/>
  <c r="EQ79" i="2"/>
  <c r="EO66" i="2"/>
  <c r="ES55" i="2"/>
  <c r="EQ86" i="2"/>
  <c r="EM37" i="2"/>
  <c r="EQ47" i="2"/>
  <c r="FN37" i="2"/>
  <c r="FR45" i="2"/>
  <c r="FT63" i="2"/>
  <c r="FM63" i="2" s="1"/>
  <c r="FN68" i="2"/>
  <c r="FR86" i="2"/>
  <c r="FP52" i="2"/>
  <c r="FN71" i="2"/>
  <c r="FR51" i="2"/>
  <c r="FT56" i="2"/>
  <c r="FC56" i="2" s="1"/>
  <c r="FT50" i="2"/>
  <c r="FN62" i="2"/>
  <c r="BL88" i="2"/>
  <c r="CM88" i="2"/>
  <c r="BP88" i="2"/>
  <c r="AY88" i="2" s="1"/>
  <c r="BL89" i="2"/>
  <c r="CM89" i="2"/>
  <c r="EO45" i="2"/>
  <c r="ES60" i="2"/>
  <c r="EG60" i="2" s="1"/>
  <c r="EO55" i="2"/>
  <c r="EM55" i="2"/>
  <c r="EQ67" i="2"/>
  <c r="EQ81" i="2"/>
  <c r="EM58" i="2"/>
  <c r="EM86" i="2"/>
  <c r="ES54" i="2"/>
  <c r="EG54" i="2" s="1"/>
  <c r="ES75" i="2"/>
  <c r="ES56" i="2"/>
  <c r="EG56" i="2" s="1"/>
  <c r="EM48" i="2"/>
  <c r="EO46" i="2"/>
  <c r="EQ50" i="2"/>
  <c r="FR32" i="2"/>
  <c r="FT37" i="2"/>
  <c r="FC37" i="2" s="1"/>
  <c r="FP63" i="2"/>
  <c r="FR67" i="2"/>
  <c r="FN58" i="2"/>
  <c r="FT71" i="2"/>
  <c r="FC71" i="2" s="1"/>
  <c r="FP51" i="2"/>
  <c r="FN59" i="2"/>
  <c r="FN54" i="2"/>
  <c r="FP89" i="2"/>
  <c r="CQ89" i="2"/>
  <c r="DP46" i="2"/>
  <c r="DL45" i="2"/>
  <c r="DN66" i="2"/>
  <c r="EO52" i="2"/>
  <c r="EO86" i="2"/>
  <c r="EO53" i="2"/>
  <c r="ES53" i="2"/>
  <c r="EG53" i="2" s="1"/>
  <c r="EO37" i="2"/>
  <c r="EO56" i="2"/>
  <c r="EO80" i="2"/>
  <c r="EQ48" i="2"/>
  <c r="FP86" i="2"/>
  <c r="FP72" i="2"/>
  <c r="FT51" i="2"/>
  <c r="FH51" i="2" s="1"/>
  <c r="FT62" i="2"/>
  <c r="FC62" i="2" s="1"/>
  <c r="FT54" i="2"/>
  <c r="DN90" i="2"/>
  <c r="CK89" i="2"/>
  <c r="BP89" i="2"/>
  <c r="BI89" i="2" s="1"/>
  <c r="DR66" i="2"/>
  <c r="DK66" i="2" s="1"/>
  <c r="EQ76" i="2"/>
  <c r="ES58" i="2"/>
  <c r="EG58" i="2" s="1"/>
  <c r="ES83" i="2"/>
  <c r="EG83" i="2" s="1"/>
  <c r="ES68" i="2"/>
  <c r="ES92" i="2"/>
  <c r="EG92" i="2" s="1"/>
  <c r="ES72" i="2"/>
  <c r="EL72" i="2" s="1"/>
  <c r="EQ53" i="2"/>
  <c r="EM53" i="2"/>
  <c r="EM75" i="2"/>
  <c r="EQ37" i="2"/>
  <c r="FP32" i="2"/>
  <c r="FR77" i="2"/>
  <c r="FP45" i="2"/>
  <c r="FR81" i="2"/>
  <c r="FP67" i="2"/>
  <c r="FR92" i="2"/>
  <c r="FT58" i="2"/>
  <c r="FM58" i="2" s="1"/>
  <c r="FP60" i="2"/>
  <c r="FT59" i="2"/>
  <c r="FM59" i="2" s="1"/>
  <c r="CQ88" i="2"/>
  <c r="BZ88" i="2" s="1"/>
  <c r="CO90" i="2"/>
  <c r="CK88" i="2"/>
  <c r="ES89" i="2"/>
  <c r="EB89" i="2" s="1"/>
  <c r="DP66" i="2"/>
  <c r="EQ62" i="2"/>
  <c r="EO76" i="2"/>
  <c r="EQ66" i="2"/>
  <c r="ES69" i="2"/>
  <c r="EM83" i="2"/>
  <c r="ES32" i="2"/>
  <c r="DW32" i="2" s="1"/>
  <c r="EM92" i="2"/>
  <c r="EM72" i="2"/>
  <c r="ES57" i="2"/>
  <c r="EQ80" i="2"/>
  <c r="EM84" i="2"/>
  <c r="FR72" i="2"/>
  <c r="FR80" i="2"/>
  <c r="FP88" i="2"/>
  <c r="FR90" i="2"/>
  <c r="BP90" i="2"/>
  <c r="AT90" i="2" s="1"/>
  <c r="ES90" i="2"/>
  <c r="FT41" i="2"/>
  <c r="FM41" i="2" s="1"/>
  <c r="EM91" i="2"/>
  <c r="EM45" i="2"/>
  <c r="EM60" i="2"/>
  <c r="ES70" i="2"/>
  <c r="EG70" i="2" s="1"/>
  <c r="EM57" i="2"/>
  <c r="EO84" i="2"/>
  <c r="FR76" i="2"/>
  <c r="FT77" i="2"/>
  <c r="FP77" i="2"/>
  <c r="FR79" i="2"/>
  <c r="FN45" i="2"/>
  <c r="FR70" i="2"/>
  <c r="FN86" i="2"/>
  <c r="FN72" i="2"/>
  <c r="FP92" i="2"/>
  <c r="FR52" i="2"/>
  <c r="FN56" i="2"/>
  <c r="FT90" i="2"/>
  <c r="FC90" i="2" s="1"/>
  <c r="DP89" i="2"/>
  <c r="DL76" i="2"/>
  <c r="EO60" i="2"/>
  <c r="EM70" i="2"/>
  <c r="EO83" i="2"/>
  <c r="EO92" i="2"/>
  <c r="ES63" i="2"/>
  <c r="ES82" i="2"/>
  <c r="ES84" i="2"/>
  <c r="EG84" i="2" s="1"/>
  <c r="FN32" i="2"/>
  <c r="FN70" i="2"/>
  <c r="FR66" i="2"/>
  <c r="FR83" i="2"/>
  <c r="FT86" i="2"/>
  <c r="FH86" i="2" s="1"/>
  <c r="FN67" i="2"/>
  <c r="FT72" i="2"/>
  <c r="FN92" i="2"/>
  <c r="FR58" i="2"/>
  <c r="FP57" i="2"/>
  <c r="FR91" i="2"/>
  <c r="EX48" i="2"/>
  <c r="FR84" i="2"/>
  <c r="FT61" i="2"/>
  <c r="FC61" i="2" s="1"/>
  <c r="FN90" i="2"/>
  <c r="FN89" i="2"/>
  <c r="FT89" i="2"/>
  <c r="EX89" i="2" s="1"/>
  <c r="CQ66" i="2"/>
  <c r="BU66" i="2" s="1"/>
  <c r="DL73" i="2"/>
  <c r="DP73" i="2"/>
  <c r="FR73" i="2"/>
  <c r="BP73" i="2"/>
  <c r="BD73" i="2" s="1"/>
  <c r="CK33" i="2"/>
  <c r="FP73" i="2"/>
  <c r="CO73" i="2"/>
  <c r="ES73" i="2"/>
  <c r="EB73" i="2" s="1"/>
  <c r="EQ73" i="2"/>
  <c r="CQ73" i="2"/>
  <c r="BU73" i="2" s="1"/>
  <c r="FN73" i="2"/>
  <c r="CM73" i="2"/>
  <c r="FT73" i="2"/>
  <c r="FC73" i="2" s="1"/>
  <c r="DN73" i="2"/>
  <c r="EO73" i="2"/>
  <c r="DR33" i="2"/>
  <c r="DA33" i="2" s="1"/>
  <c r="EM33" i="2"/>
  <c r="BJ33" i="2"/>
  <c r="FN64" i="2"/>
  <c r="BN64" i="2"/>
  <c r="BN33" i="2"/>
  <c r="BP64" i="2"/>
  <c r="BD64" i="2" s="1"/>
  <c r="DP64" i="2"/>
  <c r="CM64" i="2"/>
  <c r="DN64" i="2"/>
  <c r="EO33" i="2"/>
  <c r="FR33" i="2"/>
  <c r="CK64" i="2"/>
  <c r="EQ33" i="2"/>
  <c r="FP33" i="2"/>
  <c r="CO64" i="2"/>
  <c r="CO33" i="2"/>
  <c r="BJ64" i="2"/>
  <c r="CQ33" i="2"/>
  <c r="BU33" i="2" s="1"/>
  <c r="BL33" i="2"/>
  <c r="EM64" i="2"/>
  <c r="FN33" i="2"/>
  <c r="DP33" i="2"/>
  <c r="DR64" i="2"/>
  <c r="DA64" i="2" s="1"/>
  <c r="BL64" i="2"/>
  <c r="CM33" i="2"/>
  <c r="DN33" i="2"/>
  <c r="FR64" i="2"/>
  <c r="FP64" i="2"/>
  <c r="EQ64" i="2"/>
  <c r="FT64" i="2"/>
  <c r="FH64" i="2" s="1"/>
  <c r="DL33" i="2"/>
  <c r="FT33" i="2"/>
  <c r="BP33" i="2"/>
  <c r="ES33" i="2"/>
  <c r="DW33" i="2" s="1"/>
  <c r="ES64" i="2"/>
  <c r="EG64" i="2" s="1"/>
  <c r="DR51" i="2"/>
  <c r="DF51" i="2" s="1"/>
  <c r="ES51" i="2"/>
  <c r="EL51" i="2" s="1"/>
  <c r="BP51" i="2"/>
  <c r="FT88" i="2"/>
  <c r="FH88" i="2" s="1"/>
  <c r="ES88" i="2"/>
  <c r="EL88" i="2" s="1"/>
  <c r="DR88" i="2"/>
  <c r="DK88" i="2" s="1"/>
  <c r="ES87" i="2"/>
  <c r="EG87" i="2" s="1"/>
  <c r="CK87" i="2"/>
  <c r="BP35" i="2"/>
  <c r="BI35" i="2" s="1"/>
  <c r="BN35" i="2"/>
  <c r="CO49" i="2"/>
  <c r="DR49" i="2"/>
  <c r="DK49" i="2" s="1"/>
  <c r="FP87" i="2"/>
  <c r="FT35" i="2"/>
  <c r="FC35" i="2" s="1"/>
  <c r="FT87" i="2"/>
  <c r="EX87" i="2" s="1"/>
  <c r="CM87" i="2"/>
  <c r="DL87" i="2"/>
  <c r="FP49" i="2"/>
  <c r="DN87" i="2"/>
  <c r="FN35" i="2"/>
  <c r="BN87" i="2"/>
  <c r="CQ35" i="2"/>
  <c r="BZ35" i="2" s="1"/>
  <c r="EL87" i="2"/>
  <c r="DL49" i="2"/>
  <c r="EQ35" i="2"/>
  <c r="BL35" i="2"/>
  <c r="DP35" i="2"/>
  <c r="FN87" i="2"/>
  <c r="CO87" i="2"/>
  <c r="CK35" i="2"/>
  <c r="DN35" i="2"/>
  <c r="ES35" i="2"/>
  <c r="EL35" i="2" s="1"/>
  <c r="BJ35" i="2"/>
  <c r="EM35" i="2"/>
  <c r="EO35" i="2"/>
  <c r="DL35" i="2"/>
  <c r="BL87" i="2"/>
  <c r="CQ87" i="2"/>
  <c r="CE87" i="2" s="1"/>
  <c r="CM35" i="2"/>
  <c r="BP87" i="2"/>
  <c r="BI87" i="2" s="1"/>
  <c r="DP87" i="2"/>
  <c r="FR35" i="2"/>
  <c r="BJ87" i="2"/>
  <c r="EM87" i="2"/>
  <c r="FP35" i="2"/>
  <c r="FR87" i="2"/>
  <c r="DR87" i="2"/>
  <c r="CV87" i="2" s="1"/>
  <c r="EO87" i="2"/>
  <c r="CO35" i="2"/>
  <c r="EQ87" i="2"/>
  <c r="BP49" i="2"/>
  <c r="AY49" i="2" s="1"/>
  <c r="CQ49" i="2"/>
  <c r="CE49" i="2" s="1"/>
  <c r="EQ49" i="2"/>
  <c r="FR49" i="2"/>
  <c r="BN49" i="2"/>
  <c r="CM49" i="2"/>
  <c r="FN49" i="2"/>
  <c r="CK49" i="2"/>
  <c r="EO49" i="2"/>
  <c r="FT49" i="2"/>
  <c r="EX49" i="2" s="1"/>
  <c r="BL49" i="2"/>
  <c r="DP49" i="2"/>
  <c r="DR35" i="2"/>
  <c r="DF35" i="2" s="1"/>
  <c r="BJ49" i="2"/>
  <c r="DN49" i="2"/>
  <c r="EM49" i="2"/>
  <c r="ES49" i="2"/>
  <c r="AF32" i="59"/>
  <c r="AF32" i="58"/>
  <c r="AD32" i="59"/>
  <c r="AD32" i="58"/>
  <c r="AD67" i="53"/>
  <c r="AF67" i="53"/>
  <c r="BJ85" i="2"/>
  <c r="CM85" i="2"/>
  <c r="FN65" i="2"/>
  <c r="BL85" i="2"/>
  <c r="BL65" i="2"/>
  <c r="DN74" i="2"/>
  <c r="CQ85" i="2"/>
  <c r="BU85" i="2" s="1"/>
  <c r="BP74" i="2"/>
  <c r="AT74" i="2" s="1"/>
  <c r="ES74" i="2"/>
  <c r="DW74" i="2" s="1"/>
  <c r="DP65" i="2"/>
  <c r="CO85" i="2"/>
  <c r="CO65" i="2"/>
  <c r="DR74" i="2"/>
  <c r="DA74" i="2" s="1"/>
  <c r="DN65" i="2"/>
  <c r="DL85" i="2"/>
  <c r="FT65" i="2"/>
  <c r="FM65" i="2" s="1"/>
  <c r="FN85" i="2"/>
  <c r="BN65" i="2"/>
  <c r="CQ65" i="2"/>
  <c r="BZ65" i="2" s="1"/>
  <c r="DP74" i="2"/>
  <c r="DN85" i="2"/>
  <c r="EQ74" i="2"/>
  <c r="EQ65" i="2"/>
  <c r="FR74" i="2"/>
  <c r="CO74" i="2"/>
  <c r="EM65" i="2"/>
  <c r="EM74" i="2"/>
  <c r="BN85" i="2"/>
  <c r="DR85" i="2"/>
  <c r="DR65" i="2"/>
  <c r="EM85" i="2"/>
  <c r="FP74" i="2"/>
  <c r="CK74" i="2"/>
  <c r="ES65" i="2"/>
  <c r="EL65" i="2" s="1"/>
  <c r="ES85" i="2"/>
  <c r="EG85" i="2" s="1"/>
  <c r="FR65" i="2"/>
  <c r="FT85" i="2"/>
  <c r="FH85" i="2" s="1"/>
  <c r="FP85" i="2"/>
  <c r="BP85" i="2"/>
  <c r="BI85" i="2" s="1"/>
  <c r="CM65" i="2"/>
  <c r="DL74" i="2"/>
  <c r="DP85" i="2"/>
  <c r="EO85" i="2"/>
  <c r="FT74" i="2"/>
  <c r="FH74" i="2" s="1"/>
  <c r="FP65" i="2"/>
  <c r="BN74" i="2"/>
  <c r="BP65" i="2"/>
  <c r="BJ65" i="2"/>
  <c r="BL74" i="2"/>
  <c r="CQ74" i="2"/>
  <c r="CJ74" i="2" s="1"/>
  <c r="DL65" i="2"/>
  <c r="EO74" i="2"/>
  <c r="EQ85" i="2"/>
  <c r="BJ74" i="2"/>
  <c r="CK85" i="2"/>
  <c r="CK65" i="2"/>
  <c r="CM74" i="2"/>
  <c r="EO65" i="2"/>
  <c r="FN74" i="2"/>
  <c r="FR85" i="2"/>
  <c r="FT34" i="2"/>
  <c r="EX34" i="2" s="1"/>
  <c r="FP34" i="2"/>
  <c r="EO34" i="2"/>
  <c r="FR34" i="2"/>
  <c r="FN34" i="2"/>
  <c r="AC56" i="52"/>
  <c r="AC55" i="53"/>
  <c r="N65" i="53"/>
  <c r="X40" i="52"/>
  <c r="M65" i="55"/>
  <c r="AC55" i="54"/>
  <c r="W40" i="52"/>
  <c r="AF32" i="54"/>
  <c r="AF32" i="53"/>
  <c r="AF32" i="55"/>
  <c r="AF32" i="52"/>
  <c r="EQ34" i="2"/>
  <c r="AD32" i="52"/>
  <c r="AD32" i="53"/>
  <c r="AD32" i="54"/>
  <c r="ES34" i="2"/>
  <c r="EB34" i="2" s="1"/>
  <c r="D50" i="54"/>
  <c r="CQ34" i="2"/>
  <c r="BU34" i="2" s="1"/>
  <c r="DN34" i="2"/>
  <c r="EM34" i="2"/>
  <c r="D49" i="55"/>
  <c r="DR34" i="2"/>
  <c r="DA34" i="2" s="1"/>
  <c r="AC54" i="52"/>
  <c r="DL34" i="2"/>
  <c r="AC57" i="52"/>
  <c r="BN34" i="2"/>
  <c r="BJ34" i="2"/>
  <c r="DP34" i="2"/>
  <c r="L65" i="52"/>
  <c r="BL34" i="2"/>
  <c r="N65" i="52"/>
  <c r="AC57" i="55"/>
  <c r="AC54" i="54"/>
  <c r="L65" i="54"/>
  <c r="N65" i="54"/>
  <c r="Y40" i="55"/>
  <c r="Y40" i="54"/>
  <c r="D49" i="54"/>
  <c r="M40" i="54"/>
  <c r="M65" i="53"/>
  <c r="N65" i="55"/>
  <c r="X40" i="54"/>
  <c r="N40" i="54"/>
  <c r="N40" i="53"/>
  <c r="M40" i="52"/>
  <c r="N40" i="52"/>
  <c r="M40" i="53"/>
  <c r="W40" i="54"/>
  <c r="D49" i="52"/>
  <c r="L65" i="55"/>
  <c r="CM34" i="2"/>
  <c r="AC54" i="55"/>
  <c r="CK34" i="2"/>
  <c r="D50" i="53"/>
  <c r="AC56" i="55"/>
  <c r="AC56" i="53"/>
  <c r="W40" i="55"/>
  <c r="D50" i="52"/>
  <c r="M40" i="55"/>
  <c r="BP34" i="2"/>
  <c r="AY34" i="2" s="1"/>
  <c r="CO34" i="2"/>
  <c r="X40" i="53"/>
  <c r="D49" i="53"/>
  <c r="AC56" i="54"/>
  <c r="Y40" i="52"/>
  <c r="W40" i="53"/>
  <c r="AC54" i="53"/>
  <c r="L65" i="53"/>
  <c r="AC57" i="54"/>
  <c r="Y40" i="53"/>
  <c r="AC57" i="53"/>
  <c r="I5" i="52"/>
  <c r="AC20" i="52" s="1"/>
  <c r="AC14" i="55"/>
  <c r="N5" i="55" s="1"/>
  <c r="R30" i="54"/>
  <c r="AC14" i="54"/>
  <c r="N5" i="54" s="1"/>
  <c r="R5" i="52"/>
  <c r="O5" i="52" s="1"/>
  <c r="AC16" i="55"/>
  <c r="O30" i="55" s="1"/>
  <c r="S5" i="54"/>
  <c r="D14" i="54" s="1"/>
  <c r="N30" i="57"/>
  <c r="Y5" i="56"/>
  <c r="M5" i="59"/>
  <c r="O30" i="58"/>
  <c r="AC20" i="58"/>
  <c r="N30" i="59"/>
  <c r="AC15" i="54"/>
  <c r="D15" i="54" s="1"/>
  <c r="H5" i="52"/>
  <c r="M30" i="52" s="1"/>
  <c r="U5" i="53"/>
  <c r="AC19" i="53" s="1"/>
  <c r="U5" i="54"/>
  <c r="AC19" i="54" s="1"/>
  <c r="H5" i="54"/>
  <c r="M30" i="54" s="1"/>
  <c r="R30" i="52"/>
  <c r="D16" i="52" s="1"/>
  <c r="D19" i="54"/>
  <c r="D14" i="57"/>
  <c r="N30" i="56"/>
  <c r="N30" i="58"/>
  <c r="X5" i="56"/>
  <c r="AC13" i="55"/>
  <c r="R30" i="55"/>
  <c r="D14" i="58"/>
  <c r="O30" i="59"/>
  <c r="J5" i="52"/>
  <c r="W5" i="52" s="1"/>
  <c r="S30" i="54"/>
  <c r="M5" i="54" s="1"/>
  <c r="AC16" i="53"/>
  <c r="O30" i="53" s="1"/>
  <c r="T5" i="52"/>
  <c r="N30" i="52" s="1"/>
  <c r="G5" i="54"/>
  <c r="AC22" i="59"/>
  <c r="D14" i="56"/>
  <c r="S5" i="55"/>
  <c r="D14" i="55" s="1"/>
  <c r="D19" i="52"/>
  <c r="L5" i="52" s="1"/>
  <c r="AC14" i="52"/>
  <c r="N5" i="52" s="1"/>
  <c r="AC14" i="53"/>
  <c r="N5" i="53" s="1"/>
  <c r="S5" i="52"/>
  <c r="D14" i="52" s="1"/>
  <c r="D21" i="52"/>
  <c r="AC21" i="52" s="1"/>
  <c r="Y5" i="58"/>
  <c r="W5" i="57"/>
  <c r="L30" i="57"/>
  <c r="U30" i="55"/>
  <c r="AC22" i="55" s="1"/>
  <c r="I5" i="55"/>
  <c r="AC20" i="55" s="1"/>
  <c r="AC19" i="58"/>
  <c r="Y5" i="57"/>
  <c r="AC20" i="59"/>
  <c r="AC22" i="57"/>
  <c r="L30" i="56"/>
  <c r="U5" i="55"/>
  <c r="AC19" i="55" s="1"/>
  <c r="AC13" i="52"/>
  <c r="X5" i="58"/>
  <c r="N5" i="56"/>
  <c r="AC22" i="58"/>
  <c r="M30" i="59"/>
  <c r="J5" i="55"/>
  <c r="T30" i="55"/>
  <c r="Y5" i="55" s="1"/>
  <c r="AC16" i="54"/>
  <c r="O30" i="54" s="1"/>
  <c r="M5" i="58"/>
  <c r="AC19" i="59"/>
  <c r="AC20" i="57"/>
  <c r="D22" i="55"/>
  <c r="L30" i="55" s="1"/>
  <c r="U30" i="52"/>
  <c r="AC22" i="52" s="1"/>
  <c r="R5" i="55"/>
  <c r="D21" i="54"/>
  <c r="AC21" i="54" s="1"/>
  <c r="AC13" i="53"/>
  <c r="AC21" i="59"/>
  <c r="AC19" i="56"/>
  <c r="I5" i="54"/>
  <c r="AC20" i="54" s="1"/>
  <c r="D20" i="52"/>
  <c r="M30" i="57"/>
  <c r="N5" i="58"/>
  <c r="W5" i="59"/>
  <c r="D15" i="58"/>
  <c r="J5" i="54"/>
  <c r="D22" i="52"/>
  <c r="L30" i="52" s="1"/>
  <c r="S30" i="52"/>
  <c r="AC21" i="58"/>
  <c r="X5" i="57"/>
  <c r="AC21" i="57"/>
  <c r="N5" i="59"/>
  <c r="M30" i="58"/>
  <c r="D14" i="59"/>
  <c r="AC15" i="53"/>
  <c r="D15" i="53" s="1"/>
  <c r="D21" i="55"/>
  <c r="AC21" i="55" s="1"/>
  <c r="G5" i="52"/>
  <c r="H5" i="55"/>
  <c r="M30" i="55" s="1"/>
  <c r="D20" i="54"/>
  <c r="X5" i="54" s="1"/>
  <c r="AC15" i="55"/>
  <c r="D15" i="55" s="1"/>
  <c r="L30" i="58"/>
  <c r="X5" i="59"/>
  <c r="U30" i="54"/>
  <c r="AC22" i="54" s="1"/>
  <c r="T30" i="52"/>
  <c r="Y5" i="52" s="1"/>
  <c r="S30" i="55"/>
  <c r="M5" i="55" s="1"/>
  <c r="T5" i="55"/>
  <c r="N30" i="55" s="1"/>
  <c r="M30" i="56"/>
  <c r="M5" i="57"/>
  <c r="AC19" i="57"/>
  <c r="R5" i="53"/>
  <c r="D22" i="54"/>
  <c r="L30" i="54" s="1"/>
  <c r="T5" i="53"/>
  <c r="N30" i="53" s="1"/>
  <c r="T5" i="54"/>
  <c r="N30" i="54" s="1"/>
  <c r="G5" i="55"/>
  <c r="D20" i="55"/>
  <c r="X5" i="55" s="1"/>
  <c r="AC20" i="56"/>
  <c r="L30" i="59"/>
  <c r="N5" i="57"/>
  <c r="AC21" i="56"/>
  <c r="AC16" i="52"/>
  <c r="O30" i="52" s="1"/>
  <c r="R5" i="54"/>
  <c r="T30" i="54"/>
  <c r="Y5" i="54" s="1"/>
  <c r="Y5" i="59"/>
  <c r="W5" i="58"/>
  <c r="M5" i="56"/>
  <c r="W5" i="56"/>
  <c r="AC22" i="56"/>
  <c r="AC13" i="54"/>
  <c r="U5" i="52"/>
  <c r="AC19" i="52" s="1"/>
  <c r="D19" i="55"/>
  <c r="S5" i="53"/>
  <c r="D14" i="53" s="1"/>
  <c r="G29" i="39"/>
  <c r="CE96" i="2" l="1"/>
  <c r="BO96" i="2"/>
  <c r="CV95" i="2"/>
  <c r="DW93" i="2"/>
  <c r="CP93" i="2"/>
  <c r="DF95" i="2"/>
  <c r="BM93" i="2"/>
  <c r="CL94" i="2"/>
  <c r="CN93" i="2"/>
  <c r="DQ93" i="2"/>
  <c r="CV93" i="2"/>
  <c r="EX93" i="2"/>
  <c r="FH93" i="2"/>
  <c r="FM94" i="2"/>
  <c r="BZ96" i="2"/>
  <c r="FM93" i="2"/>
  <c r="CJ96" i="2"/>
  <c r="EL93" i="2"/>
  <c r="CN95" i="2"/>
  <c r="EG93" i="2"/>
  <c r="BU93" i="2"/>
  <c r="BK95" i="2"/>
  <c r="FQ94" i="2"/>
  <c r="BK97" i="2"/>
  <c r="BD97" i="2"/>
  <c r="DM95" i="2"/>
  <c r="BZ97" i="2"/>
  <c r="CP96" i="2"/>
  <c r="DQ95" i="2"/>
  <c r="CJ94" i="2"/>
  <c r="BU92" i="2"/>
  <c r="ER96" i="2"/>
  <c r="FO97" i="2"/>
  <c r="FM95" i="2"/>
  <c r="FS96" i="2"/>
  <c r="AT97" i="2"/>
  <c r="BD92" i="2"/>
  <c r="CN97" i="2"/>
  <c r="DM97" i="2"/>
  <c r="FC94" i="2"/>
  <c r="EX94" i="2"/>
  <c r="EN97" i="2"/>
  <c r="FO93" i="2"/>
  <c r="FS97" i="2"/>
  <c r="CP95" i="2"/>
  <c r="DQ94" i="2"/>
  <c r="DA97" i="2"/>
  <c r="DK93" i="2"/>
  <c r="EN94" i="2"/>
  <c r="FS95" i="2"/>
  <c r="BO94" i="2"/>
  <c r="ER93" i="2"/>
  <c r="BK94" i="2"/>
  <c r="EN95" i="2"/>
  <c r="FO94" i="2"/>
  <c r="DM96" i="2"/>
  <c r="CV97" i="2"/>
  <c r="FQ93" i="2"/>
  <c r="ER95" i="2"/>
  <c r="EB94" i="2"/>
  <c r="EL94" i="2"/>
  <c r="BU95" i="2"/>
  <c r="BZ95" i="2"/>
  <c r="BZ92" i="2"/>
  <c r="CL97" i="2"/>
  <c r="DK96" i="2"/>
  <c r="DA96" i="2"/>
  <c r="DO95" i="2"/>
  <c r="CJ95" i="2"/>
  <c r="CJ92" i="2"/>
  <c r="DO94" i="2"/>
  <c r="EP97" i="2"/>
  <c r="CV96" i="2"/>
  <c r="BU72" i="2"/>
  <c r="CE64" i="2"/>
  <c r="DO62" i="2"/>
  <c r="EB41" i="2"/>
  <c r="FH48" i="2"/>
  <c r="BU64" i="2"/>
  <c r="BZ64" i="2"/>
  <c r="BI5" i="2"/>
  <c r="BD5" i="2"/>
  <c r="AY5" i="2"/>
  <c r="CN5" i="2"/>
  <c r="DO5" i="2"/>
  <c r="ER5" i="2"/>
  <c r="DQ5" i="2"/>
  <c r="DM6" i="2"/>
  <c r="BM6" i="2"/>
  <c r="BZ5" i="2"/>
  <c r="BO5" i="2"/>
  <c r="BU5" i="2"/>
  <c r="CP5" i="2"/>
  <c r="CE5" i="2"/>
  <c r="FO10" i="2"/>
  <c r="FS14" i="2"/>
  <c r="BM7" i="2"/>
  <c r="DM20" i="2"/>
  <c r="CN16" i="2"/>
  <c r="CL21" i="2"/>
  <c r="CN17" i="2"/>
  <c r="CP8" i="2"/>
  <c r="FQ17" i="2"/>
  <c r="DM25" i="2"/>
  <c r="FS20" i="2"/>
  <c r="CP22" i="2"/>
  <c r="CL22" i="2"/>
  <c r="EB11" i="2"/>
  <c r="FQ11" i="2"/>
  <c r="BI9" i="2"/>
  <c r="DF10" i="2"/>
  <c r="FS6" i="2"/>
  <c r="FO14" i="2"/>
  <c r="EL9" i="2"/>
  <c r="BO6" i="2"/>
  <c r="BU14" i="2"/>
  <c r="BK16" i="2"/>
  <c r="BO12" i="2"/>
  <c r="CV21" i="2"/>
  <c r="DQ12" i="2"/>
  <c r="BM17" i="2"/>
  <c r="EN24" i="2"/>
  <c r="CV19" i="2"/>
  <c r="DF17" i="2"/>
  <c r="DM18" i="2"/>
  <c r="BK23" i="2"/>
  <c r="FQ20" i="2"/>
  <c r="EB10" i="2"/>
  <c r="EL10" i="2"/>
  <c r="FQ15" i="2"/>
  <c r="EP22" i="2"/>
  <c r="FQ24" i="2"/>
  <c r="FO5" i="2"/>
  <c r="AT22" i="2"/>
  <c r="EP14" i="2"/>
  <c r="AY8" i="2"/>
  <c r="BM15" i="2"/>
  <c r="BO14" i="2"/>
  <c r="FS21" i="2"/>
  <c r="EP24" i="2"/>
  <c r="FQ10" i="2"/>
  <c r="DQ22" i="2"/>
  <c r="DQ25" i="2"/>
  <c r="EG27" i="2"/>
  <c r="CN25" i="2"/>
  <c r="CV9" i="2"/>
  <c r="CP23" i="2"/>
  <c r="EN8" i="2"/>
  <c r="DM19" i="2"/>
  <c r="CN6" i="2"/>
  <c r="FH5" i="2"/>
  <c r="DM9" i="2"/>
  <c r="CN8" i="2"/>
  <c r="DO12" i="2"/>
  <c r="FO23" i="2"/>
  <c r="EN9" i="2"/>
  <c r="BK9" i="2"/>
  <c r="BO18" i="2"/>
  <c r="DK7" i="2"/>
  <c r="CN22" i="2"/>
  <c r="CL25" i="2"/>
  <c r="EP27" i="2"/>
  <c r="DO6" i="2"/>
  <c r="FM5" i="2"/>
  <c r="DQ6" i="2"/>
  <c r="BM14" i="2"/>
  <c r="CP21" i="2"/>
  <c r="CJ14" i="2"/>
  <c r="DO15" i="2"/>
  <c r="EP18" i="2"/>
  <c r="EX5" i="2"/>
  <c r="CP12" i="2"/>
  <c r="EP25" i="2"/>
  <c r="BO23" i="2"/>
  <c r="BO7" i="2"/>
  <c r="DO10" i="2"/>
  <c r="CL11" i="2"/>
  <c r="DO18" i="2"/>
  <c r="CL14" i="2"/>
  <c r="ER18" i="2"/>
  <c r="FQ9" i="2"/>
  <c r="FO9" i="2"/>
  <c r="DA11" i="2"/>
  <c r="FC97" i="2"/>
  <c r="EX97" i="2"/>
  <c r="FM97" i="2"/>
  <c r="FH97" i="2"/>
  <c r="CJ27" i="2"/>
  <c r="BU27" i="2"/>
  <c r="CE27" i="2"/>
  <c r="DO11" i="2"/>
  <c r="EG14" i="2"/>
  <c r="EL14" i="2"/>
  <c r="BZ18" i="2"/>
  <c r="CE18" i="2"/>
  <c r="EN22" i="2"/>
  <c r="BU25" i="2"/>
  <c r="BZ25" i="2"/>
  <c r="FC10" i="2"/>
  <c r="DK97" i="2"/>
  <c r="FQ7" i="2"/>
  <c r="BO22" i="2"/>
  <c r="DW20" i="2"/>
  <c r="EL20" i="2"/>
  <c r="FH95" i="2"/>
  <c r="FC95" i="2"/>
  <c r="AY10" i="2"/>
  <c r="DW96" i="2"/>
  <c r="BM22" i="2"/>
  <c r="AY97" i="2"/>
  <c r="FS24" i="2"/>
  <c r="CE16" i="2"/>
  <c r="BU16" i="2"/>
  <c r="BZ16" i="2"/>
  <c r="ER21" i="2"/>
  <c r="DM8" i="2"/>
  <c r="EB12" i="2"/>
  <c r="EG12" i="2"/>
  <c r="EL12" i="2"/>
  <c r="EG9" i="2"/>
  <c r="FS5" i="2"/>
  <c r="CN19" i="2"/>
  <c r="AY93" i="2"/>
  <c r="BI93" i="2"/>
  <c r="BD93" i="2"/>
  <c r="BM11" i="2"/>
  <c r="BM10" i="2"/>
  <c r="CP32" i="2"/>
  <c r="FM6" i="2"/>
  <c r="FC6" i="2"/>
  <c r="FH96" i="2"/>
  <c r="FC96" i="2"/>
  <c r="FM96" i="2"/>
  <c r="DQ11" i="2"/>
  <c r="EP93" i="2"/>
  <c r="EN93" i="2"/>
  <c r="ER9" i="2"/>
  <c r="FS11" i="2"/>
  <c r="FM25" i="2"/>
  <c r="EX25" i="2"/>
  <c r="FH25" i="2"/>
  <c r="CL23" i="2"/>
  <c r="EP96" i="2"/>
  <c r="EP21" i="2"/>
  <c r="CE25" i="2"/>
  <c r="AY24" i="2"/>
  <c r="FC27" i="2"/>
  <c r="DA10" i="2"/>
  <c r="DO13" i="2"/>
  <c r="DO24" i="2"/>
  <c r="ER97" i="2"/>
  <c r="DF19" i="2"/>
  <c r="DA15" i="2"/>
  <c r="DK15" i="2"/>
  <c r="BM16" i="2"/>
  <c r="AT10" i="2"/>
  <c r="CE97" i="2"/>
  <c r="FQ8" i="2"/>
  <c r="ER27" i="2"/>
  <c r="DQ96" i="2"/>
  <c r="FQ22" i="2"/>
  <c r="ER11" i="2"/>
  <c r="BU19" i="2"/>
  <c r="CV16" i="2"/>
  <c r="DF16" i="2"/>
  <c r="DA16" i="2"/>
  <c r="BM19" i="2"/>
  <c r="DM17" i="2"/>
  <c r="BO10" i="2"/>
  <c r="DK11" i="2"/>
  <c r="CV11" i="2"/>
  <c r="BZ9" i="2"/>
  <c r="BU9" i="2"/>
  <c r="EX22" i="2"/>
  <c r="FM22" i="2"/>
  <c r="BI95" i="2"/>
  <c r="AT95" i="2"/>
  <c r="AY95" i="2"/>
  <c r="FM11" i="2"/>
  <c r="EX11" i="2"/>
  <c r="FC11" i="2"/>
  <c r="AY96" i="2"/>
  <c r="CJ22" i="2"/>
  <c r="BZ22" i="2"/>
  <c r="BU22" i="2"/>
  <c r="CE22" i="2"/>
  <c r="ER94" i="2"/>
  <c r="FO96" i="2"/>
  <c r="CP10" i="2"/>
  <c r="CN27" i="2"/>
  <c r="BZ17" i="2"/>
  <c r="FC25" i="2"/>
  <c r="DQ18" i="2"/>
  <c r="EN96" i="2"/>
  <c r="DQ23" i="2"/>
  <c r="CP11" i="2"/>
  <c r="BZ93" i="2"/>
  <c r="CE93" i="2"/>
  <c r="BD96" i="2"/>
  <c r="CL5" i="2"/>
  <c r="BK24" i="2"/>
  <c r="BM24" i="2"/>
  <c r="BD10" i="2"/>
  <c r="CE9" i="2"/>
  <c r="DQ20" i="2"/>
  <c r="FS9" i="2"/>
  <c r="EB20" i="2"/>
  <c r="EB9" i="2"/>
  <c r="FH19" i="2"/>
  <c r="DA7" i="2"/>
  <c r="CJ21" i="2"/>
  <c r="BZ21" i="2"/>
  <c r="CP24" i="2"/>
  <c r="AY12" i="2"/>
  <c r="FS13" i="2"/>
  <c r="BM12" i="2"/>
  <c r="FQ13" i="2"/>
  <c r="FQ21" i="2"/>
  <c r="BK19" i="2"/>
  <c r="CN23" i="2"/>
  <c r="EN10" i="2"/>
  <c r="DO17" i="2"/>
  <c r="DF5" i="2"/>
  <c r="DA5" i="2"/>
  <c r="DK5" i="2"/>
  <c r="CV5" i="2"/>
  <c r="CV22" i="2"/>
  <c r="DK22" i="2"/>
  <c r="DF22" i="2"/>
  <c r="CP20" i="2"/>
  <c r="EX27" i="2"/>
  <c r="FM27" i="2"/>
  <c r="CN96" i="2"/>
  <c r="BO97" i="2"/>
  <c r="EX10" i="2"/>
  <c r="FH10" i="2"/>
  <c r="DQ97" i="2"/>
  <c r="BI24" i="2"/>
  <c r="BD24" i="2"/>
  <c r="DQ27" i="2"/>
  <c r="BI94" i="2"/>
  <c r="AT94" i="2"/>
  <c r="EL95" i="2"/>
  <c r="EB95" i="2"/>
  <c r="EG95" i="2"/>
  <c r="CL24" i="2"/>
  <c r="CN24" i="2"/>
  <c r="CJ6" i="2"/>
  <c r="BU6" i="2"/>
  <c r="CE6" i="2"/>
  <c r="BK93" i="2"/>
  <c r="CL27" i="2"/>
  <c r="BM18" i="2"/>
  <c r="EL24" i="2"/>
  <c r="EB24" i="2"/>
  <c r="DA20" i="2"/>
  <c r="CV20" i="2"/>
  <c r="DF20" i="2"/>
  <c r="BK17" i="2"/>
  <c r="EB14" i="2"/>
  <c r="BD94" i="2"/>
  <c r="CV24" i="2"/>
  <c r="DA24" i="2"/>
  <c r="DK24" i="2"/>
  <c r="AT62" i="2"/>
  <c r="CJ86" i="2"/>
  <c r="EP95" i="2"/>
  <c r="EG96" i="2"/>
  <c r="EL96" i="2"/>
  <c r="BO9" i="2"/>
  <c r="EP11" i="2"/>
  <c r="CP97" i="2"/>
  <c r="DQ10" i="2"/>
  <c r="BM9" i="2"/>
  <c r="BO93" i="2"/>
  <c r="FQ96" i="2"/>
  <c r="BK5" i="2"/>
  <c r="ER10" i="2"/>
  <c r="BU18" i="2"/>
  <c r="CL9" i="2"/>
  <c r="EN23" i="2"/>
  <c r="BZ6" i="2"/>
  <c r="AT93" i="2"/>
  <c r="DO97" i="2"/>
  <c r="DO20" i="2"/>
  <c r="FQ97" i="2"/>
  <c r="DK19" i="2"/>
  <c r="FH16" i="2"/>
  <c r="ER14" i="2"/>
  <c r="DF94" i="2"/>
  <c r="DA94" i="2"/>
  <c r="CV94" i="2"/>
  <c r="AY17" i="2"/>
  <c r="BD17" i="2"/>
  <c r="EP94" i="2"/>
  <c r="FQ95" i="2"/>
  <c r="DW5" i="2"/>
  <c r="EG5" i="2"/>
  <c r="DF8" i="2"/>
  <c r="DK8" i="2"/>
  <c r="DA8" i="2"/>
  <c r="FO16" i="2"/>
  <c r="AT12" i="2"/>
  <c r="DW95" i="2"/>
  <c r="DQ13" i="2"/>
  <c r="CE14" i="2"/>
  <c r="BK21" i="2"/>
  <c r="DO27" i="2"/>
  <c r="BM97" i="2"/>
  <c r="BI96" i="2"/>
  <c r="AY19" i="2"/>
  <c r="BI19" i="2"/>
  <c r="BD19" i="2"/>
  <c r="CJ17" i="2"/>
  <c r="CE17" i="2"/>
  <c r="FC12" i="2"/>
  <c r="FH12" i="2"/>
  <c r="EX12" i="2"/>
  <c r="BM96" i="2"/>
  <c r="EB23" i="2"/>
  <c r="DW23" i="2"/>
  <c r="FH11" i="2"/>
  <c r="CN10" i="2"/>
  <c r="FQ5" i="2"/>
  <c r="CL19" i="2"/>
  <c r="DW11" i="2"/>
  <c r="EG11" i="2"/>
  <c r="EX6" i="2"/>
  <c r="BM95" i="2"/>
  <c r="FH22" i="2"/>
  <c r="FM16" i="2"/>
  <c r="DM94" i="2"/>
  <c r="FH8" i="2"/>
  <c r="FC8" i="2"/>
  <c r="FQ6" i="2"/>
  <c r="BZ27" i="2"/>
  <c r="BK96" i="2"/>
  <c r="FO8" i="2"/>
  <c r="CL95" i="2"/>
  <c r="CJ9" i="2"/>
  <c r="DW14" i="2"/>
  <c r="BO17" i="2"/>
  <c r="BM5" i="2"/>
  <c r="FS94" i="2"/>
  <c r="DK18" i="2"/>
  <c r="DA18" i="2"/>
  <c r="CV18" i="2"/>
  <c r="BZ19" i="2"/>
  <c r="CJ19" i="2"/>
  <c r="CL52" i="2"/>
  <c r="BD9" i="2"/>
  <c r="AY9" i="2"/>
  <c r="EB97" i="2"/>
  <c r="DW97" i="2"/>
  <c r="EL97" i="2"/>
  <c r="FS93" i="2"/>
  <c r="FO11" i="2"/>
  <c r="ER22" i="2"/>
  <c r="BD16" i="2"/>
  <c r="BI16" i="2"/>
  <c r="AY16" i="2"/>
  <c r="DM93" i="2"/>
  <c r="DO93" i="2"/>
  <c r="BM21" i="2"/>
  <c r="BO11" i="2"/>
  <c r="DM10" i="2"/>
  <c r="CP94" i="2"/>
  <c r="CN94" i="2"/>
  <c r="CJ20" i="2"/>
  <c r="BZ20" i="2"/>
  <c r="CE20" i="2"/>
  <c r="BD6" i="2"/>
  <c r="BI6" i="2"/>
  <c r="FO7" i="2"/>
  <c r="CV10" i="2"/>
  <c r="BO25" i="2"/>
  <c r="AY11" i="2"/>
  <c r="AT11" i="2"/>
  <c r="BD11" i="2"/>
  <c r="EX19" i="2"/>
  <c r="FC19" i="2"/>
  <c r="FH6" i="2"/>
  <c r="CV7" i="2"/>
  <c r="FO95" i="2"/>
  <c r="DO96" i="2"/>
  <c r="CJ97" i="2"/>
  <c r="EG20" i="2"/>
  <c r="BM94" i="2"/>
  <c r="FM8" i="2"/>
  <c r="EG24" i="2"/>
  <c r="FO6" i="2"/>
  <c r="CL96" i="2"/>
  <c r="FM21" i="2"/>
  <c r="EX21" i="2"/>
  <c r="FC21" i="2"/>
  <c r="CE13" i="2"/>
  <c r="BZ13" i="2"/>
  <c r="CE21" i="2"/>
  <c r="DO8" i="2"/>
  <c r="BO15" i="2"/>
  <c r="DW12" i="2"/>
  <c r="BO95" i="2"/>
  <c r="EX9" i="2"/>
  <c r="FQ16" i="2"/>
  <c r="CN9" i="2"/>
  <c r="EL5" i="2"/>
  <c r="CN11" i="2"/>
  <c r="CL20" i="2"/>
  <c r="DM24" i="2"/>
  <c r="AT52" i="2"/>
  <c r="CV32" i="2"/>
  <c r="FQ39" i="2"/>
  <c r="FH31" i="2"/>
  <c r="EX31" i="2"/>
  <c r="DO90" i="2"/>
  <c r="BI71" i="2"/>
  <c r="FM46" i="2"/>
  <c r="BO92" i="2"/>
  <c r="CV89" i="2"/>
  <c r="EP41" i="2"/>
  <c r="AT92" i="2"/>
  <c r="ER39" i="2"/>
  <c r="BI92" i="2"/>
  <c r="EL71" i="2"/>
  <c r="DW41" i="2"/>
  <c r="DW45" i="2"/>
  <c r="EG45" i="2"/>
  <c r="BZ37" i="2"/>
  <c r="EB45" i="2"/>
  <c r="FS31" i="2"/>
  <c r="BU86" i="2"/>
  <c r="EP43" i="2"/>
  <c r="AT73" i="2"/>
  <c r="EL31" i="2"/>
  <c r="EX84" i="2"/>
  <c r="EX82" i="2"/>
  <c r="EX43" i="2"/>
  <c r="FM43" i="2"/>
  <c r="BM73" i="2"/>
  <c r="EN39" i="2"/>
  <c r="BZ72" i="2"/>
  <c r="FO43" i="2"/>
  <c r="CN81" i="2"/>
  <c r="CV63" i="2"/>
  <c r="BO51" i="2"/>
  <c r="CP90" i="2"/>
  <c r="DW48" i="2"/>
  <c r="BU76" i="2"/>
  <c r="EL48" i="2"/>
  <c r="EG31" i="2"/>
  <c r="EB31" i="2"/>
  <c r="CL29" i="2"/>
  <c r="DF32" i="2"/>
  <c r="FS30" i="2"/>
  <c r="BM89" i="2"/>
  <c r="DM40" i="2"/>
  <c r="DF91" i="2"/>
  <c r="FS38" i="2"/>
  <c r="EN91" i="2"/>
  <c r="EX83" i="2"/>
  <c r="BU40" i="2"/>
  <c r="FS91" i="2"/>
  <c r="DW47" i="2"/>
  <c r="CN48" i="2"/>
  <c r="ER80" i="2"/>
  <c r="DA91" i="2"/>
  <c r="CV91" i="2"/>
  <c r="DM29" i="2"/>
  <c r="AT43" i="2"/>
  <c r="FQ30" i="2"/>
  <c r="FC38" i="2"/>
  <c r="ER36" i="2"/>
  <c r="DW80" i="2"/>
  <c r="BI78" i="2"/>
  <c r="FC43" i="2"/>
  <c r="FO69" i="2"/>
  <c r="EG80" i="2"/>
  <c r="EB50" i="2"/>
  <c r="CV31" i="2"/>
  <c r="CL75" i="2"/>
  <c r="CJ51" i="2"/>
  <c r="DO88" i="2"/>
  <c r="EX38" i="2"/>
  <c r="EG42" i="2"/>
  <c r="CE51" i="2"/>
  <c r="BU90" i="2"/>
  <c r="CL38" i="2"/>
  <c r="EB42" i="2"/>
  <c r="BU51" i="2"/>
  <c r="FQ53" i="2"/>
  <c r="BK32" i="2"/>
  <c r="FM38" i="2"/>
  <c r="CV69" i="2"/>
  <c r="CP88" i="2"/>
  <c r="DW42" i="2"/>
  <c r="ER44" i="2"/>
  <c r="FQ57" i="2"/>
  <c r="FS76" i="2"/>
  <c r="FO38" i="2"/>
  <c r="BU67" i="2"/>
  <c r="DA31" i="2"/>
  <c r="FS47" i="2"/>
  <c r="DO29" i="2"/>
  <c r="BU77" i="2"/>
  <c r="BK91" i="2"/>
  <c r="DM77" i="2"/>
  <c r="BO29" i="2"/>
  <c r="BI36" i="2"/>
  <c r="FS43" i="2"/>
  <c r="AT40" i="2"/>
  <c r="ER89" i="2"/>
  <c r="BM88" i="2"/>
  <c r="DQ78" i="2"/>
  <c r="EG44" i="2"/>
  <c r="FQ36" i="2"/>
  <c r="EN32" i="2"/>
  <c r="BD52" i="2"/>
  <c r="EP31" i="2"/>
  <c r="FO37" i="2"/>
  <c r="DO80" i="2"/>
  <c r="DQ54" i="2"/>
  <c r="AY36" i="2"/>
  <c r="DM73" i="2"/>
  <c r="FO66" i="2"/>
  <c r="CL40" i="2"/>
  <c r="FH52" i="2"/>
  <c r="DM30" i="2"/>
  <c r="CV66" i="2"/>
  <c r="FS52" i="2"/>
  <c r="EN45" i="2"/>
  <c r="ER71" i="2"/>
  <c r="CP43" i="2"/>
  <c r="BK40" i="2"/>
  <c r="BU30" i="2"/>
  <c r="EP29" i="2"/>
  <c r="FS39" i="2"/>
  <c r="FQ38" i="2"/>
  <c r="BU52" i="2"/>
  <c r="FQ42" i="2"/>
  <c r="CE73" i="2"/>
  <c r="EX36" i="2"/>
  <c r="EX52" i="2"/>
  <c r="ER47" i="2"/>
  <c r="EP32" i="2"/>
  <c r="CL83" i="2"/>
  <c r="DM72" i="2"/>
  <c r="CN51" i="2"/>
  <c r="FQ44" i="2"/>
  <c r="DF54" i="2"/>
  <c r="CE69" i="2"/>
  <c r="BZ73" i="2"/>
  <c r="FO89" i="2"/>
  <c r="DM76" i="2"/>
  <c r="FO71" i="2"/>
  <c r="CV92" i="2"/>
  <c r="CN41" i="2"/>
  <c r="BU69" i="2"/>
  <c r="BO54" i="2"/>
  <c r="EN31" i="2"/>
  <c r="FM52" i="2"/>
  <c r="BZ30" i="2"/>
  <c r="CJ73" i="2"/>
  <c r="EG91" i="2"/>
  <c r="DO84" i="2"/>
  <c r="DM52" i="2"/>
  <c r="CL60" i="2"/>
  <c r="CJ30" i="2"/>
  <c r="CJ69" i="2"/>
  <c r="FC51" i="2"/>
  <c r="ER66" i="2"/>
  <c r="CV37" i="2"/>
  <c r="AT47" i="2"/>
  <c r="DM43" i="2"/>
  <c r="DQ69" i="2"/>
  <c r="BI88" i="2"/>
  <c r="DF71" i="2"/>
  <c r="EP67" i="2"/>
  <c r="CN32" i="2"/>
  <c r="BK43" i="2"/>
  <c r="BM55" i="2"/>
  <c r="BK45" i="2"/>
  <c r="BK90" i="2"/>
  <c r="EP89" i="2"/>
  <c r="CN70" i="2"/>
  <c r="ER43" i="2"/>
  <c r="EN61" i="2"/>
  <c r="FQ29" i="2"/>
  <c r="CV71" i="2"/>
  <c r="DA71" i="2"/>
  <c r="EN57" i="2"/>
  <c r="EP63" i="2"/>
  <c r="BU78" i="2"/>
  <c r="BK72" i="2"/>
  <c r="DA75" i="2"/>
  <c r="DM88" i="2"/>
  <c r="BO37" i="2"/>
  <c r="CV68" i="2"/>
  <c r="CP80" i="2"/>
  <c r="EG41" i="2"/>
  <c r="DK75" i="2"/>
  <c r="FS42" i="2"/>
  <c r="EB87" i="2"/>
  <c r="FS66" i="2"/>
  <c r="EP76" i="2"/>
  <c r="FQ51" i="2"/>
  <c r="EP62" i="2"/>
  <c r="DQ92" i="2"/>
  <c r="BM38" i="2"/>
  <c r="BK42" i="2"/>
  <c r="BO58" i="2"/>
  <c r="EP44" i="2"/>
  <c r="BK50" i="2"/>
  <c r="BM36" i="2"/>
  <c r="FQ41" i="2"/>
  <c r="ER87" i="2"/>
  <c r="EG51" i="2"/>
  <c r="FQ73" i="2"/>
  <c r="FQ60" i="2"/>
  <c r="EX70" i="2"/>
  <c r="CL89" i="2"/>
  <c r="BM71" i="2"/>
  <c r="FO44" i="2"/>
  <c r="BU53" i="2"/>
  <c r="CV75" i="2"/>
  <c r="BU41" i="2"/>
  <c r="FS69" i="2"/>
  <c r="FO40" i="2"/>
  <c r="BK73" i="2"/>
  <c r="ER41" i="2"/>
  <c r="FQ31" i="2"/>
  <c r="FS80" i="2"/>
  <c r="CN53" i="2"/>
  <c r="BO73" i="2"/>
  <c r="EG47" i="2"/>
  <c r="FO42" i="2"/>
  <c r="FO39" i="2"/>
  <c r="ER42" i="2"/>
  <c r="BI70" i="2"/>
  <c r="CN61" i="2"/>
  <c r="EP51" i="2"/>
  <c r="FH71" i="2"/>
  <c r="EP68" i="2"/>
  <c r="CV56" i="2"/>
  <c r="CV40" i="2"/>
  <c r="CP92" i="2"/>
  <c r="CP75" i="2"/>
  <c r="EP40" i="2"/>
  <c r="CN56" i="2"/>
  <c r="CN77" i="2"/>
  <c r="CN71" i="2"/>
  <c r="AY71" i="2"/>
  <c r="DO37" i="2"/>
  <c r="CP47" i="2"/>
  <c r="EL47" i="2"/>
  <c r="ER38" i="2"/>
  <c r="DM71" i="2"/>
  <c r="CN29" i="2"/>
  <c r="BI52" i="2"/>
  <c r="CN60" i="2"/>
  <c r="EN51" i="2"/>
  <c r="CP71" i="2"/>
  <c r="FC66" i="2"/>
  <c r="FO88" i="2"/>
  <c r="DO66" i="2"/>
  <c r="EN66" i="2"/>
  <c r="ER51" i="2"/>
  <c r="CP57" i="2"/>
  <c r="DO58" i="2"/>
  <c r="AT37" i="2"/>
  <c r="DM38" i="2"/>
  <c r="FO31" i="2"/>
  <c r="CL61" i="2"/>
  <c r="AT55" i="2"/>
  <c r="AT59" i="2"/>
  <c r="BI55" i="2"/>
  <c r="AT39" i="2"/>
  <c r="FS36" i="2"/>
  <c r="EN41" i="2"/>
  <c r="EN59" i="2"/>
  <c r="DF68" i="2"/>
  <c r="ER88" i="2"/>
  <c r="DQ36" i="2"/>
  <c r="DM39" i="2"/>
  <c r="CE41" i="2"/>
  <c r="BZ78" i="2"/>
  <c r="CL51" i="2"/>
  <c r="FC64" i="2"/>
  <c r="BK33" i="2"/>
  <c r="EP60" i="2"/>
  <c r="EN72" i="2"/>
  <c r="DW81" i="2"/>
  <c r="FO48" i="2"/>
  <c r="DM69" i="2"/>
  <c r="FO53" i="2"/>
  <c r="DQ32" i="2"/>
  <c r="CN68" i="2"/>
  <c r="DQ55" i="2"/>
  <c r="BO75" i="2"/>
  <c r="AT69" i="2"/>
  <c r="BO80" i="2"/>
  <c r="CP70" i="2"/>
  <c r="DM57" i="2"/>
  <c r="BM82" i="2"/>
  <c r="BU83" i="2"/>
  <c r="DM53" i="2"/>
  <c r="CP78" i="2"/>
  <c r="BD39" i="2"/>
  <c r="BI76" i="2"/>
  <c r="AY39" i="2"/>
  <c r="EB59" i="2"/>
  <c r="CN86" i="2"/>
  <c r="DA68" i="2"/>
  <c r="DM51" i="2"/>
  <c r="CE78" i="2"/>
  <c r="EB48" i="2"/>
  <c r="EB91" i="2"/>
  <c r="EL91" i="2"/>
  <c r="FO51" i="2"/>
  <c r="FH66" i="2"/>
  <c r="EP56" i="2"/>
  <c r="DQ46" i="2"/>
  <c r="DO60" i="2"/>
  <c r="CL58" i="2"/>
  <c r="CP61" i="2"/>
  <c r="ER58" i="2"/>
  <c r="CP37" i="2"/>
  <c r="EL59" i="2"/>
  <c r="BK64" i="2"/>
  <c r="FO90" i="2"/>
  <c r="DW59" i="2"/>
  <c r="FO82" i="2"/>
  <c r="ER61" i="2"/>
  <c r="FS29" i="2"/>
  <c r="DQ61" i="2"/>
  <c r="BU42" i="2"/>
  <c r="BO69" i="2"/>
  <c r="CN52" i="2"/>
  <c r="BO32" i="2"/>
  <c r="CL66" i="2"/>
  <c r="DQ71" i="2"/>
  <c r="CN80" i="2"/>
  <c r="BZ53" i="2"/>
  <c r="BI59" i="2"/>
  <c r="FQ68" i="2"/>
  <c r="FM32" i="2"/>
  <c r="CL72" i="2"/>
  <c r="BM50" i="2"/>
  <c r="BZ82" i="2"/>
  <c r="BK57" i="2"/>
  <c r="EB81" i="2"/>
  <c r="CL42" i="2"/>
  <c r="BK29" i="2"/>
  <c r="EN40" i="2"/>
  <c r="FS40" i="2"/>
  <c r="EB36" i="2"/>
  <c r="FM69" i="2"/>
  <c r="FH69" i="2"/>
  <c r="BI66" i="2"/>
  <c r="ER37" i="2"/>
  <c r="FQ71" i="2"/>
  <c r="CP55" i="2"/>
  <c r="BU60" i="2"/>
  <c r="DF37" i="2"/>
  <c r="BU37" i="2"/>
  <c r="BK51" i="2"/>
  <c r="AT60" i="2"/>
  <c r="CJ81" i="2"/>
  <c r="FO41" i="2"/>
  <c r="FH32" i="2"/>
  <c r="BK36" i="2"/>
  <c r="BD59" i="2"/>
  <c r="CJ44" i="2"/>
  <c r="CL48" i="2"/>
  <c r="AY70" i="2"/>
  <c r="EX73" i="2"/>
  <c r="AT71" i="2"/>
  <c r="AT66" i="2"/>
  <c r="EN75" i="2"/>
  <c r="CN88" i="2"/>
  <c r="FO78" i="2"/>
  <c r="BM90" i="2"/>
  <c r="EN71" i="2"/>
  <c r="DO63" i="2"/>
  <c r="FM30" i="2"/>
  <c r="DO31" i="2"/>
  <c r="FO29" i="2"/>
  <c r="CP54" i="2"/>
  <c r="CL31" i="2"/>
  <c r="DO40" i="2"/>
  <c r="BO66" i="2"/>
  <c r="CE53" i="2"/>
  <c r="FS75" i="2"/>
  <c r="EN36" i="2"/>
  <c r="DQ86" i="2"/>
  <c r="BZ42" i="2"/>
  <c r="EN38" i="2"/>
  <c r="EB80" i="2"/>
  <c r="FC69" i="2"/>
  <c r="FM66" i="2"/>
  <c r="FS83" i="2"/>
  <c r="FO45" i="2"/>
  <c r="EX32" i="2"/>
  <c r="FQ69" i="2"/>
  <c r="DO42" i="2"/>
  <c r="BK61" i="2"/>
  <c r="FC30" i="2"/>
  <c r="DA37" i="2"/>
  <c r="CJ31" i="2"/>
  <c r="BU31" i="2"/>
  <c r="FH30" i="2"/>
  <c r="BU82" i="2"/>
  <c r="BM79" i="2"/>
  <c r="DO30" i="2"/>
  <c r="CP59" i="2"/>
  <c r="CE60" i="2"/>
  <c r="EN29" i="2"/>
  <c r="BD70" i="2"/>
  <c r="CJ72" i="2"/>
  <c r="FS44" i="2"/>
  <c r="FO36" i="2"/>
  <c r="DF31" i="2"/>
  <c r="EG71" i="2"/>
  <c r="EP73" i="2"/>
  <c r="BK66" i="2"/>
  <c r="FQ92" i="2"/>
  <c r="FS81" i="2"/>
  <c r="EN88" i="2"/>
  <c r="FO68" i="2"/>
  <c r="FQ75" i="2"/>
  <c r="BM68" i="2"/>
  <c r="BM39" i="2"/>
  <c r="DM68" i="2"/>
  <c r="DO82" i="2"/>
  <c r="EB29" i="2"/>
  <c r="EP38" i="2"/>
  <c r="CJ79" i="2"/>
  <c r="BZ79" i="2"/>
  <c r="FS41" i="2"/>
  <c r="CE44" i="2"/>
  <c r="BD77" i="2"/>
  <c r="AY77" i="2"/>
  <c r="BI86" i="2"/>
  <c r="BD86" i="2"/>
  <c r="CE52" i="2"/>
  <c r="DW73" i="2"/>
  <c r="FS88" i="2"/>
  <c r="CJ33" i="2"/>
  <c r="BZ71" i="2"/>
  <c r="FO67" i="2"/>
  <c r="DQ89" i="2"/>
  <c r="FO72" i="2"/>
  <c r="FQ86" i="2"/>
  <c r="FO54" i="2"/>
  <c r="DW36" i="2"/>
  <c r="FC76" i="2"/>
  <c r="ER54" i="2"/>
  <c r="FS82" i="2"/>
  <c r="CL50" i="2"/>
  <c r="DO51" i="2"/>
  <c r="BK63" i="2"/>
  <c r="DQ50" i="2"/>
  <c r="DM80" i="2"/>
  <c r="BU79" i="2"/>
  <c r="BO70" i="2"/>
  <c r="DQ91" i="2"/>
  <c r="DM86" i="2"/>
  <c r="AT80" i="2"/>
  <c r="BK48" i="2"/>
  <c r="EP30" i="2"/>
  <c r="EP36" i="2"/>
  <c r="CN37" i="2"/>
  <c r="AT77" i="2"/>
  <c r="EN43" i="2"/>
  <c r="CJ42" i="2"/>
  <c r="FH81" i="2"/>
  <c r="FC57" i="2"/>
  <c r="DQ51" i="2"/>
  <c r="FM51" i="2"/>
  <c r="CE33" i="2"/>
  <c r="EL66" i="2"/>
  <c r="FS84" i="2"/>
  <c r="EP84" i="2"/>
  <c r="ER62" i="2"/>
  <c r="ER53" i="2"/>
  <c r="EX81" i="2"/>
  <c r="DA89" i="2"/>
  <c r="FQ78" i="2"/>
  <c r="CL46" i="2"/>
  <c r="BO57" i="2"/>
  <c r="CN91" i="2"/>
  <c r="DM79" i="2"/>
  <c r="CL67" i="2"/>
  <c r="DK60" i="2"/>
  <c r="DQ81" i="2"/>
  <c r="BO41" i="2"/>
  <c r="DO83" i="2"/>
  <c r="BO60" i="2"/>
  <c r="DO47" i="2"/>
  <c r="BK47" i="2"/>
  <c r="BK31" i="2"/>
  <c r="DQ43" i="2"/>
  <c r="FQ43" i="2"/>
  <c r="BU43" i="2"/>
  <c r="AY80" i="2"/>
  <c r="EP42" i="2"/>
  <c r="DF45" i="2"/>
  <c r="DA45" i="2"/>
  <c r="DK54" i="2"/>
  <c r="BZ52" i="2"/>
  <c r="CJ76" i="2"/>
  <c r="EN89" i="2"/>
  <c r="EL50" i="2"/>
  <c r="AT35" i="2"/>
  <c r="EX51" i="2"/>
  <c r="BO88" i="2"/>
  <c r="EG73" i="2"/>
  <c r="DW71" i="2"/>
  <c r="CE71" i="2"/>
  <c r="DF66" i="2"/>
  <c r="CN66" i="2"/>
  <c r="EP92" i="2"/>
  <c r="FS70" i="2"/>
  <c r="DW89" i="2"/>
  <c r="EN58" i="2"/>
  <c r="ER79" i="2"/>
  <c r="EX67" i="2"/>
  <c r="ER78" i="2"/>
  <c r="ER90" i="2"/>
  <c r="FS59" i="2"/>
  <c r="EN77" i="2"/>
  <c r="EP61" i="2"/>
  <c r="EP59" i="2"/>
  <c r="BM84" i="2"/>
  <c r="DQ75" i="2"/>
  <c r="DO39" i="2"/>
  <c r="CL82" i="2"/>
  <c r="BM86" i="2"/>
  <c r="DQ72" i="2"/>
  <c r="CN42" i="2"/>
  <c r="BM76" i="2"/>
  <c r="CL70" i="2"/>
  <c r="CL47" i="2"/>
  <c r="BM66" i="2"/>
  <c r="DM67" i="2"/>
  <c r="DQ47" i="2"/>
  <c r="BO44" i="2"/>
  <c r="CL86" i="2"/>
  <c r="CV54" i="2"/>
  <c r="CL59" i="2"/>
  <c r="CN30" i="2"/>
  <c r="DQ53" i="2"/>
  <c r="ER29" i="2"/>
  <c r="BM29" i="2"/>
  <c r="BI77" i="2"/>
  <c r="BI62" i="2"/>
  <c r="AT79" i="2"/>
  <c r="FQ40" i="2"/>
  <c r="DK63" i="2"/>
  <c r="CE76" i="2"/>
  <c r="CJ62" i="2"/>
  <c r="AY86" i="2"/>
  <c r="FO30" i="2"/>
  <c r="ER31" i="2"/>
  <c r="DA40" i="2"/>
  <c r="EN44" i="2"/>
  <c r="FH57" i="2"/>
  <c r="FQ88" i="2"/>
  <c r="CV73" i="2"/>
  <c r="CJ88" i="2"/>
  <c r="EL73" i="2"/>
  <c r="BO71" i="2"/>
  <c r="CN73" i="2"/>
  <c r="EP83" i="2"/>
  <c r="EX76" i="2"/>
  <c r="ER50" i="2"/>
  <c r="ER81" i="2"/>
  <c r="DQ88" i="2"/>
  <c r="FO63" i="2"/>
  <c r="CP89" i="2"/>
  <c r="DQ48" i="2"/>
  <c r="DQ70" i="2"/>
  <c r="BK54" i="2"/>
  <c r="DM44" i="2"/>
  <c r="CP66" i="2"/>
  <c r="BK46" i="2"/>
  <c r="BO30" i="2"/>
  <c r="CP72" i="2"/>
  <c r="DM54" i="2"/>
  <c r="CL79" i="2"/>
  <c r="FH36" i="2"/>
  <c r="DO54" i="2"/>
  <c r="CP86" i="2"/>
  <c r="CJ71" i="2"/>
  <c r="BM78" i="2"/>
  <c r="AY60" i="2"/>
  <c r="CE43" i="2"/>
  <c r="FH47" i="2"/>
  <c r="EX47" i="2"/>
  <c r="FC47" i="2"/>
  <c r="EG81" i="2"/>
  <c r="DK45" i="2"/>
  <c r="BZ58" i="2"/>
  <c r="CJ58" i="2"/>
  <c r="BU58" i="2"/>
  <c r="CJ82" i="2"/>
  <c r="BD79" i="2"/>
  <c r="EX35" i="2"/>
  <c r="EP88" i="2"/>
  <c r="DA73" i="2"/>
  <c r="EX64" i="2"/>
  <c r="BK71" i="2"/>
  <c r="DA66" i="2"/>
  <c r="EG66" i="2"/>
  <c r="FQ70" i="2"/>
  <c r="EN70" i="2"/>
  <c r="FO56" i="2"/>
  <c r="FS79" i="2"/>
  <c r="DM45" i="2"/>
  <c r="EP46" i="2"/>
  <c r="FO46" i="2"/>
  <c r="FO47" i="2"/>
  <c r="FO61" i="2"/>
  <c r="FQ55" i="2"/>
  <c r="EN82" i="2"/>
  <c r="CL36" i="2"/>
  <c r="BM80" i="2"/>
  <c r="BK59" i="2"/>
  <c r="DQ59" i="2"/>
  <c r="CL39" i="2"/>
  <c r="CP48" i="2"/>
  <c r="BU45" i="2"/>
  <c r="BM51" i="2"/>
  <c r="BK52" i="2"/>
  <c r="CN62" i="2"/>
  <c r="BM43" i="2"/>
  <c r="DM36" i="2"/>
  <c r="BZ62" i="2"/>
  <c r="CP44" i="2"/>
  <c r="BU62" i="2"/>
  <c r="CN63" i="2"/>
  <c r="BK62" i="2"/>
  <c r="DO36" i="2"/>
  <c r="CV81" i="2"/>
  <c r="BM53" i="2"/>
  <c r="BU44" i="2"/>
  <c r="FC36" i="2"/>
  <c r="BM77" i="2"/>
  <c r="BO50" i="2"/>
  <c r="CJ60" i="2"/>
  <c r="BM91" i="2"/>
  <c r="BD60" i="2"/>
  <c r="ER32" i="2"/>
  <c r="CE79" i="2"/>
  <c r="FH76" i="2"/>
  <c r="CE31" i="2"/>
  <c r="DQ39" i="2"/>
  <c r="DQ29" i="2"/>
  <c r="CP29" i="2"/>
  <c r="CJ37" i="2"/>
  <c r="BZ41" i="2"/>
  <c r="DA63" i="2"/>
  <c r="FH35" i="2"/>
  <c r="DF73" i="2"/>
  <c r="AY73" i="2"/>
  <c r="DQ73" i="2"/>
  <c r="BD66" i="2"/>
  <c r="EB66" i="2"/>
  <c r="FS58" i="2"/>
  <c r="FO32" i="2"/>
  <c r="EX57" i="2"/>
  <c r="FQ77" i="2"/>
  <c r="ER60" i="2"/>
  <c r="DW50" i="2"/>
  <c r="EN48" i="2"/>
  <c r="EN55" i="2"/>
  <c r="ER86" i="2"/>
  <c r="FQ62" i="2"/>
  <c r="EN52" i="2"/>
  <c r="CL90" i="2"/>
  <c r="FO75" i="2"/>
  <c r="ER69" i="2"/>
  <c r="FS48" i="2"/>
  <c r="FS50" i="2"/>
  <c r="DK89" i="2"/>
  <c r="CV53" i="2"/>
  <c r="CV42" i="2"/>
  <c r="CL45" i="2"/>
  <c r="BM56" i="2"/>
  <c r="DM41" i="2"/>
  <c r="CP76" i="2"/>
  <c r="BK81" i="2"/>
  <c r="CP84" i="2"/>
  <c r="EN42" i="2"/>
  <c r="CP51" i="2"/>
  <c r="BK83" i="2"/>
  <c r="CP69" i="2"/>
  <c r="BO67" i="2"/>
  <c r="BU81" i="2"/>
  <c r="DO56" i="2"/>
  <c r="DO86" i="2"/>
  <c r="BO36" i="2"/>
  <c r="AY79" i="2"/>
  <c r="AY55" i="2"/>
  <c r="BD62" i="2"/>
  <c r="DA32" i="2"/>
  <c r="FH46" i="2"/>
  <c r="FC46" i="2"/>
  <c r="BZ43" i="2"/>
  <c r="EG36" i="2"/>
  <c r="DF40" i="2"/>
  <c r="BD47" i="2"/>
  <c r="FC54" i="2"/>
  <c r="EX54" i="2"/>
  <c r="FS45" i="2"/>
  <c r="EN80" i="2"/>
  <c r="BK88" i="2"/>
  <c r="FO84" i="2"/>
  <c r="EN47" i="2"/>
  <c r="FQ61" i="2"/>
  <c r="FS89" i="2"/>
  <c r="EN63" i="2"/>
  <c r="EN67" i="2"/>
  <c r="BD42" i="2"/>
  <c r="AT42" i="2"/>
  <c r="CV70" i="2"/>
  <c r="DK70" i="2"/>
  <c r="BO56" i="2"/>
  <c r="FH70" i="2"/>
  <c r="DQ79" i="2"/>
  <c r="DK43" i="2"/>
  <c r="DA43" i="2"/>
  <c r="DW30" i="2"/>
  <c r="DQ42" i="2"/>
  <c r="CV43" i="2"/>
  <c r="DF53" i="2"/>
  <c r="CJ50" i="2"/>
  <c r="DF42" i="2"/>
  <c r="AY31" i="2"/>
  <c r="DF67" i="2"/>
  <c r="BZ83" i="2"/>
  <c r="AY41" i="2"/>
  <c r="EB57" i="2"/>
  <c r="DW57" i="2"/>
  <c r="EL57" i="2"/>
  <c r="CE88" i="2"/>
  <c r="FM62" i="2"/>
  <c r="EX62" i="2"/>
  <c r="DW37" i="2"/>
  <c r="EG37" i="2"/>
  <c r="EB37" i="2"/>
  <c r="EL37" i="2"/>
  <c r="DW79" i="2"/>
  <c r="EG79" i="2"/>
  <c r="EB79" i="2"/>
  <c r="EL79" i="2"/>
  <c r="FO57" i="2"/>
  <c r="ER83" i="2"/>
  <c r="EG52" i="2"/>
  <c r="EB52" i="2"/>
  <c r="EB84" i="2"/>
  <c r="FM82" i="2"/>
  <c r="FM54" i="2"/>
  <c r="DF62" i="2"/>
  <c r="EB40" i="2"/>
  <c r="EG40" i="2"/>
  <c r="EX40" i="2"/>
  <c r="CN40" i="2"/>
  <c r="EB72" i="2"/>
  <c r="BD82" i="2"/>
  <c r="AT82" i="2"/>
  <c r="BM46" i="2"/>
  <c r="EX55" i="2"/>
  <c r="DO71" i="2"/>
  <c r="FH90" i="2"/>
  <c r="CP40" i="2"/>
  <c r="BO72" i="2"/>
  <c r="EX39" i="2"/>
  <c r="CV39" i="2"/>
  <c r="DA39" i="2"/>
  <c r="AT48" i="2"/>
  <c r="BI48" i="2"/>
  <c r="AY48" i="2"/>
  <c r="BD48" i="2"/>
  <c r="CP53" i="2"/>
  <c r="DO68" i="2"/>
  <c r="CJ61" i="2"/>
  <c r="CE68" i="2"/>
  <c r="BU91" i="2"/>
  <c r="BD83" i="2"/>
  <c r="DK78" i="2"/>
  <c r="AY78" i="2"/>
  <c r="BD78" i="2"/>
  <c r="BI37" i="2"/>
  <c r="AT46" i="2"/>
  <c r="FO35" i="2"/>
  <c r="EL82" i="2"/>
  <c r="DW82" i="2"/>
  <c r="EB82" i="2"/>
  <c r="FC59" i="2"/>
  <c r="EX59" i="2"/>
  <c r="FS60" i="2"/>
  <c r="FS56" i="2"/>
  <c r="FM91" i="2"/>
  <c r="FC91" i="2"/>
  <c r="EX91" i="2"/>
  <c r="DM89" i="2"/>
  <c r="ER75" i="2"/>
  <c r="FQ82" i="2"/>
  <c r="FO52" i="2"/>
  <c r="ER52" i="2"/>
  <c r="DQ77" i="2"/>
  <c r="BZ39" i="2"/>
  <c r="CE39" i="2"/>
  <c r="BU39" i="2"/>
  <c r="FM75" i="2"/>
  <c r="DQ60" i="2"/>
  <c r="BM72" i="2"/>
  <c r="FM44" i="2"/>
  <c r="BO52" i="2"/>
  <c r="BD53" i="2"/>
  <c r="AT53" i="2"/>
  <c r="DK55" i="2"/>
  <c r="DF55" i="2"/>
  <c r="CV55" i="2"/>
  <c r="AT75" i="2"/>
  <c r="BI75" i="2"/>
  <c r="FC44" i="2"/>
  <c r="FC83" i="2"/>
  <c r="DM42" i="2"/>
  <c r="EX61" i="2"/>
  <c r="EB77" i="2"/>
  <c r="EL77" i="2"/>
  <c r="BU70" i="2"/>
  <c r="CJ70" i="2"/>
  <c r="BZ70" i="2"/>
  <c r="BK92" i="2"/>
  <c r="CP31" i="2"/>
  <c r="BO55" i="2"/>
  <c r="DW92" i="2"/>
  <c r="BM48" i="2"/>
  <c r="EB44" i="2"/>
  <c r="EL44" i="2"/>
  <c r="DQ57" i="2"/>
  <c r="CN57" i="2"/>
  <c r="DO92" i="2"/>
  <c r="CL37" i="2"/>
  <c r="DF36" i="2"/>
  <c r="BZ80" i="2"/>
  <c r="CJ83" i="2"/>
  <c r="DK52" i="2"/>
  <c r="CE36" i="2"/>
  <c r="BD69" i="2"/>
  <c r="DF79" i="2"/>
  <c r="DF38" i="2"/>
  <c r="BM81" i="2"/>
  <c r="BD38" i="2"/>
  <c r="EN73" i="2"/>
  <c r="CN33" i="2"/>
  <c r="FS73" i="2"/>
  <c r="EL63" i="2"/>
  <c r="DW63" i="2"/>
  <c r="EG63" i="2"/>
  <c r="FO86" i="2"/>
  <c r="FC41" i="2"/>
  <c r="FH41" i="2"/>
  <c r="EN92" i="2"/>
  <c r="EN53" i="2"/>
  <c r="FQ72" i="2"/>
  <c r="CE89" i="2"/>
  <c r="BU89" i="2"/>
  <c r="BZ89" i="2"/>
  <c r="EB56" i="2"/>
  <c r="DW56" i="2"/>
  <c r="EN37" i="2"/>
  <c r="FQ54" i="2"/>
  <c r="DW86" i="2"/>
  <c r="EB86" i="2"/>
  <c r="EL86" i="2"/>
  <c r="FQ47" i="2"/>
  <c r="EP78" i="2"/>
  <c r="FS46" i="2"/>
  <c r="FS53" i="2"/>
  <c r="FQ58" i="2"/>
  <c r="EP70" i="2"/>
  <c r="DM50" i="2"/>
  <c r="AT56" i="2"/>
  <c r="FH67" i="2"/>
  <c r="DM31" i="2"/>
  <c r="DA76" i="2"/>
  <c r="CP46" i="2"/>
  <c r="BM92" i="2"/>
  <c r="EL46" i="2"/>
  <c r="EL70" i="2"/>
  <c r="CP81" i="2"/>
  <c r="EG57" i="2"/>
  <c r="EG82" i="2"/>
  <c r="FC42" i="2"/>
  <c r="FH59" i="2"/>
  <c r="AY89" i="2"/>
  <c r="DM48" i="2"/>
  <c r="DW83" i="2"/>
  <c r="DM70" i="2"/>
  <c r="CE63" i="2"/>
  <c r="BZ63" i="2"/>
  <c r="FH58" i="2"/>
  <c r="DO81" i="2"/>
  <c r="CL80" i="2"/>
  <c r="DK38" i="2"/>
  <c r="CJ63" i="2"/>
  <c r="CE70" i="2"/>
  <c r="AY82" i="2"/>
  <c r="DF44" i="2"/>
  <c r="DA53" i="2"/>
  <c r="CJ29" i="2"/>
  <c r="BU29" i="2"/>
  <c r="CE29" i="2"/>
  <c r="BO79" i="2"/>
  <c r="DA47" i="2"/>
  <c r="FQ89" i="2"/>
  <c r="DW75" i="2"/>
  <c r="EG75" i="2"/>
  <c r="BD88" i="2"/>
  <c r="FQ46" i="2"/>
  <c r="FQ80" i="2"/>
  <c r="FQ90" i="2"/>
  <c r="FO77" i="2"/>
  <c r="EL67" i="2"/>
  <c r="DW67" i="2"/>
  <c r="EB67" i="2"/>
  <c r="FS57" i="2"/>
  <c r="FH78" i="2"/>
  <c r="DO45" i="2"/>
  <c r="EG62" i="2"/>
  <c r="FC70" i="2"/>
  <c r="DA84" i="2"/>
  <c r="CV84" i="2"/>
  <c r="DF84" i="2"/>
  <c r="BO68" i="2"/>
  <c r="DW84" i="2"/>
  <c r="CL43" i="2"/>
  <c r="CL71" i="2"/>
  <c r="BI57" i="2"/>
  <c r="BD57" i="2"/>
  <c r="DM92" i="2"/>
  <c r="BD90" i="2"/>
  <c r="CN47" i="2"/>
  <c r="EL40" i="2"/>
  <c r="BD50" i="2"/>
  <c r="BI50" i="2"/>
  <c r="DO70" i="2"/>
  <c r="DA42" i="2"/>
  <c r="CE75" i="2"/>
  <c r="AY75" i="2"/>
  <c r="AT50" i="2"/>
  <c r="BI61" i="2"/>
  <c r="BI42" i="2"/>
  <c r="DF29" i="2"/>
  <c r="DK29" i="2"/>
  <c r="DA29" i="2"/>
  <c r="BZ40" i="2"/>
  <c r="CV47" i="2"/>
  <c r="BO31" i="2"/>
  <c r="EL90" i="2"/>
  <c r="DW90" i="2"/>
  <c r="EB90" i="2"/>
  <c r="EG90" i="2"/>
  <c r="EN83" i="2"/>
  <c r="DW72" i="2"/>
  <c r="EG72" i="2"/>
  <c r="DO89" i="2"/>
  <c r="EX60" i="2"/>
  <c r="FH60" i="2"/>
  <c r="EP47" i="2"/>
  <c r="EB62" i="2"/>
  <c r="DW62" i="2"/>
  <c r="FO91" i="2"/>
  <c r="ER70" i="2"/>
  <c r="EN56" i="2"/>
  <c r="EN69" i="2"/>
  <c r="FM92" i="2"/>
  <c r="FC92" i="2"/>
  <c r="EX86" i="2"/>
  <c r="DA41" i="2"/>
  <c r="DF41" i="2"/>
  <c r="DK41" i="2"/>
  <c r="DO69" i="2"/>
  <c r="EX42" i="2"/>
  <c r="CJ90" i="2"/>
  <c r="CN67" i="2"/>
  <c r="CN43" i="2"/>
  <c r="BO83" i="2"/>
  <c r="EB63" i="2"/>
  <c r="BI72" i="2"/>
  <c r="BD72" i="2"/>
  <c r="BO42" i="2"/>
  <c r="DQ83" i="2"/>
  <c r="EP91" i="2"/>
  <c r="CP79" i="2"/>
  <c r="FM78" i="2"/>
  <c r="DO53" i="2"/>
  <c r="BM31" i="2"/>
  <c r="EG77" i="2"/>
  <c r="CN39" i="2"/>
  <c r="BK38" i="2"/>
  <c r="DQ40" i="2"/>
  <c r="BD43" i="2"/>
  <c r="BI43" i="2"/>
  <c r="FM42" i="2"/>
  <c r="CP58" i="2"/>
  <c r="CN54" i="2"/>
  <c r="AY50" i="2"/>
  <c r="AY32" i="2"/>
  <c r="BD37" i="2"/>
  <c r="AT68" i="2"/>
  <c r="AY46" i="2"/>
  <c r="BI54" i="2"/>
  <c r="BK44" i="2"/>
  <c r="CJ40" i="2"/>
  <c r="CJ45" i="2"/>
  <c r="DA56" i="2"/>
  <c r="DF69" i="2"/>
  <c r="DK86" i="2"/>
  <c r="CL87" i="2"/>
  <c r="BU88" i="2"/>
  <c r="DO64" i="2"/>
  <c r="ER48" i="2"/>
  <c r="FO59" i="2"/>
  <c r="EN68" i="2"/>
  <c r="EG55" i="2"/>
  <c r="EB55" i="2"/>
  <c r="EL55" i="2"/>
  <c r="FQ48" i="2"/>
  <c r="ER82" i="2"/>
  <c r="FH53" i="2"/>
  <c r="FM53" i="2"/>
  <c r="EX53" i="2"/>
  <c r="FS55" i="2"/>
  <c r="FC80" i="2"/>
  <c r="FH80" i="2"/>
  <c r="FM80" i="2"/>
  <c r="EN78" i="2"/>
  <c r="EN54" i="2"/>
  <c r="EB61" i="2"/>
  <c r="EG61" i="2"/>
  <c r="EX41" i="2"/>
  <c r="CV50" i="2"/>
  <c r="DK50" i="2"/>
  <c r="DA50" i="2"/>
  <c r="DF50" i="2"/>
  <c r="DQ90" i="2"/>
  <c r="DO44" i="2"/>
  <c r="AY90" i="2"/>
  <c r="DQ31" i="2"/>
  <c r="BO81" i="2"/>
  <c r="CN31" i="2"/>
  <c r="EL78" i="2"/>
  <c r="EG78" i="2"/>
  <c r="EB78" i="2"/>
  <c r="CP67" i="2"/>
  <c r="BM70" i="2"/>
  <c r="EL92" i="2"/>
  <c r="AT32" i="2"/>
  <c r="EG86" i="2"/>
  <c r="BM42" i="2"/>
  <c r="CN45" i="2"/>
  <c r="FH92" i="2"/>
  <c r="DK69" i="2"/>
  <c r="DO57" i="2"/>
  <c r="CL44" i="2"/>
  <c r="BM59" i="2"/>
  <c r="EN30" i="2"/>
  <c r="BO82" i="2"/>
  <c r="DM81" i="2"/>
  <c r="BK84" i="2"/>
  <c r="CN75" i="2"/>
  <c r="DA70" i="2"/>
  <c r="BD56" i="2"/>
  <c r="AT63" i="2"/>
  <c r="BI82" i="2"/>
  <c r="BK67" i="2"/>
  <c r="DA72" i="2"/>
  <c r="BZ50" i="2"/>
  <c r="DF56" i="2"/>
  <c r="BU56" i="2"/>
  <c r="DK33" i="2"/>
  <c r="FH73" i="2"/>
  <c r="DQ66" i="2"/>
  <c r="FS90" i="2"/>
  <c r="EL69" i="2"/>
  <c r="EB69" i="2"/>
  <c r="DW69" i="2"/>
  <c r="FS92" i="2"/>
  <c r="EG68" i="2"/>
  <c r="EB68" i="2"/>
  <c r="EP80" i="2"/>
  <c r="EN86" i="2"/>
  <c r="FO62" i="2"/>
  <c r="EP79" i="2"/>
  <c r="EP71" i="2"/>
  <c r="FS71" i="2"/>
  <c r="FO83" i="2"/>
  <c r="ER84" i="2"/>
  <c r="FQ83" i="2"/>
  <c r="CL76" i="2"/>
  <c r="DO50" i="2"/>
  <c r="DK76" i="2"/>
  <c r="DF76" i="2"/>
  <c r="BK70" i="2"/>
  <c r="DO41" i="2"/>
  <c r="BM69" i="2"/>
  <c r="DA77" i="2"/>
  <c r="EL83" i="2"/>
  <c r="BK86" i="2"/>
  <c r="BO53" i="2"/>
  <c r="CN79" i="2"/>
  <c r="FM67" i="2"/>
  <c r="DK77" i="2"/>
  <c r="CL91" i="2"/>
  <c r="EL61" i="2"/>
  <c r="CP42" i="2"/>
  <c r="BM62" i="2"/>
  <c r="EG30" i="2"/>
  <c r="CP50" i="2"/>
  <c r="CN92" i="2"/>
  <c r="CE50" i="2"/>
  <c r="AY57" i="2"/>
  <c r="BM83" i="2"/>
  <c r="AY42" i="2"/>
  <c r="AY68" i="2"/>
  <c r="CV86" i="2"/>
  <c r="BI53" i="2"/>
  <c r="BD80" i="2"/>
  <c r="FC29" i="2"/>
  <c r="AT88" i="2"/>
  <c r="FM71" i="2"/>
  <c r="CL73" i="2"/>
  <c r="FO92" i="2"/>
  <c r="FM77" i="2"/>
  <c r="FC77" i="2"/>
  <c r="FQ67" i="2"/>
  <c r="FC50" i="2"/>
  <c r="EX50" i="2"/>
  <c r="EP66" i="2"/>
  <c r="FC75" i="2"/>
  <c r="EX75" i="2"/>
  <c r="DW76" i="2"/>
  <c r="EG76" i="2"/>
  <c r="EL76" i="2"/>
  <c r="ER63" i="2"/>
  <c r="FO55" i="2"/>
  <c r="FS68" i="2"/>
  <c r="FS78" i="2"/>
  <c r="DO77" i="2"/>
  <c r="ER68" i="2"/>
  <c r="DO59" i="2"/>
  <c r="FQ66" i="2"/>
  <c r="EX44" i="2"/>
  <c r="AT58" i="2"/>
  <c r="BI58" i="2"/>
  <c r="AY58" i="2"/>
  <c r="DO91" i="2"/>
  <c r="CN50" i="2"/>
  <c r="AT67" i="2"/>
  <c r="AY67" i="2"/>
  <c r="BI67" i="2"/>
  <c r="CL54" i="2"/>
  <c r="DM55" i="2"/>
  <c r="CL55" i="2"/>
  <c r="CV46" i="2"/>
  <c r="DA46" i="2"/>
  <c r="BO40" i="2"/>
  <c r="BO39" i="2"/>
  <c r="EB30" i="2"/>
  <c r="BZ59" i="2"/>
  <c r="CJ59" i="2"/>
  <c r="BU59" i="2"/>
  <c r="BK68" i="2"/>
  <c r="ER77" i="2"/>
  <c r="CN83" i="2"/>
  <c r="DM91" i="2"/>
  <c r="CP56" i="2"/>
  <c r="CL53" i="2"/>
  <c r="CJ89" i="2"/>
  <c r="BK53" i="2"/>
  <c r="DO43" i="2"/>
  <c r="CL81" i="2"/>
  <c r="EL39" i="2"/>
  <c r="CL92" i="2"/>
  <c r="BD84" i="2"/>
  <c r="BI84" i="2"/>
  <c r="AY84" i="2"/>
  <c r="CJ77" i="2"/>
  <c r="BK55" i="2"/>
  <c r="AY72" i="2"/>
  <c r="BK79" i="2"/>
  <c r="AY44" i="2"/>
  <c r="BD44" i="2"/>
  <c r="AT44" i="2"/>
  <c r="DK36" i="2"/>
  <c r="BZ77" i="2"/>
  <c r="BD68" i="2"/>
  <c r="DK92" i="2"/>
  <c r="BD63" i="2"/>
  <c r="BZ29" i="2"/>
  <c r="BM64" i="2"/>
  <c r="EX72" i="2"/>
  <c r="FM72" i="2"/>
  <c r="FC72" i="2"/>
  <c r="EB58" i="2"/>
  <c r="DW58" i="2"/>
  <c r="FM56" i="2"/>
  <c r="EX56" i="2"/>
  <c r="FS54" i="2"/>
  <c r="EP81" i="2"/>
  <c r="FQ81" i="2"/>
  <c r="DK62" i="2"/>
  <c r="CV62" i="2"/>
  <c r="EP58" i="2"/>
  <c r="FO81" i="2"/>
  <c r="AT81" i="2"/>
  <c r="BD81" i="2"/>
  <c r="BI81" i="2"/>
  <c r="EL84" i="2"/>
  <c r="EL56" i="2"/>
  <c r="CL68" i="2"/>
  <c r="FM37" i="2"/>
  <c r="CL41" i="2"/>
  <c r="FC89" i="2"/>
  <c r="FM90" i="2"/>
  <c r="DQ84" i="2"/>
  <c r="BZ36" i="2"/>
  <c r="BU36" i="2"/>
  <c r="DM59" i="2"/>
  <c r="CP62" i="2"/>
  <c r="CP60" i="2"/>
  <c r="FH77" i="2"/>
  <c r="DM60" i="2"/>
  <c r="CN38" i="2"/>
  <c r="DQ67" i="2"/>
  <c r="CL30" i="2"/>
  <c r="BI90" i="2"/>
  <c r="DA78" i="2"/>
  <c r="DF78" i="2"/>
  <c r="CP83" i="2"/>
  <c r="DO32" i="2"/>
  <c r="CN59" i="2"/>
  <c r="BO47" i="2"/>
  <c r="ER59" i="2"/>
  <c r="CP45" i="2"/>
  <c r="BO48" i="2"/>
  <c r="AY69" i="2"/>
  <c r="BK76" i="2"/>
  <c r="BO86" i="2"/>
  <c r="BO76" i="2"/>
  <c r="BM44" i="2"/>
  <c r="DF39" i="2"/>
  <c r="DK39" i="2"/>
  <c r="BI83" i="2"/>
  <c r="BD31" i="2"/>
  <c r="ER76" i="2"/>
  <c r="EP37" i="2"/>
  <c r="FO58" i="2"/>
  <c r="ER67" i="2"/>
  <c r="FS51" i="2"/>
  <c r="EN76" i="2"/>
  <c r="DQ76" i="2"/>
  <c r="FQ59" i="2"/>
  <c r="EP90" i="2"/>
  <c r="EP82" i="2"/>
  <c r="FS37" i="2"/>
  <c r="DO46" i="2"/>
  <c r="EP75" i="2"/>
  <c r="DM78" i="2"/>
  <c r="DF80" i="2"/>
  <c r="DK80" i="2"/>
  <c r="CV80" i="2"/>
  <c r="CJ47" i="2"/>
  <c r="CE47" i="2"/>
  <c r="BU47" i="2"/>
  <c r="BM30" i="2"/>
  <c r="EB54" i="2"/>
  <c r="CP39" i="2"/>
  <c r="CN82" i="2"/>
  <c r="DQ38" i="2"/>
  <c r="FM61" i="2"/>
  <c r="DO38" i="2"/>
  <c r="CN84" i="2"/>
  <c r="FH62" i="2"/>
  <c r="DQ41" i="2"/>
  <c r="CN55" i="2"/>
  <c r="DO61" i="2"/>
  <c r="CP38" i="2"/>
  <c r="BM60" i="2"/>
  <c r="BK69" i="2"/>
  <c r="ER91" i="2"/>
  <c r="CP52" i="2"/>
  <c r="FM40" i="2"/>
  <c r="DM32" i="2"/>
  <c r="EL58" i="2"/>
  <c r="CP63" i="2"/>
  <c r="FC60" i="2"/>
  <c r="CL32" i="2"/>
  <c r="FC40" i="2"/>
  <c r="DQ56" i="2"/>
  <c r="CL77" i="2"/>
  <c r="BM37" i="2"/>
  <c r="CV60" i="2"/>
  <c r="CL62" i="2"/>
  <c r="AY53" i="2"/>
  <c r="BK60" i="2"/>
  <c r="AY83" i="2"/>
  <c r="BK78" i="2"/>
  <c r="BK39" i="2"/>
  <c r="BO78" i="2"/>
  <c r="DF86" i="2"/>
  <c r="DF70" i="2"/>
  <c r="DK81" i="2"/>
  <c r="BK58" i="2"/>
  <c r="DA49" i="2"/>
  <c r="DF49" i="2"/>
  <c r="BZ33" i="2"/>
  <c r="FM86" i="2"/>
  <c r="FC86" i="2"/>
  <c r="ER45" i="2"/>
  <c r="EB53" i="2"/>
  <c r="DW53" i="2"/>
  <c r="FS62" i="2"/>
  <c r="EN79" i="2"/>
  <c r="FM68" i="2"/>
  <c r="FH68" i="2"/>
  <c r="EX68" i="2"/>
  <c r="EN90" i="2"/>
  <c r="EN81" i="2"/>
  <c r="EX45" i="2"/>
  <c r="FC45" i="2"/>
  <c r="FH45" i="2"/>
  <c r="FQ84" i="2"/>
  <c r="CE91" i="2"/>
  <c r="BZ91" i="2"/>
  <c r="FH54" i="2"/>
  <c r="CV82" i="2"/>
  <c r="DA82" i="2"/>
  <c r="DF82" i="2"/>
  <c r="BZ38" i="2"/>
  <c r="CE38" i="2"/>
  <c r="CJ38" i="2"/>
  <c r="BU38" i="2"/>
  <c r="BO59" i="2"/>
  <c r="EB75" i="2"/>
  <c r="DQ52" i="2"/>
  <c r="DW68" i="2"/>
  <c r="EL75" i="2"/>
  <c r="DK48" i="2"/>
  <c r="DA48" i="2"/>
  <c r="CV48" i="2"/>
  <c r="FM50" i="2"/>
  <c r="DQ44" i="2"/>
  <c r="FH72" i="2"/>
  <c r="DQ80" i="2"/>
  <c r="CP41" i="2"/>
  <c r="CL84" i="2"/>
  <c r="DQ62" i="2"/>
  <c r="CP36" i="2"/>
  <c r="CP30" i="2"/>
  <c r="DW70" i="2"/>
  <c r="DQ37" i="2"/>
  <c r="BU55" i="2"/>
  <c r="BZ55" i="2"/>
  <c r="CE55" i="2"/>
  <c r="BU46" i="2"/>
  <c r="CJ46" i="2"/>
  <c r="BZ46" i="2"/>
  <c r="BO38" i="2"/>
  <c r="BD54" i="2"/>
  <c r="BK30" i="2"/>
  <c r="BD30" i="2"/>
  <c r="AY30" i="2"/>
  <c r="BO77" i="2"/>
  <c r="BZ68" i="2"/>
  <c r="CJ68" i="2"/>
  <c r="DW29" i="2"/>
  <c r="CV49" i="2"/>
  <c r="CP73" i="2"/>
  <c r="FM73" i="2"/>
  <c r="FS72" i="2"/>
  <c r="FQ45" i="2"/>
  <c r="EP53" i="2"/>
  <c r="FS67" i="2"/>
  <c r="EP55" i="2"/>
  <c r="FQ52" i="2"/>
  <c r="DM66" i="2"/>
  <c r="CV59" i="2"/>
  <c r="DA59" i="2"/>
  <c r="DF59" i="2"/>
  <c r="FO50" i="2"/>
  <c r="EP77" i="2"/>
  <c r="FS63" i="2"/>
  <c r="EP69" i="2"/>
  <c r="EN46" i="2"/>
  <c r="FC79" i="2"/>
  <c r="FM79" i="2"/>
  <c r="FH79" i="2"/>
  <c r="ER57" i="2"/>
  <c r="BK89" i="2"/>
  <c r="FQ79" i="2"/>
  <c r="EL53" i="2"/>
  <c r="DO75" i="2"/>
  <c r="CV79" i="2"/>
  <c r="DK79" i="2"/>
  <c r="EB32" i="2"/>
  <c r="DQ58" i="2"/>
  <c r="EB70" i="2"/>
  <c r="CP82" i="2"/>
  <c r="FH56" i="2"/>
  <c r="FM83" i="2"/>
  <c r="DM63" i="2"/>
  <c r="BU84" i="2"/>
  <c r="CJ84" i="2"/>
  <c r="BZ84" i="2"/>
  <c r="BI91" i="2"/>
  <c r="AT91" i="2"/>
  <c r="CL57" i="2"/>
  <c r="BI45" i="2"/>
  <c r="AY45" i="2"/>
  <c r="AT45" i="2"/>
  <c r="DM47" i="2"/>
  <c r="CJ32" i="2"/>
  <c r="CE32" i="2"/>
  <c r="BZ32" i="2"/>
  <c r="DM62" i="2"/>
  <c r="CL56" i="2"/>
  <c r="CL63" i="2"/>
  <c r="ER30" i="2"/>
  <c r="CN72" i="2"/>
  <c r="FC55" i="2"/>
  <c r="CJ56" i="2"/>
  <c r="CE56" i="2"/>
  <c r="DO48" i="2"/>
  <c r="DM84" i="2"/>
  <c r="BK75" i="2"/>
  <c r="BM40" i="2"/>
  <c r="BD91" i="2"/>
  <c r="EX29" i="2"/>
  <c r="DA38" i="2"/>
  <c r="DK46" i="2"/>
  <c r="BZ81" i="2"/>
  <c r="AY56" i="2"/>
  <c r="AT57" i="2"/>
  <c r="BD76" i="2"/>
  <c r="AY76" i="2"/>
  <c r="AY61" i="2"/>
  <c r="FM29" i="2"/>
  <c r="DW87" i="2"/>
  <c r="BI73" i="2"/>
  <c r="CP64" i="2"/>
  <c r="EL89" i="2"/>
  <c r="EG89" i="2"/>
  <c r="FS77" i="2"/>
  <c r="AT89" i="2"/>
  <c r="BD89" i="2"/>
  <c r="EP86" i="2"/>
  <c r="FQ63" i="2"/>
  <c r="EB60" i="2"/>
  <c r="EL60" i="2"/>
  <c r="DW60" i="2"/>
  <c r="FS86" i="2"/>
  <c r="EP50" i="2"/>
  <c r="CV61" i="2"/>
  <c r="DF61" i="2"/>
  <c r="FC84" i="2"/>
  <c r="FH84" i="2"/>
  <c r="FQ37" i="2"/>
  <c r="FS61" i="2"/>
  <c r="ER46" i="2"/>
  <c r="FO79" i="2"/>
  <c r="EP72" i="2"/>
  <c r="BO89" i="2"/>
  <c r="FQ76" i="2"/>
  <c r="EL32" i="2"/>
  <c r="DA52" i="2"/>
  <c r="CV52" i="2"/>
  <c r="BU48" i="2"/>
  <c r="CJ48" i="2"/>
  <c r="BZ48" i="2"/>
  <c r="CV44" i="2"/>
  <c r="DK44" i="2"/>
  <c r="EB92" i="2"/>
  <c r="BO84" i="2"/>
  <c r="CE90" i="2"/>
  <c r="DW39" i="2"/>
  <c r="CN58" i="2"/>
  <c r="BK41" i="2"/>
  <c r="CN69" i="2"/>
  <c r="DW54" i="2"/>
  <c r="DO79" i="2"/>
  <c r="BM41" i="2"/>
  <c r="FC82" i="2"/>
  <c r="BO43" i="2"/>
  <c r="FC78" i="2"/>
  <c r="DK57" i="2"/>
  <c r="DF57" i="2"/>
  <c r="CJ54" i="2"/>
  <c r="CE54" i="2"/>
  <c r="BU54" i="2"/>
  <c r="FH89" i="2"/>
  <c r="DM56" i="2"/>
  <c r="CN36" i="2"/>
  <c r="BM45" i="2"/>
  <c r="DO78" i="2"/>
  <c r="EL54" i="2"/>
  <c r="BM61" i="2"/>
  <c r="EX77" i="2"/>
  <c r="CN44" i="2"/>
  <c r="DM82" i="2"/>
  <c r="CN78" i="2"/>
  <c r="BM54" i="2"/>
  <c r="CP77" i="2"/>
  <c r="BI31" i="2"/>
  <c r="DA60" i="2"/>
  <c r="BD40" i="2"/>
  <c r="AY40" i="2"/>
  <c r="DK82" i="2"/>
  <c r="DA55" i="2"/>
  <c r="CE59" i="2"/>
  <c r="BD32" i="2"/>
  <c r="AY54" i="2"/>
  <c r="BI44" i="2"/>
  <c r="CE48" i="2"/>
  <c r="BD46" i="2"/>
  <c r="CV29" i="2"/>
  <c r="EX71" i="2"/>
  <c r="FO70" i="2"/>
  <c r="EN84" i="2"/>
  <c r="CL88" i="2"/>
  <c r="EP52" i="2"/>
  <c r="FH37" i="2"/>
  <c r="EX37" i="2"/>
  <c r="EP45" i="2"/>
  <c r="DO76" i="2"/>
  <c r="EL43" i="2"/>
  <c r="EG43" i="2"/>
  <c r="EB43" i="2"/>
  <c r="FO60" i="2"/>
  <c r="EN62" i="2"/>
  <c r="EN50" i="2"/>
  <c r="CV90" i="2"/>
  <c r="DK90" i="2"/>
  <c r="DA90" i="2"/>
  <c r="ER56" i="2"/>
  <c r="FO76" i="2"/>
  <c r="DM90" i="2"/>
  <c r="FO80" i="2"/>
  <c r="EP57" i="2"/>
  <c r="EL52" i="2"/>
  <c r="DO52" i="2"/>
  <c r="BO61" i="2"/>
  <c r="EL68" i="2"/>
  <c r="DQ63" i="2"/>
  <c r="DF90" i="2"/>
  <c r="EG69" i="2"/>
  <c r="CL69" i="2"/>
  <c r="BK80" i="2"/>
  <c r="BZ61" i="2"/>
  <c r="BU61" i="2"/>
  <c r="BM32" i="2"/>
  <c r="EG67" i="2"/>
  <c r="EX58" i="2"/>
  <c r="CV58" i="2"/>
  <c r="DF58" i="2"/>
  <c r="DK58" i="2"/>
  <c r="DA58" i="2"/>
  <c r="BD41" i="2"/>
  <c r="BI41" i="2"/>
  <c r="BU57" i="2"/>
  <c r="BZ57" i="2"/>
  <c r="FM55" i="2"/>
  <c r="DQ68" i="2"/>
  <c r="FH61" i="2"/>
  <c r="DM37" i="2"/>
  <c r="EX90" i="2"/>
  <c r="DF43" i="2"/>
  <c r="BK82" i="2"/>
  <c r="EG32" i="2"/>
  <c r="DO67" i="2"/>
  <c r="DM61" i="2"/>
  <c r="BM47" i="2"/>
  <c r="DO72" i="2"/>
  <c r="DQ82" i="2"/>
  <c r="CL78" i="2"/>
  <c r="BM67" i="2"/>
  <c r="CJ67" i="2"/>
  <c r="CE67" i="2"/>
  <c r="BM57" i="2"/>
  <c r="BO62" i="2"/>
  <c r="CV36" i="2"/>
  <c r="DA61" i="2"/>
  <c r="BK77" i="2"/>
  <c r="DK47" i="2"/>
  <c r="CV72" i="2"/>
  <c r="DF81" i="2"/>
  <c r="CJ57" i="2"/>
  <c r="BI63" i="2"/>
  <c r="BO45" i="2"/>
  <c r="CJ80" i="2"/>
  <c r="BD75" i="2"/>
  <c r="BO91" i="2"/>
  <c r="EL29" i="2"/>
  <c r="EN60" i="2"/>
  <c r="FQ32" i="2"/>
  <c r="DW55" i="2"/>
  <c r="FS32" i="2"/>
  <c r="CN89" i="2"/>
  <c r="EX63" i="2"/>
  <c r="FC63" i="2"/>
  <c r="EP48" i="2"/>
  <c r="FM39" i="2"/>
  <c r="FH39" i="2"/>
  <c r="FQ56" i="2"/>
  <c r="FQ50" i="2"/>
  <c r="EP54" i="2"/>
  <c r="DW46" i="2"/>
  <c r="EB46" i="2"/>
  <c r="CN90" i="2"/>
  <c r="FQ91" i="2"/>
  <c r="ER92" i="2"/>
  <c r="BO90" i="2"/>
  <c r="ER72" i="2"/>
  <c r="ER55" i="2"/>
  <c r="CJ75" i="2"/>
  <c r="BZ75" i="2"/>
  <c r="EB83" i="2"/>
  <c r="DK67" i="2"/>
  <c r="CV67" i="2"/>
  <c r="FH50" i="2"/>
  <c r="DQ45" i="2"/>
  <c r="CN76" i="2"/>
  <c r="BM52" i="2"/>
  <c r="CV77" i="2"/>
  <c r="CN46" i="2"/>
  <c r="BO63" i="2"/>
  <c r="EB39" i="2"/>
  <c r="CP68" i="2"/>
  <c r="BK56" i="2"/>
  <c r="FH63" i="2"/>
  <c r="DF83" i="2"/>
  <c r="CV83" i="2"/>
  <c r="DA83" i="2"/>
  <c r="DM83" i="2"/>
  <c r="BO46" i="2"/>
  <c r="FC58" i="2"/>
  <c r="CV30" i="2"/>
  <c r="DK30" i="2"/>
  <c r="DF30" i="2"/>
  <c r="FM89" i="2"/>
  <c r="BM75" i="2"/>
  <c r="DO55" i="2"/>
  <c r="BK37" i="2"/>
  <c r="DM46" i="2"/>
  <c r="AT38" i="2"/>
  <c r="BI38" i="2"/>
  <c r="DM58" i="2"/>
  <c r="ER40" i="2"/>
  <c r="DM75" i="2"/>
  <c r="CP91" i="2"/>
  <c r="DQ30" i="2"/>
  <c r="DF92" i="2"/>
  <c r="DF48" i="2"/>
  <c r="DF72" i="2"/>
  <c r="CJ39" i="2"/>
  <c r="CE80" i="2"/>
  <c r="BM58" i="2"/>
  <c r="BD58" i="2"/>
  <c r="BD61" i="2"/>
  <c r="BM63" i="2"/>
  <c r="BZ45" i="2"/>
  <c r="AT30" i="2"/>
  <c r="DO73" i="2"/>
  <c r="FS33" i="2"/>
  <c r="BZ66" i="2"/>
  <c r="CE66" i="2"/>
  <c r="BM33" i="2"/>
  <c r="DF33" i="2"/>
  <c r="FO73" i="2"/>
  <c r="CV33" i="2"/>
  <c r="CP33" i="2"/>
  <c r="CJ66" i="2"/>
  <c r="ER73" i="2"/>
  <c r="CV64" i="2"/>
  <c r="DF64" i="2"/>
  <c r="DK64" i="2"/>
  <c r="FQ33" i="2"/>
  <c r="EN64" i="2"/>
  <c r="ER33" i="2"/>
  <c r="AT64" i="2"/>
  <c r="FO64" i="2"/>
  <c r="FS64" i="2"/>
  <c r="DO33" i="2"/>
  <c r="EN33" i="2"/>
  <c r="FM64" i="2"/>
  <c r="CL33" i="2"/>
  <c r="DM64" i="2"/>
  <c r="CL64" i="2"/>
  <c r="EB64" i="2"/>
  <c r="EP33" i="2"/>
  <c r="DQ33" i="2"/>
  <c r="EP64" i="2"/>
  <c r="FO33" i="2"/>
  <c r="CN64" i="2"/>
  <c r="ER64" i="2"/>
  <c r="EB33" i="2"/>
  <c r="DQ64" i="2"/>
  <c r="FQ64" i="2"/>
  <c r="BO33" i="2"/>
  <c r="DM33" i="2"/>
  <c r="BO64" i="2"/>
  <c r="EL64" i="2"/>
  <c r="AY64" i="2"/>
  <c r="BI64" i="2"/>
  <c r="AY33" i="2"/>
  <c r="BI33" i="2"/>
  <c r="FM33" i="2"/>
  <c r="FC33" i="2"/>
  <c r="EX33" i="2"/>
  <c r="BD33" i="2"/>
  <c r="AT33" i="2"/>
  <c r="FH33" i="2"/>
  <c r="DW64" i="2"/>
  <c r="EL33" i="2"/>
  <c r="EG33" i="2"/>
  <c r="FM88" i="2"/>
  <c r="EB88" i="2"/>
  <c r="DW88" i="2"/>
  <c r="AY51" i="2"/>
  <c r="BD51" i="2"/>
  <c r="BI51" i="2"/>
  <c r="EX88" i="2"/>
  <c r="FC88" i="2"/>
  <c r="DW51" i="2"/>
  <c r="EG88" i="2"/>
  <c r="EB51" i="2"/>
  <c r="DF88" i="2"/>
  <c r="CV88" i="2"/>
  <c r="DA88" i="2"/>
  <c r="DK51" i="2"/>
  <c r="DA51" i="2"/>
  <c r="AT51" i="2"/>
  <c r="CV51" i="2"/>
  <c r="BZ87" i="2"/>
  <c r="AY35" i="2"/>
  <c r="BD35" i="2"/>
  <c r="CL35" i="2"/>
  <c r="FM87" i="2"/>
  <c r="EP87" i="2"/>
  <c r="DO35" i="2"/>
  <c r="FC87" i="2"/>
  <c r="FM35" i="2"/>
  <c r="CL49" i="2"/>
  <c r="FQ49" i="2"/>
  <c r="DM87" i="2"/>
  <c r="EP49" i="2"/>
  <c r="CE35" i="2"/>
  <c r="CJ35" i="2"/>
  <c r="CN49" i="2"/>
  <c r="FH87" i="2"/>
  <c r="BU35" i="2"/>
  <c r="DW35" i="2"/>
  <c r="BK87" i="2"/>
  <c r="AD20" i="57"/>
  <c r="EB35" i="2"/>
  <c r="FS35" i="2"/>
  <c r="FO49" i="2"/>
  <c r="DQ87" i="2"/>
  <c r="EN35" i="2"/>
  <c r="BU87" i="2"/>
  <c r="BK35" i="2"/>
  <c r="DM49" i="2"/>
  <c r="CJ87" i="2"/>
  <c r="BO49" i="2"/>
  <c r="DM35" i="2"/>
  <c r="AT87" i="2"/>
  <c r="FS87" i="2"/>
  <c r="FQ35" i="2"/>
  <c r="CP87" i="2"/>
  <c r="EG35" i="2"/>
  <c r="EN87" i="2"/>
  <c r="BD87" i="2"/>
  <c r="BM49" i="2"/>
  <c r="FC49" i="2"/>
  <c r="ER35" i="2"/>
  <c r="ER49" i="2"/>
  <c r="BM87" i="2"/>
  <c r="BO35" i="2"/>
  <c r="FO87" i="2"/>
  <c r="DQ35" i="2"/>
  <c r="DF87" i="2"/>
  <c r="CN87" i="2"/>
  <c r="BM35" i="2"/>
  <c r="DA87" i="2"/>
  <c r="AY87" i="2"/>
  <c r="CN35" i="2"/>
  <c r="BU49" i="2"/>
  <c r="DK87" i="2"/>
  <c r="CJ49" i="2"/>
  <c r="BZ49" i="2"/>
  <c r="DO87" i="2"/>
  <c r="CP35" i="2"/>
  <c r="EP35" i="2"/>
  <c r="FQ87" i="2"/>
  <c r="BO87" i="2"/>
  <c r="BD49" i="2"/>
  <c r="AT49" i="2"/>
  <c r="CV35" i="2"/>
  <c r="EN49" i="2"/>
  <c r="CP49" i="2"/>
  <c r="DK35" i="2"/>
  <c r="FS49" i="2"/>
  <c r="DO49" i="2"/>
  <c r="BK49" i="2"/>
  <c r="DQ49" i="2"/>
  <c r="DA35" i="2"/>
  <c r="FM49" i="2"/>
  <c r="BI49" i="2"/>
  <c r="FH49" i="2"/>
  <c r="EG49" i="2"/>
  <c r="EL49" i="2"/>
  <c r="AD20" i="59"/>
  <c r="DW49" i="2"/>
  <c r="N31" i="59"/>
  <c r="EB49" i="2"/>
  <c r="AD55" i="54"/>
  <c r="AD55" i="53"/>
  <c r="AE14" i="56"/>
  <c r="Z5" i="56"/>
  <c r="X4" i="56" s="1"/>
  <c r="AE49" i="54"/>
  <c r="Z40" i="54"/>
  <c r="X39" i="54" s="1"/>
  <c r="O65" i="53"/>
  <c r="N66" i="53" s="1"/>
  <c r="O40" i="52"/>
  <c r="S38" i="52"/>
  <c r="R39" i="52" s="1"/>
  <c r="O40" i="53"/>
  <c r="S38" i="53"/>
  <c r="D48" i="55"/>
  <c r="H38" i="55"/>
  <c r="H3" i="59"/>
  <c r="D13" i="59"/>
  <c r="O5" i="58"/>
  <c r="S3" i="58"/>
  <c r="L40" i="53"/>
  <c r="B56" i="53"/>
  <c r="AC55" i="55"/>
  <c r="AD55" i="55" s="1"/>
  <c r="N31" i="56"/>
  <c r="B56" i="52"/>
  <c r="L40" i="52"/>
  <c r="D16" i="56"/>
  <c r="T32" i="56"/>
  <c r="M65" i="54"/>
  <c r="AC55" i="52"/>
  <c r="AD55" i="52" s="1"/>
  <c r="O5" i="56"/>
  <c r="S3" i="56"/>
  <c r="D48" i="52"/>
  <c r="H38" i="52"/>
  <c r="AD20" i="58"/>
  <c r="Z40" i="55"/>
  <c r="AE49" i="55"/>
  <c r="H38" i="54"/>
  <c r="D48" i="54"/>
  <c r="D13" i="52"/>
  <c r="C15" i="52" s="1"/>
  <c r="H3" i="52"/>
  <c r="AD20" i="56"/>
  <c r="Z5" i="57"/>
  <c r="X4" i="57" s="1"/>
  <c r="AE14" i="57"/>
  <c r="O65" i="52"/>
  <c r="D48" i="53"/>
  <c r="H38" i="53"/>
  <c r="N40" i="55"/>
  <c r="L5" i="59"/>
  <c r="B21" i="59"/>
  <c r="D13" i="56"/>
  <c r="H3" i="56"/>
  <c r="D51" i="55"/>
  <c r="T67" i="55"/>
  <c r="D51" i="53"/>
  <c r="T67" i="53"/>
  <c r="N31" i="58"/>
  <c r="L5" i="57"/>
  <c r="B21" i="57"/>
  <c r="Z40" i="52"/>
  <c r="X39" i="52" s="1"/>
  <c r="AE49" i="52"/>
  <c r="D16" i="57"/>
  <c r="T32" i="57"/>
  <c r="D13" i="58"/>
  <c r="H3" i="58"/>
  <c r="AE14" i="58"/>
  <c r="Z5" i="58"/>
  <c r="X4" i="58" s="1"/>
  <c r="O40" i="54"/>
  <c r="S38" i="54"/>
  <c r="B21" i="58"/>
  <c r="L5" i="58"/>
  <c r="O5" i="59"/>
  <c r="S3" i="59"/>
  <c r="L5" i="56"/>
  <c r="B21" i="56"/>
  <c r="M65" i="52"/>
  <c r="O65" i="54"/>
  <c r="L40" i="54"/>
  <c r="B56" i="54"/>
  <c r="D13" i="55"/>
  <c r="H3" i="55"/>
  <c r="D13" i="57"/>
  <c r="H3" i="57"/>
  <c r="N31" i="57"/>
  <c r="D13" i="54"/>
  <c r="H3" i="54"/>
  <c r="Z5" i="59"/>
  <c r="X4" i="59" s="1"/>
  <c r="AE14" i="59"/>
  <c r="Z40" i="53"/>
  <c r="X39" i="53" s="1"/>
  <c r="AE49" i="53"/>
  <c r="D51" i="52"/>
  <c r="T67" i="52"/>
  <c r="U66" i="52" s="1"/>
  <c r="O5" i="57"/>
  <c r="S3" i="57"/>
  <c r="D16" i="59"/>
  <c r="T32" i="59"/>
  <c r="T32" i="58"/>
  <c r="D16" i="58"/>
  <c r="X40" i="55"/>
  <c r="N66" i="55"/>
  <c r="D51" i="54"/>
  <c r="T67" i="54"/>
  <c r="O40" i="55"/>
  <c r="S38" i="55"/>
  <c r="L40" i="55"/>
  <c r="B56" i="55"/>
  <c r="BO85" i="2"/>
  <c r="I5" i="53"/>
  <c r="AC20" i="53" s="1"/>
  <c r="T32" i="54"/>
  <c r="D16" i="54"/>
  <c r="O5" i="54"/>
  <c r="S3" i="54"/>
  <c r="D22" i="53"/>
  <c r="L30" i="53" s="1"/>
  <c r="D21" i="53"/>
  <c r="AC21" i="53" s="1"/>
  <c r="AD20" i="54"/>
  <c r="D19" i="53"/>
  <c r="G5" i="53"/>
  <c r="U30" i="53"/>
  <c r="AC22" i="53" s="1"/>
  <c r="B21" i="55"/>
  <c r="H5" i="53"/>
  <c r="M30" i="53" s="1"/>
  <c r="J5" i="53"/>
  <c r="Z5" i="53"/>
  <c r="AE14" i="53"/>
  <c r="S30" i="53"/>
  <c r="M5" i="53" s="1"/>
  <c r="N31" i="54"/>
  <c r="D20" i="53"/>
  <c r="X5" i="53" s="1"/>
  <c r="AE14" i="54"/>
  <c r="Z5" i="54"/>
  <c r="S3" i="53"/>
  <c r="O5" i="53"/>
  <c r="W5" i="54"/>
  <c r="L5" i="54"/>
  <c r="B21" i="54"/>
  <c r="R30" i="53"/>
  <c r="T30" i="53"/>
  <c r="Y5" i="53" s="1"/>
  <c r="X5" i="52"/>
  <c r="B21" i="52"/>
  <c r="N31" i="52"/>
  <c r="AD20" i="52"/>
  <c r="AE14" i="52"/>
  <c r="AD13" i="52" s="1"/>
  <c r="Z5" i="52"/>
  <c r="M5" i="52"/>
  <c r="M4" i="52" s="1"/>
  <c r="T32" i="52"/>
  <c r="T31" i="52" s="1"/>
  <c r="DO74" i="2"/>
  <c r="BK65" i="2"/>
  <c r="FS85" i="2"/>
  <c r="DM85" i="2"/>
  <c r="EP65" i="2"/>
  <c r="BO74" i="2"/>
  <c r="DM65" i="2"/>
  <c r="DO65" i="2"/>
  <c r="ER85" i="2"/>
  <c r="DO85" i="2"/>
  <c r="EP74" i="2"/>
  <c r="FO85" i="2"/>
  <c r="FQ65" i="2"/>
  <c r="CP65" i="2"/>
  <c r="CP85" i="2"/>
  <c r="BO65" i="2"/>
  <c r="DQ65" i="2"/>
  <c r="BK85" i="2"/>
  <c r="DM74" i="2"/>
  <c r="FQ74" i="2"/>
  <c r="BM85" i="2"/>
  <c r="BM74" i="2"/>
  <c r="BM65" i="2"/>
  <c r="FQ85" i="2"/>
  <c r="EP85" i="2"/>
  <c r="DQ85" i="2"/>
  <c r="CL74" i="2"/>
  <c r="FQ34" i="2"/>
  <c r="FS34" i="2"/>
  <c r="CN65" i="2"/>
  <c r="EN85" i="2"/>
  <c r="CL65" i="2"/>
  <c r="CN74" i="2"/>
  <c r="DQ74" i="2"/>
  <c r="EN74" i="2"/>
  <c r="FO65" i="2"/>
  <c r="CL85" i="2"/>
  <c r="CN85" i="2"/>
  <c r="CP74" i="2"/>
  <c r="BK74" i="2"/>
  <c r="FS65" i="2"/>
  <c r="FS74" i="2"/>
  <c r="EN65" i="2"/>
  <c r="FO74" i="2"/>
  <c r="ER74" i="2"/>
  <c r="ER65" i="2"/>
  <c r="FO34" i="2"/>
  <c r="ER34" i="2"/>
  <c r="EN34" i="2"/>
  <c r="EP34" i="2"/>
  <c r="DQ34" i="2"/>
  <c r="DM34" i="2"/>
  <c r="DO34" i="2"/>
  <c r="CN34" i="2"/>
  <c r="CL34" i="2"/>
  <c r="CP34" i="2"/>
  <c r="BK34" i="2"/>
  <c r="BM34" i="2"/>
  <c r="BO34" i="2"/>
  <c r="FC85" i="2"/>
  <c r="EX74" i="2"/>
  <c r="CV74" i="2"/>
  <c r="BI74" i="2"/>
  <c r="FM85" i="2"/>
  <c r="EB74" i="2"/>
  <c r="FM74" i="2"/>
  <c r="EX85" i="2"/>
  <c r="FC74" i="2"/>
  <c r="EB85" i="2"/>
  <c r="DA65" i="2"/>
  <c r="DK65" i="2"/>
  <c r="CV65" i="2"/>
  <c r="DF65" i="2"/>
  <c r="BZ74" i="2"/>
  <c r="DF74" i="2"/>
  <c r="EL74" i="2"/>
  <c r="EG65" i="2"/>
  <c r="EG74" i="2"/>
  <c r="FH65" i="2"/>
  <c r="FC65" i="2"/>
  <c r="EX65" i="2"/>
  <c r="AD20" i="55"/>
  <c r="N31" i="55"/>
  <c r="Z5" i="55"/>
  <c r="AE14" i="55"/>
  <c r="S3" i="52"/>
  <c r="S4" i="52" s="1"/>
  <c r="D16" i="55"/>
  <c r="T32" i="55"/>
  <c r="L5" i="55"/>
  <c r="W5" i="55"/>
  <c r="FM34" i="2"/>
  <c r="FH34" i="2"/>
  <c r="O5" i="55"/>
  <c r="S3" i="55"/>
  <c r="FC34" i="2"/>
  <c r="DW65" i="2"/>
  <c r="EB65" i="2"/>
  <c r="CJ85" i="2"/>
  <c r="BZ34" i="2"/>
  <c r="CE34" i="2"/>
  <c r="CJ34" i="2"/>
  <c r="BZ85" i="2"/>
  <c r="DF85" i="2"/>
  <c r="CV85" i="2"/>
  <c r="EL85" i="2"/>
  <c r="DW85" i="2"/>
  <c r="EL34" i="2"/>
  <c r="DW34" i="2"/>
  <c r="EG34" i="2"/>
  <c r="CJ65" i="2"/>
  <c r="CE74" i="2"/>
  <c r="CE85" i="2"/>
  <c r="DA85" i="2"/>
  <c r="DK74" i="2"/>
  <c r="BU74" i="2"/>
  <c r="DK85" i="2"/>
  <c r="AY74" i="2"/>
  <c r="BD74" i="2"/>
  <c r="DF34" i="2"/>
  <c r="DK34" i="2"/>
  <c r="CV34" i="2"/>
  <c r="BD34" i="2"/>
  <c r="CE65" i="2"/>
  <c r="AT34" i="2"/>
  <c r="BU65" i="2"/>
  <c r="BI34" i="2"/>
  <c r="AY85" i="2"/>
  <c r="BD85" i="2"/>
  <c r="AT85" i="2"/>
  <c r="AT65" i="2"/>
  <c r="AY65" i="2"/>
  <c r="BI65" i="2"/>
  <c r="BD65" i="2"/>
  <c r="N66" i="54" l="1"/>
  <c r="C15" i="55"/>
  <c r="AD16" i="53"/>
  <c r="AD15" i="53"/>
  <c r="AD14" i="53"/>
  <c r="AD13" i="53"/>
  <c r="I4" i="56"/>
  <c r="G4" i="56"/>
  <c r="H4" i="56"/>
  <c r="J4" i="56"/>
  <c r="AD50" i="54"/>
  <c r="AD48" i="54"/>
  <c r="AD49" i="54"/>
  <c r="AD51" i="54"/>
  <c r="C20" i="52"/>
  <c r="C19" i="52"/>
  <c r="J4" i="57"/>
  <c r="G4" i="57"/>
  <c r="H4" i="57"/>
  <c r="I4" i="57"/>
  <c r="C56" i="53"/>
  <c r="C57" i="53"/>
  <c r="C55" i="53"/>
  <c r="C54" i="53"/>
  <c r="AD50" i="53"/>
  <c r="AD51" i="53"/>
  <c r="AD48" i="53"/>
  <c r="AD49" i="53"/>
  <c r="G4" i="59"/>
  <c r="H4" i="59"/>
  <c r="I4" i="59"/>
  <c r="J4" i="59"/>
  <c r="I4" i="52"/>
  <c r="J4" i="52"/>
  <c r="H4" i="52"/>
  <c r="G4" i="52"/>
  <c r="J39" i="53"/>
  <c r="H39" i="53"/>
  <c r="G39" i="53"/>
  <c r="I39" i="53"/>
  <c r="H4" i="55"/>
  <c r="G4" i="55"/>
  <c r="J4" i="55"/>
  <c r="I4" i="55"/>
  <c r="I39" i="52"/>
  <c r="G39" i="52"/>
  <c r="J39" i="52"/>
  <c r="H39" i="52"/>
  <c r="H39" i="55"/>
  <c r="I39" i="55"/>
  <c r="J39" i="55"/>
  <c r="G39" i="55"/>
  <c r="I4" i="54"/>
  <c r="H4" i="54"/>
  <c r="G4" i="54"/>
  <c r="J4" i="54"/>
  <c r="C56" i="55"/>
  <c r="C57" i="55"/>
  <c r="C54" i="55"/>
  <c r="C55" i="55"/>
  <c r="I39" i="54"/>
  <c r="G39" i="54"/>
  <c r="J39" i="54"/>
  <c r="H39" i="54"/>
  <c r="C57" i="52"/>
  <c r="C55" i="52"/>
  <c r="C54" i="52"/>
  <c r="C56" i="52"/>
  <c r="C55" i="54"/>
  <c r="C56" i="54"/>
  <c r="C57" i="54"/>
  <c r="C54" i="54"/>
  <c r="G4" i="58"/>
  <c r="H4" i="58"/>
  <c r="I4" i="58"/>
  <c r="J4" i="58"/>
  <c r="AD50" i="52"/>
  <c r="AD49" i="52"/>
  <c r="AD48" i="52"/>
  <c r="AD51" i="52"/>
  <c r="AD51" i="55"/>
  <c r="AD48" i="55"/>
  <c r="AD50" i="55"/>
  <c r="AD49" i="55"/>
  <c r="C15" i="54"/>
  <c r="C15" i="58"/>
  <c r="C50" i="52"/>
  <c r="N31" i="53"/>
  <c r="M39" i="54"/>
  <c r="M39" i="53"/>
  <c r="M4" i="54"/>
  <c r="X39" i="55"/>
  <c r="M39" i="55"/>
  <c r="C50" i="54"/>
  <c r="C50" i="53"/>
  <c r="U4" i="57"/>
  <c r="R4" i="57"/>
  <c r="T4" i="57"/>
  <c r="S4" i="57"/>
  <c r="T39" i="53"/>
  <c r="U39" i="53"/>
  <c r="R39" i="53"/>
  <c r="S39" i="53"/>
  <c r="C20" i="57"/>
  <c r="C19" i="57"/>
  <c r="C22" i="57"/>
  <c r="C21" i="57"/>
  <c r="S4" i="58"/>
  <c r="R4" i="58"/>
  <c r="T4" i="58"/>
  <c r="U4" i="58"/>
  <c r="R39" i="54"/>
  <c r="S39" i="54"/>
  <c r="T39" i="54"/>
  <c r="U39" i="54"/>
  <c r="M4" i="57"/>
  <c r="U4" i="56"/>
  <c r="R4" i="56"/>
  <c r="T4" i="56"/>
  <c r="S4" i="56"/>
  <c r="C15" i="59"/>
  <c r="S66" i="52"/>
  <c r="T66" i="52"/>
  <c r="R66" i="52"/>
  <c r="S39" i="52"/>
  <c r="U39" i="52"/>
  <c r="T39" i="52"/>
  <c r="H3" i="53"/>
  <c r="U39" i="55"/>
  <c r="S39" i="55"/>
  <c r="R39" i="55"/>
  <c r="T39" i="55"/>
  <c r="AD16" i="58"/>
  <c r="AD15" i="58"/>
  <c r="AD14" i="58"/>
  <c r="AD13" i="58"/>
  <c r="S31" i="56"/>
  <c r="R31" i="56"/>
  <c r="T31" i="56"/>
  <c r="U31" i="56"/>
  <c r="N66" i="52"/>
  <c r="S66" i="54"/>
  <c r="T66" i="54"/>
  <c r="R66" i="54"/>
  <c r="U66" i="54"/>
  <c r="T66" i="53"/>
  <c r="R66" i="53"/>
  <c r="S66" i="53"/>
  <c r="U66" i="53"/>
  <c r="M39" i="52"/>
  <c r="AD16" i="59"/>
  <c r="AD15" i="59"/>
  <c r="AD14" i="59"/>
  <c r="AD13" i="59"/>
  <c r="C20" i="56"/>
  <c r="C19" i="56"/>
  <c r="C22" i="56"/>
  <c r="C21" i="56"/>
  <c r="T31" i="57"/>
  <c r="S31" i="57"/>
  <c r="R31" i="57"/>
  <c r="U31" i="57"/>
  <c r="AD13" i="57"/>
  <c r="AD16" i="57"/>
  <c r="AD15" i="57"/>
  <c r="AD14" i="57"/>
  <c r="M4" i="56"/>
  <c r="U66" i="55"/>
  <c r="R66" i="55"/>
  <c r="S66" i="55"/>
  <c r="T66" i="55"/>
  <c r="R4" i="59"/>
  <c r="T4" i="59"/>
  <c r="U4" i="59"/>
  <c r="S4" i="59"/>
  <c r="C50" i="55"/>
  <c r="M4" i="55"/>
  <c r="M4" i="58"/>
  <c r="C15" i="56"/>
  <c r="T31" i="58"/>
  <c r="R31" i="58"/>
  <c r="S31" i="58"/>
  <c r="U31" i="58"/>
  <c r="C22" i="58"/>
  <c r="C21" i="58"/>
  <c r="C20" i="58"/>
  <c r="C19" i="58"/>
  <c r="C22" i="59"/>
  <c r="C21" i="59"/>
  <c r="C20" i="59"/>
  <c r="C19" i="59"/>
  <c r="U31" i="59"/>
  <c r="R31" i="59"/>
  <c r="T31" i="59"/>
  <c r="S31" i="59"/>
  <c r="C15" i="57"/>
  <c r="M4" i="59"/>
  <c r="AD15" i="56"/>
  <c r="AD13" i="56"/>
  <c r="AD14" i="56"/>
  <c r="AD16" i="56"/>
  <c r="D13" i="53"/>
  <c r="X4" i="54"/>
  <c r="AD20" i="53"/>
  <c r="X4" i="52"/>
  <c r="B21" i="53"/>
  <c r="C19" i="53" s="1"/>
  <c r="L5" i="53"/>
  <c r="M4" i="53" s="1"/>
  <c r="T32" i="53"/>
  <c r="D16" i="53"/>
  <c r="W5" i="53"/>
  <c r="X4" i="53" s="1"/>
  <c r="X4" i="55"/>
  <c r="AD16" i="54"/>
  <c r="AD15" i="54"/>
  <c r="AD13" i="54"/>
  <c r="AD14" i="54"/>
  <c r="S31" i="55"/>
  <c r="U31" i="55"/>
  <c r="T31" i="55"/>
  <c r="R31" i="55"/>
  <c r="U4" i="53"/>
  <c r="S4" i="53"/>
  <c r="T4" i="53"/>
  <c r="R4" i="53"/>
  <c r="C21" i="54"/>
  <c r="C20" i="54"/>
  <c r="C22" i="54"/>
  <c r="C19" i="54"/>
  <c r="AD14" i="52"/>
  <c r="AD16" i="52"/>
  <c r="AD15" i="52"/>
  <c r="R4" i="52"/>
  <c r="U4" i="52"/>
  <c r="T4" i="52"/>
  <c r="C22" i="52"/>
  <c r="C21" i="52"/>
  <c r="S4" i="54"/>
  <c r="U4" i="54"/>
  <c r="T4" i="54"/>
  <c r="R4" i="54"/>
  <c r="U31" i="54"/>
  <c r="T31" i="54"/>
  <c r="S31" i="54"/>
  <c r="R31" i="54"/>
  <c r="T4" i="55"/>
  <c r="R4" i="55"/>
  <c r="U4" i="55"/>
  <c r="S4" i="55"/>
  <c r="AD16" i="55"/>
  <c r="AD15" i="55"/>
  <c r="AD14" i="55"/>
  <c r="AD13" i="55"/>
  <c r="R31" i="52"/>
  <c r="U31" i="52"/>
  <c r="S31" i="52"/>
  <c r="C19" i="55"/>
  <c r="C22" i="55"/>
  <c r="C21" i="55"/>
  <c r="C20" i="55"/>
  <c r="R31" i="53" l="1"/>
  <c r="U31" i="53"/>
  <c r="I4" i="53"/>
  <c r="J4" i="53"/>
  <c r="G4" i="53"/>
  <c r="H4" i="53"/>
  <c r="C15" i="53"/>
  <c r="C21" i="53"/>
  <c r="C20" i="53"/>
  <c r="S31" i="53"/>
  <c r="T31" i="53"/>
  <c r="C22" i="53"/>
</calcChain>
</file>

<file path=xl/sharedStrings.xml><?xml version="1.0" encoding="utf-8"?>
<sst xmlns="http://schemas.openxmlformats.org/spreadsheetml/2006/main" count="2768" uniqueCount="177">
  <si>
    <t>合計</t>
  </si>
  <si>
    <t>小計</t>
  </si>
  <si>
    <t>小型車</t>
  </si>
  <si>
    <t>機車</t>
  </si>
  <si>
    <t>轉向</t>
  </si>
  <si>
    <t>百分比</t>
  </si>
  <si>
    <t>（PCU）</t>
  </si>
  <si>
    <t>（輛）</t>
  </si>
  <si>
    <t>（％）</t>
  </si>
  <si>
    <t>車種</t>
  </si>
  <si>
    <t>←A</t>
  </si>
  <si>
    <t>↑B</t>
  </si>
  <si>
    <t>小時</t>
  </si>
  <si>
    <t>N</t>
  </si>
  <si>
    <t xml:space="preserve"> </t>
  </si>
  <si>
    <t>A</t>
    <phoneticPr fontId="8" type="noConversion"/>
  </si>
  <si>
    <t>B</t>
    <phoneticPr fontId="8" type="noConversion"/>
  </si>
  <si>
    <t>C</t>
    <phoneticPr fontId="8" type="noConversion"/>
  </si>
  <si>
    <t>D</t>
  </si>
  <si>
    <t>↑</t>
  </si>
  <si>
    <t>A</t>
  </si>
  <si>
    <t>B</t>
  </si>
  <si>
    <t>C</t>
  </si>
  <si>
    <t>車道數：</t>
  </si>
  <si>
    <t>車道數</t>
  </si>
  <si>
    <t>路口</t>
    <phoneticPr fontId="2" type="noConversion"/>
  </si>
  <si>
    <t>小計</t>
    <phoneticPr fontId="2" type="noConversion"/>
  </si>
  <si>
    <t>總計</t>
    <phoneticPr fontId="2" type="noConversion"/>
  </si>
  <si>
    <t>調查
開始時間</t>
    <phoneticPr fontId="2" type="noConversion"/>
  </si>
  <si>
    <t>(PCU)</t>
  </si>
  <si>
    <t>簡圖：</t>
  </si>
  <si>
    <t>0600</t>
    <phoneticPr fontId="2" type="noConversion"/>
  </si>
  <si>
    <t>0615</t>
    <phoneticPr fontId="2" type="noConversion"/>
  </si>
  <si>
    <t>0630</t>
    <phoneticPr fontId="2" type="noConversion"/>
  </si>
  <si>
    <t>0645</t>
    <phoneticPr fontId="2" type="noConversion"/>
  </si>
  <si>
    <t>0700</t>
    <phoneticPr fontId="2" type="noConversion"/>
  </si>
  <si>
    <t>0715</t>
    <phoneticPr fontId="2" type="noConversion"/>
  </si>
  <si>
    <t>0730</t>
    <phoneticPr fontId="2" type="noConversion"/>
  </si>
  <si>
    <t>0745</t>
    <phoneticPr fontId="2" type="noConversion"/>
  </si>
  <si>
    <t>0800</t>
    <phoneticPr fontId="2" type="noConversion"/>
  </si>
  <si>
    <t>0815</t>
    <phoneticPr fontId="2" type="noConversion"/>
  </si>
  <si>
    <t>0830</t>
    <phoneticPr fontId="2" type="noConversion"/>
  </si>
  <si>
    <t>0845</t>
    <phoneticPr fontId="2" type="noConversion"/>
  </si>
  <si>
    <t>0900</t>
    <phoneticPr fontId="2" type="noConversion"/>
  </si>
  <si>
    <t>0915</t>
    <phoneticPr fontId="2" type="noConversion"/>
  </si>
  <si>
    <t>0930</t>
    <phoneticPr fontId="2" type="noConversion"/>
  </si>
  <si>
    <t>0945</t>
    <phoneticPr fontId="2" type="noConversion"/>
  </si>
  <si>
    <t>天候：</t>
  </si>
  <si>
    <t>路段名：</t>
  </si>
  <si>
    <t>車道數</t>
    <phoneticPr fontId="2" type="noConversion"/>
  </si>
  <si>
    <t>行政區域：</t>
    <phoneticPr fontId="2" type="noConversion"/>
  </si>
  <si>
    <t>日期：</t>
    <phoneticPr fontId="2" type="noConversion"/>
  </si>
  <si>
    <t>路口</t>
  </si>
  <si>
    <t>每小時</t>
  </si>
  <si>
    <t>尖峰小時</t>
  </si>
  <si>
    <t>最大15分鐘</t>
  </si>
  <si>
    <t>A尖峰小時</t>
  </si>
  <si>
    <t>B尖峰小時</t>
  </si>
  <si>
    <t>C尖峰小時</t>
  </si>
  <si>
    <t>D尖峰小時</t>
  </si>
  <si>
    <t>尖峰</t>
  </si>
  <si>
    <t>總計</t>
  </si>
  <si>
    <t>交通量</t>
  </si>
  <si>
    <t>係數</t>
  </si>
  <si>
    <t>起</t>
  </si>
  <si>
    <t>迄</t>
  </si>
  <si>
    <t>（PHF）</t>
  </si>
  <si>
    <t>晨峰</t>
  </si>
  <si>
    <t>套用PCE</t>
    <phoneticPr fontId="2" type="noConversion"/>
  </si>
  <si>
    <t>起始時間</t>
  </si>
  <si>
    <t>結束時間</t>
  </si>
  <si>
    <t>臨近路段</t>
  </si>
  <si>
    <t>調查時段：</t>
    <phoneticPr fontId="2" type="noConversion"/>
  </si>
  <si>
    <t>平假日：</t>
    <phoneticPr fontId="2" type="noConversion"/>
  </si>
  <si>
    <t>方向：</t>
    <phoneticPr fontId="2" type="noConversion"/>
  </si>
  <si>
    <t>行車方向：</t>
    <phoneticPr fontId="2" type="noConversion"/>
  </si>
  <si>
    <t>路口類型：</t>
    <phoneticPr fontId="2" type="noConversion"/>
  </si>
  <si>
    <t>TC編號：</t>
    <phoneticPr fontId="2" type="noConversion"/>
  </si>
  <si>
    <t>大車A</t>
  </si>
  <si>
    <t>大車B</t>
  </si>
  <si>
    <t>大車C</t>
  </si>
  <si>
    <t>大車D</t>
  </si>
  <si>
    <t>大車E</t>
  </si>
  <si>
    <t>小車A</t>
  </si>
  <si>
    <t>小車B</t>
  </si>
  <si>
    <t>小車C</t>
  </si>
  <si>
    <t>小車D</t>
  </si>
  <si>
    <t>小車E</t>
  </si>
  <si>
    <t>機車A</t>
  </si>
  <si>
    <t>機車B</t>
  </si>
  <si>
    <t>機車C</t>
  </si>
  <si>
    <t>機車D</t>
  </si>
  <si>
    <t>機車E</t>
  </si>
  <si>
    <t>-</t>
  </si>
  <si>
    <t>E</t>
  </si>
  <si>
    <t>路口名稱：</t>
    <phoneticPr fontId="2" type="noConversion"/>
  </si>
  <si>
    <t>E</t>
    <phoneticPr fontId="2" type="noConversion"/>
  </si>
  <si>
    <t>↓E</t>
  </si>
  <si>
    <t>↓E</t>
    <phoneticPr fontId="2" type="noConversion"/>
  </si>
  <si>
    <t>機車</t>
    <phoneticPr fontId="2" type="noConversion"/>
  </si>
  <si>
    <t>機車</t>
    <phoneticPr fontId="2" type="noConversion"/>
  </si>
  <si>
    <t>D</t>
    <phoneticPr fontId="2" type="noConversion"/>
  </si>
  <si>
    <t>調查日期：</t>
    <phoneticPr fontId="2" type="noConversion"/>
  </si>
  <si>
    <t>單位：</t>
    <phoneticPr fontId="2" type="noConversion"/>
  </si>
  <si>
    <t>PCU</t>
    <phoneticPr fontId="2" type="noConversion"/>
  </si>
  <si>
    <t>時段：</t>
    <phoneticPr fontId="2" type="noConversion"/>
  </si>
  <si>
    <r>
      <rPr>
        <sz val="9"/>
        <rFont val="標楷體"/>
        <family val="4"/>
        <charset val="136"/>
      </rPr>
      <t>～</t>
    </r>
    <phoneticPr fontId="2" type="noConversion"/>
  </si>
  <si>
    <t>註：不含轉向因子</t>
    <phoneticPr fontId="2" type="noConversion"/>
  </si>
  <si>
    <t>輛</t>
    <phoneticPr fontId="2" type="noConversion"/>
  </si>
  <si>
    <t>E尖峰小時</t>
    <phoneticPr fontId="2" type="noConversion"/>
  </si>
  <si>
    <t>往A方向：</t>
    <phoneticPr fontId="2" type="noConversion"/>
  </si>
  <si>
    <t>往B方向：</t>
    <phoneticPr fontId="2" type="noConversion"/>
  </si>
  <si>
    <t>往C方向：</t>
    <phoneticPr fontId="2" type="noConversion"/>
  </si>
  <si>
    <t>往D方向：</t>
    <phoneticPr fontId="2" type="noConversion"/>
  </si>
  <si>
    <t>往E方向：</t>
    <phoneticPr fontId="2" type="noConversion"/>
  </si>
  <si>
    <t>大型車</t>
  </si>
  <si>
    <t xml:space="preserve">※註：
1. 行車方向若無車輛通過，表示為"0"
2. 若該行車方向為禁行方向，或為非調查時段，表示為"-" </t>
    <phoneticPr fontId="2" type="noConversion"/>
  </si>
  <si>
    <t>A</t>
    <phoneticPr fontId="2" type="noConversion"/>
  </si>
  <si>
    <t>C</t>
    <phoneticPr fontId="2" type="noConversion"/>
  </si>
  <si>
    <t>B</t>
    <phoneticPr fontId="2" type="noConversion"/>
  </si>
  <si>
    <t>→C</t>
    <phoneticPr fontId="2" type="noConversion"/>
  </si>
  <si>
    <t>↓D</t>
    <phoneticPr fontId="2" type="noConversion"/>
  </si>
  <si>
    <t>↓D</t>
    <phoneticPr fontId="2" type="noConversion"/>
  </si>
  <si>
    <t>(PCU)</t>
    <phoneticPr fontId="2" type="noConversion"/>
  </si>
  <si>
    <t>24:00</t>
  </si>
  <si>
    <t>業主名稱：</t>
    <phoneticPr fontId="2" type="noConversion"/>
  </si>
  <si>
    <t>專案編號：</t>
    <phoneticPr fontId="2" type="noConversion"/>
  </si>
  <si>
    <t>YYYY/MM/DD</t>
    <phoneticPr fontId="2" type="noConversion"/>
  </si>
  <si>
    <t>五叉路口</t>
    <phoneticPr fontId="2" type="noConversion"/>
  </si>
  <si>
    <t>往西</t>
  </si>
  <si>
    <t>往北</t>
  </si>
  <si>
    <t>往東</t>
  </si>
  <si>
    <t>往南</t>
  </si>
  <si>
    <t>-</t>
    <phoneticPr fontId="2" type="noConversion"/>
  </si>
  <si>
    <t>請選擇</t>
  </si>
  <si>
    <t>車種設定</t>
    <phoneticPr fontId="2" type="noConversion"/>
  </si>
  <si>
    <t>大型車1</t>
    <phoneticPr fontId="2" type="noConversion"/>
  </si>
  <si>
    <t>小型車1</t>
    <phoneticPr fontId="2" type="noConversion"/>
  </si>
  <si>
    <t>機車1</t>
    <phoneticPr fontId="2" type="noConversion"/>
  </si>
  <si>
    <t>特殊1</t>
    <phoneticPr fontId="2" type="noConversion"/>
  </si>
  <si>
    <t>大型車2</t>
    <phoneticPr fontId="2" type="noConversion"/>
  </si>
  <si>
    <t>小型車2</t>
    <phoneticPr fontId="2" type="noConversion"/>
  </si>
  <si>
    <t>機車2</t>
    <phoneticPr fontId="2" type="noConversion"/>
  </si>
  <si>
    <t>特殊2</t>
    <phoneticPr fontId="2" type="noConversion"/>
  </si>
  <si>
    <t>大型車3</t>
  </si>
  <si>
    <t>小型車3</t>
    <phoneticPr fontId="2" type="noConversion"/>
  </si>
  <si>
    <t>機車3</t>
    <phoneticPr fontId="2" type="noConversion"/>
  </si>
  <si>
    <t>大型車4</t>
  </si>
  <si>
    <t>小型車4</t>
    <phoneticPr fontId="2" type="noConversion"/>
  </si>
  <si>
    <t>大型車5</t>
  </si>
  <si>
    <t>大型車6</t>
  </si>
  <si>
    <t>0000</t>
    <phoneticPr fontId="2" type="noConversion"/>
  </si>
  <si>
    <t>0015</t>
    <phoneticPr fontId="2" type="noConversion"/>
  </si>
  <si>
    <t>0030</t>
    <phoneticPr fontId="2" type="noConversion"/>
  </si>
  <si>
    <t>0045</t>
    <phoneticPr fontId="2" type="noConversion"/>
  </si>
  <si>
    <t>0100</t>
    <phoneticPr fontId="2" type="noConversion"/>
  </si>
  <si>
    <t>0115</t>
    <phoneticPr fontId="2" type="noConversion"/>
  </si>
  <si>
    <t>0130</t>
    <phoneticPr fontId="2" type="noConversion"/>
  </si>
  <si>
    <t>0145</t>
    <phoneticPr fontId="2" type="noConversion"/>
  </si>
  <si>
    <t>0200</t>
    <phoneticPr fontId="2" type="noConversion"/>
  </si>
  <si>
    <t>0215</t>
    <phoneticPr fontId="2" type="noConversion"/>
  </si>
  <si>
    <t>0230</t>
    <phoneticPr fontId="2" type="noConversion"/>
  </si>
  <si>
    <t>0245</t>
    <phoneticPr fontId="2" type="noConversion"/>
  </si>
  <si>
    <t>0300</t>
    <phoneticPr fontId="2" type="noConversion"/>
  </si>
  <si>
    <t>0315</t>
    <phoneticPr fontId="2" type="noConversion"/>
  </si>
  <si>
    <t>0330</t>
    <phoneticPr fontId="2" type="noConversion"/>
  </si>
  <si>
    <t>0345</t>
    <phoneticPr fontId="2" type="noConversion"/>
  </si>
  <si>
    <t>0400</t>
    <phoneticPr fontId="2" type="noConversion"/>
  </si>
  <si>
    <t>0415</t>
    <phoneticPr fontId="2" type="noConversion"/>
  </si>
  <si>
    <t>0430</t>
    <phoneticPr fontId="2" type="noConversion"/>
  </si>
  <si>
    <t>0445</t>
    <phoneticPr fontId="2" type="noConversion"/>
  </si>
  <si>
    <t>0500</t>
    <phoneticPr fontId="2" type="noConversion"/>
  </si>
  <si>
    <t>0515</t>
    <phoneticPr fontId="2" type="noConversion"/>
  </si>
  <si>
    <t>0530</t>
    <phoneticPr fontId="2" type="noConversion"/>
  </si>
  <si>
    <t>0545</t>
    <phoneticPr fontId="2" type="noConversion"/>
  </si>
  <si>
    <t>離峰</t>
    <phoneticPr fontId="2" type="noConversion"/>
  </si>
  <si>
    <t>昏峰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</si>
</sst>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);[Red]\(0\)"/>
    <numFmt numFmtId="177" formatCode="0.0_);[Red]\(0.0\)"/>
    <numFmt numFmtId="178" formatCode="General_)"/>
    <numFmt numFmtId="179" formatCode="0.0%"/>
    <numFmt numFmtId="180" formatCode="0.000_);[Red]\(0.000\)"/>
    <numFmt numFmtId="181" formatCode="#,##0_);\(#,##0\)"/>
    <numFmt numFmtId="182" formatCode="[$-404]e"/>
    <numFmt numFmtId="183" formatCode="0;_ "/>
    <numFmt numFmtId="184" formatCode="0;_᠀"/>
    <numFmt numFmtId="185" formatCode="0;_저"/>
    <numFmt numFmtId="186" formatCode="0;_ﰀ"/>
    <numFmt numFmtId="187" formatCode="0.00_);[Red]\(0.00\)"/>
    <numFmt numFmtId="188" formatCode="0_ "/>
    <numFmt numFmtId="189" formatCode="yyyy/m/d;@"/>
  </numFmts>
  <fonts count="3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name val="Courier"/>
      <family val="3"/>
    </font>
    <font>
      <sz val="9"/>
      <name val="細明體"/>
      <family val="3"/>
      <charset val="136"/>
    </font>
    <font>
      <sz val="7"/>
      <name val="Times New Roman"/>
      <family val="1"/>
    </font>
    <font>
      <sz val="10"/>
      <name val="華康中楷體"/>
      <family val="3"/>
      <charset val="136"/>
    </font>
    <font>
      <sz val="8"/>
      <name val="Times New Roman"/>
      <family val="1"/>
    </font>
    <font>
      <sz val="13"/>
      <name val="華康中楷體"/>
      <family val="3"/>
      <charset val="136"/>
    </font>
    <font>
      <sz val="13"/>
      <name val="Times New Roman"/>
      <family val="1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華康中楷體"/>
      <family val="3"/>
      <charset val="136"/>
    </font>
    <font>
      <sz val="9"/>
      <name val="Times New Roman"/>
      <family val="1"/>
    </font>
    <font>
      <sz val="9"/>
      <name val="Courier New"/>
      <family val="3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微軟正黑體"/>
      <family val="2"/>
      <charset val="136"/>
    </font>
    <font>
      <sz val="14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0"/>
      <name val="Times New Roman"/>
      <family val="1"/>
    </font>
    <font>
      <b/>
      <sz val="16"/>
      <name val="CommercialScript BT"/>
      <family val="4"/>
    </font>
    <font>
      <sz val="14"/>
      <name val="Courier"/>
      <family val="3"/>
    </font>
    <font>
      <sz val="13"/>
      <name val="Courier"/>
      <family val="3"/>
    </font>
    <font>
      <sz val="9"/>
      <name val="標楷體"/>
      <family val="4"/>
      <charset val="136"/>
    </font>
    <font>
      <sz val="12"/>
      <name val="新細明體"/>
      <family val="1"/>
      <charset val="136"/>
      <scheme val="minor"/>
    </font>
    <font>
      <b/>
      <sz val="12"/>
      <name val="微軟正黑體"/>
      <family val="2"/>
      <charset val="136"/>
    </font>
  </fonts>
  <fills count="2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indexed="4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18" fillId="0" borderId="0"/>
    <xf numFmtId="178" fontId="7" fillId="0" borderId="0"/>
    <xf numFmtId="9" fontId="1" fillId="0" borderId="0" applyFont="0" applyFill="0" applyBorder="0" applyAlignment="0" applyProtection="0"/>
  </cellStyleXfs>
  <cellXfs count="459">
    <xf numFmtId="0" fontId="0" fillId="0" borderId="0" xfId="0"/>
    <xf numFmtId="0" fontId="4" fillId="0" borderId="0" xfId="0" applyFont="1"/>
    <xf numFmtId="176" fontId="4" fillId="0" borderId="0" xfId="0" applyNumberFormat="1" applyFont="1"/>
    <xf numFmtId="0" fontId="3" fillId="0" borderId="0" xfId="0" applyFont="1"/>
    <xf numFmtId="0" fontId="6" fillId="0" borderId="0" xfId="0" applyFont="1"/>
    <xf numFmtId="178" fontId="9" fillId="0" borderId="0" xfId="3" applyFont="1"/>
    <xf numFmtId="0" fontId="15" fillId="0" borderId="0" xfId="0" applyFont="1"/>
    <xf numFmtId="0" fontId="4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76" fontId="15" fillId="0" borderId="0" xfId="0" applyNumberFormat="1" applyFont="1"/>
    <xf numFmtId="0" fontId="19" fillId="0" borderId="0" xfId="0" applyFont="1"/>
    <xf numFmtId="0" fontId="5" fillId="0" borderId="0" xfId="0" applyFont="1"/>
    <xf numFmtId="17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1" fillId="0" borderId="0" xfId="2" applyFont="1" applyAlignment="1">
      <alignment horizontal="right"/>
    </xf>
    <xf numFmtId="0" fontId="21" fillId="0" borderId="0" xfId="2" applyFont="1"/>
    <xf numFmtId="0" fontId="21" fillId="0" borderId="17" xfId="2" applyFont="1" applyBorder="1"/>
    <xf numFmtId="176" fontId="3" fillId="0" borderId="6" xfId="0" applyNumberFormat="1" applyFont="1" applyBorder="1" applyAlignment="1">
      <alignment horizontal="center"/>
    </xf>
    <xf numFmtId="0" fontId="8" fillId="0" borderId="0" xfId="2" applyFont="1"/>
    <xf numFmtId="182" fontId="21" fillId="0" borderId="0" xfId="2" applyNumberFormat="1" applyFont="1"/>
    <xf numFmtId="0" fontId="21" fillId="0" borderId="1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20" fillId="0" borderId="0" xfId="1" applyFont="1">
      <alignment vertical="center"/>
    </xf>
    <xf numFmtId="0" fontId="20" fillId="0" borderId="0" xfId="0" applyFont="1" applyAlignment="1">
      <alignment vertical="center"/>
    </xf>
    <xf numFmtId="178" fontId="9" fillId="6" borderId="0" xfId="3" applyFont="1" applyFill="1"/>
    <xf numFmtId="178" fontId="7" fillId="6" borderId="0" xfId="3" applyFill="1"/>
    <xf numFmtId="178" fontId="5" fillId="6" borderId="0" xfId="3" applyFont="1" applyFill="1" applyAlignment="1">
      <alignment horizontal="center"/>
    </xf>
    <xf numFmtId="178" fontId="10" fillId="6" borderId="0" xfId="3" applyFont="1" applyFill="1" applyAlignment="1">
      <alignment horizontal="left"/>
    </xf>
    <xf numFmtId="178" fontId="10" fillId="6" borderId="0" xfId="3" applyFont="1" applyFill="1" applyAlignment="1">
      <alignment horizontal="center"/>
    </xf>
    <xf numFmtId="181" fontId="11" fillId="6" borderId="0" xfId="3" applyNumberFormat="1" applyFont="1" applyFill="1" applyAlignment="1">
      <alignment horizontal="center" vertical="center"/>
    </xf>
    <xf numFmtId="1" fontId="11" fillId="6" borderId="1" xfId="3" applyNumberFormat="1" applyFont="1" applyFill="1" applyBorder="1" applyAlignment="1">
      <alignment horizontal="center" vertical="center"/>
    </xf>
    <xf numFmtId="178" fontId="11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178" fontId="5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right" vertical="center"/>
    </xf>
    <xf numFmtId="1" fontId="5" fillId="6" borderId="0" xfId="3" applyNumberFormat="1" applyFont="1" applyFill="1" applyAlignment="1">
      <alignment horizontal="center" vertical="center"/>
    </xf>
    <xf numFmtId="187" fontId="23" fillId="0" borderId="5" xfId="0" applyNumberFormat="1" applyFont="1" applyBorder="1" applyAlignment="1">
      <alignment horizontal="center"/>
    </xf>
    <xf numFmtId="0" fontId="25" fillId="7" borderId="1" xfId="0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21" fillId="0" borderId="0" xfId="2" applyFont="1" applyAlignment="1">
      <alignment horizontal="left"/>
    </xf>
    <xf numFmtId="0" fontId="0" fillId="0" borderId="0" xfId="0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1" fillId="0" borderId="0" xfId="0" applyNumberFormat="1" applyFont="1"/>
    <xf numFmtId="178" fontId="21" fillId="6" borderId="0" xfId="3" applyFont="1" applyFill="1" applyAlignment="1">
      <alignment horizontal="left"/>
    </xf>
    <xf numFmtId="178" fontId="30" fillId="6" borderId="0" xfId="3" applyFont="1" applyFill="1" applyAlignment="1">
      <alignment horizontal="center"/>
    </xf>
    <xf numFmtId="178" fontId="27" fillId="6" borderId="0" xfId="3" applyFont="1" applyFill="1" applyAlignment="1">
      <alignment horizontal="center"/>
    </xf>
    <xf numFmtId="178" fontId="5" fillId="6" borderId="21" xfId="3" applyFont="1" applyFill="1" applyBorder="1" applyAlignment="1">
      <alignment horizontal="center" vertical="center"/>
    </xf>
    <xf numFmtId="178" fontId="31" fillId="6" borderId="0" xfId="3" applyFont="1" applyFill="1" applyAlignment="1">
      <alignment horizontal="center"/>
    </xf>
    <xf numFmtId="178" fontId="27" fillId="6" borderId="0" xfId="3" applyFont="1" applyFill="1" applyAlignment="1">
      <alignment horizontal="left"/>
    </xf>
    <xf numFmtId="178" fontId="21" fillId="6" borderId="0" xfId="3" applyFont="1" applyFill="1" applyAlignment="1">
      <alignment horizontal="left" vertical="center"/>
    </xf>
    <xf numFmtId="178" fontId="27" fillId="6" borderId="0" xfId="3" applyFont="1" applyFill="1" applyAlignment="1">
      <alignment horizontal="center" vertical="center"/>
    </xf>
    <xf numFmtId="9" fontId="11" fillId="6" borderId="1" xfId="4" applyFont="1" applyFill="1" applyBorder="1" applyAlignment="1">
      <alignment horizontal="center" vertical="center"/>
    </xf>
    <xf numFmtId="178" fontId="27" fillId="6" borderId="0" xfId="3" applyFont="1" applyFill="1" applyAlignment="1">
      <alignment horizontal="left" vertical="center"/>
    </xf>
    <xf numFmtId="1" fontId="11" fillId="6" borderId="0" xfId="3" applyNumberFormat="1" applyFont="1" applyFill="1" applyAlignment="1">
      <alignment horizontal="center" vertical="center"/>
    </xf>
    <xf numFmtId="178" fontId="10" fillId="6" borderId="0" xfId="3" applyFont="1" applyFill="1" applyAlignment="1">
      <alignment vertical="center"/>
    </xf>
    <xf numFmtId="178" fontId="10" fillId="6" borderId="0" xfId="3" quotePrefix="1" applyFont="1" applyFill="1" applyAlignment="1">
      <alignment horizontal="center"/>
    </xf>
    <xf numFmtId="179" fontId="11" fillId="6" borderId="0" xfId="4" applyNumberFormat="1" applyFont="1" applyFill="1" applyBorder="1" applyAlignment="1">
      <alignment horizontal="center" vertical="center"/>
    </xf>
    <xf numFmtId="178" fontId="16" fillId="6" borderId="0" xfId="3" applyFont="1" applyFill="1" applyAlignment="1">
      <alignment horizontal="left"/>
    </xf>
    <xf numFmtId="9" fontId="11" fillId="6" borderId="0" xfId="4" applyFont="1" applyFill="1" applyBorder="1" applyAlignment="1">
      <alignment horizontal="center" vertical="center"/>
    </xf>
    <xf numFmtId="14" fontId="17" fillId="6" borderId="0" xfId="3" applyNumberFormat="1" applyFont="1" applyFill="1" applyAlignment="1">
      <alignment horizontal="left"/>
    </xf>
    <xf numFmtId="178" fontId="16" fillId="6" borderId="0" xfId="3" quotePrefix="1" applyFont="1" applyFill="1" applyAlignment="1">
      <alignment horizontal="left"/>
    </xf>
    <xf numFmtId="178" fontId="16" fillId="6" borderId="0" xfId="3" applyFont="1" applyFill="1" applyAlignment="1">
      <alignment vertical="center"/>
    </xf>
    <xf numFmtId="178" fontId="14" fillId="6" borderId="0" xfId="3" applyFont="1" applyFill="1" applyAlignment="1">
      <alignment horizontal="centerContinuous" vertical="center"/>
    </xf>
    <xf numFmtId="49" fontId="32" fillId="6" borderId="0" xfId="3" applyNumberFormat="1" applyFont="1" applyFill="1" applyAlignment="1">
      <alignment horizontal="centerContinuous"/>
    </xf>
    <xf numFmtId="49" fontId="13" fillId="6" borderId="0" xfId="3" applyNumberFormat="1" applyFont="1" applyFill="1" applyAlignment="1">
      <alignment horizontal="centerContinuous" vertical="center"/>
    </xf>
    <xf numFmtId="49" fontId="7" fillId="6" borderId="0" xfId="3" applyNumberFormat="1" applyFill="1" applyAlignment="1">
      <alignment horizontal="centerContinuous"/>
    </xf>
    <xf numFmtId="49" fontId="33" fillId="6" borderId="0" xfId="3" applyNumberFormat="1" applyFont="1" applyFill="1" applyAlignment="1">
      <alignment horizontal="centerContinuous"/>
    </xf>
    <xf numFmtId="49" fontId="12" fillId="6" borderId="0" xfId="3" applyNumberFormat="1" applyFont="1" applyFill="1" applyAlignment="1">
      <alignment horizontal="centerContinuous" vertical="center"/>
    </xf>
    <xf numFmtId="178" fontId="17" fillId="6" borderId="0" xfId="3" applyFont="1" applyFill="1" applyAlignment="1">
      <alignment horizontal="center" vertical="center"/>
    </xf>
    <xf numFmtId="178" fontId="34" fillId="6" borderId="0" xfId="3" applyFont="1" applyFill="1" applyAlignment="1">
      <alignment horizontal="left"/>
    </xf>
    <xf numFmtId="178" fontId="17" fillId="6" borderId="0" xfId="3" applyFont="1" applyFill="1" applyAlignment="1">
      <alignment horizontal="left"/>
    </xf>
    <xf numFmtId="178" fontId="11" fillId="6" borderId="8" xfId="3" applyFont="1" applyFill="1" applyBorder="1" applyAlignment="1">
      <alignment horizontal="center" vertical="center"/>
    </xf>
    <xf numFmtId="178" fontId="9" fillId="6" borderId="4" xfId="3" applyFont="1" applyFill="1" applyBorder="1"/>
    <xf numFmtId="178" fontId="27" fillId="6" borderId="4" xfId="3" applyFont="1" applyFill="1" applyBorder="1" applyAlignment="1">
      <alignment horizontal="left"/>
    </xf>
    <xf numFmtId="178" fontId="11" fillId="6" borderId="4" xfId="3" applyFont="1" applyFill="1" applyBorder="1" applyAlignment="1">
      <alignment horizontal="center" vertical="center"/>
    </xf>
    <xf numFmtId="178" fontId="27" fillId="6" borderId="4" xfId="3" applyFont="1" applyFill="1" applyBorder="1" applyAlignment="1">
      <alignment horizontal="left" vertical="center"/>
    </xf>
    <xf numFmtId="178" fontId="11" fillId="6" borderId="9" xfId="3" applyFont="1" applyFill="1" applyBorder="1" applyAlignment="1">
      <alignment horizontal="center" vertical="center"/>
    </xf>
    <xf numFmtId="178" fontId="11" fillId="6" borderId="10" xfId="3" applyFont="1" applyFill="1" applyBorder="1" applyAlignment="1">
      <alignment horizontal="center" vertical="center"/>
    </xf>
    <xf numFmtId="178" fontId="11" fillId="6" borderId="3" xfId="3" applyFont="1" applyFill="1" applyBorder="1" applyAlignment="1">
      <alignment horizontal="center" vertical="center"/>
    </xf>
    <xf numFmtId="178" fontId="11" fillId="6" borderId="6" xfId="3" applyFont="1" applyFill="1" applyBorder="1" applyAlignment="1">
      <alignment horizontal="center" vertical="center"/>
    </xf>
    <xf numFmtId="178" fontId="11" fillId="6" borderId="5" xfId="3" applyFont="1" applyFill="1" applyBorder="1" applyAlignment="1">
      <alignment horizontal="center" vertical="center"/>
    </xf>
    <xf numFmtId="178" fontId="34" fillId="6" borderId="10" xfId="3" applyFont="1" applyFill="1" applyBorder="1" applyAlignment="1">
      <alignment horizontal="left"/>
    </xf>
    <xf numFmtId="178" fontId="17" fillId="6" borderId="10" xfId="3" applyFont="1" applyFill="1" applyBorder="1" applyAlignment="1">
      <alignment horizontal="center" vertical="center"/>
    </xf>
    <xf numFmtId="178" fontId="9" fillId="6" borderId="6" xfId="3" applyFont="1" applyFill="1" applyBorder="1"/>
    <xf numFmtId="178" fontId="11" fillId="6" borderId="7" xfId="3" applyFont="1" applyFill="1" applyBorder="1" applyAlignment="1">
      <alignment horizontal="center" vertical="center"/>
    </xf>
    <xf numFmtId="0" fontId="0" fillId="9" borderId="21" xfId="0" applyFill="1" applyBorder="1"/>
    <xf numFmtId="178" fontId="10" fillId="6" borderId="0" xfId="3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178" fontId="9" fillId="0" borderId="4" xfId="3" applyFont="1" applyBorder="1"/>
    <xf numFmtId="0" fontId="26" fillId="11" borderId="1" xfId="0" applyFont="1" applyFill="1" applyBorder="1" applyAlignment="1">
      <alignment horizontal="center" vertical="center"/>
    </xf>
    <xf numFmtId="20" fontId="26" fillId="11" borderId="1" xfId="0" applyNumberFormat="1" applyFont="1" applyFill="1" applyBorder="1" applyAlignment="1">
      <alignment horizontal="center" vertical="center"/>
    </xf>
    <xf numFmtId="0" fontId="0" fillId="0" borderId="22" xfId="0" applyBorder="1"/>
    <xf numFmtId="0" fontId="26" fillId="12" borderId="1" xfId="0" applyFont="1" applyFill="1" applyBorder="1" applyAlignment="1">
      <alignment horizontal="center" vertical="center"/>
    </xf>
    <xf numFmtId="20" fontId="26" fillId="12" borderId="1" xfId="0" applyNumberFormat="1" applyFont="1" applyFill="1" applyBorder="1" applyAlignment="1">
      <alignment horizontal="center" vertical="center"/>
    </xf>
    <xf numFmtId="188" fontId="26" fillId="13" borderId="1" xfId="0" applyNumberFormat="1" applyFont="1" applyFill="1" applyBorder="1" applyAlignment="1">
      <alignment horizontal="center" vertical="center"/>
    </xf>
    <xf numFmtId="188" fontId="26" fillId="13" borderId="1" xfId="0" quotePrefix="1" applyNumberFormat="1" applyFont="1" applyFill="1" applyBorder="1" applyAlignment="1">
      <alignment horizontal="center" vertical="center"/>
    </xf>
    <xf numFmtId="0" fontId="26" fillId="12" borderId="26" xfId="0" applyFont="1" applyFill="1" applyBorder="1" applyAlignment="1">
      <alignment horizontal="center" vertical="center"/>
    </xf>
    <xf numFmtId="20" fontId="26" fillId="12" borderId="26" xfId="0" applyNumberFormat="1" applyFont="1" applyFill="1" applyBorder="1" applyAlignment="1">
      <alignment horizontal="center" vertical="center"/>
    </xf>
    <xf numFmtId="188" fontId="26" fillId="13" borderId="26" xfId="0" applyNumberFormat="1" applyFont="1" applyFill="1" applyBorder="1" applyAlignment="1">
      <alignment horizontal="center" vertical="center"/>
    </xf>
    <xf numFmtId="188" fontId="26" fillId="13" borderId="26" xfId="0" quotePrefix="1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20" fontId="26" fillId="14" borderId="25" xfId="0" applyNumberFormat="1" applyFont="1" applyFill="1" applyBorder="1" applyAlignment="1">
      <alignment horizontal="center" vertical="center"/>
    </xf>
    <xf numFmtId="188" fontId="26" fillId="15" borderId="25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20" fontId="26" fillId="14" borderId="1" xfId="0" applyNumberFormat="1" applyFont="1" applyFill="1" applyBorder="1" applyAlignment="1">
      <alignment horizontal="center" vertical="center"/>
    </xf>
    <xf numFmtId="188" fontId="26" fillId="15" borderId="1" xfId="0" applyNumberFormat="1" applyFont="1" applyFill="1" applyBorder="1" applyAlignment="1">
      <alignment horizontal="center" vertical="center"/>
    </xf>
    <xf numFmtId="0" fontId="26" fillId="14" borderId="26" xfId="0" applyFont="1" applyFill="1" applyBorder="1" applyAlignment="1">
      <alignment horizontal="center" vertical="center"/>
    </xf>
    <xf numFmtId="20" fontId="26" fillId="14" borderId="26" xfId="0" applyNumberFormat="1" applyFont="1" applyFill="1" applyBorder="1" applyAlignment="1">
      <alignment horizontal="center" vertical="center"/>
    </xf>
    <xf numFmtId="188" fontId="26" fillId="15" borderId="26" xfId="0" applyNumberFormat="1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20" fontId="26" fillId="16" borderId="25" xfId="0" applyNumberFormat="1" applyFont="1" applyFill="1" applyBorder="1" applyAlignment="1">
      <alignment horizontal="center" vertical="center"/>
    </xf>
    <xf numFmtId="20" fontId="26" fillId="16" borderId="19" xfId="0" applyNumberFormat="1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20" fontId="26" fillId="16" borderId="1" xfId="0" applyNumberFormat="1" applyFont="1" applyFill="1" applyBorder="1" applyAlignment="1">
      <alignment horizontal="center" vertical="center"/>
    </xf>
    <xf numFmtId="20" fontId="26" fillId="16" borderId="24" xfId="0" applyNumberFormat="1" applyFont="1" applyFill="1" applyBorder="1" applyAlignment="1">
      <alignment horizontal="center" vertical="center"/>
    </xf>
    <xf numFmtId="0" fontId="26" fillId="16" borderId="26" xfId="0" applyFont="1" applyFill="1" applyBorder="1" applyAlignment="1">
      <alignment horizontal="center" vertical="center"/>
    </xf>
    <xf numFmtId="20" fontId="26" fillId="16" borderId="26" xfId="0" applyNumberFormat="1" applyFont="1" applyFill="1" applyBorder="1" applyAlignment="1">
      <alignment horizontal="center" vertical="center"/>
    </xf>
    <xf numFmtId="188" fontId="26" fillId="17" borderId="25" xfId="0" applyNumberFormat="1" applyFont="1" applyFill="1" applyBorder="1" applyAlignment="1">
      <alignment horizontal="center" vertical="center"/>
    </xf>
    <xf numFmtId="188" fontId="26" fillId="17" borderId="1" xfId="0" applyNumberFormat="1" applyFont="1" applyFill="1" applyBorder="1" applyAlignment="1">
      <alignment horizontal="center" vertical="center"/>
    </xf>
    <xf numFmtId="188" fontId="26" fillId="17" borderId="26" xfId="0" applyNumberFormat="1" applyFont="1" applyFill="1" applyBorder="1" applyAlignment="1">
      <alignment horizontal="center" vertical="center"/>
    </xf>
    <xf numFmtId="188" fontId="26" fillId="19" borderId="25" xfId="0" applyNumberFormat="1" applyFont="1" applyFill="1" applyBorder="1" applyAlignment="1">
      <alignment horizontal="center" vertical="center"/>
    </xf>
    <xf numFmtId="0" fontId="26" fillId="18" borderId="25" xfId="0" applyFont="1" applyFill="1" applyBorder="1" applyAlignment="1">
      <alignment horizontal="center" vertical="center"/>
    </xf>
    <xf numFmtId="20" fontId="26" fillId="18" borderId="25" xfId="0" applyNumberFormat="1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20" fontId="26" fillId="18" borderId="1" xfId="0" applyNumberFormat="1" applyFont="1" applyFill="1" applyBorder="1" applyAlignment="1">
      <alignment horizontal="center" vertical="center"/>
    </xf>
    <xf numFmtId="188" fontId="26" fillId="19" borderId="1" xfId="0" applyNumberFormat="1" applyFont="1" applyFill="1" applyBorder="1" applyAlignment="1">
      <alignment horizontal="center" vertical="center"/>
    </xf>
    <xf numFmtId="0" fontId="26" fillId="18" borderId="26" xfId="0" applyFont="1" applyFill="1" applyBorder="1" applyAlignment="1">
      <alignment horizontal="center" vertical="center"/>
    </xf>
    <xf numFmtId="20" fontId="26" fillId="18" borderId="26" xfId="0" applyNumberFormat="1" applyFont="1" applyFill="1" applyBorder="1" applyAlignment="1">
      <alignment horizontal="center" vertical="center"/>
    </xf>
    <xf numFmtId="188" fontId="26" fillId="19" borderId="26" xfId="0" applyNumberFormat="1" applyFont="1" applyFill="1" applyBorder="1" applyAlignment="1">
      <alignment horizontal="center" vertical="center"/>
    </xf>
    <xf numFmtId="20" fontId="26" fillId="18" borderId="19" xfId="0" applyNumberFormat="1" applyFont="1" applyFill="1" applyBorder="1" applyAlignment="1">
      <alignment horizontal="center" vertical="center"/>
    </xf>
    <xf numFmtId="20" fontId="26" fillId="18" borderId="24" xfId="0" applyNumberFormat="1" applyFont="1" applyFill="1" applyBorder="1" applyAlignment="1">
      <alignment horizontal="center" vertical="center"/>
    </xf>
    <xf numFmtId="0" fontId="26" fillId="11" borderId="25" xfId="0" applyFont="1" applyFill="1" applyBorder="1" applyAlignment="1">
      <alignment horizontal="center" vertical="center"/>
    </xf>
    <xf numFmtId="188" fontId="26" fillId="20" borderId="1" xfId="0" applyNumberFormat="1" applyFont="1" applyFill="1" applyBorder="1" applyAlignment="1">
      <alignment horizontal="center" vertical="center"/>
    </xf>
    <xf numFmtId="188" fontId="26" fillId="20" borderId="25" xfId="0" applyNumberFormat="1" applyFont="1" applyFill="1" applyBorder="1" applyAlignment="1">
      <alignment horizontal="center" vertical="center"/>
    </xf>
    <xf numFmtId="20" fontId="26" fillId="11" borderId="26" xfId="0" applyNumberFormat="1" applyFont="1" applyFill="1" applyBorder="1" applyAlignment="1">
      <alignment horizontal="center" vertical="center"/>
    </xf>
    <xf numFmtId="0" fontId="26" fillId="11" borderId="26" xfId="0" applyFont="1" applyFill="1" applyBorder="1" applyAlignment="1">
      <alignment horizontal="center" vertical="center"/>
    </xf>
    <xf numFmtId="188" fontId="26" fillId="20" borderId="26" xfId="0" applyNumberFormat="1" applyFont="1" applyFill="1" applyBorder="1" applyAlignment="1">
      <alignment horizontal="center" vertical="center"/>
    </xf>
    <xf numFmtId="0" fontId="21" fillId="22" borderId="0" xfId="2" applyFont="1" applyFill="1"/>
    <xf numFmtId="0" fontId="21" fillId="10" borderId="0" xfId="2" applyFont="1" applyFill="1" applyAlignment="1">
      <alignment horizontal="right"/>
    </xf>
    <xf numFmtId="0" fontId="21" fillId="10" borderId="0" xfId="2" applyFont="1" applyFill="1"/>
    <xf numFmtId="0" fontId="28" fillId="10" borderId="0" xfId="0" applyFont="1" applyFill="1" applyAlignment="1">
      <alignment horizontal="right" vertical="center"/>
    </xf>
    <xf numFmtId="0" fontId="28" fillId="10" borderId="0" xfId="0" applyFont="1" applyFill="1" applyAlignment="1">
      <alignment horizontal="left" vertical="center"/>
    </xf>
    <xf numFmtId="0" fontId="20" fillId="10" borderId="0" xfId="1" applyFont="1" applyFill="1">
      <alignment vertical="center"/>
    </xf>
    <xf numFmtId="0" fontId="8" fillId="10" borderId="0" xfId="2" applyFont="1" applyFill="1" applyAlignment="1">
      <alignment horizontal="center"/>
    </xf>
    <xf numFmtId="0" fontId="20" fillId="22" borderId="0" xfId="0" applyFont="1" applyFill="1" applyAlignment="1">
      <alignment vertical="center"/>
    </xf>
    <xf numFmtId="0" fontId="0" fillId="10" borderId="0" xfId="0" applyFill="1"/>
    <xf numFmtId="0" fontId="21" fillId="10" borderId="23" xfId="2" applyFont="1" applyFill="1" applyBorder="1" applyAlignment="1">
      <alignment horizontal="center"/>
    </xf>
    <xf numFmtId="0" fontId="20" fillId="10" borderId="0" xfId="0" applyFont="1" applyFill="1" applyAlignment="1">
      <alignment vertical="center"/>
    </xf>
    <xf numFmtId="0" fontId="8" fillId="10" borderId="0" xfId="2" applyFont="1" applyFill="1"/>
    <xf numFmtId="189" fontId="21" fillId="21" borderId="0" xfId="2" applyNumberFormat="1" applyFont="1" applyFill="1" applyAlignment="1">
      <alignment horizontal="center"/>
    </xf>
    <xf numFmtId="0" fontId="0" fillId="10" borderId="13" xfId="0" applyFill="1" applyBorder="1"/>
    <xf numFmtId="0" fontId="8" fillId="10" borderId="13" xfId="2" applyFont="1" applyFill="1" applyBorder="1"/>
    <xf numFmtId="176" fontId="21" fillId="21" borderId="0" xfId="2" applyNumberFormat="1" applyFont="1" applyFill="1" applyAlignment="1">
      <alignment horizontal="left"/>
    </xf>
    <xf numFmtId="0" fontId="28" fillId="10" borderId="0" xfId="0" applyFont="1" applyFill="1" applyAlignment="1">
      <alignment horizontal="center" vertical="center"/>
    </xf>
    <xf numFmtId="0" fontId="21" fillId="10" borderId="0" xfId="2" applyFont="1" applyFill="1" applyAlignment="1">
      <alignment horizontal="center"/>
    </xf>
    <xf numFmtId="0" fontId="0" fillId="10" borderId="21" xfId="0" applyFill="1" applyBorder="1"/>
    <xf numFmtId="0" fontId="8" fillId="10" borderId="21" xfId="2" applyFont="1" applyFill="1" applyBorder="1" applyAlignment="1">
      <alignment horizontal="right"/>
    </xf>
    <xf numFmtId="0" fontId="0" fillId="10" borderId="12" xfId="0" applyFill="1" applyBorder="1"/>
    <xf numFmtId="0" fontId="0" fillId="10" borderId="14" xfId="0" applyFill="1" applyBorder="1"/>
    <xf numFmtId="189" fontId="21" fillId="21" borderId="0" xfId="2" applyNumberFormat="1" applyFont="1" applyFill="1" applyAlignment="1">
      <alignment horizontal="left"/>
    </xf>
    <xf numFmtId="0" fontId="21" fillId="10" borderId="12" xfId="0" applyFont="1" applyFill="1" applyBorder="1" applyAlignment="1">
      <alignment horizontal="center"/>
    </xf>
    <xf numFmtId="0" fontId="21" fillId="10" borderId="14" xfId="0" applyFont="1" applyFill="1" applyBorder="1" applyAlignment="1">
      <alignment horizontal="center"/>
    </xf>
    <xf numFmtId="189" fontId="21" fillId="24" borderId="0" xfId="2" applyNumberFormat="1" applyFont="1" applyFill="1" applyAlignment="1">
      <alignment horizontal="center"/>
    </xf>
    <xf numFmtId="0" fontId="21" fillId="21" borderId="1" xfId="2" applyFont="1" applyFill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1" fillId="24" borderId="0" xfId="0" applyFont="1" applyFill="1" applyAlignment="1">
      <alignment vertical="center"/>
    </xf>
    <xf numFmtId="0" fontId="21" fillId="24" borderId="0" xfId="2" applyFont="1" applyFill="1"/>
    <xf numFmtId="0" fontId="21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12" borderId="0" xfId="0" applyFont="1" applyFill="1"/>
    <xf numFmtId="0" fontId="3" fillId="12" borderId="14" xfId="0" applyFont="1" applyFill="1" applyBorder="1"/>
    <xf numFmtId="0" fontId="3" fillId="12" borderId="12" xfId="0" applyFont="1" applyFill="1" applyBorder="1"/>
    <xf numFmtId="0" fontId="3" fillId="14" borderId="12" xfId="0" applyFont="1" applyFill="1" applyBorder="1"/>
    <xf numFmtId="0" fontId="3" fillId="14" borderId="0" xfId="0" applyFont="1" applyFill="1"/>
    <xf numFmtId="0" fontId="3" fillId="14" borderId="14" xfId="0" applyFont="1" applyFill="1" applyBorder="1"/>
    <xf numFmtId="0" fontId="1" fillId="25" borderId="16" xfId="0" applyFont="1" applyFill="1" applyBorder="1" applyAlignment="1">
      <alignment horizontal="center"/>
    </xf>
    <xf numFmtId="0" fontId="1" fillId="25" borderId="13" xfId="0" applyFont="1" applyFill="1" applyBorder="1" applyAlignment="1">
      <alignment horizontal="center"/>
    </xf>
    <xf numFmtId="0" fontId="1" fillId="25" borderId="15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5" borderId="30" xfId="0" applyFill="1" applyBorder="1" applyAlignment="1">
      <alignment horizontal="center"/>
    </xf>
    <xf numFmtId="0" fontId="0" fillId="25" borderId="21" xfId="0" applyFill="1" applyBorder="1" applyAlignment="1">
      <alignment horizontal="center"/>
    </xf>
    <xf numFmtId="0" fontId="0" fillId="25" borderId="20" xfId="0" applyFill="1" applyBorder="1" applyAlignment="1">
      <alignment horizontal="center"/>
    </xf>
    <xf numFmtId="0" fontId="0" fillId="25" borderId="19" xfId="0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23" borderId="13" xfId="0" applyFont="1" applyFill="1" applyBorder="1" applyAlignment="1">
      <alignment horizontal="center"/>
    </xf>
    <xf numFmtId="0" fontId="1" fillId="23" borderId="15" xfId="0" applyFont="1" applyFill="1" applyBorder="1" applyAlignment="1">
      <alignment horizontal="center"/>
    </xf>
    <xf numFmtId="0" fontId="0" fillId="23" borderId="13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0" fontId="1" fillId="23" borderId="19" xfId="0" applyFont="1" applyFill="1" applyBorder="1" applyAlignment="1">
      <alignment horizontal="center"/>
    </xf>
    <xf numFmtId="0" fontId="1" fillId="23" borderId="21" xfId="0" applyFont="1" applyFill="1" applyBorder="1" applyAlignment="1">
      <alignment horizontal="center"/>
    </xf>
    <xf numFmtId="0" fontId="1" fillId="23" borderId="20" xfId="0" applyFont="1" applyFill="1" applyBorder="1" applyAlignment="1">
      <alignment horizontal="center"/>
    </xf>
    <xf numFmtId="0" fontId="3" fillId="18" borderId="12" xfId="0" applyFont="1" applyFill="1" applyBorder="1"/>
    <xf numFmtId="0" fontId="3" fillId="18" borderId="0" xfId="0" applyFont="1" applyFill="1"/>
    <xf numFmtId="0" fontId="3" fillId="18" borderId="14" xfId="0" applyFont="1" applyFill="1" applyBorder="1"/>
    <xf numFmtId="0" fontId="1" fillId="26" borderId="2" xfId="0" applyFont="1" applyFill="1" applyBorder="1" applyAlignment="1">
      <alignment horizontal="center"/>
    </xf>
    <xf numFmtId="0" fontId="1" fillId="26" borderId="13" xfId="0" applyFont="1" applyFill="1" applyBorder="1" applyAlignment="1">
      <alignment horizontal="center"/>
    </xf>
    <xf numFmtId="0" fontId="1" fillId="26" borderId="15" xfId="0" applyFont="1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21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0" fontId="1" fillId="26" borderId="19" xfId="0" applyFont="1" applyFill="1" applyBorder="1" applyAlignment="1">
      <alignment horizontal="center"/>
    </xf>
    <xf numFmtId="0" fontId="1" fillId="26" borderId="21" xfId="0" applyFont="1" applyFill="1" applyBorder="1" applyAlignment="1">
      <alignment horizontal="center"/>
    </xf>
    <xf numFmtId="0" fontId="1" fillId="26" borderId="20" xfId="0" applyFont="1" applyFill="1" applyBorder="1" applyAlignment="1">
      <alignment horizontal="center"/>
    </xf>
    <xf numFmtId="0" fontId="3" fillId="11" borderId="12" xfId="0" applyFont="1" applyFill="1" applyBorder="1"/>
    <xf numFmtId="0" fontId="3" fillId="11" borderId="0" xfId="0" applyFont="1" applyFill="1"/>
    <xf numFmtId="0" fontId="3" fillId="11" borderId="14" xfId="0" applyFont="1" applyFill="1" applyBorder="1"/>
    <xf numFmtId="0" fontId="1" fillId="27" borderId="2" xfId="0" applyFont="1" applyFill="1" applyBorder="1" applyAlignment="1">
      <alignment horizontal="center"/>
    </xf>
    <xf numFmtId="0" fontId="1" fillId="27" borderId="13" xfId="0" applyFont="1" applyFill="1" applyBorder="1" applyAlignment="1">
      <alignment horizontal="center"/>
    </xf>
    <xf numFmtId="0" fontId="1" fillId="27" borderId="15" xfId="0" applyFont="1" applyFill="1" applyBorder="1" applyAlignment="1">
      <alignment horizontal="center"/>
    </xf>
    <xf numFmtId="0" fontId="0" fillId="27" borderId="19" xfId="0" applyFill="1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0" fillId="27" borderId="20" xfId="0" applyFill="1" applyBorder="1" applyAlignment="1">
      <alignment horizontal="center"/>
    </xf>
    <xf numFmtId="0" fontId="1" fillId="27" borderId="19" xfId="0" applyFont="1" applyFill="1" applyBorder="1" applyAlignment="1">
      <alignment horizontal="center"/>
    </xf>
    <xf numFmtId="0" fontId="1" fillId="27" borderId="21" xfId="0" applyFont="1" applyFill="1" applyBorder="1" applyAlignment="1">
      <alignment horizontal="center"/>
    </xf>
    <xf numFmtId="0" fontId="1" fillId="27" borderId="20" xfId="0" applyFont="1" applyFill="1" applyBorder="1" applyAlignment="1">
      <alignment horizontal="center"/>
    </xf>
    <xf numFmtId="0" fontId="0" fillId="27" borderId="13" xfId="0" applyFill="1" applyBorder="1" applyAlignment="1">
      <alignment horizontal="center"/>
    </xf>
    <xf numFmtId="0" fontId="3" fillId="16" borderId="12" xfId="0" applyFont="1" applyFill="1" applyBorder="1"/>
    <xf numFmtId="0" fontId="3" fillId="16" borderId="0" xfId="0" applyFont="1" applyFill="1"/>
    <xf numFmtId="0" fontId="3" fillId="16" borderId="14" xfId="0" applyFont="1" applyFill="1" applyBorder="1"/>
    <xf numFmtId="0" fontId="1" fillId="28" borderId="2" xfId="0" applyFont="1" applyFill="1" applyBorder="1" applyAlignment="1">
      <alignment horizontal="center"/>
    </xf>
    <xf numFmtId="0" fontId="1" fillId="28" borderId="13" xfId="0" applyFont="1" applyFill="1" applyBorder="1" applyAlignment="1">
      <alignment horizontal="center"/>
    </xf>
    <xf numFmtId="0" fontId="1" fillId="28" borderId="15" xfId="0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0" fillId="28" borderId="19" xfId="0" applyFill="1" applyBorder="1" applyAlignment="1">
      <alignment horizontal="center"/>
    </xf>
    <xf numFmtId="0" fontId="0" fillId="28" borderId="21" xfId="0" applyFill="1" applyBorder="1" applyAlignment="1">
      <alignment horizontal="center"/>
    </xf>
    <xf numFmtId="0" fontId="0" fillId="28" borderId="20" xfId="0" applyFill="1" applyBorder="1" applyAlignment="1">
      <alignment horizontal="center"/>
    </xf>
    <xf numFmtId="0" fontId="1" fillId="28" borderId="19" xfId="0" applyFont="1" applyFill="1" applyBorder="1" applyAlignment="1">
      <alignment horizontal="center"/>
    </xf>
    <xf numFmtId="0" fontId="1" fillId="28" borderId="21" xfId="0" applyFont="1" applyFill="1" applyBorder="1" applyAlignment="1">
      <alignment horizontal="center"/>
    </xf>
    <xf numFmtId="0" fontId="1" fillId="28" borderId="20" xfId="0" applyFont="1" applyFill="1" applyBorder="1" applyAlignment="1">
      <alignment horizontal="center"/>
    </xf>
    <xf numFmtId="20" fontId="26" fillId="18" borderId="27" xfId="0" applyNumberFormat="1" applyFont="1" applyFill="1" applyBorder="1" applyAlignment="1">
      <alignment horizontal="center" vertical="center"/>
    </xf>
    <xf numFmtId="0" fontId="26" fillId="11" borderId="23" xfId="0" applyFont="1" applyFill="1" applyBorder="1" applyAlignment="1">
      <alignment horizontal="center" vertical="center"/>
    </xf>
    <xf numFmtId="20" fontId="26" fillId="11" borderId="23" xfId="0" applyNumberFormat="1" applyFont="1" applyFill="1" applyBorder="1" applyAlignment="1">
      <alignment horizontal="center" vertical="center"/>
    </xf>
    <xf numFmtId="20" fontId="26" fillId="11" borderId="12" xfId="0" applyNumberFormat="1" applyFont="1" applyFill="1" applyBorder="1" applyAlignment="1">
      <alignment horizontal="center" vertical="center"/>
    </xf>
    <xf numFmtId="176" fontId="1" fillId="0" borderId="12" xfId="0" applyNumberFormat="1" applyFont="1" applyBorder="1"/>
    <xf numFmtId="176" fontId="1" fillId="0" borderId="14" xfId="0" applyNumberFormat="1" applyFont="1" applyBorder="1"/>
    <xf numFmtId="176" fontId="1" fillId="0" borderId="4" xfId="0" applyNumberFormat="1" applyFont="1" applyBorder="1"/>
    <xf numFmtId="176" fontId="0" fillId="0" borderId="0" xfId="0" applyNumberFormat="1"/>
    <xf numFmtId="176" fontId="29" fillId="0" borderId="0" xfId="0" applyNumberFormat="1" applyFont="1"/>
    <xf numFmtId="180" fontId="1" fillId="0" borderId="0" xfId="0" applyNumberFormat="1" applyFont="1"/>
    <xf numFmtId="0" fontId="22" fillId="0" borderId="0" xfId="0" applyFont="1"/>
    <xf numFmtId="176" fontId="1" fillId="0" borderId="8" xfId="0" applyNumberFormat="1" applyFont="1" applyBorder="1"/>
    <xf numFmtId="176" fontId="1" fillId="0" borderId="18" xfId="0" applyNumberFormat="1" applyFont="1" applyBorder="1"/>
    <xf numFmtId="176" fontId="1" fillId="0" borderId="9" xfId="0" applyNumberFormat="1" applyFont="1" applyBorder="1"/>
    <xf numFmtId="176" fontId="1" fillId="2" borderId="0" xfId="0" applyNumberFormat="1" applyFont="1" applyFill="1"/>
    <xf numFmtId="177" fontId="1" fillId="2" borderId="0" xfId="0" applyNumberFormat="1" applyFont="1" applyFill="1"/>
    <xf numFmtId="177" fontId="1" fillId="3" borderId="0" xfId="0" applyNumberFormat="1" applyFont="1" applyFill="1"/>
    <xf numFmtId="176" fontId="1" fillId="3" borderId="0" xfId="0" applyNumberFormat="1" applyFont="1" applyFill="1"/>
    <xf numFmtId="177" fontId="1" fillId="4" borderId="0" xfId="0" applyNumberFormat="1" applyFont="1" applyFill="1"/>
    <xf numFmtId="176" fontId="1" fillId="4" borderId="0" xfId="0" applyNumberFormat="1" applyFont="1" applyFill="1"/>
    <xf numFmtId="177" fontId="1" fillId="5" borderId="0" xfId="0" applyNumberFormat="1" applyFont="1" applyFill="1"/>
    <xf numFmtId="176" fontId="1" fillId="5" borderId="0" xfId="0" applyNumberFormat="1" applyFont="1" applyFill="1"/>
    <xf numFmtId="177" fontId="1" fillId="8" borderId="0" xfId="0" applyNumberFormat="1" applyFont="1" applyFill="1"/>
    <xf numFmtId="176" fontId="1" fillId="8" borderId="0" xfId="0" applyNumberFormat="1" applyFont="1" applyFill="1"/>
    <xf numFmtId="176" fontId="1" fillId="0" borderId="3" xfId="0" applyNumberFormat="1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176" fontId="1" fillId="28" borderId="10" xfId="0" applyNumberFormat="1" applyFont="1" applyFill="1" applyBorder="1" applyAlignment="1">
      <alignment horizontal="center"/>
    </xf>
    <xf numFmtId="176" fontId="3" fillId="28" borderId="10" xfId="0" applyNumberFormat="1" applyFont="1" applyFill="1" applyBorder="1" applyAlignment="1">
      <alignment horizontal="center"/>
    </xf>
    <xf numFmtId="176" fontId="1" fillId="28" borderId="11" xfId="0" applyNumberFormat="1" applyFont="1" applyFill="1" applyBorder="1" applyAlignment="1">
      <alignment horizontal="center"/>
    </xf>
    <xf numFmtId="176" fontId="1" fillId="28" borderId="0" xfId="0" applyNumberFormat="1" applyFont="1" applyFill="1" applyAlignment="1">
      <alignment horizontal="center"/>
    </xf>
    <xf numFmtId="176" fontId="3" fillId="28" borderId="0" xfId="0" applyNumberFormat="1" applyFont="1" applyFill="1" applyAlignment="1">
      <alignment horizontal="center"/>
    </xf>
    <xf numFmtId="176" fontId="3" fillId="28" borderId="14" xfId="0" applyNumberFormat="1" applyFont="1" applyFill="1" applyBorder="1" applyAlignment="1">
      <alignment horizontal="center"/>
    </xf>
    <xf numFmtId="176" fontId="1" fillId="28" borderId="14" xfId="0" applyNumberFormat="1" applyFont="1" applyFill="1" applyBorder="1" applyAlignment="1">
      <alignment horizontal="center"/>
    </xf>
    <xf numFmtId="176" fontId="0" fillId="27" borderId="10" xfId="0" applyNumberFormat="1" applyFill="1" applyBorder="1" applyAlignment="1">
      <alignment horizontal="center"/>
    </xf>
    <xf numFmtId="176" fontId="3" fillId="27" borderId="10" xfId="0" applyNumberFormat="1" applyFont="1" applyFill="1" applyBorder="1" applyAlignment="1">
      <alignment horizontal="center"/>
    </xf>
    <xf numFmtId="176" fontId="1" fillId="27" borderId="10" xfId="0" applyNumberFormat="1" applyFont="1" applyFill="1" applyBorder="1" applyAlignment="1">
      <alignment horizontal="center"/>
    </xf>
    <xf numFmtId="176" fontId="1" fillId="27" borderId="11" xfId="0" applyNumberFormat="1" applyFont="1" applyFill="1" applyBorder="1" applyAlignment="1">
      <alignment horizontal="center"/>
    </xf>
    <xf numFmtId="176" fontId="1" fillId="27" borderId="0" xfId="0" applyNumberFormat="1" applyFont="1" applyFill="1" applyAlignment="1">
      <alignment horizontal="center"/>
    </xf>
    <xf numFmtId="176" fontId="3" fillId="27" borderId="0" xfId="0" applyNumberFormat="1" applyFont="1" applyFill="1" applyAlignment="1">
      <alignment horizontal="center"/>
    </xf>
    <xf numFmtId="176" fontId="3" fillId="27" borderId="14" xfId="0" applyNumberFormat="1" applyFont="1" applyFill="1" applyBorder="1" applyAlignment="1">
      <alignment horizontal="center"/>
    </xf>
    <xf numFmtId="176" fontId="1" fillId="27" borderId="14" xfId="0" applyNumberFormat="1" applyFont="1" applyFill="1" applyBorder="1" applyAlignment="1">
      <alignment horizontal="center"/>
    </xf>
    <xf numFmtId="176" fontId="1" fillId="25" borderId="10" xfId="0" applyNumberFormat="1" applyFont="1" applyFill="1" applyBorder="1" applyAlignment="1">
      <alignment horizontal="center"/>
    </xf>
    <xf numFmtId="176" fontId="3" fillId="25" borderId="10" xfId="0" applyNumberFormat="1" applyFont="1" applyFill="1" applyBorder="1" applyAlignment="1">
      <alignment horizontal="center"/>
    </xf>
    <xf numFmtId="176" fontId="1" fillId="25" borderId="11" xfId="0" applyNumberFormat="1" applyFont="1" applyFill="1" applyBorder="1" applyAlignment="1">
      <alignment horizontal="center"/>
    </xf>
    <xf numFmtId="176" fontId="1" fillId="25" borderId="0" xfId="0" applyNumberFormat="1" applyFont="1" applyFill="1" applyAlignment="1">
      <alignment horizontal="center"/>
    </xf>
    <xf numFmtId="176" fontId="3" fillId="25" borderId="0" xfId="0" applyNumberFormat="1" applyFont="1" applyFill="1" applyAlignment="1">
      <alignment horizontal="center"/>
    </xf>
    <xf numFmtId="176" fontId="3" fillId="25" borderId="14" xfId="0" applyNumberFormat="1" applyFont="1" applyFill="1" applyBorder="1" applyAlignment="1">
      <alignment horizontal="center"/>
    </xf>
    <xf numFmtId="176" fontId="35" fillId="25" borderId="0" xfId="0" applyNumberFormat="1" applyFont="1" applyFill="1" applyAlignment="1">
      <alignment horizontal="center"/>
    </xf>
    <xf numFmtId="176" fontId="1" fillId="25" borderId="14" xfId="0" applyNumberFormat="1" applyFont="1" applyFill="1" applyBorder="1" applyAlignment="1">
      <alignment horizontal="center"/>
    </xf>
    <xf numFmtId="176" fontId="1" fillId="23" borderId="10" xfId="0" applyNumberFormat="1" applyFont="1" applyFill="1" applyBorder="1" applyAlignment="1">
      <alignment horizontal="center"/>
    </xf>
    <xf numFmtId="176" fontId="3" fillId="23" borderId="10" xfId="0" applyNumberFormat="1" applyFont="1" applyFill="1" applyBorder="1" applyAlignment="1">
      <alignment horizontal="center"/>
    </xf>
    <xf numFmtId="176" fontId="1" fillId="23" borderId="11" xfId="0" applyNumberFormat="1" applyFont="1" applyFill="1" applyBorder="1" applyAlignment="1">
      <alignment horizontal="center"/>
    </xf>
    <xf numFmtId="176" fontId="1" fillId="23" borderId="0" xfId="0" applyNumberFormat="1" applyFont="1" applyFill="1" applyAlignment="1">
      <alignment horizontal="center"/>
    </xf>
    <xf numFmtId="176" fontId="3" fillId="23" borderId="0" xfId="0" applyNumberFormat="1" applyFont="1" applyFill="1" applyAlignment="1">
      <alignment horizontal="center"/>
    </xf>
    <xf numFmtId="176" fontId="3" fillId="23" borderId="14" xfId="0" applyNumberFormat="1" applyFont="1" applyFill="1" applyBorder="1" applyAlignment="1">
      <alignment horizontal="center"/>
    </xf>
    <xf numFmtId="176" fontId="1" fillId="23" borderId="14" xfId="0" applyNumberFormat="1" applyFont="1" applyFill="1" applyBorder="1" applyAlignment="1">
      <alignment horizontal="center"/>
    </xf>
    <xf numFmtId="176" fontId="0" fillId="26" borderId="10" xfId="0" applyNumberFormat="1" applyFill="1" applyBorder="1" applyAlignment="1">
      <alignment horizontal="center"/>
    </xf>
    <xf numFmtId="0" fontId="1" fillId="26" borderId="10" xfId="0" applyFont="1" applyFill="1" applyBorder="1" applyAlignment="1">
      <alignment horizontal="center"/>
    </xf>
    <xf numFmtId="176" fontId="1" fillId="26" borderId="10" xfId="0" applyNumberFormat="1" applyFont="1" applyFill="1" applyBorder="1" applyAlignment="1">
      <alignment horizontal="center"/>
    </xf>
    <xf numFmtId="176" fontId="1" fillId="26" borderId="11" xfId="0" applyNumberFormat="1" applyFont="1" applyFill="1" applyBorder="1" applyAlignment="1">
      <alignment horizontal="center"/>
    </xf>
    <xf numFmtId="176" fontId="1" fillId="26" borderId="0" xfId="0" applyNumberFormat="1" applyFont="1" applyFill="1" applyAlignment="1">
      <alignment horizontal="center"/>
    </xf>
    <xf numFmtId="176" fontId="3" fillId="26" borderId="0" xfId="0" applyNumberFormat="1" applyFont="1" applyFill="1" applyAlignment="1">
      <alignment horizontal="center"/>
    </xf>
    <xf numFmtId="176" fontId="3" fillId="26" borderId="14" xfId="0" applyNumberFormat="1" applyFont="1" applyFill="1" applyBorder="1" applyAlignment="1">
      <alignment horizontal="center"/>
    </xf>
    <xf numFmtId="176" fontId="1" fillId="26" borderId="14" xfId="0" applyNumberFormat="1" applyFont="1" applyFill="1" applyBorder="1" applyAlignment="1">
      <alignment horizontal="center"/>
    </xf>
    <xf numFmtId="0" fontId="1" fillId="18" borderId="32" xfId="0" applyFont="1" applyFill="1" applyBorder="1" applyAlignment="1">
      <alignment horizontal="center"/>
    </xf>
    <xf numFmtId="176" fontId="1" fillId="18" borderId="0" xfId="0" applyNumberFormat="1" applyFont="1" applyFill="1"/>
    <xf numFmtId="176" fontId="1" fillId="18" borderId="14" xfId="0" applyNumberFormat="1" applyFont="1" applyFill="1" applyBorder="1"/>
    <xf numFmtId="176" fontId="1" fillId="18" borderId="4" xfId="0" applyNumberFormat="1" applyFont="1" applyFill="1" applyBorder="1"/>
    <xf numFmtId="0" fontId="1" fillId="11" borderId="32" xfId="0" applyFont="1" applyFill="1" applyBorder="1" applyAlignment="1">
      <alignment horizontal="center"/>
    </xf>
    <xf numFmtId="176" fontId="1" fillId="11" borderId="0" xfId="0" applyNumberFormat="1" applyFont="1" applyFill="1"/>
    <xf numFmtId="176" fontId="1" fillId="11" borderId="14" xfId="0" applyNumberFormat="1" applyFont="1" applyFill="1" applyBorder="1"/>
    <xf numFmtId="176" fontId="1" fillId="11" borderId="4" xfId="0" applyNumberFormat="1" applyFont="1" applyFill="1" applyBorder="1"/>
    <xf numFmtId="0" fontId="1" fillId="14" borderId="32" xfId="0" applyFont="1" applyFill="1" applyBorder="1" applyAlignment="1">
      <alignment horizontal="center"/>
    </xf>
    <xf numFmtId="176" fontId="1" fillId="14" borderId="0" xfId="0" applyNumberFormat="1" applyFont="1" applyFill="1"/>
    <xf numFmtId="176" fontId="1" fillId="14" borderId="14" xfId="0" applyNumberFormat="1" applyFont="1" applyFill="1" applyBorder="1"/>
    <xf numFmtId="176" fontId="1" fillId="14" borderId="4" xfId="0" applyNumberFormat="1" applyFont="1" applyFill="1" applyBorder="1"/>
    <xf numFmtId="176" fontId="3" fillId="2" borderId="0" xfId="0" applyNumberFormat="1" applyFont="1" applyFill="1"/>
    <xf numFmtId="0" fontId="1" fillId="2" borderId="0" xfId="0" applyFont="1" applyFill="1"/>
    <xf numFmtId="176" fontId="3" fillId="3" borderId="0" xfId="0" applyNumberFormat="1" applyFont="1" applyFill="1"/>
    <xf numFmtId="176" fontId="3" fillId="4" borderId="0" xfId="0" applyNumberFormat="1" applyFont="1" applyFill="1"/>
    <xf numFmtId="176" fontId="3" fillId="5" borderId="0" xfId="0" applyNumberFormat="1" applyFont="1" applyFill="1"/>
    <xf numFmtId="0" fontId="1" fillId="5" borderId="0" xfId="0" applyFont="1" applyFill="1"/>
    <xf numFmtId="176" fontId="3" fillId="8" borderId="0" xfId="0" applyNumberFormat="1" applyFont="1" applyFill="1"/>
    <xf numFmtId="0" fontId="1" fillId="8" borderId="0" xfId="0" applyFont="1" applyFill="1"/>
    <xf numFmtId="176" fontId="0" fillId="4" borderId="0" xfId="0" applyNumberFormat="1" applyFill="1"/>
    <xf numFmtId="176" fontId="0" fillId="5" borderId="0" xfId="0" applyNumberFormat="1" applyFill="1"/>
    <xf numFmtId="176" fontId="1" fillId="8" borderId="0" xfId="0" applyNumberFormat="1" applyFont="1" applyFill="1" applyAlignment="1">
      <alignment horizontal="left"/>
    </xf>
    <xf numFmtId="176" fontId="1" fillId="0" borderId="13" xfId="0" applyNumberFormat="1" applyFont="1" applyBorder="1"/>
    <xf numFmtId="176" fontId="1" fillId="0" borderId="15" xfId="0" applyNumberFormat="1" applyFont="1" applyBorder="1"/>
    <xf numFmtId="180" fontId="1" fillId="0" borderId="12" xfId="0" applyNumberFormat="1" applyFont="1" applyBorder="1"/>
    <xf numFmtId="180" fontId="1" fillId="0" borderId="19" xfId="0" applyNumberFormat="1" applyFont="1" applyBorder="1"/>
    <xf numFmtId="180" fontId="1" fillId="0" borderId="21" xfId="0" applyNumberFormat="1" applyFont="1" applyBorder="1"/>
    <xf numFmtId="176" fontId="0" fillId="9" borderId="21" xfId="0" applyNumberFormat="1" applyFill="1" applyBorder="1"/>
    <xf numFmtId="176" fontId="1" fillId="0" borderId="21" xfId="0" applyNumberFormat="1" applyFont="1" applyBorder="1"/>
    <xf numFmtId="176" fontId="1" fillId="0" borderId="20" xfId="0" applyNumberFormat="1" applyFont="1" applyBorder="1"/>
    <xf numFmtId="176" fontId="1" fillId="0" borderId="2" xfId="0" applyNumberFormat="1" applyFont="1" applyBorder="1"/>
    <xf numFmtId="0" fontId="1" fillId="0" borderId="13" xfId="0" applyFont="1" applyBorder="1"/>
    <xf numFmtId="0" fontId="3" fillId="0" borderId="13" xfId="0" applyFont="1" applyBorder="1"/>
    <xf numFmtId="0" fontId="20" fillId="0" borderId="13" xfId="0" applyFont="1" applyBorder="1"/>
    <xf numFmtId="0" fontId="1" fillId="0" borderId="15" xfId="0" applyFont="1" applyBorder="1"/>
    <xf numFmtId="0" fontId="1" fillId="0" borderId="14" xfId="0" applyFont="1" applyBorder="1"/>
    <xf numFmtId="176" fontId="1" fillId="0" borderId="19" xfId="0" applyNumberFormat="1" applyFont="1" applyBorder="1"/>
    <xf numFmtId="176" fontId="1" fillId="18" borderId="12" xfId="0" applyNumberFormat="1" applyFont="1" applyFill="1" applyBorder="1"/>
    <xf numFmtId="176" fontId="0" fillId="18" borderId="0" xfId="0" applyNumberFormat="1" applyFill="1"/>
    <xf numFmtId="176" fontId="29" fillId="18" borderId="0" xfId="0" applyNumberFormat="1" applyFont="1" applyFill="1"/>
    <xf numFmtId="180" fontId="1" fillId="18" borderId="0" xfId="0" applyNumberFormat="1" applyFont="1" applyFill="1"/>
    <xf numFmtId="0" fontId="22" fillId="18" borderId="0" xfId="0" applyFont="1" applyFill="1"/>
    <xf numFmtId="0" fontId="1" fillId="18" borderId="0" xfId="0" applyFont="1" applyFill="1"/>
    <xf numFmtId="176" fontId="1" fillId="11" borderId="12" xfId="0" applyNumberFormat="1" applyFont="1" applyFill="1" applyBorder="1"/>
    <xf numFmtId="176" fontId="0" fillId="11" borderId="0" xfId="0" applyNumberFormat="1" applyFill="1"/>
    <xf numFmtId="176" fontId="29" fillId="11" borderId="0" xfId="0" applyNumberFormat="1" applyFont="1" applyFill="1"/>
    <xf numFmtId="180" fontId="1" fillId="11" borderId="0" xfId="0" applyNumberFormat="1" applyFont="1" applyFill="1"/>
    <xf numFmtId="0" fontId="1" fillId="11" borderId="0" xfId="0" applyFont="1" applyFill="1"/>
    <xf numFmtId="176" fontId="1" fillId="14" borderId="12" xfId="0" applyNumberFormat="1" applyFont="1" applyFill="1" applyBorder="1"/>
    <xf numFmtId="176" fontId="0" fillId="14" borderId="0" xfId="0" applyNumberFormat="1" applyFill="1"/>
    <xf numFmtId="176" fontId="29" fillId="14" borderId="0" xfId="0" applyNumberFormat="1" applyFont="1" applyFill="1"/>
    <xf numFmtId="180" fontId="1" fillId="14" borderId="0" xfId="0" applyNumberFormat="1" applyFont="1" applyFill="1"/>
    <xf numFmtId="0" fontId="29" fillId="14" borderId="0" xfId="0" applyFont="1" applyFill="1"/>
    <xf numFmtId="0" fontId="1" fillId="14" borderId="0" xfId="0" applyFont="1" applyFill="1"/>
    <xf numFmtId="176" fontId="4" fillId="25" borderId="0" xfId="0" applyNumberFormat="1" applyFont="1" applyFill="1" applyAlignment="1">
      <alignment horizontal="center"/>
    </xf>
    <xf numFmtId="176" fontId="4" fillId="23" borderId="0" xfId="0" applyNumberFormat="1" applyFont="1" applyFill="1" applyAlignment="1">
      <alignment horizontal="center"/>
    </xf>
    <xf numFmtId="176" fontId="4" fillId="26" borderId="0" xfId="0" applyNumberFormat="1" applyFont="1" applyFill="1" applyAlignment="1">
      <alignment horizontal="center"/>
    </xf>
    <xf numFmtId="176" fontId="4" fillId="27" borderId="0" xfId="0" applyNumberFormat="1" applyFont="1" applyFill="1" applyAlignment="1">
      <alignment horizontal="center"/>
    </xf>
    <xf numFmtId="176" fontId="4" fillId="28" borderId="0" xfId="0" applyNumberFormat="1" applyFont="1" applyFill="1" applyAlignment="1">
      <alignment horizontal="center"/>
    </xf>
    <xf numFmtId="187" fontId="36" fillId="12" borderId="10" xfId="0" applyNumberFormat="1" applyFont="1" applyFill="1" applyBorder="1"/>
    <xf numFmtId="176" fontId="0" fillId="0" borderId="21" xfId="0" applyNumberFormat="1" applyBorder="1"/>
    <xf numFmtId="0" fontId="1" fillId="0" borderId="21" xfId="0" applyFont="1" applyBorder="1"/>
    <xf numFmtId="0" fontId="29" fillId="11" borderId="0" xfId="0" applyFont="1" applyFill="1"/>
    <xf numFmtId="180" fontId="1" fillId="0" borderId="2" xfId="0" applyNumberFormat="1" applyFont="1" applyBorder="1"/>
    <xf numFmtId="180" fontId="1" fillId="0" borderId="13" xfId="0" applyNumberFormat="1" applyFont="1" applyBorder="1"/>
    <xf numFmtId="0" fontId="1" fillId="9" borderId="13" xfId="0" applyFont="1" applyFill="1" applyBorder="1"/>
    <xf numFmtId="176" fontId="1" fillId="9" borderId="13" xfId="0" applyNumberFormat="1" applyFont="1" applyFill="1" applyBorder="1"/>
    <xf numFmtId="0" fontId="1" fillId="9" borderId="0" xfId="0" applyFont="1" applyFill="1"/>
    <xf numFmtId="176" fontId="1" fillId="9" borderId="0" xfId="0" applyNumberFormat="1" applyFont="1" applyFill="1"/>
    <xf numFmtId="176" fontId="1" fillId="9" borderId="15" xfId="0" applyNumberFormat="1" applyFont="1" applyFill="1" applyBorder="1"/>
    <xf numFmtId="176" fontId="1" fillId="9" borderId="14" xfId="0" applyNumberFormat="1" applyFont="1" applyFill="1" applyBorder="1"/>
    <xf numFmtId="176" fontId="0" fillId="9" borderId="20" xfId="0" applyNumberFormat="1" applyFill="1" applyBorder="1"/>
    <xf numFmtId="178" fontId="9" fillId="10" borderId="0" xfId="3" applyFont="1" applyFill="1"/>
    <xf numFmtId="178" fontId="5" fillId="10" borderId="0" xfId="3" applyFont="1" applyFill="1" applyAlignment="1">
      <alignment horizontal="center"/>
    </xf>
    <xf numFmtId="178" fontId="21" fillId="10" borderId="0" xfId="3" applyFont="1" applyFill="1" applyAlignment="1">
      <alignment horizontal="left"/>
    </xf>
    <xf numFmtId="178" fontId="10" fillId="10" borderId="0" xfId="3" applyFont="1" applyFill="1" applyAlignment="1">
      <alignment horizontal="center"/>
    </xf>
    <xf numFmtId="178" fontId="30" fillId="10" borderId="0" xfId="3" applyFont="1" applyFill="1" applyAlignment="1">
      <alignment horizontal="center"/>
    </xf>
    <xf numFmtId="178" fontId="27" fillId="10" borderId="0" xfId="3" applyFont="1" applyFill="1" applyAlignment="1">
      <alignment horizontal="center"/>
    </xf>
    <xf numFmtId="178" fontId="9" fillId="10" borderId="4" xfId="3" applyFont="1" applyFill="1" applyBorder="1"/>
    <xf numFmtId="178" fontId="5" fillId="10" borderId="0" xfId="3" applyFont="1" applyFill="1" applyAlignment="1">
      <alignment horizontal="center" vertical="center"/>
    </xf>
    <xf numFmtId="178" fontId="10" fillId="10" borderId="0" xfId="3" applyFont="1" applyFill="1" applyAlignment="1">
      <alignment horizontal="center" vertical="center"/>
    </xf>
    <xf numFmtId="178" fontId="5" fillId="10" borderId="21" xfId="3" applyFont="1" applyFill="1" applyBorder="1" applyAlignment="1">
      <alignment horizontal="center" vertical="center"/>
    </xf>
    <xf numFmtId="178" fontId="10" fillId="10" borderId="0" xfId="3" applyFont="1" applyFill="1" applyAlignment="1">
      <alignment horizontal="left"/>
    </xf>
    <xf numFmtId="178" fontId="9" fillId="10" borderId="6" xfId="3" applyFont="1" applyFill="1" applyBorder="1"/>
    <xf numFmtId="178" fontId="31" fillId="10" borderId="0" xfId="3" applyFont="1" applyFill="1" applyAlignment="1">
      <alignment horizontal="center"/>
    </xf>
    <xf numFmtId="178" fontId="27" fillId="10" borderId="0" xfId="3" applyFont="1" applyFill="1" applyAlignment="1">
      <alignment horizontal="left"/>
    </xf>
    <xf numFmtId="178" fontId="27" fillId="10" borderId="4" xfId="3" applyFont="1" applyFill="1" applyBorder="1" applyAlignment="1">
      <alignment horizontal="left"/>
    </xf>
    <xf numFmtId="1" fontId="11" fillId="10" borderId="1" xfId="3" applyNumberFormat="1" applyFont="1" applyFill="1" applyBorder="1" applyAlignment="1">
      <alignment horizontal="center" vertical="center"/>
    </xf>
    <xf numFmtId="181" fontId="11" fillId="10" borderId="0" xfId="3" applyNumberFormat="1" applyFont="1" applyFill="1" applyAlignment="1">
      <alignment horizontal="center" vertical="center"/>
    </xf>
    <xf numFmtId="178" fontId="21" fillId="10" borderId="0" xfId="3" applyFont="1" applyFill="1" applyAlignment="1">
      <alignment horizontal="left" vertical="center"/>
    </xf>
    <xf numFmtId="178" fontId="27" fillId="10" borderId="0" xfId="3" applyFont="1" applyFill="1" applyAlignment="1">
      <alignment horizontal="center" vertical="center"/>
    </xf>
    <xf numFmtId="178" fontId="11" fillId="10" borderId="4" xfId="3" applyFont="1" applyFill="1" applyBorder="1" applyAlignment="1">
      <alignment horizontal="center" vertical="center"/>
    </xf>
    <xf numFmtId="178" fontId="11" fillId="10" borderId="0" xfId="3" applyFont="1" applyFill="1" applyAlignment="1">
      <alignment horizontal="center" vertical="center"/>
    </xf>
    <xf numFmtId="9" fontId="11" fillId="10" borderId="1" xfId="4" applyFont="1" applyFill="1" applyBorder="1" applyAlignment="1">
      <alignment horizontal="center" vertical="center"/>
    </xf>
    <xf numFmtId="178" fontId="11" fillId="10" borderId="6" xfId="3" applyFont="1" applyFill="1" applyBorder="1" applyAlignment="1">
      <alignment horizontal="center" vertical="center"/>
    </xf>
    <xf numFmtId="178" fontId="27" fillId="10" borderId="0" xfId="3" applyFont="1" applyFill="1" applyAlignment="1">
      <alignment horizontal="left" vertical="center"/>
    </xf>
    <xf numFmtId="178" fontId="27" fillId="10" borderId="4" xfId="3" applyFont="1" applyFill="1" applyBorder="1" applyAlignment="1">
      <alignment horizontal="left" vertical="center"/>
    </xf>
    <xf numFmtId="178" fontId="11" fillId="10" borderId="8" xfId="3" applyFont="1" applyFill="1" applyBorder="1" applyAlignment="1">
      <alignment horizontal="center" vertical="center"/>
    </xf>
    <xf numFmtId="178" fontId="11" fillId="10" borderId="9" xfId="3" applyFont="1" applyFill="1" applyBorder="1" applyAlignment="1">
      <alignment horizontal="center" vertical="center"/>
    </xf>
    <xf numFmtId="1" fontId="11" fillId="10" borderId="0" xfId="3" applyNumberFormat="1" applyFont="1" applyFill="1" applyAlignment="1">
      <alignment horizontal="center" vertical="center"/>
    </xf>
    <xf numFmtId="178" fontId="11" fillId="10" borderId="7" xfId="3" applyFont="1" applyFill="1" applyBorder="1" applyAlignment="1">
      <alignment horizontal="center" vertical="center"/>
    </xf>
    <xf numFmtId="178" fontId="7" fillId="10" borderId="0" xfId="3" applyFill="1"/>
    <xf numFmtId="178" fontId="10" fillId="10" borderId="0" xfId="3" applyFont="1" applyFill="1" applyAlignment="1">
      <alignment vertical="center"/>
    </xf>
    <xf numFmtId="2" fontId="11" fillId="10" borderId="0" xfId="3" applyNumberFormat="1" applyFont="1" applyFill="1" applyAlignment="1">
      <alignment horizontal="center" vertical="center"/>
    </xf>
    <xf numFmtId="178" fontId="10" fillId="10" borderId="0" xfId="3" applyFont="1" applyFill="1" applyAlignment="1">
      <alignment horizontal="right" vertical="center"/>
    </xf>
    <xf numFmtId="178" fontId="10" fillId="10" borderId="0" xfId="3" applyFont="1" applyFill="1" applyAlignment="1">
      <alignment horizontal="left" vertical="center"/>
    </xf>
    <xf numFmtId="178" fontId="10" fillId="10" borderId="0" xfId="3" quotePrefix="1" applyFont="1" applyFill="1" applyAlignment="1">
      <alignment horizontal="center"/>
    </xf>
    <xf numFmtId="179" fontId="11" fillId="10" borderId="0" xfId="4" applyNumberFormat="1" applyFont="1" applyFill="1" applyBorder="1" applyAlignment="1">
      <alignment horizontal="center" vertical="center"/>
    </xf>
    <xf numFmtId="178" fontId="11" fillId="10" borderId="10" xfId="3" applyFont="1" applyFill="1" applyBorder="1" applyAlignment="1">
      <alignment horizontal="center" vertical="center"/>
    </xf>
    <xf numFmtId="178" fontId="11" fillId="10" borderId="3" xfId="3" applyFont="1" applyFill="1" applyBorder="1" applyAlignment="1">
      <alignment horizontal="center" vertical="center"/>
    </xf>
    <xf numFmtId="178" fontId="11" fillId="10" borderId="5" xfId="3" applyFont="1" applyFill="1" applyBorder="1" applyAlignment="1">
      <alignment horizontal="center" vertical="center"/>
    </xf>
    <xf numFmtId="178" fontId="34" fillId="10" borderId="10" xfId="3" applyFont="1" applyFill="1" applyBorder="1" applyAlignment="1">
      <alignment horizontal="left"/>
    </xf>
    <xf numFmtId="178" fontId="17" fillId="10" borderId="10" xfId="3" applyFont="1" applyFill="1" applyBorder="1" applyAlignment="1">
      <alignment horizontal="center" vertical="center"/>
    </xf>
    <xf numFmtId="178" fontId="34" fillId="10" borderId="0" xfId="3" applyFont="1" applyFill="1" applyAlignment="1">
      <alignment horizontal="left"/>
    </xf>
    <xf numFmtId="178" fontId="34" fillId="10" borderId="0" xfId="3" applyFont="1" applyFill="1" applyAlignment="1">
      <alignment horizontal="center"/>
    </xf>
    <xf numFmtId="178" fontId="16" fillId="10" borderId="0" xfId="3" applyFont="1" applyFill="1" applyAlignment="1">
      <alignment horizontal="left"/>
    </xf>
    <xf numFmtId="14" fontId="17" fillId="10" borderId="0" xfId="3" applyNumberFormat="1" applyFont="1" applyFill="1" applyAlignment="1">
      <alignment horizontal="left"/>
    </xf>
    <xf numFmtId="178" fontId="17" fillId="10" borderId="0" xfId="3" applyFont="1" applyFill="1" applyAlignment="1">
      <alignment horizontal="center" vertical="center"/>
    </xf>
    <xf numFmtId="1" fontId="5" fillId="10" borderId="0" xfId="3" applyNumberFormat="1" applyFont="1" applyFill="1" applyAlignment="1">
      <alignment horizontal="center" vertical="center"/>
    </xf>
    <xf numFmtId="178" fontId="16" fillId="10" borderId="0" xfId="3" applyFont="1" applyFill="1" applyAlignment="1">
      <alignment vertical="center"/>
    </xf>
    <xf numFmtId="178" fontId="14" fillId="10" borderId="0" xfId="3" applyFont="1" applyFill="1" applyAlignment="1">
      <alignment horizontal="centerContinuous" vertical="center"/>
    </xf>
    <xf numFmtId="49" fontId="32" fillId="10" borderId="0" xfId="3" applyNumberFormat="1" applyFont="1" applyFill="1" applyAlignment="1">
      <alignment horizontal="centerContinuous"/>
    </xf>
    <xf numFmtId="49" fontId="13" fillId="10" borderId="0" xfId="3" applyNumberFormat="1" applyFont="1" applyFill="1" applyAlignment="1">
      <alignment horizontal="centerContinuous" vertical="center"/>
    </xf>
    <xf numFmtId="49" fontId="7" fillId="10" borderId="0" xfId="3" applyNumberFormat="1" applyFill="1" applyAlignment="1">
      <alignment horizontal="centerContinuous"/>
    </xf>
    <xf numFmtId="49" fontId="33" fillId="10" borderId="0" xfId="3" applyNumberFormat="1" applyFont="1" applyFill="1" applyAlignment="1">
      <alignment horizontal="centerContinuous"/>
    </xf>
    <xf numFmtId="49" fontId="12" fillId="10" borderId="0" xfId="3" applyNumberFormat="1" applyFont="1" applyFill="1" applyAlignment="1">
      <alignment horizontal="centerContinuous" vertical="center"/>
    </xf>
    <xf numFmtId="178" fontId="16" fillId="10" borderId="0" xfId="3" quotePrefix="1" applyFont="1" applyFill="1" applyAlignment="1">
      <alignment horizontal="left"/>
    </xf>
    <xf numFmtId="9" fontId="11" fillId="10" borderId="0" xfId="4" applyFont="1" applyFill="1" applyBorder="1" applyAlignment="1">
      <alignment horizontal="center" vertical="center"/>
    </xf>
    <xf numFmtId="0" fontId="24" fillId="0" borderId="0" xfId="0" applyFont="1"/>
    <xf numFmtId="0" fontId="21" fillId="0" borderId="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/>
    </xf>
    <xf numFmtId="178" fontId="14" fillId="6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178" fontId="14" fillId="10" borderId="0" xfId="3" applyFont="1" applyFill="1" applyAlignment="1">
      <alignment horizontal="center" vertical="center"/>
    </xf>
    <xf numFmtId="0" fontId="0" fillId="10" borderId="0" xfId="0" applyFill="1" applyAlignment="1">
      <alignment horizontal="center"/>
    </xf>
  </cellXfs>
  <cellStyles count="5">
    <cellStyle name="一般" xfId="0" builtinId="0"/>
    <cellStyle name="一般_96桃園E化調查路口方位配置圖" xfId="1" xr:uid="{00000000-0005-0000-0000-000001000000}"/>
    <cellStyle name="一般_中興路" xfId="2" xr:uid="{00000000-0005-0000-0000-000002000000}"/>
    <cellStyle name="一般_路口轉向圖及服務水準計算" xfId="3" xr:uid="{00000000-0005-0000-0000-000003000000}"/>
    <cellStyle name="百分比" xfId="4" builtinId="5"/>
  </cellStyles>
  <dxfs count="0"/>
  <tableStyles count="0" defaultTableStyle="TableStyleMedium9" defaultPivotStyle="PivotStyleLight16"/>
  <colors>
    <mruColors>
      <color rgb="FFFFCC00"/>
      <color rgb="FFCCFFCC"/>
      <color rgb="FFCC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8-4367-BE43-E51D0AE780A6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8-4367-BE43-E51D0AE780A6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8-4367-BE43-E51D0AE780A6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8-4367-BE43-E51D0AE780A6}"/>
            </c:ext>
          </c:extLst>
        </c:ser>
        <c:ser>
          <c:idx val="4"/>
          <c:order val="4"/>
          <c:tx>
            <c:strRef>
              <c:f>流量分布圖!$F$2</c:f>
              <c:strCache>
                <c:ptCount val="1"/>
                <c:pt idx="0">
                  <c:v>00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E-4E01-9125-2705B7AC7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433275264"/>
        <c:axId val="1"/>
      </c:lineChart>
      <c:catAx>
        <c:axId val="4332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3327526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7756915001012"/>
          <c:y val="3.7416278232779432E-2"/>
          <c:w val="0.19876214631259934"/>
          <c:h val="0.15754402675472018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8B0-AE21-08DC58B9F63D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8B0-AE21-08DC58B9F63D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A-48B0-AE21-08DC58B9F63D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A-48B0-AE21-08DC58B9F63D}"/>
            </c:ext>
          </c:extLst>
        </c:ser>
        <c:ser>
          <c:idx val="5"/>
          <c:order val="4"/>
          <c:tx>
            <c:strRef>
              <c:f>流量分布圖!$F$2</c:f>
              <c:strCache>
                <c:ptCount val="1"/>
                <c:pt idx="0">
                  <c:v>00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F-4456-80BE-DD6EA2B57CA1}"/>
            </c:ext>
          </c:extLst>
        </c:ser>
        <c:ser>
          <c:idx val="4"/>
          <c:order val="5"/>
          <c:tx>
            <c:v>路口總計</c:v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流量分布圖!$G$5:$G$100</c:f>
              <c:numCache>
                <c:formatCode>0;_ﰀ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8B0-AE21-08DC58B9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799216944"/>
        <c:axId val="1"/>
      </c:lineChart>
      <c:catAx>
        <c:axId val="79921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79921694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33128911770643"/>
          <c:y val="3.4014738542297591E-2"/>
          <c:w val="0.20144145581200079"/>
          <c:h val="0.19542148983954324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2</xdr:row>
      <xdr:rowOff>9525</xdr:rowOff>
    </xdr:from>
    <xdr:to>
      <xdr:col>22</xdr:col>
      <xdr:colOff>19050</xdr:colOff>
      <xdr:row>24</xdr:row>
      <xdr:rowOff>123825</xdr:rowOff>
    </xdr:to>
    <xdr:graphicFrame macro="">
      <xdr:nvGraphicFramePr>
        <xdr:cNvPr id="10452" name="Chart 1">
          <a:extLst>
            <a:ext uri="{FF2B5EF4-FFF2-40B4-BE49-F238E27FC236}">
              <a16:creationId xmlns:a16="http://schemas.microsoft.com/office/drawing/2014/main" id="{38297005-9047-46A4-DB13-45E89D38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25</xdr:row>
      <xdr:rowOff>209549</xdr:rowOff>
    </xdr:from>
    <xdr:to>
      <xdr:col>22</xdr:col>
      <xdr:colOff>9525</xdr:colOff>
      <xdr:row>48</xdr:row>
      <xdr:rowOff>9524</xdr:rowOff>
    </xdr:to>
    <xdr:graphicFrame macro="">
      <xdr:nvGraphicFramePr>
        <xdr:cNvPr id="10453" name="Chart 1">
          <a:extLst>
            <a:ext uri="{FF2B5EF4-FFF2-40B4-BE49-F238E27FC236}">
              <a16:creationId xmlns:a16="http://schemas.microsoft.com/office/drawing/2014/main" id="{079E18F0-34E6-B686-F7BB-980718F0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4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4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0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56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5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4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66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6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ShapeType="1"/>
        </xdr:cNvSpPr>
      </xdr:nvSpPr>
      <xdr:spPr bwMode="auto">
        <a:xfrm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4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76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21" name="Line 78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ShapeType="1"/>
        </xdr:cNvSpPr>
      </xdr:nvSpPr>
      <xdr:spPr bwMode="auto">
        <a:xfrm flipH="1">
          <a:off x="14287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2" name="Line 80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ShapeType="1"/>
        </xdr:cNvSpPr>
      </xdr:nvSpPr>
      <xdr:spPr bwMode="auto">
        <a:xfrm flipH="1">
          <a:off x="401955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323850</xdr:colOff>
      <xdr:row>0</xdr:row>
      <xdr:rowOff>190500</xdr:rowOff>
    </xdr:from>
    <xdr:to>
      <xdr:col>30</xdr:col>
      <xdr:colOff>178647</xdr:colOff>
      <xdr:row>64</xdr:row>
      <xdr:rowOff>85116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90500"/>
          <a:ext cx="8303472" cy="10553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314325</xdr:colOff>
      <xdr:row>0</xdr:row>
      <xdr:rowOff>142875</xdr:rowOff>
    </xdr:from>
    <xdr:to>
      <xdr:col>30</xdr:col>
      <xdr:colOff>169122</xdr:colOff>
      <xdr:row>64</xdr:row>
      <xdr:rowOff>37491</xdr:rowOff>
    </xdr:to>
    <xdr:pic>
      <xdr:nvPicPr>
        <xdr:cNvPr id="96" name="圖片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42875"/>
          <a:ext cx="8303472" cy="105530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333375</xdr:colOff>
      <xdr:row>0</xdr:row>
      <xdr:rowOff>161925</xdr:rowOff>
    </xdr:from>
    <xdr:to>
      <xdr:col>30</xdr:col>
      <xdr:colOff>188172</xdr:colOff>
      <xdr:row>64</xdr:row>
      <xdr:rowOff>56541</xdr:rowOff>
    </xdr:to>
    <xdr:pic>
      <xdr:nvPicPr>
        <xdr:cNvPr id="94" name="圖片 9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61925"/>
          <a:ext cx="8303472" cy="105530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4" name="Line 46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5" name="Line 48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6" name="Line 50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7" name="Line 52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8" name="Line 54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9" name="Line 56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1" name="Line 6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2" name="Line 6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3" name="Line 64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4" name="Line 66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5" name="Line 68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6" name="Line 7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7" name="Line 72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8" name="Line 74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9" name="Line 76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0" name="Line 78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91" name="Line 8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285750</xdr:colOff>
      <xdr:row>0</xdr:row>
      <xdr:rowOff>161925</xdr:rowOff>
    </xdr:from>
    <xdr:to>
      <xdr:col>30</xdr:col>
      <xdr:colOff>140547</xdr:colOff>
      <xdr:row>64</xdr:row>
      <xdr:rowOff>56541</xdr:rowOff>
    </xdr:to>
    <xdr:pic>
      <xdr:nvPicPr>
        <xdr:cNvPr id="142" name="圖片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161925"/>
          <a:ext cx="8303472" cy="105530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323850</xdr:colOff>
      <xdr:row>0</xdr:row>
      <xdr:rowOff>180975</xdr:rowOff>
    </xdr:from>
    <xdr:to>
      <xdr:col>30</xdr:col>
      <xdr:colOff>178647</xdr:colOff>
      <xdr:row>64</xdr:row>
      <xdr:rowOff>75591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80975"/>
          <a:ext cx="8303472" cy="105530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333375</xdr:colOff>
      <xdr:row>0</xdr:row>
      <xdr:rowOff>171450</xdr:rowOff>
    </xdr:from>
    <xdr:to>
      <xdr:col>30</xdr:col>
      <xdr:colOff>188172</xdr:colOff>
      <xdr:row>64</xdr:row>
      <xdr:rowOff>66066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71450"/>
          <a:ext cx="8303472" cy="10553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333375</xdr:colOff>
      <xdr:row>0</xdr:row>
      <xdr:rowOff>142875</xdr:rowOff>
    </xdr:from>
    <xdr:to>
      <xdr:col>30</xdr:col>
      <xdr:colOff>159597</xdr:colOff>
      <xdr:row>64</xdr:row>
      <xdr:rowOff>37491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42875"/>
          <a:ext cx="8303472" cy="105530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4" name="Line 48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5" name="Line 50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6" name="Line 5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" name="Line 54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" name="Line 56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" name="Line 5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0" name="Line 6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1" name="Line 6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2" name="Line 6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3" name="Line 66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4" name="Line 68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Line 70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6" name="Line 72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7" name="Line 74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18" name="Line 7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9" name="Line 7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20" name="Line 80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4" name="Line 46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5" name="Line 48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6" name="Line 50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7" name="Line 52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78" name="Line 54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79" name="Line 56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1" name="Line 6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2" name="Line 62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3" name="Line 64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4" name="Line 66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5" name="Line 68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ShapeType="1"/>
        </xdr:cNvSpPr>
      </xdr:nvSpPr>
      <xdr:spPr bwMode="auto">
        <a:xfrm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6" name="Line 70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7" name="Line 72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88" name="Line 74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89" name="Line 76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90" name="Line 78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ShapeType="1"/>
        </xdr:cNvSpPr>
      </xdr:nvSpPr>
      <xdr:spPr bwMode="auto">
        <a:xfrm flipH="1">
          <a:off x="18288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104775</xdr:colOff>
      <xdr:row>59</xdr:row>
      <xdr:rowOff>0</xdr:rowOff>
    </xdr:from>
    <xdr:to>
      <xdr:col>15</xdr:col>
      <xdr:colOff>104775</xdr:colOff>
      <xdr:row>59</xdr:row>
      <xdr:rowOff>0</xdr:rowOff>
    </xdr:to>
    <xdr:sp macro="" textlink="">
      <xdr:nvSpPr>
        <xdr:cNvPr id="91" name="Line 80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ShapeType="1"/>
        </xdr:cNvSpPr>
      </xdr:nvSpPr>
      <xdr:spPr bwMode="auto">
        <a:xfrm flipH="1">
          <a:off x="5029200" y="9525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304800</xdr:colOff>
      <xdr:row>0</xdr:row>
      <xdr:rowOff>161925</xdr:rowOff>
    </xdr:from>
    <xdr:to>
      <xdr:col>30</xdr:col>
      <xdr:colOff>159597</xdr:colOff>
      <xdr:row>64</xdr:row>
      <xdr:rowOff>56541</xdr:rowOff>
    </xdr:to>
    <xdr:pic>
      <xdr:nvPicPr>
        <xdr:cNvPr id="144" name="圖片 143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161925"/>
          <a:ext cx="8303472" cy="105530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120\&#36681;&#21521;&#37327;\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2"/>
  <sheetViews>
    <sheetView zoomScaleNormal="100" workbookViewId="0">
      <pane ySplit="1" topLeftCell="A451" activePane="bottomLeft" state="frozen"/>
      <selection pane="bottomLeft" activeCell="I481" sqref="I481"/>
    </sheetView>
  </sheetViews>
  <sheetFormatPr defaultRowHeight="16.5"/>
  <cols>
    <col min="12" max="12" width="9" customWidth="1"/>
    <col min="14" max="14" width="9" customWidth="1"/>
    <col min="16" max="16" width="9" customWidth="1"/>
    <col min="18" max="18" width="9" customWidth="1"/>
  </cols>
  <sheetData>
    <row r="1" spans="1:18">
      <c r="A1" s="48" t="s">
        <v>71</v>
      </c>
      <c r="B1" s="48" t="s">
        <v>69</v>
      </c>
      <c r="C1" s="48" t="s">
        <v>70</v>
      </c>
      <c r="D1" s="48" t="s">
        <v>78</v>
      </c>
      <c r="E1" s="48" t="s">
        <v>79</v>
      </c>
      <c r="F1" s="48" t="s">
        <v>80</v>
      </c>
      <c r="G1" s="48" t="s">
        <v>81</v>
      </c>
      <c r="H1" s="48" t="s">
        <v>82</v>
      </c>
      <c r="I1" s="48" t="s">
        <v>83</v>
      </c>
      <c r="J1" s="48" t="s">
        <v>84</v>
      </c>
      <c r="K1" s="48" t="s">
        <v>85</v>
      </c>
      <c r="L1" s="48" t="s">
        <v>86</v>
      </c>
      <c r="M1" s="48" t="s">
        <v>87</v>
      </c>
      <c r="N1" s="48" t="s">
        <v>88</v>
      </c>
      <c r="O1" s="48" t="s">
        <v>89</v>
      </c>
      <c r="P1" s="48" t="s">
        <v>90</v>
      </c>
      <c r="Q1" s="48" t="s">
        <v>91</v>
      </c>
      <c r="R1" s="48" t="s">
        <v>92</v>
      </c>
    </row>
    <row r="2" spans="1:18">
      <c r="A2" s="106" t="s">
        <v>20</v>
      </c>
      <c r="B2" s="107">
        <v>0</v>
      </c>
      <c r="C2" s="107">
        <v>1.0416666666666666E-2</v>
      </c>
      <c r="D2" s="106" t="s">
        <v>93</v>
      </c>
      <c r="E2" s="108"/>
      <c r="F2" s="108"/>
      <c r="G2" s="108"/>
      <c r="H2" s="108"/>
      <c r="I2" s="106" t="s">
        <v>93</v>
      </c>
      <c r="J2" s="109"/>
      <c r="K2" s="108"/>
      <c r="L2" s="108"/>
      <c r="M2" s="108"/>
      <c r="N2" s="106" t="s">
        <v>93</v>
      </c>
      <c r="O2" s="108"/>
      <c r="P2" s="108"/>
      <c r="Q2" s="108"/>
      <c r="R2" s="108"/>
    </row>
    <row r="3" spans="1:18">
      <c r="A3" s="106" t="s">
        <v>20</v>
      </c>
      <c r="B3" s="107">
        <v>1.0416666666666666E-2</v>
      </c>
      <c r="C3" s="107">
        <v>2.0833333333333332E-2</v>
      </c>
      <c r="D3" s="106" t="s">
        <v>93</v>
      </c>
      <c r="E3" s="108"/>
      <c r="F3" s="108"/>
      <c r="G3" s="108"/>
      <c r="H3" s="108"/>
      <c r="I3" s="106" t="s">
        <v>93</v>
      </c>
      <c r="J3" s="109"/>
      <c r="K3" s="108"/>
      <c r="L3" s="108"/>
      <c r="M3" s="108"/>
      <c r="N3" s="106" t="s">
        <v>93</v>
      </c>
      <c r="O3" s="108"/>
      <c r="P3" s="108"/>
      <c r="Q3" s="108"/>
      <c r="R3" s="108"/>
    </row>
    <row r="4" spans="1:18">
      <c r="A4" s="106" t="s">
        <v>20</v>
      </c>
      <c r="B4" s="107">
        <v>2.0833333333333332E-2</v>
      </c>
      <c r="C4" s="107">
        <v>3.125E-2</v>
      </c>
      <c r="D4" s="106" t="s">
        <v>93</v>
      </c>
      <c r="E4" s="108"/>
      <c r="F4" s="108"/>
      <c r="G4" s="108"/>
      <c r="H4" s="108"/>
      <c r="I4" s="106" t="s">
        <v>93</v>
      </c>
      <c r="J4" s="109"/>
      <c r="K4" s="108"/>
      <c r="L4" s="108"/>
      <c r="M4" s="108"/>
      <c r="N4" s="106" t="s">
        <v>93</v>
      </c>
      <c r="O4" s="108"/>
      <c r="P4" s="108"/>
      <c r="Q4" s="108"/>
      <c r="R4" s="108"/>
    </row>
    <row r="5" spans="1:18">
      <c r="A5" s="106" t="s">
        <v>20</v>
      </c>
      <c r="B5" s="107">
        <v>3.125E-2</v>
      </c>
      <c r="C5" s="107">
        <v>4.1666666666666664E-2</v>
      </c>
      <c r="D5" s="106" t="s">
        <v>93</v>
      </c>
      <c r="E5" s="108"/>
      <c r="F5" s="108"/>
      <c r="G5" s="108"/>
      <c r="H5" s="108"/>
      <c r="I5" s="106" t="s">
        <v>93</v>
      </c>
      <c r="J5" s="109"/>
      <c r="K5" s="108"/>
      <c r="L5" s="108"/>
      <c r="M5" s="108"/>
      <c r="N5" s="106" t="s">
        <v>93</v>
      </c>
      <c r="O5" s="108"/>
      <c r="P5" s="108"/>
      <c r="Q5" s="108"/>
      <c r="R5" s="108"/>
    </row>
    <row r="6" spans="1:18">
      <c r="A6" s="106" t="s">
        <v>20</v>
      </c>
      <c r="B6" s="107">
        <v>4.1666666666666664E-2</v>
      </c>
      <c r="C6" s="107">
        <v>5.2083333333333329E-2</v>
      </c>
      <c r="D6" s="106" t="s">
        <v>93</v>
      </c>
      <c r="E6" s="108"/>
      <c r="F6" s="108"/>
      <c r="G6" s="108"/>
      <c r="H6" s="108"/>
      <c r="I6" s="106" t="s">
        <v>93</v>
      </c>
      <c r="J6" s="109"/>
      <c r="K6" s="108"/>
      <c r="L6" s="108"/>
      <c r="M6" s="108"/>
      <c r="N6" s="106" t="s">
        <v>93</v>
      </c>
      <c r="O6" s="108"/>
      <c r="P6" s="108"/>
      <c r="Q6" s="108"/>
      <c r="R6" s="108"/>
    </row>
    <row r="7" spans="1:18">
      <c r="A7" s="106" t="s">
        <v>20</v>
      </c>
      <c r="B7" s="107">
        <v>5.2083333333333329E-2</v>
      </c>
      <c r="C7" s="107">
        <v>6.25E-2</v>
      </c>
      <c r="D7" s="106" t="s">
        <v>93</v>
      </c>
      <c r="E7" s="108"/>
      <c r="F7" s="108"/>
      <c r="G7" s="108"/>
      <c r="H7" s="108"/>
      <c r="I7" s="106" t="s">
        <v>93</v>
      </c>
      <c r="J7" s="109"/>
      <c r="K7" s="108"/>
      <c r="L7" s="108"/>
      <c r="M7" s="108"/>
      <c r="N7" s="106" t="s">
        <v>93</v>
      </c>
      <c r="O7" s="108"/>
      <c r="P7" s="108"/>
      <c r="Q7" s="108"/>
      <c r="R7" s="108"/>
    </row>
    <row r="8" spans="1:18">
      <c r="A8" s="106" t="s">
        <v>20</v>
      </c>
      <c r="B8" s="107">
        <v>6.25E-2</v>
      </c>
      <c r="C8" s="107">
        <v>7.2916666666666657E-2</v>
      </c>
      <c r="D8" s="106" t="s">
        <v>93</v>
      </c>
      <c r="E8" s="108"/>
      <c r="F8" s="108"/>
      <c r="G8" s="108"/>
      <c r="H8" s="108"/>
      <c r="I8" s="106" t="s">
        <v>93</v>
      </c>
      <c r="J8" s="109"/>
      <c r="K8" s="108"/>
      <c r="L8" s="108"/>
      <c r="M8" s="108"/>
      <c r="N8" s="106" t="s">
        <v>93</v>
      </c>
      <c r="O8" s="108"/>
      <c r="P8" s="108"/>
      <c r="Q8" s="108"/>
      <c r="R8" s="108"/>
    </row>
    <row r="9" spans="1:18">
      <c r="A9" s="106" t="s">
        <v>20</v>
      </c>
      <c r="B9" s="107">
        <v>7.2916666666666657E-2</v>
      </c>
      <c r="C9" s="107">
        <v>8.3333333333333329E-2</v>
      </c>
      <c r="D9" s="106" t="s">
        <v>93</v>
      </c>
      <c r="E9" s="108"/>
      <c r="F9" s="108"/>
      <c r="G9" s="108"/>
      <c r="H9" s="108"/>
      <c r="I9" s="106" t="s">
        <v>93</v>
      </c>
      <c r="J9" s="109"/>
      <c r="K9" s="108"/>
      <c r="L9" s="108"/>
      <c r="M9" s="108"/>
      <c r="N9" s="106" t="s">
        <v>93</v>
      </c>
      <c r="O9" s="108"/>
      <c r="P9" s="108"/>
      <c r="Q9" s="108"/>
      <c r="R9" s="108"/>
    </row>
    <row r="10" spans="1:18">
      <c r="A10" s="106" t="s">
        <v>20</v>
      </c>
      <c r="B10" s="107">
        <v>8.3333333333333329E-2</v>
      </c>
      <c r="C10" s="107">
        <v>9.375E-2</v>
      </c>
      <c r="D10" s="106" t="s">
        <v>93</v>
      </c>
      <c r="E10" s="108"/>
      <c r="F10" s="108"/>
      <c r="G10" s="108"/>
      <c r="H10" s="108"/>
      <c r="I10" s="106" t="s">
        <v>93</v>
      </c>
      <c r="J10" s="109"/>
      <c r="K10" s="108"/>
      <c r="L10" s="108"/>
      <c r="M10" s="108"/>
      <c r="N10" s="106" t="s">
        <v>93</v>
      </c>
      <c r="O10" s="108"/>
      <c r="P10" s="108"/>
      <c r="Q10" s="108"/>
      <c r="R10" s="108"/>
    </row>
    <row r="11" spans="1:18">
      <c r="A11" s="106" t="s">
        <v>20</v>
      </c>
      <c r="B11" s="107">
        <v>9.375E-2</v>
      </c>
      <c r="C11" s="107">
        <v>0.10416666666666667</v>
      </c>
      <c r="D11" s="106" t="s">
        <v>93</v>
      </c>
      <c r="E11" s="108"/>
      <c r="F11" s="108"/>
      <c r="G11" s="108"/>
      <c r="H11" s="108"/>
      <c r="I11" s="106" t="s">
        <v>93</v>
      </c>
      <c r="J11" s="109"/>
      <c r="K11" s="108"/>
      <c r="L11" s="108"/>
      <c r="M11" s="108"/>
      <c r="N11" s="106" t="s">
        <v>93</v>
      </c>
      <c r="O11" s="108"/>
      <c r="P11" s="108"/>
      <c r="Q11" s="108"/>
      <c r="R11" s="108"/>
    </row>
    <row r="12" spans="1:18">
      <c r="A12" s="106" t="s">
        <v>20</v>
      </c>
      <c r="B12" s="107">
        <v>0.10416666666666667</v>
      </c>
      <c r="C12" s="107">
        <v>0.11458333333333334</v>
      </c>
      <c r="D12" s="106" t="s">
        <v>93</v>
      </c>
      <c r="E12" s="108"/>
      <c r="F12" s="108"/>
      <c r="G12" s="108"/>
      <c r="H12" s="108"/>
      <c r="I12" s="106" t="s">
        <v>93</v>
      </c>
      <c r="J12" s="109"/>
      <c r="K12" s="108"/>
      <c r="L12" s="108"/>
      <c r="M12" s="108"/>
      <c r="N12" s="106" t="s">
        <v>93</v>
      </c>
      <c r="O12" s="108"/>
      <c r="P12" s="108"/>
      <c r="Q12" s="108"/>
      <c r="R12" s="108"/>
    </row>
    <row r="13" spans="1:18">
      <c r="A13" s="106" t="s">
        <v>20</v>
      </c>
      <c r="B13" s="107">
        <v>0.11458333333333334</v>
      </c>
      <c r="C13" s="107">
        <v>0.125</v>
      </c>
      <c r="D13" s="106" t="s">
        <v>93</v>
      </c>
      <c r="E13" s="108"/>
      <c r="F13" s="108"/>
      <c r="G13" s="108"/>
      <c r="H13" s="108"/>
      <c r="I13" s="106" t="s">
        <v>93</v>
      </c>
      <c r="J13" s="109"/>
      <c r="K13" s="108"/>
      <c r="L13" s="108"/>
      <c r="M13" s="108"/>
      <c r="N13" s="106" t="s">
        <v>93</v>
      </c>
      <c r="O13" s="108"/>
      <c r="P13" s="108"/>
      <c r="Q13" s="108"/>
      <c r="R13" s="108"/>
    </row>
    <row r="14" spans="1:18">
      <c r="A14" s="106" t="s">
        <v>20</v>
      </c>
      <c r="B14" s="107">
        <v>0.125</v>
      </c>
      <c r="C14" s="107">
        <v>0.13541666666666666</v>
      </c>
      <c r="D14" s="106" t="s">
        <v>93</v>
      </c>
      <c r="E14" s="108"/>
      <c r="F14" s="108"/>
      <c r="G14" s="108"/>
      <c r="H14" s="108"/>
      <c r="I14" s="106" t="s">
        <v>93</v>
      </c>
      <c r="J14" s="109"/>
      <c r="K14" s="108"/>
      <c r="L14" s="108"/>
      <c r="M14" s="108"/>
      <c r="N14" s="106" t="s">
        <v>93</v>
      </c>
      <c r="O14" s="108"/>
      <c r="P14" s="108"/>
      <c r="Q14" s="108"/>
      <c r="R14" s="108"/>
    </row>
    <row r="15" spans="1:18">
      <c r="A15" s="106" t="s">
        <v>20</v>
      </c>
      <c r="B15" s="107">
        <v>0.13541666666666666</v>
      </c>
      <c r="C15" s="107">
        <v>0.14583333333333331</v>
      </c>
      <c r="D15" s="106" t="s">
        <v>93</v>
      </c>
      <c r="E15" s="108"/>
      <c r="F15" s="108"/>
      <c r="G15" s="108"/>
      <c r="H15" s="108"/>
      <c r="I15" s="106" t="s">
        <v>93</v>
      </c>
      <c r="J15" s="109"/>
      <c r="K15" s="108"/>
      <c r="L15" s="108"/>
      <c r="M15" s="108"/>
      <c r="N15" s="106" t="s">
        <v>93</v>
      </c>
      <c r="O15" s="108"/>
      <c r="P15" s="108"/>
      <c r="Q15" s="108"/>
      <c r="R15" s="108"/>
    </row>
    <row r="16" spans="1:18">
      <c r="A16" s="106" t="s">
        <v>20</v>
      </c>
      <c r="B16" s="107">
        <v>0.14583333333333331</v>
      </c>
      <c r="C16" s="107">
        <v>0.15625</v>
      </c>
      <c r="D16" s="106" t="s">
        <v>93</v>
      </c>
      <c r="E16" s="108"/>
      <c r="F16" s="108"/>
      <c r="G16" s="108"/>
      <c r="H16" s="108"/>
      <c r="I16" s="106" t="s">
        <v>93</v>
      </c>
      <c r="J16" s="109"/>
      <c r="K16" s="108"/>
      <c r="L16" s="108"/>
      <c r="M16" s="108"/>
      <c r="N16" s="106" t="s">
        <v>93</v>
      </c>
      <c r="O16" s="108"/>
      <c r="P16" s="108"/>
      <c r="Q16" s="108"/>
      <c r="R16" s="108"/>
    </row>
    <row r="17" spans="1:18">
      <c r="A17" s="106" t="s">
        <v>20</v>
      </c>
      <c r="B17" s="107">
        <v>0.15625</v>
      </c>
      <c r="C17" s="107">
        <v>0.16666666666666663</v>
      </c>
      <c r="D17" s="106" t="s">
        <v>93</v>
      </c>
      <c r="E17" s="108"/>
      <c r="F17" s="108"/>
      <c r="G17" s="108"/>
      <c r="H17" s="108"/>
      <c r="I17" s="106" t="s">
        <v>93</v>
      </c>
      <c r="J17" s="109"/>
      <c r="K17" s="108"/>
      <c r="L17" s="108"/>
      <c r="M17" s="108"/>
      <c r="N17" s="106" t="s">
        <v>93</v>
      </c>
      <c r="O17" s="108"/>
      <c r="P17" s="108"/>
      <c r="Q17" s="108"/>
      <c r="R17" s="108"/>
    </row>
    <row r="18" spans="1:18">
      <c r="A18" s="106" t="s">
        <v>20</v>
      </c>
      <c r="B18" s="107">
        <v>0.16666666666666666</v>
      </c>
      <c r="C18" s="107">
        <v>0.17708333333333329</v>
      </c>
      <c r="D18" s="106" t="s">
        <v>93</v>
      </c>
      <c r="E18" s="108"/>
      <c r="F18" s="108"/>
      <c r="G18" s="108"/>
      <c r="H18" s="108"/>
      <c r="I18" s="106" t="s">
        <v>93</v>
      </c>
      <c r="J18" s="109"/>
      <c r="K18" s="108"/>
      <c r="L18" s="108"/>
      <c r="M18" s="108"/>
      <c r="N18" s="106" t="s">
        <v>93</v>
      </c>
      <c r="O18" s="108"/>
      <c r="P18" s="108"/>
      <c r="Q18" s="108"/>
      <c r="R18" s="108"/>
    </row>
    <row r="19" spans="1:18">
      <c r="A19" s="106" t="s">
        <v>20</v>
      </c>
      <c r="B19" s="107">
        <v>0.17708333333333334</v>
      </c>
      <c r="C19" s="107">
        <v>0.1875</v>
      </c>
      <c r="D19" s="106" t="s">
        <v>93</v>
      </c>
      <c r="E19" s="108"/>
      <c r="F19" s="108"/>
      <c r="G19" s="108"/>
      <c r="H19" s="108"/>
      <c r="I19" s="106" t="s">
        <v>93</v>
      </c>
      <c r="J19" s="109"/>
      <c r="K19" s="108"/>
      <c r="L19" s="108"/>
      <c r="M19" s="108"/>
      <c r="N19" s="106" t="s">
        <v>93</v>
      </c>
      <c r="O19" s="108"/>
      <c r="P19" s="108"/>
      <c r="Q19" s="108"/>
      <c r="R19" s="108"/>
    </row>
    <row r="20" spans="1:18">
      <c r="A20" s="106" t="s">
        <v>20</v>
      </c>
      <c r="B20" s="107">
        <v>0.1875</v>
      </c>
      <c r="C20" s="107">
        <v>0.1979166666666666</v>
      </c>
      <c r="D20" s="106" t="s">
        <v>93</v>
      </c>
      <c r="E20" s="108"/>
      <c r="F20" s="108"/>
      <c r="G20" s="108"/>
      <c r="H20" s="108"/>
      <c r="I20" s="106" t="s">
        <v>93</v>
      </c>
      <c r="J20" s="109"/>
      <c r="K20" s="108"/>
      <c r="L20" s="108"/>
      <c r="M20" s="108"/>
      <c r="N20" s="106" t="s">
        <v>93</v>
      </c>
      <c r="O20" s="108"/>
      <c r="P20" s="108"/>
      <c r="Q20" s="108"/>
      <c r="R20" s="108"/>
    </row>
    <row r="21" spans="1:18">
      <c r="A21" s="106" t="s">
        <v>20</v>
      </c>
      <c r="B21" s="107">
        <v>0.19791666666666666</v>
      </c>
      <c r="C21" s="107">
        <v>0.20833333333333326</v>
      </c>
      <c r="D21" s="106" t="s">
        <v>93</v>
      </c>
      <c r="E21" s="108"/>
      <c r="F21" s="108"/>
      <c r="G21" s="108"/>
      <c r="H21" s="108"/>
      <c r="I21" s="106" t="s">
        <v>93</v>
      </c>
      <c r="J21" s="109"/>
      <c r="K21" s="108"/>
      <c r="L21" s="108"/>
      <c r="M21" s="108"/>
      <c r="N21" s="106" t="s">
        <v>93</v>
      </c>
      <c r="O21" s="108"/>
      <c r="P21" s="108"/>
      <c r="Q21" s="108"/>
      <c r="R21" s="108"/>
    </row>
    <row r="22" spans="1:18">
      <c r="A22" s="106" t="s">
        <v>20</v>
      </c>
      <c r="B22" s="107">
        <v>0.20833333333333334</v>
      </c>
      <c r="C22" s="107">
        <v>0.21875</v>
      </c>
      <c r="D22" s="106" t="s">
        <v>93</v>
      </c>
      <c r="E22" s="108"/>
      <c r="F22" s="108"/>
      <c r="G22" s="108"/>
      <c r="H22" s="108"/>
      <c r="I22" s="106" t="s">
        <v>93</v>
      </c>
      <c r="J22" s="109"/>
      <c r="K22" s="108"/>
      <c r="L22" s="108"/>
      <c r="M22" s="108"/>
      <c r="N22" s="106" t="s">
        <v>93</v>
      </c>
      <c r="O22" s="108"/>
      <c r="P22" s="108"/>
      <c r="Q22" s="108"/>
      <c r="R22" s="108"/>
    </row>
    <row r="23" spans="1:18">
      <c r="A23" s="106" t="s">
        <v>20</v>
      </c>
      <c r="B23" s="107">
        <v>0.21875</v>
      </c>
      <c r="C23" s="107">
        <v>0.22916666666666657</v>
      </c>
      <c r="D23" s="106" t="s">
        <v>93</v>
      </c>
      <c r="E23" s="108"/>
      <c r="F23" s="108"/>
      <c r="G23" s="108"/>
      <c r="H23" s="108"/>
      <c r="I23" s="106" t="s">
        <v>93</v>
      </c>
      <c r="J23" s="109"/>
      <c r="K23" s="108"/>
      <c r="L23" s="108"/>
      <c r="M23" s="108"/>
      <c r="N23" s="106" t="s">
        <v>93</v>
      </c>
      <c r="O23" s="108"/>
      <c r="P23" s="108"/>
      <c r="Q23" s="108"/>
      <c r="R23" s="108"/>
    </row>
    <row r="24" spans="1:18">
      <c r="A24" s="106" t="s">
        <v>20</v>
      </c>
      <c r="B24" s="107">
        <v>0.22916666666666666</v>
      </c>
      <c r="C24" s="107">
        <v>0.23958333333333323</v>
      </c>
      <c r="D24" s="106" t="s">
        <v>93</v>
      </c>
      <c r="E24" s="108"/>
      <c r="F24" s="108"/>
      <c r="G24" s="108"/>
      <c r="H24" s="108"/>
      <c r="I24" s="106" t="s">
        <v>93</v>
      </c>
      <c r="J24" s="109"/>
      <c r="K24" s="108"/>
      <c r="L24" s="108"/>
      <c r="M24" s="108"/>
      <c r="N24" s="106" t="s">
        <v>93</v>
      </c>
      <c r="O24" s="108"/>
      <c r="P24" s="108"/>
      <c r="Q24" s="108"/>
      <c r="R24" s="108"/>
    </row>
    <row r="25" spans="1:18">
      <c r="A25" s="106" t="s">
        <v>20</v>
      </c>
      <c r="B25" s="107">
        <v>0.23958333333333334</v>
      </c>
      <c r="C25" s="107">
        <v>0.25</v>
      </c>
      <c r="D25" s="106" t="s">
        <v>93</v>
      </c>
      <c r="E25" s="108"/>
      <c r="F25" s="108"/>
      <c r="G25" s="108"/>
      <c r="H25" s="108"/>
      <c r="I25" s="106" t="s">
        <v>93</v>
      </c>
      <c r="J25" s="109"/>
      <c r="K25" s="108"/>
      <c r="L25" s="108"/>
      <c r="M25" s="108"/>
      <c r="N25" s="106" t="s">
        <v>93</v>
      </c>
      <c r="O25" s="108"/>
      <c r="P25" s="108"/>
      <c r="Q25" s="108"/>
      <c r="R25" s="108"/>
    </row>
    <row r="26" spans="1:18">
      <c r="A26" s="106" t="s">
        <v>20</v>
      </c>
      <c r="B26" s="107">
        <v>0.25</v>
      </c>
      <c r="C26" s="107">
        <v>0.26041666666666669</v>
      </c>
      <c r="D26" s="106" t="s">
        <v>93</v>
      </c>
      <c r="E26" s="108"/>
      <c r="F26" s="108"/>
      <c r="G26" s="108"/>
      <c r="H26" s="108"/>
      <c r="I26" s="106" t="s">
        <v>93</v>
      </c>
      <c r="J26" s="109"/>
      <c r="K26" s="108"/>
      <c r="L26" s="108"/>
      <c r="M26" s="108"/>
      <c r="N26" s="106" t="s">
        <v>93</v>
      </c>
      <c r="O26" s="108"/>
      <c r="P26" s="108"/>
      <c r="Q26" s="108"/>
      <c r="R26" s="108"/>
    </row>
    <row r="27" spans="1:18">
      <c r="A27" s="106" t="s">
        <v>20</v>
      </c>
      <c r="B27" s="107">
        <v>0.26041666666666669</v>
      </c>
      <c r="C27" s="107">
        <v>0.27083333333333331</v>
      </c>
      <c r="D27" s="106" t="s">
        <v>93</v>
      </c>
      <c r="E27" s="108"/>
      <c r="F27" s="108"/>
      <c r="G27" s="108"/>
      <c r="H27" s="108"/>
      <c r="I27" s="106" t="s">
        <v>93</v>
      </c>
      <c r="J27" s="109"/>
      <c r="K27" s="108"/>
      <c r="L27" s="108"/>
      <c r="M27" s="108"/>
      <c r="N27" s="106" t="s">
        <v>93</v>
      </c>
      <c r="O27" s="108"/>
      <c r="P27" s="108"/>
      <c r="Q27" s="108"/>
      <c r="R27" s="108"/>
    </row>
    <row r="28" spans="1:18">
      <c r="A28" s="106" t="s">
        <v>20</v>
      </c>
      <c r="B28" s="107">
        <v>0.27083333333333298</v>
      </c>
      <c r="C28" s="107">
        <v>0.28125</v>
      </c>
      <c r="D28" s="106" t="s">
        <v>93</v>
      </c>
      <c r="E28" s="108"/>
      <c r="F28" s="108"/>
      <c r="G28" s="108"/>
      <c r="H28" s="108"/>
      <c r="I28" s="106" t="s">
        <v>93</v>
      </c>
      <c r="J28" s="109"/>
      <c r="K28" s="108"/>
      <c r="L28" s="108"/>
      <c r="M28" s="108"/>
      <c r="N28" s="106" t="s">
        <v>93</v>
      </c>
      <c r="O28" s="108"/>
      <c r="P28" s="108"/>
      <c r="Q28" s="108"/>
      <c r="R28" s="108"/>
    </row>
    <row r="29" spans="1:18">
      <c r="A29" s="106" t="s">
        <v>20</v>
      </c>
      <c r="B29" s="107">
        <v>0.28125</v>
      </c>
      <c r="C29" s="107">
        <v>0.29166666666666702</v>
      </c>
      <c r="D29" s="106" t="s">
        <v>93</v>
      </c>
      <c r="E29" s="108"/>
      <c r="F29" s="108"/>
      <c r="G29" s="108"/>
      <c r="H29" s="108"/>
      <c r="I29" s="106" t="s">
        <v>93</v>
      </c>
      <c r="J29" s="109"/>
      <c r="K29" s="108"/>
      <c r="L29" s="108"/>
      <c r="M29" s="108"/>
      <c r="N29" s="106" t="s">
        <v>93</v>
      </c>
      <c r="O29" s="108"/>
      <c r="P29" s="108"/>
      <c r="Q29" s="108"/>
      <c r="R29" s="108"/>
    </row>
    <row r="30" spans="1:18">
      <c r="A30" s="106" t="s">
        <v>20</v>
      </c>
      <c r="B30" s="107">
        <v>0.29166666666666702</v>
      </c>
      <c r="C30" s="107">
        <v>0.30208333333333298</v>
      </c>
      <c r="D30" s="106" t="s">
        <v>93</v>
      </c>
      <c r="E30" s="108"/>
      <c r="F30" s="108"/>
      <c r="G30" s="108"/>
      <c r="H30" s="108"/>
      <c r="I30" s="106" t="s">
        <v>93</v>
      </c>
      <c r="J30" s="109"/>
      <c r="K30" s="108"/>
      <c r="L30" s="108"/>
      <c r="M30" s="108"/>
      <c r="N30" s="106" t="s">
        <v>93</v>
      </c>
      <c r="O30" s="108"/>
      <c r="P30" s="108"/>
      <c r="Q30" s="108"/>
      <c r="R30" s="108"/>
    </row>
    <row r="31" spans="1:18">
      <c r="A31" s="106" t="s">
        <v>20</v>
      </c>
      <c r="B31" s="107">
        <v>0.30208333333333298</v>
      </c>
      <c r="C31" s="107">
        <v>0.3125</v>
      </c>
      <c r="D31" s="106" t="s">
        <v>93</v>
      </c>
      <c r="E31" s="108"/>
      <c r="F31" s="108"/>
      <c r="G31" s="108"/>
      <c r="H31" s="108"/>
      <c r="I31" s="106" t="s">
        <v>93</v>
      </c>
      <c r="J31" s="109"/>
      <c r="K31" s="108"/>
      <c r="L31" s="108"/>
      <c r="M31" s="108"/>
      <c r="N31" s="106" t="s">
        <v>93</v>
      </c>
      <c r="O31" s="108"/>
      <c r="P31" s="108"/>
      <c r="Q31" s="108"/>
      <c r="R31" s="108"/>
    </row>
    <row r="32" spans="1:18">
      <c r="A32" s="106" t="s">
        <v>20</v>
      </c>
      <c r="B32" s="107">
        <v>0.3125</v>
      </c>
      <c r="C32" s="107">
        <v>0.32291666666666602</v>
      </c>
      <c r="D32" s="106" t="s">
        <v>93</v>
      </c>
      <c r="E32" s="108"/>
      <c r="F32" s="108"/>
      <c r="G32" s="108"/>
      <c r="H32" s="108"/>
      <c r="I32" s="106" t="s">
        <v>93</v>
      </c>
      <c r="J32" s="109"/>
      <c r="K32" s="108"/>
      <c r="L32" s="108"/>
      <c r="M32" s="108"/>
      <c r="N32" s="106" t="s">
        <v>93</v>
      </c>
      <c r="O32" s="108"/>
      <c r="P32" s="108"/>
      <c r="Q32" s="108"/>
      <c r="R32" s="108"/>
    </row>
    <row r="33" spans="1:18">
      <c r="A33" s="106" t="s">
        <v>20</v>
      </c>
      <c r="B33" s="107">
        <v>0.32291666666666702</v>
      </c>
      <c r="C33" s="107">
        <v>0.33333333333333298</v>
      </c>
      <c r="D33" s="106" t="s">
        <v>93</v>
      </c>
      <c r="E33" s="108"/>
      <c r="F33" s="108"/>
      <c r="G33" s="108"/>
      <c r="H33" s="108"/>
      <c r="I33" s="106" t="s">
        <v>93</v>
      </c>
      <c r="J33" s="109"/>
      <c r="K33" s="108"/>
      <c r="L33" s="108"/>
      <c r="M33" s="108"/>
      <c r="N33" s="106" t="s">
        <v>93</v>
      </c>
      <c r="O33" s="108"/>
      <c r="P33" s="108"/>
      <c r="Q33" s="108"/>
      <c r="R33" s="108"/>
    </row>
    <row r="34" spans="1:18">
      <c r="A34" s="106" t="s">
        <v>20</v>
      </c>
      <c r="B34" s="107">
        <v>0.33333333333333298</v>
      </c>
      <c r="C34" s="107">
        <v>0.34375</v>
      </c>
      <c r="D34" s="106" t="s">
        <v>93</v>
      </c>
      <c r="E34" s="108"/>
      <c r="F34" s="108"/>
      <c r="G34" s="108"/>
      <c r="H34" s="108"/>
      <c r="I34" s="106" t="s">
        <v>93</v>
      </c>
      <c r="J34" s="109"/>
      <c r="K34" s="108"/>
      <c r="L34" s="108"/>
      <c r="M34" s="108"/>
      <c r="N34" s="106" t="s">
        <v>93</v>
      </c>
      <c r="O34" s="108"/>
      <c r="P34" s="108"/>
      <c r="Q34" s="108"/>
      <c r="R34" s="108"/>
    </row>
    <row r="35" spans="1:18">
      <c r="A35" s="106" t="s">
        <v>20</v>
      </c>
      <c r="B35" s="107">
        <v>0.34375</v>
      </c>
      <c r="C35" s="107">
        <v>0.35416666666666602</v>
      </c>
      <c r="D35" s="106" t="s">
        <v>93</v>
      </c>
      <c r="E35" s="108"/>
      <c r="F35" s="108"/>
      <c r="G35" s="108"/>
      <c r="H35" s="108"/>
      <c r="I35" s="106" t="s">
        <v>93</v>
      </c>
      <c r="J35" s="109"/>
      <c r="K35" s="108"/>
      <c r="L35" s="108"/>
      <c r="M35" s="108"/>
      <c r="N35" s="106" t="s">
        <v>93</v>
      </c>
      <c r="O35" s="108"/>
      <c r="P35" s="108"/>
      <c r="Q35" s="108"/>
      <c r="R35" s="108"/>
    </row>
    <row r="36" spans="1:18">
      <c r="A36" s="106" t="s">
        <v>20</v>
      </c>
      <c r="B36" s="107">
        <v>0.35416666666666702</v>
      </c>
      <c r="C36" s="107">
        <v>0.36458333333333298</v>
      </c>
      <c r="D36" s="106" t="s">
        <v>93</v>
      </c>
      <c r="E36" s="108"/>
      <c r="F36" s="108"/>
      <c r="G36" s="108"/>
      <c r="H36" s="108"/>
      <c r="I36" s="106" t="s">
        <v>93</v>
      </c>
      <c r="J36" s="109"/>
      <c r="K36" s="108"/>
      <c r="L36" s="108"/>
      <c r="M36" s="108"/>
      <c r="N36" s="106" t="s">
        <v>93</v>
      </c>
      <c r="O36" s="108"/>
      <c r="P36" s="108"/>
      <c r="Q36" s="108"/>
      <c r="R36" s="108"/>
    </row>
    <row r="37" spans="1:18">
      <c r="A37" s="106" t="s">
        <v>20</v>
      </c>
      <c r="B37" s="107">
        <v>0.36458333333333398</v>
      </c>
      <c r="C37" s="107">
        <v>0.375</v>
      </c>
      <c r="D37" s="106" t="s">
        <v>93</v>
      </c>
      <c r="E37" s="108"/>
      <c r="F37" s="108"/>
      <c r="G37" s="108"/>
      <c r="H37" s="108"/>
      <c r="I37" s="106" t="s">
        <v>93</v>
      </c>
      <c r="J37" s="109"/>
      <c r="K37" s="108"/>
      <c r="L37" s="108"/>
      <c r="M37" s="108"/>
      <c r="N37" s="106" t="s">
        <v>93</v>
      </c>
      <c r="O37" s="108"/>
      <c r="P37" s="108"/>
      <c r="Q37" s="108"/>
      <c r="R37" s="108"/>
    </row>
    <row r="38" spans="1:18">
      <c r="A38" s="106" t="s">
        <v>20</v>
      </c>
      <c r="B38" s="107">
        <v>0.375</v>
      </c>
      <c r="C38" s="107">
        <v>0.38541666666666702</v>
      </c>
      <c r="D38" s="106" t="s">
        <v>93</v>
      </c>
      <c r="E38" s="108"/>
      <c r="F38" s="108"/>
      <c r="G38" s="108"/>
      <c r="H38" s="108"/>
      <c r="I38" s="106" t="s">
        <v>93</v>
      </c>
      <c r="J38" s="109"/>
      <c r="K38" s="108"/>
      <c r="L38" s="108"/>
      <c r="M38" s="108"/>
      <c r="N38" s="106" t="s">
        <v>93</v>
      </c>
      <c r="O38" s="108"/>
      <c r="P38" s="108"/>
      <c r="Q38" s="108"/>
      <c r="R38" s="108"/>
    </row>
    <row r="39" spans="1:18">
      <c r="A39" s="106" t="s">
        <v>20</v>
      </c>
      <c r="B39" s="107">
        <v>0.38541666666666702</v>
      </c>
      <c r="C39" s="107">
        <v>0.39583333333333298</v>
      </c>
      <c r="D39" s="106" t="s">
        <v>93</v>
      </c>
      <c r="E39" s="108"/>
      <c r="F39" s="108"/>
      <c r="G39" s="108"/>
      <c r="H39" s="108"/>
      <c r="I39" s="106" t="s">
        <v>93</v>
      </c>
      <c r="J39" s="109"/>
      <c r="K39" s="108"/>
      <c r="L39" s="108"/>
      <c r="M39" s="108"/>
      <c r="N39" s="106" t="s">
        <v>93</v>
      </c>
      <c r="O39" s="108"/>
      <c r="P39" s="108"/>
      <c r="Q39" s="108"/>
      <c r="R39" s="108"/>
    </row>
    <row r="40" spans="1:18">
      <c r="A40" s="106" t="s">
        <v>20</v>
      </c>
      <c r="B40" s="107">
        <v>0.39583333333333398</v>
      </c>
      <c r="C40" s="107">
        <v>0.40625</v>
      </c>
      <c r="D40" s="106" t="s">
        <v>93</v>
      </c>
      <c r="E40" s="108"/>
      <c r="F40" s="108"/>
      <c r="G40" s="108"/>
      <c r="H40" s="108"/>
      <c r="I40" s="106" t="s">
        <v>93</v>
      </c>
      <c r="J40" s="109"/>
      <c r="K40" s="108"/>
      <c r="L40" s="108"/>
      <c r="M40" s="108"/>
      <c r="N40" s="106" t="s">
        <v>93</v>
      </c>
      <c r="O40" s="108"/>
      <c r="P40" s="108"/>
      <c r="Q40" s="108"/>
      <c r="R40" s="108"/>
    </row>
    <row r="41" spans="1:18">
      <c r="A41" s="106" t="s">
        <v>20</v>
      </c>
      <c r="B41" s="107">
        <v>0.40625</v>
      </c>
      <c r="C41" s="107">
        <v>0.41666666666666602</v>
      </c>
      <c r="D41" s="106" t="s">
        <v>93</v>
      </c>
      <c r="E41" s="108"/>
      <c r="F41" s="108"/>
      <c r="G41" s="108"/>
      <c r="H41" s="108"/>
      <c r="I41" s="106" t="s">
        <v>93</v>
      </c>
      <c r="J41" s="109"/>
      <c r="K41" s="108"/>
      <c r="L41" s="108"/>
      <c r="M41" s="108"/>
      <c r="N41" s="106" t="s">
        <v>93</v>
      </c>
      <c r="O41" s="108"/>
      <c r="P41" s="108"/>
      <c r="Q41" s="108"/>
      <c r="R41" s="108"/>
    </row>
    <row r="42" spans="1:18">
      <c r="A42" s="106" t="s">
        <v>20</v>
      </c>
      <c r="B42" s="107">
        <v>0.41666666666666702</v>
      </c>
      <c r="C42" s="107">
        <v>0.42708333333333298</v>
      </c>
      <c r="D42" s="106" t="s">
        <v>93</v>
      </c>
      <c r="E42" s="108"/>
      <c r="F42" s="108"/>
      <c r="G42" s="108"/>
      <c r="H42" s="108"/>
      <c r="I42" s="106" t="s">
        <v>93</v>
      </c>
      <c r="J42" s="109"/>
      <c r="K42" s="108"/>
      <c r="L42" s="108"/>
      <c r="M42" s="108"/>
      <c r="N42" s="106" t="s">
        <v>93</v>
      </c>
      <c r="O42" s="108"/>
      <c r="P42" s="108"/>
      <c r="Q42" s="108"/>
      <c r="R42" s="108"/>
    </row>
    <row r="43" spans="1:18">
      <c r="A43" s="106" t="s">
        <v>20</v>
      </c>
      <c r="B43" s="107">
        <v>0.42708333333333398</v>
      </c>
      <c r="C43" s="107">
        <v>0.4375</v>
      </c>
      <c r="D43" s="106" t="s">
        <v>93</v>
      </c>
      <c r="E43" s="108"/>
      <c r="F43" s="108"/>
      <c r="G43" s="108"/>
      <c r="H43" s="108"/>
      <c r="I43" s="106" t="s">
        <v>93</v>
      </c>
      <c r="J43" s="109"/>
      <c r="K43" s="108"/>
      <c r="L43" s="108"/>
      <c r="M43" s="108"/>
      <c r="N43" s="106" t="s">
        <v>93</v>
      </c>
      <c r="O43" s="108"/>
      <c r="P43" s="108"/>
      <c r="Q43" s="108"/>
      <c r="R43" s="108"/>
    </row>
    <row r="44" spans="1:18">
      <c r="A44" s="106" t="s">
        <v>20</v>
      </c>
      <c r="B44" s="107">
        <v>0.4375</v>
      </c>
      <c r="C44" s="107">
        <v>0.44791666666666602</v>
      </c>
      <c r="D44" s="106" t="s">
        <v>93</v>
      </c>
      <c r="E44" s="108"/>
      <c r="F44" s="108"/>
      <c r="G44" s="108"/>
      <c r="H44" s="108"/>
      <c r="I44" s="106" t="s">
        <v>93</v>
      </c>
      <c r="J44" s="109"/>
      <c r="K44" s="108"/>
      <c r="L44" s="108"/>
      <c r="M44" s="108"/>
      <c r="N44" s="106" t="s">
        <v>93</v>
      </c>
      <c r="O44" s="108"/>
      <c r="P44" s="108"/>
      <c r="Q44" s="108"/>
      <c r="R44" s="108"/>
    </row>
    <row r="45" spans="1:18">
      <c r="A45" s="106" t="s">
        <v>20</v>
      </c>
      <c r="B45" s="107">
        <v>0.44791666666666702</v>
      </c>
      <c r="C45" s="107">
        <v>0.45833333333333298</v>
      </c>
      <c r="D45" s="106" t="s">
        <v>93</v>
      </c>
      <c r="E45" s="108"/>
      <c r="F45" s="108"/>
      <c r="G45" s="108"/>
      <c r="H45" s="108"/>
      <c r="I45" s="106" t="s">
        <v>93</v>
      </c>
      <c r="J45" s="109"/>
      <c r="K45" s="108"/>
      <c r="L45" s="108"/>
      <c r="M45" s="108"/>
      <c r="N45" s="106" t="s">
        <v>93</v>
      </c>
      <c r="O45" s="108"/>
      <c r="P45" s="108"/>
      <c r="Q45" s="108"/>
      <c r="R45" s="108"/>
    </row>
    <row r="46" spans="1:18">
      <c r="A46" s="106" t="s">
        <v>20</v>
      </c>
      <c r="B46" s="107">
        <v>0.45833333333333398</v>
      </c>
      <c r="C46" s="107">
        <v>0.46875</v>
      </c>
      <c r="D46" s="106" t="s">
        <v>93</v>
      </c>
      <c r="E46" s="108"/>
      <c r="F46" s="108"/>
      <c r="G46" s="108"/>
      <c r="H46" s="108"/>
      <c r="I46" s="106" t="s">
        <v>93</v>
      </c>
      <c r="J46" s="109"/>
      <c r="K46" s="108"/>
      <c r="L46" s="108"/>
      <c r="M46" s="108"/>
      <c r="N46" s="106" t="s">
        <v>93</v>
      </c>
      <c r="O46" s="108"/>
      <c r="P46" s="108"/>
      <c r="Q46" s="108"/>
      <c r="R46" s="108"/>
    </row>
    <row r="47" spans="1:18">
      <c r="A47" s="106" t="s">
        <v>20</v>
      </c>
      <c r="B47" s="107">
        <v>0.46875</v>
      </c>
      <c r="C47" s="107">
        <v>0.47916666666666602</v>
      </c>
      <c r="D47" s="106" t="s">
        <v>93</v>
      </c>
      <c r="E47" s="108"/>
      <c r="F47" s="108"/>
      <c r="G47" s="108"/>
      <c r="H47" s="108"/>
      <c r="I47" s="106" t="s">
        <v>93</v>
      </c>
      <c r="J47" s="109"/>
      <c r="K47" s="108"/>
      <c r="L47" s="108"/>
      <c r="M47" s="108"/>
      <c r="N47" s="106" t="s">
        <v>93</v>
      </c>
      <c r="O47" s="108"/>
      <c r="P47" s="108"/>
      <c r="Q47" s="108"/>
      <c r="R47" s="108"/>
    </row>
    <row r="48" spans="1:18">
      <c r="A48" s="106" t="s">
        <v>20</v>
      </c>
      <c r="B48" s="107">
        <v>0.47916666666666702</v>
      </c>
      <c r="C48" s="107">
        <v>0.48958333333333298</v>
      </c>
      <c r="D48" s="106" t="s">
        <v>93</v>
      </c>
      <c r="E48" s="108"/>
      <c r="F48" s="108"/>
      <c r="G48" s="108"/>
      <c r="H48" s="108"/>
      <c r="I48" s="106" t="s">
        <v>93</v>
      </c>
      <c r="J48" s="109"/>
      <c r="K48" s="108"/>
      <c r="L48" s="108"/>
      <c r="M48" s="108"/>
      <c r="N48" s="106" t="s">
        <v>93</v>
      </c>
      <c r="O48" s="108"/>
      <c r="P48" s="108"/>
      <c r="Q48" s="108"/>
      <c r="R48" s="108"/>
    </row>
    <row r="49" spans="1:18">
      <c r="A49" s="106" t="s">
        <v>20</v>
      </c>
      <c r="B49" s="107">
        <v>0.48958333333333398</v>
      </c>
      <c r="C49" s="107">
        <v>0.499999999999999</v>
      </c>
      <c r="D49" s="106" t="s">
        <v>93</v>
      </c>
      <c r="E49" s="108"/>
      <c r="F49" s="108"/>
      <c r="G49" s="108"/>
      <c r="H49" s="108"/>
      <c r="I49" s="106" t="s">
        <v>93</v>
      </c>
      <c r="J49" s="109"/>
      <c r="K49" s="108"/>
      <c r="L49" s="108"/>
      <c r="M49" s="108"/>
      <c r="N49" s="106" t="s">
        <v>93</v>
      </c>
      <c r="O49" s="108"/>
      <c r="P49" s="108"/>
      <c r="Q49" s="108"/>
      <c r="R49" s="108"/>
    </row>
    <row r="50" spans="1:18">
      <c r="A50" s="106" t="s">
        <v>20</v>
      </c>
      <c r="B50" s="107">
        <v>0.5</v>
      </c>
      <c r="C50" s="107">
        <v>0.51041666666666596</v>
      </c>
      <c r="D50" s="106" t="s">
        <v>93</v>
      </c>
      <c r="E50" s="108"/>
      <c r="F50" s="108"/>
      <c r="G50" s="108"/>
      <c r="H50" s="108"/>
      <c r="I50" s="106" t="s">
        <v>93</v>
      </c>
      <c r="J50" s="109"/>
      <c r="K50" s="108"/>
      <c r="L50" s="108"/>
      <c r="M50" s="108"/>
      <c r="N50" s="106" t="s">
        <v>93</v>
      </c>
      <c r="O50" s="108"/>
      <c r="P50" s="108"/>
      <c r="Q50" s="108"/>
      <c r="R50" s="108"/>
    </row>
    <row r="51" spans="1:18">
      <c r="A51" s="106" t="s">
        <v>20</v>
      </c>
      <c r="B51" s="107">
        <v>0.51041666666666696</v>
      </c>
      <c r="C51" s="107">
        <v>0.52083333333333304</v>
      </c>
      <c r="D51" s="106" t="s">
        <v>93</v>
      </c>
      <c r="E51" s="108"/>
      <c r="F51" s="108"/>
      <c r="G51" s="108"/>
      <c r="H51" s="108"/>
      <c r="I51" s="106" t="s">
        <v>93</v>
      </c>
      <c r="J51" s="109"/>
      <c r="K51" s="108"/>
      <c r="L51" s="108"/>
      <c r="M51" s="108"/>
      <c r="N51" s="106" t="s">
        <v>93</v>
      </c>
      <c r="O51" s="108"/>
      <c r="P51" s="108"/>
      <c r="Q51" s="108"/>
      <c r="R51" s="108"/>
    </row>
    <row r="52" spans="1:18">
      <c r="A52" s="106" t="s">
        <v>20</v>
      </c>
      <c r="B52" s="107">
        <v>0.52083333333333404</v>
      </c>
      <c r="C52" s="107">
        <v>0.531249999999999</v>
      </c>
      <c r="D52" s="106" t="s">
        <v>93</v>
      </c>
      <c r="E52" s="108"/>
      <c r="F52" s="108"/>
      <c r="G52" s="108"/>
      <c r="H52" s="108"/>
      <c r="I52" s="106" t="s">
        <v>93</v>
      </c>
      <c r="J52" s="109"/>
      <c r="K52" s="108"/>
      <c r="L52" s="108"/>
      <c r="M52" s="108"/>
      <c r="N52" s="106" t="s">
        <v>93</v>
      </c>
      <c r="O52" s="108"/>
      <c r="P52" s="108"/>
      <c r="Q52" s="108"/>
      <c r="R52" s="108"/>
    </row>
    <row r="53" spans="1:18">
      <c r="A53" s="106" t="s">
        <v>20</v>
      </c>
      <c r="B53" s="107">
        <v>0.53125</v>
      </c>
      <c r="C53" s="107">
        <v>0.54166666666666596</v>
      </c>
      <c r="D53" s="106" t="s">
        <v>93</v>
      </c>
      <c r="E53" s="108"/>
      <c r="F53" s="108"/>
      <c r="G53" s="108"/>
      <c r="H53" s="108"/>
      <c r="I53" s="106" t="s">
        <v>93</v>
      </c>
      <c r="J53" s="109"/>
      <c r="K53" s="108"/>
      <c r="L53" s="108"/>
      <c r="M53" s="108"/>
      <c r="N53" s="106" t="s">
        <v>93</v>
      </c>
      <c r="O53" s="108"/>
      <c r="P53" s="108"/>
      <c r="Q53" s="108"/>
      <c r="R53" s="108"/>
    </row>
    <row r="54" spans="1:18">
      <c r="A54" s="106" t="s">
        <v>20</v>
      </c>
      <c r="B54" s="107">
        <v>0.54166666666666696</v>
      </c>
      <c r="C54" s="107">
        <v>0.55208333333333304</v>
      </c>
      <c r="D54" s="106" t="s">
        <v>93</v>
      </c>
      <c r="E54" s="108"/>
      <c r="F54" s="108"/>
      <c r="G54" s="108"/>
      <c r="H54" s="108"/>
      <c r="I54" s="106" t="s">
        <v>93</v>
      </c>
      <c r="J54" s="109"/>
      <c r="K54" s="108"/>
      <c r="L54" s="108"/>
      <c r="M54" s="108"/>
      <c r="N54" s="106" t="s">
        <v>93</v>
      </c>
      <c r="O54" s="108"/>
      <c r="P54" s="108"/>
      <c r="Q54" s="108"/>
      <c r="R54" s="108"/>
    </row>
    <row r="55" spans="1:18">
      <c r="A55" s="106" t="s">
        <v>20</v>
      </c>
      <c r="B55" s="107">
        <v>0.55208333333333404</v>
      </c>
      <c r="C55" s="107">
        <v>0.562499999999999</v>
      </c>
      <c r="D55" s="106" t="s">
        <v>93</v>
      </c>
      <c r="E55" s="108"/>
      <c r="F55" s="108"/>
      <c r="G55" s="108"/>
      <c r="H55" s="108"/>
      <c r="I55" s="106" t="s">
        <v>93</v>
      </c>
      <c r="J55" s="109"/>
      <c r="K55" s="108"/>
      <c r="L55" s="108"/>
      <c r="M55" s="108"/>
      <c r="N55" s="106" t="s">
        <v>93</v>
      </c>
      <c r="O55" s="108"/>
      <c r="P55" s="108"/>
      <c r="Q55" s="108"/>
      <c r="R55" s="108"/>
    </row>
    <row r="56" spans="1:18">
      <c r="A56" s="106" t="s">
        <v>20</v>
      </c>
      <c r="B56" s="107">
        <v>0.562500000000001</v>
      </c>
      <c r="C56" s="107">
        <v>0.57291666666666596</v>
      </c>
      <c r="D56" s="106" t="s">
        <v>93</v>
      </c>
      <c r="E56" s="108"/>
      <c r="F56" s="108"/>
      <c r="G56" s="108"/>
      <c r="H56" s="108"/>
      <c r="I56" s="106" t="s">
        <v>93</v>
      </c>
      <c r="J56" s="109"/>
      <c r="K56" s="108"/>
      <c r="L56" s="108"/>
      <c r="M56" s="108"/>
      <c r="N56" s="106" t="s">
        <v>93</v>
      </c>
      <c r="O56" s="108"/>
      <c r="P56" s="108"/>
      <c r="Q56" s="108"/>
      <c r="R56" s="108"/>
    </row>
    <row r="57" spans="1:18">
      <c r="A57" s="106" t="s">
        <v>20</v>
      </c>
      <c r="B57" s="107">
        <v>0.57291666666666696</v>
      </c>
      <c r="C57" s="107">
        <v>0.58333333333333304</v>
      </c>
      <c r="D57" s="106" t="s">
        <v>93</v>
      </c>
      <c r="E57" s="108"/>
      <c r="F57" s="108"/>
      <c r="G57" s="108"/>
      <c r="H57" s="108"/>
      <c r="I57" s="106" t="s">
        <v>93</v>
      </c>
      <c r="J57" s="109"/>
      <c r="K57" s="108"/>
      <c r="L57" s="108"/>
      <c r="M57" s="108"/>
      <c r="N57" s="106" t="s">
        <v>93</v>
      </c>
      <c r="O57" s="108"/>
      <c r="P57" s="108"/>
      <c r="Q57" s="108"/>
      <c r="R57" s="108"/>
    </row>
    <row r="58" spans="1:18">
      <c r="A58" s="106" t="s">
        <v>20</v>
      </c>
      <c r="B58" s="107">
        <v>0.58333333333333404</v>
      </c>
      <c r="C58" s="107">
        <v>0.593749999999999</v>
      </c>
      <c r="D58" s="106" t="s">
        <v>93</v>
      </c>
      <c r="E58" s="108"/>
      <c r="F58" s="108"/>
      <c r="G58" s="108"/>
      <c r="H58" s="108"/>
      <c r="I58" s="106" t="s">
        <v>93</v>
      </c>
      <c r="J58" s="109"/>
      <c r="K58" s="108"/>
      <c r="L58" s="108"/>
      <c r="M58" s="108"/>
      <c r="N58" s="106" t="s">
        <v>93</v>
      </c>
      <c r="O58" s="108"/>
      <c r="P58" s="108"/>
      <c r="Q58" s="108"/>
      <c r="R58" s="108"/>
    </row>
    <row r="59" spans="1:18">
      <c r="A59" s="106" t="s">
        <v>20</v>
      </c>
      <c r="B59" s="107">
        <v>0.593750000000001</v>
      </c>
      <c r="C59" s="107">
        <v>0.60416666666666596</v>
      </c>
      <c r="D59" s="106" t="s">
        <v>93</v>
      </c>
      <c r="E59" s="108"/>
      <c r="F59" s="108"/>
      <c r="G59" s="108"/>
      <c r="H59" s="108"/>
      <c r="I59" s="106" t="s">
        <v>93</v>
      </c>
      <c r="J59" s="109"/>
      <c r="K59" s="108"/>
      <c r="L59" s="108"/>
      <c r="M59" s="108"/>
      <c r="N59" s="106" t="s">
        <v>93</v>
      </c>
      <c r="O59" s="108"/>
      <c r="P59" s="108"/>
      <c r="Q59" s="108"/>
      <c r="R59" s="108"/>
    </row>
    <row r="60" spans="1:18">
      <c r="A60" s="106" t="s">
        <v>20</v>
      </c>
      <c r="B60" s="107">
        <v>0.60416666666666796</v>
      </c>
      <c r="C60" s="107">
        <v>0.61458333333333304</v>
      </c>
      <c r="D60" s="106" t="s">
        <v>93</v>
      </c>
      <c r="E60" s="108"/>
      <c r="F60" s="108"/>
      <c r="G60" s="108"/>
      <c r="H60" s="108"/>
      <c r="I60" s="106" t="s">
        <v>93</v>
      </c>
      <c r="J60" s="109"/>
      <c r="K60" s="108"/>
      <c r="L60" s="108"/>
      <c r="M60" s="108"/>
      <c r="N60" s="106" t="s">
        <v>93</v>
      </c>
      <c r="O60" s="108"/>
      <c r="P60" s="108"/>
      <c r="Q60" s="108"/>
      <c r="R60" s="108"/>
    </row>
    <row r="61" spans="1:18">
      <c r="A61" s="106" t="s">
        <v>20</v>
      </c>
      <c r="B61" s="107">
        <v>0.61458333333333504</v>
      </c>
      <c r="C61" s="107">
        <v>0.625</v>
      </c>
      <c r="D61" s="106" t="s">
        <v>93</v>
      </c>
      <c r="E61" s="108"/>
      <c r="F61" s="108"/>
      <c r="G61" s="108"/>
      <c r="H61" s="108"/>
      <c r="I61" s="106" t="s">
        <v>93</v>
      </c>
      <c r="J61" s="109"/>
      <c r="K61" s="108"/>
      <c r="L61" s="108"/>
      <c r="M61" s="108"/>
      <c r="N61" s="106" t="s">
        <v>93</v>
      </c>
      <c r="O61" s="108"/>
      <c r="P61" s="108"/>
      <c r="Q61" s="108"/>
      <c r="R61" s="108"/>
    </row>
    <row r="62" spans="1:18">
      <c r="A62" s="106" t="s">
        <v>20</v>
      </c>
      <c r="B62" s="107">
        <v>0.625000000000002</v>
      </c>
      <c r="C62" s="107">
        <v>0.63541666666666696</v>
      </c>
      <c r="D62" s="106" t="s">
        <v>93</v>
      </c>
      <c r="E62" s="108"/>
      <c r="F62" s="108"/>
      <c r="G62" s="108"/>
      <c r="H62" s="108"/>
      <c r="I62" s="106" t="s">
        <v>93</v>
      </c>
      <c r="J62" s="109"/>
      <c r="K62" s="108"/>
      <c r="L62" s="108"/>
      <c r="M62" s="108"/>
      <c r="N62" s="106" t="s">
        <v>93</v>
      </c>
      <c r="O62" s="108"/>
      <c r="P62" s="108"/>
      <c r="Q62" s="108"/>
      <c r="R62" s="108"/>
    </row>
    <row r="63" spans="1:18">
      <c r="A63" s="106" t="s">
        <v>20</v>
      </c>
      <c r="B63" s="107">
        <v>0.63541666666666896</v>
      </c>
      <c r="C63" s="107">
        <v>0.64583333333333404</v>
      </c>
      <c r="D63" s="106" t="s">
        <v>93</v>
      </c>
      <c r="E63" s="108"/>
      <c r="F63" s="108"/>
      <c r="G63" s="108"/>
      <c r="H63" s="108"/>
      <c r="I63" s="106" t="s">
        <v>93</v>
      </c>
      <c r="J63" s="109"/>
      <c r="K63" s="108"/>
      <c r="L63" s="108"/>
      <c r="M63" s="108"/>
      <c r="N63" s="106" t="s">
        <v>93</v>
      </c>
      <c r="O63" s="108"/>
      <c r="P63" s="108"/>
      <c r="Q63" s="108"/>
      <c r="R63" s="108"/>
    </row>
    <row r="64" spans="1:18">
      <c r="A64" s="106" t="s">
        <v>20</v>
      </c>
      <c r="B64" s="107">
        <v>0.64583333333333603</v>
      </c>
      <c r="C64" s="107">
        <v>0.656250000000001</v>
      </c>
      <c r="D64" s="106" t="s">
        <v>93</v>
      </c>
      <c r="E64" s="108"/>
      <c r="F64" s="108"/>
      <c r="G64" s="108"/>
      <c r="H64" s="108"/>
      <c r="I64" s="106" t="s">
        <v>93</v>
      </c>
      <c r="J64" s="109"/>
      <c r="K64" s="108"/>
      <c r="L64" s="108"/>
      <c r="M64" s="108"/>
      <c r="N64" s="106" t="s">
        <v>93</v>
      </c>
      <c r="O64" s="108"/>
      <c r="P64" s="108"/>
      <c r="Q64" s="108"/>
      <c r="R64" s="108"/>
    </row>
    <row r="65" spans="1:18">
      <c r="A65" s="106" t="s">
        <v>20</v>
      </c>
      <c r="B65" s="107">
        <v>0.656250000000003</v>
      </c>
      <c r="C65" s="107">
        <v>0.66666666666666796</v>
      </c>
      <c r="D65" s="106" t="s">
        <v>93</v>
      </c>
      <c r="E65" s="108"/>
      <c r="F65" s="108"/>
      <c r="G65" s="108"/>
      <c r="H65" s="108"/>
      <c r="I65" s="106" t="s">
        <v>93</v>
      </c>
      <c r="J65" s="109"/>
      <c r="K65" s="108"/>
      <c r="L65" s="108"/>
      <c r="M65" s="108"/>
      <c r="N65" s="106" t="s">
        <v>93</v>
      </c>
      <c r="O65" s="108"/>
      <c r="P65" s="108"/>
      <c r="Q65" s="108"/>
      <c r="R65" s="108"/>
    </row>
    <row r="66" spans="1:18">
      <c r="A66" s="106" t="s">
        <v>20</v>
      </c>
      <c r="B66" s="107">
        <v>0.66666666666666996</v>
      </c>
      <c r="C66" s="107">
        <v>0.67708333333333504</v>
      </c>
      <c r="D66" s="106" t="s">
        <v>93</v>
      </c>
      <c r="E66" s="108"/>
      <c r="F66" s="108"/>
      <c r="G66" s="108"/>
      <c r="H66" s="108"/>
      <c r="I66" s="106" t="s">
        <v>93</v>
      </c>
      <c r="J66" s="109"/>
      <c r="K66" s="108"/>
      <c r="L66" s="108"/>
      <c r="M66" s="108"/>
      <c r="N66" s="106" t="s">
        <v>93</v>
      </c>
      <c r="O66" s="108"/>
      <c r="P66" s="108"/>
      <c r="Q66" s="108"/>
      <c r="R66" s="108"/>
    </row>
    <row r="67" spans="1:18">
      <c r="A67" s="106" t="s">
        <v>20</v>
      </c>
      <c r="B67" s="107">
        <v>0.67708333333333703</v>
      </c>
      <c r="C67" s="107">
        <v>0.687500000000002</v>
      </c>
      <c r="D67" s="106" t="s">
        <v>93</v>
      </c>
      <c r="E67" s="108"/>
      <c r="F67" s="108"/>
      <c r="G67" s="108"/>
      <c r="H67" s="108"/>
      <c r="I67" s="106" t="s">
        <v>93</v>
      </c>
      <c r="J67" s="109"/>
      <c r="K67" s="108"/>
      <c r="L67" s="108"/>
      <c r="M67" s="108"/>
      <c r="N67" s="106" t="s">
        <v>93</v>
      </c>
      <c r="O67" s="108"/>
      <c r="P67" s="108"/>
      <c r="Q67" s="108"/>
      <c r="R67" s="108"/>
    </row>
    <row r="68" spans="1:18">
      <c r="A68" s="106" t="s">
        <v>20</v>
      </c>
      <c r="B68" s="107">
        <v>0.687500000000004</v>
      </c>
      <c r="C68" s="107">
        <v>0.69791666666666896</v>
      </c>
      <c r="D68" s="106" t="s">
        <v>93</v>
      </c>
      <c r="E68" s="108"/>
      <c r="F68" s="108"/>
      <c r="G68" s="108"/>
      <c r="H68" s="108"/>
      <c r="I68" s="106" t="s">
        <v>93</v>
      </c>
      <c r="J68" s="109"/>
      <c r="K68" s="108"/>
      <c r="L68" s="108"/>
      <c r="M68" s="108"/>
      <c r="N68" s="106" t="s">
        <v>93</v>
      </c>
      <c r="O68" s="108"/>
      <c r="P68" s="108"/>
      <c r="Q68" s="108"/>
      <c r="R68" s="108"/>
    </row>
    <row r="69" spans="1:18">
      <c r="A69" s="106" t="s">
        <v>20</v>
      </c>
      <c r="B69" s="107">
        <v>0.69791666666667096</v>
      </c>
      <c r="C69" s="107">
        <v>0.70833333333333603</v>
      </c>
      <c r="D69" s="106" t="s">
        <v>93</v>
      </c>
      <c r="E69" s="108"/>
      <c r="F69" s="108"/>
      <c r="G69" s="108"/>
      <c r="H69" s="108"/>
      <c r="I69" s="106" t="s">
        <v>93</v>
      </c>
      <c r="J69" s="109"/>
      <c r="K69" s="108"/>
      <c r="L69" s="108"/>
      <c r="M69" s="108"/>
      <c r="N69" s="106" t="s">
        <v>93</v>
      </c>
      <c r="O69" s="108"/>
      <c r="P69" s="108"/>
      <c r="Q69" s="108"/>
      <c r="R69" s="108"/>
    </row>
    <row r="70" spans="1:18">
      <c r="A70" s="106" t="s">
        <v>20</v>
      </c>
      <c r="B70" s="107">
        <v>0.70833333333333803</v>
      </c>
      <c r="C70" s="107">
        <v>0.718750000000003</v>
      </c>
      <c r="D70" s="106" t="s">
        <v>93</v>
      </c>
      <c r="E70" s="108"/>
      <c r="F70" s="108"/>
      <c r="G70" s="108"/>
      <c r="H70" s="108"/>
      <c r="I70" s="106" t="s">
        <v>93</v>
      </c>
      <c r="J70" s="109"/>
      <c r="K70" s="108"/>
      <c r="L70" s="108"/>
      <c r="M70" s="108"/>
      <c r="N70" s="106" t="s">
        <v>93</v>
      </c>
      <c r="O70" s="108"/>
      <c r="P70" s="108"/>
      <c r="Q70" s="108"/>
      <c r="R70" s="108"/>
    </row>
    <row r="71" spans="1:18">
      <c r="A71" s="106" t="s">
        <v>20</v>
      </c>
      <c r="B71" s="107">
        <v>0.718750000000005</v>
      </c>
      <c r="C71" s="107">
        <v>0.72916666666666996</v>
      </c>
      <c r="D71" s="106" t="s">
        <v>93</v>
      </c>
      <c r="E71" s="108"/>
      <c r="F71" s="108"/>
      <c r="G71" s="108"/>
      <c r="H71" s="108"/>
      <c r="I71" s="106" t="s">
        <v>93</v>
      </c>
      <c r="J71" s="109"/>
      <c r="K71" s="108"/>
      <c r="L71" s="108"/>
      <c r="M71" s="108"/>
      <c r="N71" s="106" t="s">
        <v>93</v>
      </c>
      <c r="O71" s="108"/>
      <c r="P71" s="108"/>
      <c r="Q71" s="108"/>
      <c r="R71" s="108"/>
    </row>
    <row r="72" spans="1:18">
      <c r="A72" s="106" t="s">
        <v>20</v>
      </c>
      <c r="B72" s="107">
        <v>0.72916666666667096</v>
      </c>
      <c r="C72" s="107">
        <v>0.73958333333333603</v>
      </c>
      <c r="D72" s="106" t="s">
        <v>93</v>
      </c>
      <c r="E72" s="108"/>
      <c r="F72" s="108"/>
      <c r="G72" s="108"/>
      <c r="H72" s="108"/>
      <c r="I72" s="106" t="s">
        <v>93</v>
      </c>
      <c r="J72" s="109"/>
      <c r="K72" s="108"/>
      <c r="L72" s="108"/>
      <c r="M72" s="108"/>
      <c r="N72" s="106" t="s">
        <v>93</v>
      </c>
      <c r="O72" s="108"/>
      <c r="P72" s="108"/>
      <c r="Q72" s="108"/>
      <c r="R72" s="108"/>
    </row>
    <row r="73" spans="1:18">
      <c r="A73" s="106" t="s">
        <v>20</v>
      </c>
      <c r="B73" s="107">
        <v>0.73958333333333803</v>
      </c>
      <c r="C73" s="107">
        <v>0.750000000000003</v>
      </c>
      <c r="D73" s="106" t="s">
        <v>93</v>
      </c>
      <c r="E73" s="108"/>
      <c r="F73" s="108"/>
      <c r="G73" s="108"/>
      <c r="H73" s="108"/>
      <c r="I73" s="106" t="s">
        <v>93</v>
      </c>
      <c r="J73" s="109"/>
      <c r="K73" s="108"/>
      <c r="L73" s="108"/>
      <c r="M73" s="108"/>
      <c r="N73" s="106" t="s">
        <v>93</v>
      </c>
      <c r="O73" s="108"/>
      <c r="P73" s="108"/>
      <c r="Q73" s="108"/>
      <c r="R73" s="108"/>
    </row>
    <row r="74" spans="1:18">
      <c r="A74" s="106" t="s">
        <v>20</v>
      </c>
      <c r="B74" s="107">
        <v>0.750000000000005</v>
      </c>
      <c r="C74" s="107">
        <v>0.76041666666666996</v>
      </c>
      <c r="D74" s="106" t="s">
        <v>93</v>
      </c>
      <c r="E74" s="108"/>
      <c r="F74" s="108"/>
      <c r="G74" s="108"/>
      <c r="H74" s="108"/>
      <c r="I74" s="106" t="s">
        <v>93</v>
      </c>
      <c r="J74" s="109"/>
      <c r="K74" s="108"/>
      <c r="L74" s="108"/>
      <c r="M74" s="108"/>
      <c r="N74" s="106" t="s">
        <v>93</v>
      </c>
      <c r="O74" s="108"/>
      <c r="P74" s="108"/>
      <c r="Q74" s="108"/>
      <c r="R74" s="108"/>
    </row>
    <row r="75" spans="1:18">
      <c r="A75" s="106" t="s">
        <v>20</v>
      </c>
      <c r="B75" s="107">
        <v>0.76041666666667196</v>
      </c>
      <c r="C75" s="107">
        <v>0.77083333333333703</v>
      </c>
      <c r="D75" s="106" t="s">
        <v>93</v>
      </c>
      <c r="E75" s="108"/>
      <c r="F75" s="108"/>
      <c r="G75" s="108"/>
      <c r="H75" s="108"/>
      <c r="I75" s="106" t="s">
        <v>93</v>
      </c>
      <c r="J75" s="109"/>
      <c r="K75" s="108"/>
      <c r="L75" s="108"/>
      <c r="M75" s="108"/>
      <c r="N75" s="106" t="s">
        <v>93</v>
      </c>
      <c r="O75" s="108"/>
      <c r="P75" s="108"/>
      <c r="Q75" s="108"/>
      <c r="R75" s="108"/>
    </row>
    <row r="76" spans="1:18">
      <c r="A76" s="106" t="s">
        <v>20</v>
      </c>
      <c r="B76" s="107">
        <v>0.77083333333333903</v>
      </c>
      <c r="C76" s="107">
        <v>0.781250000000004</v>
      </c>
      <c r="D76" s="106" t="s">
        <v>93</v>
      </c>
      <c r="E76" s="108"/>
      <c r="F76" s="108"/>
      <c r="G76" s="108"/>
      <c r="H76" s="108"/>
      <c r="I76" s="106" t="s">
        <v>93</v>
      </c>
      <c r="J76" s="109"/>
      <c r="K76" s="108"/>
      <c r="L76" s="108"/>
      <c r="M76" s="108"/>
      <c r="N76" s="106" t="s">
        <v>93</v>
      </c>
      <c r="O76" s="108"/>
      <c r="P76" s="108"/>
      <c r="Q76" s="108"/>
      <c r="R76" s="108"/>
    </row>
    <row r="77" spans="1:18">
      <c r="A77" s="106" t="s">
        <v>20</v>
      </c>
      <c r="B77" s="107">
        <v>0.781250000000006</v>
      </c>
      <c r="C77" s="107">
        <v>0.79166666666667096</v>
      </c>
      <c r="D77" s="106" t="s">
        <v>93</v>
      </c>
      <c r="E77" s="108"/>
      <c r="F77" s="108"/>
      <c r="G77" s="108"/>
      <c r="H77" s="108"/>
      <c r="I77" s="106" t="s">
        <v>93</v>
      </c>
      <c r="J77" s="109"/>
      <c r="K77" s="108"/>
      <c r="L77" s="108"/>
      <c r="M77" s="108"/>
      <c r="N77" s="106" t="s">
        <v>93</v>
      </c>
      <c r="O77" s="108"/>
      <c r="P77" s="108"/>
      <c r="Q77" s="108"/>
      <c r="R77" s="108"/>
    </row>
    <row r="78" spans="1:18">
      <c r="A78" s="106" t="s">
        <v>20</v>
      </c>
      <c r="B78" s="107">
        <v>0.79166666666667296</v>
      </c>
      <c r="C78" s="107">
        <v>0.80208333333333803</v>
      </c>
      <c r="D78" s="106" t="s">
        <v>93</v>
      </c>
      <c r="E78" s="108"/>
      <c r="F78" s="108"/>
      <c r="G78" s="108"/>
      <c r="H78" s="108"/>
      <c r="I78" s="106" t="s">
        <v>93</v>
      </c>
      <c r="J78" s="109"/>
      <c r="K78" s="108"/>
      <c r="L78" s="108"/>
      <c r="M78" s="108"/>
      <c r="N78" s="106" t="s">
        <v>93</v>
      </c>
      <c r="O78" s="108"/>
      <c r="P78" s="108"/>
      <c r="Q78" s="108"/>
      <c r="R78" s="108"/>
    </row>
    <row r="79" spans="1:18">
      <c r="A79" s="106" t="s">
        <v>20</v>
      </c>
      <c r="B79" s="107">
        <v>0.80208333333334003</v>
      </c>
      <c r="C79" s="107">
        <v>0.812500000000005</v>
      </c>
      <c r="D79" s="106" t="s">
        <v>93</v>
      </c>
      <c r="E79" s="108"/>
      <c r="F79" s="108"/>
      <c r="G79" s="108"/>
      <c r="H79" s="108"/>
      <c r="I79" s="106" t="s">
        <v>93</v>
      </c>
      <c r="J79" s="109"/>
      <c r="K79" s="108"/>
      <c r="L79" s="108"/>
      <c r="M79" s="108"/>
      <c r="N79" s="106" t="s">
        <v>93</v>
      </c>
      <c r="O79" s="108"/>
      <c r="P79" s="108"/>
      <c r="Q79" s="108"/>
      <c r="R79" s="108"/>
    </row>
    <row r="80" spans="1:18">
      <c r="A80" s="106" t="s">
        <v>20</v>
      </c>
      <c r="B80" s="107">
        <v>0.81250000000000699</v>
      </c>
      <c r="C80" s="107">
        <v>0.82291666666667196</v>
      </c>
      <c r="D80" s="106" t="s">
        <v>93</v>
      </c>
      <c r="E80" s="108"/>
      <c r="F80" s="108"/>
      <c r="G80" s="108"/>
      <c r="H80" s="108"/>
      <c r="I80" s="106" t="s">
        <v>93</v>
      </c>
      <c r="J80" s="109"/>
      <c r="K80" s="108"/>
      <c r="L80" s="108"/>
      <c r="M80" s="108"/>
      <c r="N80" s="106" t="s">
        <v>93</v>
      </c>
      <c r="O80" s="108"/>
      <c r="P80" s="108"/>
      <c r="Q80" s="108"/>
      <c r="R80" s="108"/>
    </row>
    <row r="81" spans="1:18">
      <c r="A81" s="106" t="s">
        <v>20</v>
      </c>
      <c r="B81" s="107">
        <v>0.82291666666667396</v>
      </c>
      <c r="C81" s="107">
        <v>0.83333333333333903</v>
      </c>
      <c r="D81" s="106" t="s">
        <v>93</v>
      </c>
      <c r="E81" s="108"/>
      <c r="F81" s="108"/>
      <c r="G81" s="108"/>
      <c r="H81" s="108"/>
      <c r="I81" s="106" t="s">
        <v>93</v>
      </c>
      <c r="J81" s="109"/>
      <c r="K81" s="108"/>
      <c r="L81" s="108"/>
      <c r="M81" s="108"/>
      <c r="N81" s="106" t="s">
        <v>93</v>
      </c>
      <c r="O81" s="108"/>
      <c r="P81" s="108"/>
      <c r="Q81" s="108"/>
      <c r="R81" s="108"/>
    </row>
    <row r="82" spans="1:18">
      <c r="A82" s="106" t="s">
        <v>20</v>
      </c>
      <c r="B82" s="107">
        <v>0.83333333333334103</v>
      </c>
      <c r="C82" s="107">
        <v>0.843750000000006</v>
      </c>
      <c r="D82" s="106" t="s">
        <v>93</v>
      </c>
      <c r="E82" s="108"/>
      <c r="F82" s="108"/>
      <c r="G82" s="108"/>
      <c r="H82" s="108"/>
      <c r="I82" s="106" t="s">
        <v>93</v>
      </c>
      <c r="J82" s="109"/>
      <c r="K82" s="108"/>
      <c r="L82" s="108"/>
      <c r="M82" s="108"/>
      <c r="N82" s="106" t="s">
        <v>93</v>
      </c>
      <c r="O82" s="108"/>
      <c r="P82" s="108"/>
      <c r="Q82" s="108"/>
      <c r="R82" s="108"/>
    </row>
    <row r="83" spans="1:18">
      <c r="A83" s="106" t="s">
        <v>20</v>
      </c>
      <c r="B83" s="107">
        <v>0.84375000000000799</v>
      </c>
      <c r="C83" s="107">
        <v>0.85416666666667296</v>
      </c>
      <c r="D83" s="106" t="s">
        <v>93</v>
      </c>
      <c r="E83" s="108"/>
      <c r="F83" s="108"/>
      <c r="G83" s="108"/>
      <c r="H83" s="108"/>
      <c r="I83" s="106" t="s">
        <v>93</v>
      </c>
      <c r="J83" s="109"/>
      <c r="K83" s="108"/>
      <c r="L83" s="108"/>
      <c r="M83" s="108"/>
      <c r="N83" s="106" t="s">
        <v>93</v>
      </c>
      <c r="O83" s="108"/>
      <c r="P83" s="108"/>
      <c r="Q83" s="108"/>
      <c r="R83" s="108"/>
    </row>
    <row r="84" spans="1:18">
      <c r="A84" s="106" t="s">
        <v>20</v>
      </c>
      <c r="B84" s="107">
        <v>0.85416666666667496</v>
      </c>
      <c r="C84" s="107">
        <v>0.86458333333334003</v>
      </c>
      <c r="D84" s="106" t="s">
        <v>93</v>
      </c>
      <c r="E84" s="108"/>
      <c r="F84" s="108"/>
      <c r="G84" s="108"/>
      <c r="H84" s="108"/>
      <c r="I84" s="106" t="s">
        <v>93</v>
      </c>
      <c r="J84" s="109"/>
      <c r="K84" s="108"/>
      <c r="L84" s="108"/>
      <c r="M84" s="108"/>
      <c r="N84" s="106" t="s">
        <v>93</v>
      </c>
      <c r="O84" s="108"/>
      <c r="P84" s="108"/>
      <c r="Q84" s="108"/>
      <c r="R84" s="108"/>
    </row>
    <row r="85" spans="1:18">
      <c r="A85" s="106" t="s">
        <v>20</v>
      </c>
      <c r="B85" s="107">
        <v>0.86458333333334203</v>
      </c>
      <c r="C85" s="107">
        <v>0.87500000000000699</v>
      </c>
      <c r="D85" s="106" t="s">
        <v>93</v>
      </c>
      <c r="E85" s="108"/>
      <c r="F85" s="108"/>
      <c r="G85" s="108"/>
      <c r="H85" s="108"/>
      <c r="I85" s="106" t="s">
        <v>93</v>
      </c>
      <c r="J85" s="109"/>
      <c r="K85" s="108"/>
      <c r="L85" s="108"/>
      <c r="M85" s="108"/>
      <c r="N85" s="106" t="s">
        <v>93</v>
      </c>
      <c r="O85" s="108"/>
      <c r="P85" s="108"/>
      <c r="Q85" s="108"/>
      <c r="R85" s="108"/>
    </row>
    <row r="86" spans="1:18">
      <c r="A86" s="106" t="s">
        <v>20</v>
      </c>
      <c r="B86" s="107">
        <v>0.87500000000000899</v>
      </c>
      <c r="C86" s="107">
        <v>0.88541666666667396</v>
      </c>
      <c r="D86" s="106" t="s">
        <v>93</v>
      </c>
      <c r="E86" s="108"/>
      <c r="F86" s="108"/>
      <c r="G86" s="108"/>
      <c r="H86" s="108"/>
      <c r="I86" s="106" t="s">
        <v>93</v>
      </c>
      <c r="J86" s="109"/>
      <c r="K86" s="108"/>
      <c r="L86" s="108"/>
      <c r="M86" s="108"/>
      <c r="N86" s="106" t="s">
        <v>93</v>
      </c>
      <c r="O86" s="108"/>
      <c r="P86" s="108"/>
      <c r="Q86" s="108"/>
      <c r="R86" s="108"/>
    </row>
    <row r="87" spans="1:18">
      <c r="A87" s="106" t="s">
        <v>20</v>
      </c>
      <c r="B87" s="107">
        <v>0.88541666666667596</v>
      </c>
      <c r="C87" s="107">
        <v>0.89583333333334103</v>
      </c>
      <c r="D87" s="106" t="s">
        <v>93</v>
      </c>
      <c r="E87" s="108"/>
      <c r="F87" s="108"/>
      <c r="G87" s="108"/>
      <c r="H87" s="108"/>
      <c r="I87" s="106" t="s">
        <v>93</v>
      </c>
      <c r="J87" s="109"/>
      <c r="K87" s="108"/>
      <c r="L87" s="108"/>
      <c r="M87" s="108"/>
      <c r="N87" s="106" t="s">
        <v>93</v>
      </c>
      <c r="O87" s="108"/>
      <c r="P87" s="108"/>
      <c r="Q87" s="108"/>
      <c r="R87" s="108"/>
    </row>
    <row r="88" spans="1:18">
      <c r="A88" s="106" t="s">
        <v>20</v>
      </c>
      <c r="B88" s="107">
        <v>0.89583333333334303</v>
      </c>
      <c r="C88" s="107">
        <v>0.90625000000000799</v>
      </c>
      <c r="D88" s="106" t="s">
        <v>93</v>
      </c>
      <c r="E88" s="108"/>
      <c r="F88" s="108"/>
      <c r="G88" s="108"/>
      <c r="H88" s="108"/>
      <c r="I88" s="106" t="s">
        <v>93</v>
      </c>
      <c r="J88" s="109"/>
      <c r="K88" s="108"/>
      <c r="L88" s="108"/>
      <c r="M88" s="108"/>
      <c r="N88" s="106" t="s">
        <v>93</v>
      </c>
      <c r="O88" s="108"/>
      <c r="P88" s="108"/>
      <c r="Q88" s="108"/>
      <c r="R88" s="108"/>
    </row>
    <row r="89" spans="1:18">
      <c r="A89" s="106" t="s">
        <v>20</v>
      </c>
      <c r="B89" s="107">
        <v>0.90625000000000999</v>
      </c>
      <c r="C89" s="107">
        <v>0.91666666666667496</v>
      </c>
      <c r="D89" s="106" t="s">
        <v>93</v>
      </c>
      <c r="E89" s="108"/>
      <c r="F89" s="108"/>
      <c r="G89" s="108"/>
      <c r="H89" s="108"/>
      <c r="I89" s="106" t="s">
        <v>93</v>
      </c>
      <c r="J89" s="109"/>
      <c r="K89" s="108"/>
      <c r="L89" s="108"/>
      <c r="M89" s="108"/>
      <c r="N89" s="106" t="s">
        <v>93</v>
      </c>
      <c r="O89" s="108"/>
      <c r="P89" s="108"/>
      <c r="Q89" s="108"/>
      <c r="R89" s="108"/>
    </row>
    <row r="90" spans="1:18">
      <c r="A90" s="106" t="s">
        <v>20</v>
      </c>
      <c r="B90" s="107">
        <v>0.91666666666666663</v>
      </c>
      <c r="C90" s="107">
        <v>0.92708333333333215</v>
      </c>
      <c r="D90" s="106" t="s">
        <v>93</v>
      </c>
      <c r="E90" s="108"/>
      <c r="F90" s="108"/>
      <c r="G90" s="108"/>
      <c r="H90" s="108"/>
      <c r="I90" s="106" t="s">
        <v>93</v>
      </c>
      <c r="J90" s="109"/>
      <c r="K90" s="108"/>
      <c r="L90" s="108"/>
      <c r="M90" s="108"/>
      <c r="N90" s="106" t="s">
        <v>93</v>
      </c>
      <c r="O90" s="108"/>
      <c r="P90" s="108"/>
      <c r="Q90" s="108"/>
      <c r="R90" s="108"/>
    </row>
    <row r="91" spans="1:18">
      <c r="A91" s="106" t="s">
        <v>20</v>
      </c>
      <c r="B91" s="107">
        <v>0.92708333333333337</v>
      </c>
      <c r="C91" s="107">
        <v>0.93749999999999878</v>
      </c>
      <c r="D91" s="106" t="s">
        <v>93</v>
      </c>
      <c r="E91" s="108"/>
      <c r="F91" s="108"/>
      <c r="G91" s="108"/>
      <c r="H91" s="108"/>
      <c r="I91" s="106" t="s">
        <v>93</v>
      </c>
      <c r="J91" s="109"/>
      <c r="K91" s="108"/>
      <c r="L91" s="108"/>
      <c r="M91" s="108"/>
      <c r="N91" s="106" t="s">
        <v>93</v>
      </c>
      <c r="O91" s="108"/>
      <c r="P91" s="108"/>
      <c r="Q91" s="108"/>
      <c r="R91" s="108"/>
    </row>
    <row r="92" spans="1:18">
      <c r="A92" s="106" t="s">
        <v>20</v>
      </c>
      <c r="B92" s="107">
        <v>0.9375</v>
      </c>
      <c r="C92" s="107">
        <v>0.94791666666666541</v>
      </c>
      <c r="D92" s="106" t="s">
        <v>93</v>
      </c>
      <c r="E92" s="108"/>
      <c r="F92" s="108"/>
      <c r="G92" s="108"/>
      <c r="H92" s="108"/>
      <c r="I92" s="106" t="s">
        <v>93</v>
      </c>
      <c r="J92" s="109"/>
      <c r="K92" s="108"/>
      <c r="L92" s="108"/>
      <c r="M92" s="108"/>
      <c r="N92" s="106" t="s">
        <v>93</v>
      </c>
      <c r="O92" s="108"/>
      <c r="P92" s="108"/>
      <c r="Q92" s="108"/>
      <c r="R92" s="108"/>
    </row>
    <row r="93" spans="1:18">
      <c r="A93" s="106" t="s">
        <v>20</v>
      </c>
      <c r="B93" s="107">
        <v>0.94791666666666663</v>
      </c>
      <c r="C93" s="107">
        <v>0.95833333333333204</v>
      </c>
      <c r="D93" s="106" t="s">
        <v>93</v>
      </c>
      <c r="E93" s="108"/>
      <c r="F93" s="108"/>
      <c r="G93" s="108"/>
      <c r="H93" s="108"/>
      <c r="I93" s="106" t="s">
        <v>93</v>
      </c>
      <c r="J93" s="109"/>
      <c r="K93" s="108"/>
      <c r="L93" s="108"/>
      <c r="M93" s="108"/>
      <c r="N93" s="106" t="s">
        <v>93</v>
      </c>
      <c r="O93" s="108"/>
      <c r="P93" s="108"/>
      <c r="Q93" s="108"/>
      <c r="R93" s="108"/>
    </row>
    <row r="94" spans="1:18">
      <c r="A94" s="106" t="s">
        <v>20</v>
      </c>
      <c r="B94" s="107">
        <v>0.95833333333333337</v>
      </c>
      <c r="C94" s="107">
        <v>0.96874999999999867</v>
      </c>
      <c r="D94" s="106" t="s">
        <v>93</v>
      </c>
      <c r="E94" s="108"/>
      <c r="F94" s="108"/>
      <c r="G94" s="108"/>
      <c r="H94" s="108"/>
      <c r="I94" s="106" t="s">
        <v>93</v>
      </c>
      <c r="J94" s="109"/>
      <c r="K94" s="108"/>
      <c r="L94" s="108"/>
      <c r="M94" s="108"/>
      <c r="N94" s="106" t="s">
        <v>93</v>
      </c>
      <c r="O94" s="108"/>
      <c r="P94" s="108"/>
      <c r="Q94" s="108"/>
      <c r="R94" s="108"/>
    </row>
    <row r="95" spans="1:18">
      <c r="A95" s="106" t="s">
        <v>20</v>
      </c>
      <c r="B95" s="107">
        <v>0.96875</v>
      </c>
      <c r="C95" s="107">
        <v>0.9791666666666653</v>
      </c>
      <c r="D95" s="106" t="s">
        <v>93</v>
      </c>
      <c r="E95" s="108"/>
      <c r="F95" s="108"/>
      <c r="G95" s="108"/>
      <c r="H95" s="108"/>
      <c r="I95" s="106" t="s">
        <v>93</v>
      </c>
      <c r="J95" s="109"/>
      <c r="K95" s="108"/>
      <c r="L95" s="108"/>
      <c r="M95" s="108"/>
      <c r="N95" s="106" t="s">
        <v>93</v>
      </c>
      <c r="O95" s="108"/>
      <c r="P95" s="108"/>
      <c r="Q95" s="108"/>
      <c r="R95" s="108"/>
    </row>
    <row r="96" spans="1:18">
      <c r="A96" s="106" t="s">
        <v>20</v>
      </c>
      <c r="B96" s="107">
        <v>0.97916666666666663</v>
      </c>
      <c r="C96" s="107">
        <v>0.98958333333333193</v>
      </c>
      <c r="D96" s="106" t="s">
        <v>93</v>
      </c>
      <c r="E96" s="108"/>
      <c r="F96" s="108"/>
      <c r="G96" s="108"/>
      <c r="H96" s="108"/>
      <c r="I96" s="106" t="s">
        <v>93</v>
      </c>
      <c r="J96" s="109"/>
      <c r="K96" s="108"/>
      <c r="L96" s="108"/>
      <c r="M96" s="108"/>
      <c r="N96" s="106" t="s">
        <v>93</v>
      </c>
      <c r="O96" s="108"/>
      <c r="P96" s="108"/>
      <c r="Q96" s="108"/>
      <c r="R96" s="108"/>
    </row>
    <row r="97" spans="1:18" s="105" customFormat="1" ht="17.25" thickBot="1">
      <c r="A97" s="110" t="s">
        <v>20</v>
      </c>
      <c r="B97" s="111">
        <v>0.98958333333333337</v>
      </c>
      <c r="C97" s="111" t="s">
        <v>124</v>
      </c>
      <c r="D97" s="110" t="s">
        <v>93</v>
      </c>
      <c r="E97" s="112"/>
      <c r="F97" s="112"/>
      <c r="G97" s="112"/>
      <c r="H97" s="112"/>
      <c r="I97" s="110" t="s">
        <v>93</v>
      </c>
      <c r="J97" s="113"/>
      <c r="K97" s="112"/>
      <c r="L97" s="112"/>
      <c r="M97" s="112"/>
      <c r="N97" s="110" t="s">
        <v>93</v>
      </c>
      <c r="O97" s="112"/>
      <c r="P97" s="112"/>
      <c r="Q97" s="112"/>
      <c r="R97" s="112"/>
    </row>
    <row r="98" spans="1:18" ht="17.25" thickTop="1">
      <c r="A98" s="114" t="s">
        <v>21</v>
      </c>
      <c r="B98" s="115">
        <v>0</v>
      </c>
      <c r="C98" s="115">
        <v>1.0416666666666666E-2</v>
      </c>
      <c r="D98" s="116"/>
      <c r="E98" s="114" t="s">
        <v>93</v>
      </c>
      <c r="F98" s="116"/>
      <c r="G98" s="116"/>
      <c r="H98" s="116"/>
      <c r="I98" s="116"/>
      <c r="J98" s="114" t="s">
        <v>93</v>
      </c>
      <c r="K98" s="116"/>
      <c r="L98" s="116"/>
      <c r="M98" s="116"/>
      <c r="N98" s="116"/>
      <c r="O98" s="114" t="s">
        <v>93</v>
      </c>
      <c r="P98" s="116"/>
      <c r="Q98" s="116"/>
      <c r="R98" s="116"/>
    </row>
    <row r="99" spans="1:18">
      <c r="A99" s="114" t="s">
        <v>21</v>
      </c>
      <c r="B99" s="115">
        <v>1.0416666666666666E-2</v>
      </c>
      <c r="C99" s="115">
        <v>2.0833333333333332E-2</v>
      </c>
      <c r="D99" s="116"/>
      <c r="E99" s="114" t="s">
        <v>93</v>
      </c>
      <c r="F99" s="116"/>
      <c r="G99" s="116"/>
      <c r="H99" s="116"/>
      <c r="I99" s="116"/>
      <c r="J99" s="114" t="s">
        <v>93</v>
      </c>
      <c r="K99" s="116"/>
      <c r="L99" s="116"/>
      <c r="M99" s="116"/>
      <c r="N99" s="116"/>
      <c r="O99" s="114" t="s">
        <v>93</v>
      </c>
      <c r="P99" s="116"/>
      <c r="Q99" s="116"/>
      <c r="R99" s="116"/>
    </row>
    <row r="100" spans="1:18">
      <c r="A100" s="114" t="s">
        <v>21</v>
      </c>
      <c r="B100" s="115">
        <v>2.0833333333333332E-2</v>
      </c>
      <c r="C100" s="115">
        <v>3.125E-2</v>
      </c>
      <c r="D100" s="116"/>
      <c r="E100" s="114" t="s">
        <v>93</v>
      </c>
      <c r="F100" s="116"/>
      <c r="G100" s="116"/>
      <c r="H100" s="116"/>
      <c r="I100" s="116"/>
      <c r="J100" s="114" t="s">
        <v>93</v>
      </c>
      <c r="K100" s="116"/>
      <c r="L100" s="116"/>
      <c r="M100" s="116"/>
      <c r="N100" s="116"/>
      <c r="O100" s="114" t="s">
        <v>93</v>
      </c>
      <c r="P100" s="116"/>
      <c r="Q100" s="116"/>
      <c r="R100" s="116"/>
    </row>
    <row r="101" spans="1:18">
      <c r="A101" s="114" t="s">
        <v>21</v>
      </c>
      <c r="B101" s="115">
        <v>3.125E-2</v>
      </c>
      <c r="C101" s="115">
        <v>4.1666666666666664E-2</v>
      </c>
      <c r="D101" s="116"/>
      <c r="E101" s="114" t="s">
        <v>93</v>
      </c>
      <c r="F101" s="116"/>
      <c r="G101" s="116"/>
      <c r="H101" s="116"/>
      <c r="I101" s="116"/>
      <c r="J101" s="114" t="s">
        <v>93</v>
      </c>
      <c r="K101" s="116"/>
      <c r="L101" s="116"/>
      <c r="M101" s="116"/>
      <c r="N101" s="116"/>
      <c r="O101" s="114" t="s">
        <v>93</v>
      </c>
      <c r="P101" s="116"/>
      <c r="Q101" s="116"/>
      <c r="R101" s="116"/>
    </row>
    <row r="102" spans="1:18">
      <c r="A102" s="114" t="s">
        <v>21</v>
      </c>
      <c r="B102" s="115">
        <v>4.1666666666666664E-2</v>
      </c>
      <c r="C102" s="115">
        <v>5.2083333333333329E-2</v>
      </c>
      <c r="D102" s="116"/>
      <c r="E102" s="114" t="s">
        <v>93</v>
      </c>
      <c r="F102" s="116"/>
      <c r="G102" s="116"/>
      <c r="H102" s="116"/>
      <c r="I102" s="116"/>
      <c r="J102" s="114" t="s">
        <v>93</v>
      </c>
      <c r="K102" s="116"/>
      <c r="L102" s="116"/>
      <c r="M102" s="116"/>
      <c r="N102" s="116"/>
      <c r="O102" s="114" t="s">
        <v>93</v>
      </c>
      <c r="P102" s="116"/>
      <c r="Q102" s="116"/>
      <c r="R102" s="116"/>
    </row>
    <row r="103" spans="1:18">
      <c r="A103" s="114" t="s">
        <v>21</v>
      </c>
      <c r="B103" s="115">
        <v>5.2083333333333329E-2</v>
      </c>
      <c r="C103" s="115">
        <v>6.25E-2</v>
      </c>
      <c r="D103" s="116"/>
      <c r="E103" s="114" t="s">
        <v>93</v>
      </c>
      <c r="F103" s="116"/>
      <c r="G103" s="116"/>
      <c r="H103" s="116"/>
      <c r="I103" s="116"/>
      <c r="J103" s="114" t="s">
        <v>93</v>
      </c>
      <c r="K103" s="116"/>
      <c r="L103" s="116"/>
      <c r="M103" s="116"/>
      <c r="N103" s="116"/>
      <c r="O103" s="114" t="s">
        <v>93</v>
      </c>
      <c r="P103" s="116"/>
      <c r="Q103" s="116"/>
      <c r="R103" s="116"/>
    </row>
    <row r="104" spans="1:18">
      <c r="A104" s="114" t="s">
        <v>21</v>
      </c>
      <c r="B104" s="115">
        <v>6.25E-2</v>
      </c>
      <c r="C104" s="115">
        <v>7.2916666666666657E-2</v>
      </c>
      <c r="D104" s="116"/>
      <c r="E104" s="114" t="s">
        <v>93</v>
      </c>
      <c r="F104" s="116"/>
      <c r="G104" s="116"/>
      <c r="H104" s="116"/>
      <c r="I104" s="116"/>
      <c r="J104" s="114" t="s">
        <v>93</v>
      </c>
      <c r="K104" s="116"/>
      <c r="L104" s="116"/>
      <c r="M104" s="116"/>
      <c r="N104" s="116"/>
      <c r="O104" s="114" t="s">
        <v>93</v>
      </c>
      <c r="P104" s="116"/>
      <c r="Q104" s="116"/>
      <c r="R104" s="116"/>
    </row>
    <row r="105" spans="1:18">
      <c r="A105" s="114" t="s">
        <v>21</v>
      </c>
      <c r="B105" s="115">
        <v>7.2916666666666657E-2</v>
      </c>
      <c r="C105" s="115">
        <v>8.3333333333333329E-2</v>
      </c>
      <c r="D105" s="116"/>
      <c r="E105" s="114" t="s">
        <v>93</v>
      </c>
      <c r="F105" s="116"/>
      <c r="G105" s="116"/>
      <c r="H105" s="116"/>
      <c r="I105" s="116"/>
      <c r="J105" s="114" t="s">
        <v>93</v>
      </c>
      <c r="K105" s="116"/>
      <c r="L105" s="116"/>
      <c r="M105" s="116"/>
      <c r="N105" s="116"/>
      <c r="O105" s="114" t="s">
        <v>93</v>
      </c>
      <c r="P105" s="116"/>
      <c r="Q105" s="116"/>
      <c r="R105" s="116"/>
    </row>
    <row r="106" spans="1:18">
      <c r="A106" s="114" t="s">
        <v>21</v>
      </c>
      <c r="B106" s="115">
        <v>8.3333333333333329E-2</v>
      </c>
      <c r="C106" s="115">
        <v>9.375E-2</v>
      </c>
      <c r="D106" s="116"/>
      <c r="E106" s="114" t="s">
        <v>93</v>
      </c>
      <c r="F106" s="116"/>
      <c r="G106" s="116"/>
      <c r="H106" s="116"/>
      <c r="I106" s="116"/>
      <c r="J106" s="114" t="s">
        <v>93</v>
      </c>
      <c r="K106" s="116"/>
      <c r="L106" s="116"/>
      <c r="M106" s="116"/>
      <c r="N106" s="116"/>
      <c r="O106" s="114" t="s">
        <v>93</v>
      </c>
      <c r="P106" s="116"/>
      <c r="Q106" s="116"/>
      <c r="R106" s="116"/>
    </row>
    <row r="107" spans="1:18">
      <c r="A107" s="114" t="s">
        <v>21</v>
      </c>
      <c r="B107" s="115">
        <v>9.375E-2</v>
      </c>
      <c r="C107" s="115">
        <v>0.10416666666666667</v>
      </c>
      <c r="D107" s="116"/>
      <c r="E107" s="114" t="s">
        <v>93</v>
      </c>
      <c r="F107" s="116"/>
      <c r="G107" s="116"/>
      <c r="H107" s="116"/>
      <c r="I107" s="116"/>
      <c r="J107" s="114" t="s">
        <v>93</v>
      </c>
      <c r="K107" s="116"/>
      <c r="L107" s="116"/>
      <c r="M107" s="116"/>
      <c r="N107" s="116"/>
      <c r="O107" s="114" t="s">
        <v>93</v>
      </c>
      <c r="P107" s="116"/>
      <c r="Q107" s="116"/>
      <c r="R107" s="116"/>
    </row>
    <row r="108" spans="1:18">
      <c r="A108" s="114" t="s">
        <v>21</v>
      </c>
      <c r="B108" s="115">
        <v>0.10416666666666667</v>
      </c>
      <c r="C108" s="115">
        <v>0.11458333333333334</v>
      </c>
      <c r="D108" s="116"/>
      <c r="E108" s="114" t="s">
        <v>93</v>
      </c>
      <c r="F108" s="116"/>
      <c r="G108" s="116"/>
      <c r="H108" s="116"/>
      <c r="I108" s="116"/>
      <c r="J108" s="114" t="s">
        <v>93</v>
      </c>
      <c r="K108" s="116"/>
      <c r="L108" s="116"/>
      <c r="M108" s="116"/>
      <c r="N108" s="116"/>
      <c r="O108" s="114" t="s">
        <v>93</v>
      </c>
      <c r="P108" s="116"/>
      <c r="Q108" s="116"/>
      <c r="R108" s="116"/>
    </row>
    <row r="109" spans="1:18">
      <c r="A109" s="114" t="s">
        <v>21</v>
      </c>
      <c r="B109" s="115">
        <v>0.11458333333333334</v>
      </c>
      <c r="C109" s="115">
        <v>0.125</v>
      </c>
      <c r="D109" s="116"/>
      <c r="E109" s="114" t="s">
        <v>93</v>
      </c>
      <c r="F109" s="116"/>
      <c r="G109" s="116"/>
      <c r="H109" s="116"/>
      <c r="I109" s="116"/>
      <c r="J109" s="114" t="s">
        <v>93</v>
      </c>
      <c r="K109" s="116"/>
      <c r="L109" s="116"/>
      <c r="M109" s="116"/>
      <c r="N109" s="116"/>
      <c r="O109" s="114" t="s">
        <v>93</v>
      </c>
      <c r="P109" s="116"/>
      <c r="Q109" s="116"/>
      <c r="R109" s="116"/>
    </row>
    <row r="110" spans="1:18">
      <c r="A110" s="114" t="s">
        <v>21</v>
      </c>
      <c r="B110" s="115">
        <v>0.125</v>
      </c>
      <c r="C110" s="115">
        <v>0.13541666666666666</v>
      </c>
      <c r="D110" s="116"/>
      <c r="E110" s="114" t="s">
        <v>93</v>
      </c>
      <c r="F110" s="116"/>
      <c r="G110" s="116"/>
      <c r="H110" s="116"/>
      <c r="I110" s="116"/>
      <c r="J110" s="114" t="s">
        <v>93</v>
      </c>
      <c r="K110" s="116"/>
      <c r="L110" s="116"/>
      <c r="M110" s="116"/>
      <c r="N110" s="116"/>
      <c r="O110" s="114" t="s">
        <v>93</v>
      </c>
      <c r="P110" s="116"/>
      <c r="Q110" s="116"/>
      <c r="R110" s="116"/>
    </row>
    <row r="111" spans="1:18">
      <c r="A111" s="114" t="s">
        <v>21</v>
      </c>
      <c r="B111" s="115">
        <v>0.13541666666666666</v>
      </c>
      <c r="C111" s="115">
        <v>0.14583333333333331</v>
      </c>
      <c r="D111" s="116"/>
      <c r="E111" s="114" t="s">
        <v>93</v>
      </c>
      <c r="F111" s="116"/>
      <c r="G111" s="116"/>
      <c r="H111" s="116"/>
      <c r="I111" s="116"/>
      <c r="J111" s="114" t="s">
        <v>93</v>
      </c>
      <c r="K111" s="116"/>
      <c r="L111" s="116"/>
      <c r="M111" s="116"/>
      <c r="N111" s="116"/>
      <c r="O111" s="114" t="s">
        <v>93</v>
      </c>
      <c r="P111" s="116"/>
      <c r="Q111" s="116"/>
      <c r="R111" s="116"/>
    </row>
    <row r="112" spans="1:18">
      <c r="A112" s="114" t="s">
        <v>21</v>
      </c>
      <c r="B112" s="115">
        <v>0.14583333333333331</v>
      </c>
      <c r="C112" s="115">
        <v>0.15625</v>
      </c>
      <c r="D112" s="116"/>
      <c r="E112" s="114" t="s">
        <v>93</v>
      </c>
      <c r="F112" s="116"/>
      <c r="G112" s="116"/>
      <c r="H112" s="116"/>
      <c r="I112" s="116"/>
      <c r="J112" s="114" t="s">
        <v>93</v>
      </c>
      <c r="K112" s="116"/>
      <c r="L112" s="116"/>
      <c r="M112" s="116"/>
      <c r="N112" s="116"/>
      <c r="O112" s="114" t="s">
        <v>93</v>
      </c>
      <c r="P112" s="116"/>
      <c r="Q112" s="116"/>
      <c r="R112" s="116"/>
    </row>
    <row r="113" spans="1:18">
      <c r="A113" s="114" t="s">
        <v>21</v>
      </c>
      <c r="B113" s="115">
        <v>0.15625</v>
      </c>
      <c r="C113" s="115">
        <v>0.16666666666666663</v>
      </c>
      <c r="D113" s="116"/>
      <c r="E113" s="114" t="s">
        <v>93</v>
      </c>
      <c r="F113" s="116"/>
      <c r="G113" s="116"/>
      <c r="H113" s="116"/>
      <c r="I113" s="116"/>
      <c r="J113" s="114" t="s">
        <v>93</v>
      </c>
      <c r="K113" s="116"/>
      <c r="L113" s="116"/>
      <c r="M113" s="116"/>
      <c r="N113" s="116"/>
      <c r="O113" s="114" t="s">
        <v>93</v>
      </c>
      <c r="P113" s="116"/>
      <c r="Q113" s="116"/>
      <c r="R113" s="116"/>
    </row>
    <row r="114" spans="1:18">
      <c r="A114" s="114" t="s">
        <v>21</v>
      </c>
      <c r="B114" s="115">
        <v>0.16666666666666666</v>
      </c>
      <c r="C114" s="115">
        <v>0.17708333333333329</v>
      </c>
      <c r="D114" s="116"/>
      <c r="E114" s="114" t="s">
        <v>93</v>
      </c>
      <c r="F114" s="116"/>
      <c r="G114" s="116"/>
      <c r="H114" s="116"/>
      <c r="I114" s="116"/>
      <c r="J114" s="114" t="s">
        <v>93</v>
      </c>
      <c r="K114" s="116"/>
      <c r="L114" s="116"/>
      <c r="M114" s="116"/>
      <c r="N114" s="116"/>
      <c r="O114" s="114" t="s">
        <v>93</v>
      </c>
      <c r="P114" s="116"/>
      <c r="Q114" s="116"/>
      <c r="R114" s="116"/>
    </row>
    <row r="115" spans="1:18">
      <c r="A115" s="114" t="s">
        <v>21</v>
      </c>
      <c r="B115" s="115">
        <v>0.17708333333333334</v>
      </c>
      <c r="C115" s="115">
        <v>0.1875</v>
      </c>
      <c r="D115" s="116"/>
      <c r="E115" s="114" t="s">
        <v>93</v>
      </c>
      <c r="F115" s="116"/>
      <c r="G115" s="116"/>
      <c r="H115" s="116"/>
      <c r="I115" s="116"/>
      <c r="J115" s="114" t="s">
        <v>93</v>
      </c>
      <c r="K115" s="116"/>
      <c r="L115" s="116"/>
      <c r="M115" s="116"/>
      <c r="N115" s="116"/>
      <c r="O115" s="114" t="s">
        <v>93</v>
      </c>
      <c r="P115" s="116"/>
      <c r="Q115" s="116"/>
      <c r="R115" s="116"/>
    </row>
    <row r="116" spans="1:18">
      <c r="A116" s="114" t="s">
        <v>21</v>
      </c>
      <c r="B116" s="115">
        <v>0.1875</v>
      </c>
      <c r="C116" s="115">
        <v>0.1979166666666666</v>
      </c>
      <c r="D116" s="116"/>
      <c r="E116" s="114" t="s">
        <v>93</v>
      </c>
      <c r="F116" s="116"/>
      <c r="G116" s="116"/>
      <c r="H116" s="116"/>
      <c r="I116" s="116"/>
      <c r="J116" s="114" t="s">
        <v>93</v>
      </c>
      <c r="K116" s="116"/>
      <c r="L116" s="116"/>
      <c r="M116" s="116"/>
      <c r="N116" s="116"/>
      <c r="O116" s="114" t="s">
        <v>93</v>
      </c>
      <c r="P116" s="116"/>
      <c r="Q116" s="116"/>
      <c r="R116" s="116"/>
    </row>
    <row r="117" spans="1:18">
      <c r="A117" s="114" t="s">
        <v>21</v>
      </c>
      <c r="B117" s="115">
        <v>0.19791666666666666</v>
      </c>
      <c r="C117" s="115">
        <v>0.20833333333333326</v>
      </c>
      <c r="D117" s="116"/>
      <c r="E117" s="114" t="s">
        <v>93</v>
      </c>
      <c r="F117" s="116"/>
      <c r="G117" s="116"/>
      <c r="H117" s="116"/>
      <c r="I117" s="116"/>
      <c r="J117" s="114" t="s">
        <v>93</v>
      </c>
      <c r="K117" s="116"/>
      <c r="L117" s="116"/>
      <c r="M117" s="116"/>
      <c r="N117" s="116"/>
      <c r="O117" s="114" t="s">
        <v>93</v>
      </c>
      <c r="P117" s="116"/>
      <c r="Q117" s="116"/>
      <c r="R117" s="116"/>
    </row>
    <row r="118" spans="1:18">
      <c r="A118" s="114" t="s">
        <v>21</v>
      </c>
      <c r="B118" s="115">
        <v>0.20833333333333334</v>
      </c>
      <c r="C118" s="115">
        <v>0.21875</v>
      </c>
      <c r="D118" s="116"/>
      <c r="E118" s="114" t="s">
        <v>93</v>
      </c>
      <c r="F118" s="116"/>
      <c r="G118" s="116"/>
      <c r="H118" s="116"/>
      <c r="I118" s="116"/>
      <c r="J118" s="114" t="s">
        <v>93</v>
      </c>
      <c r="K118" s="116"/>
      <c r="L118" s="116"/>
      <c r="M118" s="116"/>
      <c r="N118" s="116"/>
      <c r="O118" s="114" t="s">
        <v>93</v>
      </c>
      <c r="P118" s="116"/>
      <c r="Q118" s="116"/>
      <c r="R118" s="116"/>
    </row>
    <row r="119" spans="1:18">
      <c r="A119" s="114" t="s">
        <v>21</v>
      </c>
      <c r="B119" s="115">
        <v>0.21875</v>
      </c>
      <c r="C119" s="115">
        <v>0.22916666666666657</v>
      </c>
      <c r="D119" s="116"/>
      <c r="E119" s="114" t="s">
        <v>93</v>
      </c>
      <c r="F119" s="116"/>
      <c r="G119" s="116"/>
      <c r="H119" s="116"/>
      <c r="I119" s="116"/>
      <c r="J119" s="114" t="s">
        <v>93</v>
      </c>
      <c r="K119" s="116"/>
      <c r="L119" s="116"/>
      <c r="M119" s="116"/>
      <c r="N119" s="116"/>
      <c r="O119" s="114" t="s">
        <v>93</v>
      </c>
      <c r="P119" s="116"/>
      <c r="Q119" s="116"/>
      <c r="R119" s="116"/>
    </row>
    <row r="120" spans="1:18">
      <c r="A120" s="114" t="s">
        <v>21</v>
      </c>
      <c r="B120" s="115">
        <v>0.22916666666666666</v>
      </c>
      <c r="C120" s="115">
        <v>0.23958333333333323</v>
      </c>
      <c r="D120" s="116"/>
      <c r="E120" s="114" t="s">
        <v>93</v>
      </c>
      <c r="F120" s="116"/>
      <c r="G120" s="116"/>
      <c r="H120" s="116"/>
      <c r="I120" s="116"/>
      <c r="J120" s="114" t="s">
        <v>93</v>
      </c>
      <c r="K120" s="116"/>
      <c r="L120" s="116"/>
      <c r="M120" s="116"/>
      <c r="N120" s="116"/>
      <c r="O120" s="114" t="s">
        <v>93</v>
      </c>
      <c r="P120" s="116"/>
      <c r="Q120" s="116"/>
      <c r="R120" s="116"/>
    </row>
    <row r="121" spans="1:18">
      <c r="A121" s="114" t="s">
        <v>21</v>
      </c>
      <c r="B121" s="115">
        <v>0.23958333333333334</v>
      </c>
      <c r="C121" s="115">
        <v>0.25</v>
      </c>
      <c r="D121" s="116"/>
      <c r="E121" s="114" t="s">
        <v>93</v>
      </c>
      <c r="F121" s="116"/>
      <c r="G121" s="116"/>
      <c r="H121" s="116"/>
      <c r="I121" s="116"/>
      <c r="J121" s="114" t="s">
        <v>93</v>
      </c>
      <c r="K121" s="116"/>
      <c r="L121" s="116"/>
      <c r="M121" s="116"/>
      <c r="N121" s="116"/>
      <c r="O121" s="114" t="s">
        <v>93</v>
      </c>
      <c r="P121" s="116"/>
      <c r="Q121" s="116"/>
      <c r="R121" s="116"/>
    </row>
    <row r="122" spans="1:18">
      <c r="A122" s="114" t="s">
        <v>21</v>
      </c>
      <c r="B122" s="115">
        <v>0.25</v>
      </c>
      <c r="C122" s="115">
        <v>0.26041666666666669</v>
      </c>
      <c r="D122" s="116"/>
      <c r="E122" s="114" t="s">
        <v>93</v>
      </c>
      <c r="F122" s="116"/>
      <c r="G122" s="116"/>
      <c r="H122" s="116"/>
      <c r="I122" s="116"/>
      <c r="J122" s="114" t="s">
        <v>93</v>
      </c>
      <c r="K122" s="116"/>
      <c r="L122" s="116"/>
      <c r="M122" s="116"/>
      <c r="N122" s="116"/>
      <c r="O122" s="114" t="s">
        <v>93</v>
      </c>
      <c r="P122" s="116"/>
      <c r="Q122" s="116"/>
      <c r="R122" s="116"/>
    </row>
    <row r="123" spans="1:18">
      <c r="A123" s="117" t="s">
        <v>21</v>
      </c>
      <c r="B123" s="118">
        <v>0.26041666666666669</v>
      </c>
      <c r="C123" s="118">
        <v>0.27083333333333331</v>
      </c>
      <c r="D123" s="119"/>
      <c r="E123" s="117" t="s">
        <v>93</v>
      </c>
      <c r="F123" s="119"/>
      <c r="G123" s="119"/>
      <c r="H123" s="119"/>
      <c r="I123" s="119"/>
      <c r="J123" s="117" t="s">
        <v>93</v>
      </c>
      <c r="K123" s="119"/>
      <c r="L123" s="119"/>
      <c r="M123" s="119"/>
      <c r="N123" s="119"/>
      <c r="O123" s="117" t="s">
        <v>93</v>
      </c>
      <c r="P123" s="119"/>
      <c r="Q123" s="119"/>
      <c r="R123" s="119"/>
    </row>
    <row r="124" spans="1:18">
      <c r="A124" s="117" t="s">
        <v>21</v>
      </c>
      <c r="B124" s="118">
        <v>0.27083333333333298</v>
      </c>
      <c r="C124" s="118">
        <v>0.28125</v>
      </c>
      <c r="D124" s="119"/>
      <c r="E124" s="117" t="s">
        <v>93</v>
      </c>
      <c r="F124" s="119"/>
      <c r="G124" s="119"/>
      <c r="H124" s="119"/>
      <c r="I124" s="119"/>
      <c r="J124" s="117" t="s">
        <v>93</v>
      </c>
      <c r="K124" s="119"/>
      <c r="L124" s="119"/>
      <c r="M124" s="119"/>
      <c r="N124" s="119"/>
      <c r="O124" s="117" t="s">
        <v>93</v>
      </c>
      <c r="P124" s="119"/>
      <c r="Q124" s="119"/>
      <c r="R124" s="119"/>
    </row>
    <row r="125" spans="1:18">
      <c r="A125" s="117" t="s">
        <v>21</v>
      </c>
      <c r="B125" s="118">
        <v>0.28125</v>
      </c>
      <c r="C125" s="118">
        <v>0.29166666666666702</v>
      </c>
      <c r="D125" s="119"/>
      <c r="E125" s="117" t="s">
        <v>93</v>
      </c>
      <c r="F125" s="119"/>
      <c r="G125" s="119"/>
      <c r="H125" s="119"/>
      <c r="I125" s="119"/>
      <c r="J125" s="117" t="s">
        <v>93</v>
      </c>
      <c r="K125" s="119"/>
      <c r="L125" s="119"/>
      <c r="M125" s="119"/>
      <c r="N125" s="119"/>
      <c r="O125" s="117" t="s">
        <v>93</v>
      </c>
      <c r="P125" s="119"/>
      <c r="Q125" s="119"/>
      <c r="R125" s="119"/>
    </row>
    <row r="126" spans="1:18">
      <c r="A126" s="117" t="s">
        <v>21</v>
      </c>
      <c r="B126" s="118">
        <v>0.29166666666666702</v>
      </c>
      <c r="C126" s="118">
        <v>0.30208333333333298</v>
      </c>
      <c r="D126" s="119"/>
      <c r="E126" s="117" t="s">
        <v>93</v>
      </c>
      <c r="F126" s="119"/>
      <c r="G126" s="119"/>
      <c r="H126" s="119"/>
      <c r="I126" s="119"/>
      <c r="J126" s="117" t="s">
        <v>93</v>
      </c>
      <c r="K126" s="119"/>
      <c r="L126" s="119"/>
      <c r="M126" s="119"/>
      <c r="N126" s="119"/>
      <c r="O126" s="117" t="s">
        <v>93</v>
      </c>
      <c r="P126" s="119"/>
      <c r="Q126" s="119"/>
      <c r="R126" s="119"/>
    </row>
    <row r="127" spans="1:18">
      <c r="A127" s="117" t="s">
        <v>21</v>
      </c>
      <c r="B127" s="118">
        <v>0.30208333333333298</v>
      </c>
      <c r="C127" s="118">
        <v>0.3125</v>
      </c>
      <c r="D127" s="119"/>
      <c r="E127" s="117" t="s">
        <v>93</v>
      </c>
      <c r="F127" s="119"/>
      <c r="G127" s="119"/>
      <c r="H127" s="119"/>
      <c r="I127" s="119"/>
      <c r="J127" s="117" t="s">
        <v>93</v>
      </c>
      <c r="K127" s="119"/>
      <c r="L127" s="119"/>
      <c r="M127" s="119"/>
      <c r="N127" s="119"/>
      <c r="O127" s="117" t="s">
        <v>93</v>
      </c>
      <c r="P127" s="119"/>
      <c r="Q127" s="119"/>
      <c r="R127" s="119"/>
    </row>
    <row r="128" spans="1:18">
      <c r="A128" s="117" t="s">
        <v>21</v>
      </c>
      <c r="B128" s="118">
        <v>0.3125</v>
      </c>
      <c r="C128" s="118">
        <v>0.32291666666666602</v>
      </c>
      <c r="D128" s="119"/>
      <c r="E128" s="117" t="s">
        <v>93</v>
      </c>
      <c r="F128" s="119"/>
      <c r="G128" s="119"/>
      <c r="H128" s="119"/>
      <c r="I128" s="119"/>
      <c r="J128" s="117" t="s">
        <v>93</v>
      </c>
      <c r="K128" s="119"/>
      <c r="L128" s="119"/>
      <c r="M128" s="119"/>
      <c r="N128" s="119"/>
      <c r="O128" s="117" t="s">
        <v>93</v>
      </c>
      <c r="P128" s="119"/>
      <c r="Q128" s="119"/>
      <c r="R128" s="119"/>
    </row>
    <row r="129" spans="1:18">
      <c r="A129" s="117" t="s">
        <v>21</v>
      </c>
      <c r="B129" s="118">
        <v>0.32291666666666702</v>
      </c>
      <c r="C129" s="118">
        <v>0.33333333333333298</v>
      </c>
      <c r="D129" s="119"/>
      <c r="E129" s="117" t="s">
        <v>93</v>
      </c>
      <c r="F129" s="119"/>
      <c r="G129" s="119"/>
      <c r="H129" s="119"/>
      <c r="I129" s="119"/>
      <c r="J129" s="117" t="s">
        <v>93</v>
      </c>
      <c r="K129" s="119"/>
      <c r="L129" s="119"/>
      <c r="M129" s="119"/>
      <c r="N129" s="119"/>
      <c r="O129" s="117" t="s">
        <v>93</v>
      </c>
      <c r="P129" s="119"/>
      <c r="Q129" s="119"/>
      <c r="R129" s="119"/>
    </row>
    <row r="130" spans="1:18">
      <c r="A130" s="117" t="s">
        <v>21</v>
      </c>
      <c r="B130" s="118">
        <v>0.33333333333333298</v>
      </c>
      <c r="C130" s="118">
        <v>0.34375</v>
      </c>
      <c r="D130" s="119"/>
      <c r="E130" s="117" t="s">
        <v>93</v>
      </c>
      <c r="F130" s="119"/>
      <c r="G130" s="119"/>
      <c r="H130" s="119"/>
      <c r="I130" s="119"/>
      <c r="J130" s="117" t="s">
        <v>93</v>
      </c>
      <c r="K130" s="119"/>
      <c r="L130" s="119"/>
      <c r="M130" s="119"/>
      <c r="N130" s="119"/>
      <c r="O130" s="117" t="s">
        <v>93</v>
      </c>
      <c r="P130" s="119"/>
      <c r="Q130" s="119"/>
      <c r="R130" s="119"/>
    </row>
    <row r="131" spans="1:18">
      <c r="A131" s="117" t="s">
        <v>21</v>
      </c>
      <c r="B131" s="118">
        <v>0.34375</v>
      </c>
      <c r="C131" s="118">
        <v>0.35416666666666602</v>
      </c>
      <c r="D131" s="119"/>
      <c r="E131" s="117" t="s">
        <v>93</v>
      </c>
      <c r="F131" s="119"/>
      <c r="G131" s="119"/>
      <c r="H131" s="119"/>
      <c r="I131" s="119"/>
      <c r="J131" s="117" t="s">
        <v>93</v>
      </c>
      <c r="K131" s="119"/>
      <c r="L131" s="119"/>
      <c r="M131" s="119"/>
      <c r="N131" s="119"/>
      <c r="O131" s="117" t="s">
        <v>93</v>
      </c>
      <c r="P131" s="119"/>
      <c r="Q131" s="119"/>
      <c r="R131" s="119"/>
    </row>
    <row r="132" spans="1:18">
      <c r="A132" s="117" t="s">
        <v>21</v>
      </c>
      <c r="B132" s="118">
        <v>0.35416666666666702</v>
      </c>
      <c r="C132" s="118">
        <v>0.36458333333333298</v>
      </c>
      <c r="D132" s="119"/>
      <c r="E132" s="117" t="s">
        <v>93</v>
      </c>
      <c r="F132" s="119"/>
      <c r="G132" s="119"/>
      <c r="H132" s="119"/>
      <c r="I132" s="119"/>
      <c r="J132" s="117" t="s">
        <v>93</v>
      </c>
      <c r="K132" s="119"/>
      <c r="L132" s="119"/>
      <c r="M132" s="119"/>
      <c r="N132" s="119"/>
      <c r="O132" s="117" t="s">
        <v>93</v>
      </c>
      <c r="P132" s="119"/>
      <c r="Q132" s="119"/>
      <c r="R132" s="119"/>
    </row>
    <row r="133" spans="1:18">
      <c r="A133" s="117" t="s">
        <v>21</v>
      </c>
      <c r="B133" s="118">
        <v>0.36458333333333398</v>
      </c>
      <c r="C133" s="118">
        <v>0.375</v>
      </c>
      <c r="D133" s="119"/>
      <c r="E133" s="117" t="s">
        <v>93</v>
      </c>
      <c r="F133" s="119"/>
      <c r="G133" s="119"/>
      <c r="H133" s="119"/>
      <c r="I133" s="119"/>
      <c r="J133" s="117" t="s">
        <v>93</v>
      </c>
      <c r="K133" s="119"/>
      <c r="L133" s="119"/>
      <c r="M133" s="119"/>
      <c r="N133" s="119"/>
      <c r="O133" s="117" t="s">
        <v>93</v>
      </c>
      <c r="P133" s="119"/>
      <c r="Q133" s="119"/>
      <c r="R133" s="119"/>
    </row>
    <row r="134" spans="1:18">
      <c r="A134" s="117" t="s">
        <v>21</v>
      </c>
      <c r="B134" s="118">
        <v>0.375</v>
      </c>
      <c r="C134" s="118">
        <v>0.38541666666666702</v>
      </c>
      <c r="D134" s="119"/>
      <c r="E134" s="117" t="s">
        <v>93</v>
      </c>
      <c r="F134" s="119"/>
      <c r="G134" s="119"/>
      <c r="H134" s="119"/>
      <c r="I134" s="119"/>
      <c r="J134" s="117" t="s">
        <v>93</v>
      </c>
      <c r="K134" s="119"/>
      <c r="L134" s="119"/>
      <c r="M134" s="119"/>
      <c r="N134" s="119"/>
      <c r="O134" s="117" t="s">
        <v>93</v>
      </c>
      <c r="P134" s="119"/>
      <c r="Q134" s="119"/>
      <c r="R134" s="119"/>
    </row>
    <row r="135" spans="1:18">
      <c r="A135" s="117" t="s">
        <v>21</v>
      </c>
      <c r="B135" s="118">
        <v>0.38541666666666702</v>
      </c>
      <c r="C135" s="118">
        <v>0.39583333333333298</v>
      </c>
      <c r="D135" s="119"/>
      <c r="E135" s="117" t="s">
        <v>93</v>
      </c>
      <c r="F135" s="119"/>
      <c r="G135" s="119"/>
      <c r="H135" s="119"/>
      <c r="I135" s="119"/>
      <c r="J135" s="117" t="s">
        <v>93</v>
      </c>
      <c r="K135" s="119"/>
      <c r="L135" s="119"/>
      <c r="M135" s="119"/>
      <c r="N135" s="119"/>
      <c r="O135" s="117" t="s">
        <v>93</v>
      </c>
      <c r="P135" s="119"/>
      <c r="Q135" s="119"/>
      <c r="R135" s="119"/>
    </row>
    <row r="136" spans="1:18">
      <c r="A136" s="117" t="s">
        <v>21</v>
      </c>
      <c r="B136" s="118">
        <v>0.39583333333333398</v>
      </c>
      <c r="C136" s="118">
        <v>0.40625</v>
      </c>
      <c r="D136" s="119"/>
      <c r="E136" s="117" t="s">
        <v>93</v>
      </c>
      <c r="F136" s="119"/>
      <c r="G136" s="119"/>
      <c r="H136" s="119"/>
      <c r="I136" s="119"/>
      <c r="J136" s="117" t="s">
        <v>93</v>
      </c>
      <c r="K136" s="119"/>
      <c r="L136" s="119"/>
      <c r="M136" s="119"/>
      <c r="N136" s="119"/>
      <c r="O136" s="117" t="s">
        <v>93</v>
      </c>
      <c r="P136" s="119"/>
      <c r="Q136" s="119"/>
      <c r="R136" s="119"/>
    </row>
    <row r="137" spans="1:18">
      <c r="A137" s="117" t="s">
        <v>21</v>
      </c>
      <c r="B137" s="118">
        <v>0.40625</v>
      </c>
      <c r="C137" s="118">
        <v>0.41666666666666602</v>
      </c>
      <c r="D137" s="119"/>
      <c r="E137" s="117" t="s">
        <v>93</v>
      </c>
      <c r="F137" s="119"/>
      <c r="G137" s="119"/>
      <c r="H137" s="119"/>
      <c r="I137" s="119"/>
      <c r="J137" s="117" t="s">
        <v>93</v>
      </c>
      <c r="K137" s="119"/>
      <c r="L137" s="119"/>
      <c r="M137" s="119"/>
      <c r="N137" s="119"/>
      <c r="O137" s="117" t="s">
        <v>93</v>
      </c>
      <c r="P137" s="119"/>
      <c r="Q137" s="119"/>
      <c r="R137" s="119"/>
    </row>
    <row r="138" spans="1:18">
      <c r="A138" s="117" t="s">
        <v>21</v>
      </c>
      <c r="B138" s="118">
        <v>0.41666666666666702</v>
      </c>
      <c r="C138" s="118">
        <v>0.42708333333333298</v>
      </c>
      <c r="D138" s="119"/>
      <c r="E138" s="117" t="s">
        <v>93</v>
      </c>
      <c r="F138" s="119"/>
      <c r="G138" s="119"/>
      <c r="H138" s="119"/>
      <c r="I138" s="119"/>
      <c r="J138" s="117" t="s">
        <v>93</v>
      </c>
      <c r="K138" s="119"/>
      <c r="L138" s="119"/>
      <c r="M138" s="119"/>
      <c r="N138" s="119"/>
      <c r="O138" s="117" t="s">
        <v>93</v>
      </c>
      <c r="P138" s="119"/>
      <c r="Q138" s="119"/>
      <c r="R138" s="119"/>
    </row>
    <row r="139" spans="1:18">
      <c r="A139" s="117" t="s">
        <v>21</v>
      </c>
      <c r="B139" s="118">
        <v>0.42708333333333398</v>
      </c>
      <c r="C139" s="118">
        <v>0.4375</v>
      </c>
      <c r="D139" s="119"/>
      <c r="E139" s="117" t="s">
        <v>93</v>
      </c>
      <c r="F139" s="119"/>
      <c r="G139" s="119"/>
      <c r="H139" s="119"/>
      <c r="I139" s="119"/>
      <c r="J139" s="117" t="s">
        <v>93</v>
      </c>
      <c r="K139" s="119"/>
      <c r="L139" s="119"/>
      <c r="M139" s="119"/>
      <c r="N139" s="119"/>
      <c r="O139" s="117" t="s">
        <v>93</v>
      </c>
      <c r="P139" s="119"/>
      <c r="Q139" s="119"/>
      <c r="R139" s="119"/>
    </row>
    <row r="140" spans="1:18">
      <c r="A140" s="117" t="s">
        <v>21</v>
      </c>
      <c r="B140" s="118">
        <v>0.4375</v>
      </c>
      <c r="C140" s="118">
        <v>0.44791666666666602</v>
      </c>
      <c r="D140" s="119"/>
      <c r="E140" s="117" t="s">
        <v>93</v>
      </c>
      <c r="F140" s="119"/>
      <c r="G140" s="119"/>
      <c r="H140" s="119"/>
      <c r="I140" s="119"/>
      <c r="J140" s="117" t="s">
        <v>93</v>
      </c>
      <c r="K140" s="119"/>
      <c r="L140" s="119"/>
      <c r="M140" s="119"/>
      <c r="N140" s="119"/>
      <c r="O140" s="117" t="s">
        <v>93</v>
      </c>
      <c r="P140" s="119"/>
      <c r="Q140" s="119"/>
      <c r="R140" s="119"/>
    </row>
    <row r="141" spans="1:18">
      <c r="A141" s="117" t="s">
        <v>21</v>
      </c>
      <c r="B141" s="118">
        <v>0.44791666666666702</v>
      </c>
      <c r="C141" s="118">
        <v>0.45833333333333298</v>
      </c>
      <c r="D141" s="119"/>
      <c r="E141" s="117" t="s">
        <v>93</v>
      </c>
      <c r="F141" s="119"/>
      <c r="G141" s="119"/>
      <c r="H141" s="119"/>
      <c r="I141" s="119"/>
      <c r="J141" s="117" t="s">
        <v>93</v>
      </c>
      <c r="K141" s="119"/>
      <c r="L141" s="119"/>
      <c r="M141" s="119"/>
      <c r="N141" s="119"/>
      <c r="O141" s="117" t="s">
        <v>93</v>
      </c>
      <c r="P141" s="119"/>
      <c r="Q141" s="119"/>
      <c r="R141" s="119"/>
    </row>
    <row r="142" spans="1:18">
      <c r="A142" s="117" t="s">
        <v>21</v>
      </c>
      <c r="B142" s="118">
        <v>0.45833333333333398</v>
      </c>
      <c r="C142" s="118">
        <v>0.46875</v>
      </c>
      <c r="D142" s="119"/>
      <c r="E142" s="117" t="s">
        <v>93</v>
      </c>
      <c r="F142" s="119"/>
      <c r="G142" s="119"/>
      <c r="H142" s="119"/>
      <c r="I142" s="119"/>
      <c r="J142" s="117" t="s">
        <v>93</v>
      </c>
      <c r="K142" s="119"/>
      <c r="L142" s="119"/>
      <c r="M142" s="119"/>
      <c r="N142" s="119"/>
      <c r="O142" s="117" t="s">
        <v>93</v>
      </c>
      <c r="P142" s="119"/>
      <c r="Q142" s="119"/>
      <c r="R142" s="119"/>
    </row>
    <row r="143" spans="1:18">
      <c r="A143" s="117" t="s">
        <v>21</v>
      </c>
      <c r="B143" s="118">
        <v>0.46875</v>
      </c>
      <c r="C143" s="118">
        <v>0.47916666666666602</v>
      </c>
      <c r="D143" s="119"/>
      <c r="E143" s="117" t="s">
        <v>93</v>
      </c>
      <c r="F143" s="119"/>
      <c r="G143" s="119"/>
      <c r="H143" s="119"/>
      <c r="I143" s="119"/>
      <c r="J143" s="117" t="s">
        <v>93</v>
      </c>
      <c r="K143" s="119"/>
      <c r="L143" s="119"/>
      <c r="M143" s="119"/>
      <c r="N143" s="119"/>
      <c r="O143" s="117" t="s">
        <v>93</v>
      </c>
      <c r="P143" s="119"/>
      <c r="Q143" s="119"/>
      <c r="R143" s="119"/>
    </row>
    <row r="144" spans="1:18">
      <c r="A144" s="117" t="s">
        <v>21</v>
      </c>
      <c r="B144" s="118">
        <v>0.47916666666666702</v>
      </c>
      <c r="C144" s="118">
        <v>0.48958333333333298</v>
      </c>
      <c r="D144" s="119"/>
      <c r="E144" s="117" t="s">
        <v>93</v>
      </c>
      <c r="F144" s="119"/>
      <c r="G144" s="119"/>
      <c r="H144" s="119"/>
      <c r="I144" s="119"/>
      <c r="J144" s="117" t="s">
        <v>93</v>
      </c>
      <c r="K144" s="119"/>
      <c r="L144" s="119"/>
      <c r="M144" s="119"/>
      <c r="N144" s="119"/>
      <c r="O144" s="117" t="s">
        <v>93</v>
      </c>
      <c r="P144" s="119"/>
      <c r="Q144" s="119"/>
      <c r="R144" s="119"/>
    </row>
    <row r="145" spans="1:18">
      <c r="A145" s="117" t="s">
        <v>21</v>
      </c>
      <c r="B145" s="118">
        <v>0.48958333333333398</v>
      </c>
      <c r="C145" s="118">
        <v>0.499999999999999</v>
      </c>
      <c r="D145" s="119"/>
      <c r="E145" s="117" t="s">
        <v>93</v>
      </c>
      <c r="F145" s="119"/>
      <c r="G145" s="119"/>
      <c r="H145" s="119"/>
      <c r="I145" s="119"/>
      <c r="J145" s="117" t="s">
        <v>93</v>
      </c>
      <c r="K145" s="119"/>
      <c r="L145" s="119"/>
      <c r="M145" s="119"/>
      <c r="N145" s="119"/>
      <c r="O145" s="117" t="s">
        <v>93</v>
      </c>
      <c r="P145" s="119"/>
      <c r="Q145" s="119"/>
      <c r="R145" s="119"/>
    </row>
    <row r="146" spans="1:18">
      <c r="A146" s="117" t="s">
        <v>21</v>
      </c>
      <c r="B146" s="118">
        <v>0.5</v>
      </c>
      <c r="C146" s="118">
        <v>0.51041666666666596</v>
      </c>
      <c r="D146" s="119"/>
      <c r="E146" s="117" t="s">
        <v>93</v>
      </c>
      <c r="F146" s="119"/>
      <c r="G146" s="119"/>
      <c r="H146" s="119"/>
      <c r="I146" s="119"/>
      <c r="J146" s="117" t="s">
        <v>93</v>
      </c>
      <c r="K146" s="119"/>
      <c r="L146" s="119"/>
      <c r="M146" s="119"/>
      <c r="N146" s="119"/>
      <c r="O146" s="117" t="s">
        <v>93</v>
      </c>
      <c r="P146" s="119"/>
      <c r="Q146" s="119"/>
      <c r="R146" s="119"/>
    </row>
    <row r="147" spans="1:18">
      <c r="A147" s="117" t="s">
        <v>21</v>
      </c>
      <c r="B147" s="118">
        <v>0.51041666666666696</v>
      </c>
      <c r="C147" s="118">
        <v>0.52083333333333304</v>
      </c>
      <c r="D147" s="119"/>
      <c r="E147" s="117" t="s">
        <v>93</v>
      </c>
      <c r="F147" s="119"/>
      <c r="G147" s="119"/>
      <c r="H147" s="119"/>
      <c r="I147" s="119"/>
      <c r="J147" s="117" t="s">
        <v>93</v>
      </c>
      <c r="K147" s="119"/>
      <c r="L147" s="119"/>
      <c r="M147" s="119"/>
      <c r="N147" s="119"/>
      <c r="O147" s="117" t="s">
        <v>93</v>
      </c>
      <c r="P147" s="119"/>
      <c r="Q147" s="119"/>
      <c r="R147" s="119"/>
    </row>
    <row r="148" spans="1:18">
      <c r="A148" s="117" t="s">
        <v>21</v>
      </c>
      <c r="B148" s="118">
        <v>0.52083333333333404</v>
      </c>
      <c r="C148" s="118">
        <v>0.531249999999999</v>
      </c>
      <c r="D148" s="119"/>
      <c r="E148" s="117" t="s">
        <v>93</v>
      </c>
      <c r="F148" s="119"/>
      <c r="G148" s="119"/>
      <c r="H148" s="119"/>
      <c r="I148" s="119"/>
      <c r="J148" s="117" t="s">
        <v>93</v>
      </c>
      <c r="K148" s="119"/>
      <c r="L148" s="119"/>
      <c r="M148" s="119"/>
      <c r="N148" s="119"/>
      <c r="O148" s="117" t="s">
        <v>93</v>
      </c>
      <c r="P148" s="119"/>
      <c r="Q148" s="119"/>
      <c r="R148" s="119"/>
    </row>
    <row r="149" spans="1:18">
      <c r="A149" s="117" t="s">
        <v>21</v>
      </c>
      <c r="B149" s="118">
        <v>0.53125</v>
      </c>
      <c r="C149" s="118">
        <v>0.54166666666666596</v>
      </c>
      <c r="D149" s="119"/>
      <c r="E149" s="117" t="s">
        <v>93</v>
      </c>
      <c r="F149" s="119"/>
      <c r="G149" s="119"/>
      <c r="H149" s="119"/>
      <c r="I149" s="119"/>
      <c r="J149" s="117" t="s">
        <v>93</v>
      </c>
      <c r="K149" s="119"/>
      <c r="L149" s="119"/>
      <c r="M149" s="119"/>
      <c r="N149" s="119"/>
      <c r="O149" s="117" t="s">
        <v>93</v>
      </c>
      <c r="P149" s="119"/>
      <c r="Q149" s="119"/>
      <c r="R149" s="119"/>
    </row>
    <row r="150" spans="1:18">
      <c r="A150" s="117" t="s">
        <v>21</v>
      </c>
      <c r="B150" s="118">
        <v>0.54166666666666696</v>
      </c>
      <c r="C150" s="118">
        <v>0.55208333333333304</v>
      </c>
      <c r="D150" s="119"/>
      <c r="E150" s="117" t="s">
        <v>93</v>
      </c>
      <c r="F150" s="119"/>
      <c r="G150" s="119"/>
      <c r="H150" s="119"/>
      <c r="I150" s="119"/>
      <c r="J150" s="117" t="s">
        <v>93</v>
      </c>
      <c r="K150" s="119"/>
      <c r="L150" s="119"/>
      <c r="M150" s="119"/>
      <c r="N150" s="119"/>
      <c r="O150" s="117" t="s">
        <v>93</v>
      </c>
      <c r="P150" s="119"/>
      <c r="Q150" s="119"/>
      <c r="R150" s="119"/>
    </row>
    <row r="151" spans="1:18">
      <c r="A151" s="117" t="s">
        <v>21</v>
      </c>
      <c r="B151" s="118">
        <v>0.55208333333333404</v>
      </c>
      <c r="C151" s="118">
        <v>0.562499999999999</v>
      </c>
      <c r="D151" s="119"/>
      <c r="E151" s="117" t="s">
        <v>93</v>
      </c>
      <c r="F151" s="119"/>
      <c r="G151" s="119"/>
      <c r="H151" s="119"/>
      <c r="I151" s="119"/>
      <c r="J151" s="117" t="s">
        <v>93</v>
      </c>
      <c r="K151" s="119"/>
      <c r="L151" s="119"/>
      <c r="M151" s="119"/>
      <c r="N151" s="119"/>
      <c r="O151" s="117" t="s">
        <v>93</v>
      </c>
      <c r="P151" s="119"/>
      <c r="Q151" s="119"/>
      <c r="R151" s="119"/>
    </row>
    <row r="152" spans="1:18">
      <c r="A152" s="117" t="s">
        <v>21</v>
      </c>
      <c r="B152" s="118">
        <v>0.562500000000001</v>
      </c>
      <c r="C152" s="118">
        <v>0.57291666666666596</v>
      </c>
      <c r="D152" s="119"/>
      <c r="E152" s="117" t="s">
        <v>93</v>
      </c>
      <c r="F152" s="119"/>
      <c r="G152" s="119"/>
      <c r="H152" s="119"/>
      <c r="I152" s="119"/>
      <c r="J152" s="117" t="s">
        <v>93</v>
      </c>
      <c r="K152" s="119"/>
      <c r="L152" s="119"/>
      <c r="M152" s="119"/>
      <c r="N152" s="119"/>
      <c r="O152" s="117" t="s">
        <v>93</v>
      </c>
      <c r="P152" s="119"/>
      <c r="Q152" s="119"/>
      <c r="R152" s="119"/>
    </row>
    <row r="153" spans="1:18">
      <c r="A153" s="117" t="s">
        <v>21</v>
      </c>
      <c r="B153" s="118">
        <v>0.57291666666666696</v>
      </c>
      <c r="C153" s="118">
        <v>0.58333333333333304</v>
      </c>
      <c r="D153" s="119"/>
      <c r="E153" s="117" t="s">
        <v>93</v>
      </c>
      <c r="F153" s="119"/>
      <c r="G153" s="119"/>
      <c r="H153" s="119"/>
      <c r="I153" s="119"/>
      <c r="J153" s="117" t="s">
        <v>93</v>
      </c>
      <c r="K153" s="119"/>
      <c r="L153" s="119"/>
      <c r="M153" s="119"/>
      <c r="N153" s="119"/>
      <c r="O153" s="117" t="s">
        <v>93</v>
      </c>
      <c r="P153" s="119"/>
      <c r="Q153" s="119"/>
      <c r="R153" s="119"/>
    </row>
    <row r="154" spans="1:18">
      <c r="A154" s="117" t="s">
        <v>21</v>
      </c>
      <c r="B154" s="118">
        <v>0.58333333333333404</v>
      </c>
      <c r="C154" s="118">
        <v>0.593749999999999</v>
      </c>
      <c r="D154" s="119"/>
      <c r="E154" s="117" t="s">
        <v>93</v>
      </c>
      <c r="F154" s="119"/>
      <c r="G154" s="119"/>
      <c r="H154" s="119"/>
      <c r="I154" s="119"/>
      <c r="J154" s="117" t="s">
        <v>93</v>
      </c>
      <c r="K154" s="119"/>
      <c r="L154" s="119"/>
      <c r="M154" s="119"/>
      <c r="N154" s="119"/>
      <c r="O154" s="117" t="s">
        <v>93</v>
      </c>
      <c r="P154" s="119"/>
      <c r="Q154" s="119"/>
      <c r="R154" s="119"/>
    </row>
    <row r="155" spans="1:18">
      <c r="A155" s="117" t="s">
        <v>21</v>
      </c>
      <c r="B155" s="118">
        <v>0.593750000000001</v>
      </c>
      <c r="C155" s="118">
        <v>0.60416666666666596</v>
      </c>
      <c r="D155" s="119"/>
      <c r="E155" s="117" t="s">
        <v>93</v>
      </c>
      <c r="F155" s="119"/>
      <c r="G155" s="119"/>
      <c r="H155" s="119"/>
      <c r="I155" s="119"/>
      <c r="J155" s="117" t="s">
        <v>93</v>
      </c>
      <c r="K155" s="119"/>
      <c r="L155" s="119"/>
      <c r="M155" s="119"/>
      <c r="N155" s="119"/>
      <c r="O155" s="117" t="s">
        <v>93</v>
      </c>
      <c r="P155" s="119"/>
      <c r="Q155" s="119"/>
      <c r="R155" s="119"/>
    </row>
    <row r="156" spans="1:18">
      <c r="A156" s="117" t="s">
        <v>21</v>
      </c>
      <c r="B156" s="118">
        <v>0.60416666666666796</v>
      </c>
      <c r="C156" s="118">
        <v>0.61458333333333304</v>
      </c>
      <c r="D156" s="119"/>
      <c r="E156" s="117" t="s">
        <v>93</v>
      </c>
      <c r="F156" s="119"/>
      <c r="G156" s="119"/>
      <c r="H156" s="119"/>
      <c r="I156" s="119"/>
      <c r="J156" s="117" t="s">
        <v>93</v>
      </c>
      <c r="K156" s="119"/>
      <c r="L156" s="119"/>
      <c r="M156" s="119"/>
      <c r="N156" s="119"/>
      <c r="O156" s="117" t="s">
        <v>93</v>
      </c>
      <c r="P156" s="119"/>
      <c r="Q156" s="119"/>
      <c r="R156" s="119"/>
    </row>
    <row r="157" spans="1:18">
      <c r="A157" s="117" t="s">
        <v>21</v>
      </c>
      <c r="B157" s="118">
        <v>0.61458333333333504</v>
      </c>
      <c r="C157" s="118">
        <v>0.625</v>
      </c>
      <c r="D157" s="119"/>
      <c r="E157" s="117" t="s">
        <v>93</v>
      </c>
      <c r="F157" s="119"/>
      <c r="G157" s="119"/>
      <c r="H157" s="119"/>
      <c r="I157" s="119"/>
      <c r="J157" s="117" t="s">
        <v>93</v>
      </c>
      <c r="K157" s="119"/>
      <c r="L157" s="119"/>
      <c r="M157" s="119"/>
      <c r="N157" s="119"/>
      <c r="O157" s="117" t="s">
        <v>93</v>
      </c>
      <c r="P157" s="119"/>
      <c r="Q157" s="119"/>
      <c r="R157" s="119"/>
    </row>
    <row r="158" spans="1:18">
      <c r="A158" s="117" t="s">
        <v>21</v>
      </c>
      <c r="B158" s="118">
        <v>0.625000000000002</v>
      </c>
      <c r="C158" s="118">
        <v>0.63541666666666696</v>
      </c>
      <c r="D158" s="119"/>
      <c r="E158" s="117" t="s">
        <v>93</v>
      </c>
      <c r="F158" s="119"/>
      <c r="G158" s="119"/>
      <c r="H158" s="119"/>
      <c r="I158" s="119"/>
      <c r="J158" s="117" t="s">
        <v>93</v>
      </c>
      <c r="K158" s="119"/>
      <c r="L158" s="119"/>
      <c r="M158" s="119"/>
      <c r="N158" s="119"/>
      <c r="O158" s="117" t="s">
        <v>93</v>
      </c>
      <c r="P158" s="119"/>
      <c r="Q158" s="119"/>
      <c r="R158" s="119"/>
    </row>
    <row r="159" spans="1:18">
      <c r="A159" s="117" t="s">
        <v>21</v>
      </c>
      <c r="B159" s="118">
        <v>0.63541666666666896</v>
      </c>
      <c r="C159" s="118">
        <v>0.64583333333333404</v>
      </c>
      <c r="D159" s="119"/>
      <c r="E159" s="117" t="s">
        <v>93</v>
      </c>
      <c r="F159" s="119"/>
      <c r="G159" s="119"/>
      <c r="H159" s="119"/>
      <c r="I159" s="119"/>
      <c r="J159" s="117" t="s">
        <v>93</v>
      </c>
      <c r="K159" s="119"/>
      <c r="L159" s="119"/>
      <c r="M159" s="119"/>
      <c r="N159" s="119"/>
      <c r="O159" s="117" t="s">
        <v>93</v>
      </c>
      <c r="P159" s="119"/>
      <c r="Q159" s="119"/>
      <c r="R159" s="119"/>
    </row>
    <row r="160" spans="1:18">
      <c r="A160" s="117" t="s">
        <v>21</v>
      </c>
      <c r="B160" s="118">
        <v>0.64583333333333603</v>
      </c>
      <c r="C160" s="118">
        <v>0.656250000000001</v>
      </c>
      <c r="D160" s="119"/>
      <c r="E160" s="117" t="s">
        <v>93</v>
      </c>
      <c r="F160" s="119"/>
      <c r="G160" s="119"/>
      <c r="H160" s="119"/>
      <c r="I160" s="119"/>
      <c r="J160" s="117" t="s">
        <v>93</v>
      </c>
      <c r="K160" s="119"/>
      <c r="L160" s="119"/>
      <c r="M160" s="119"/>
      <c r="N160" s="119"/>
      <c r="O160" s="117" t="s">
        <v>93</v>
      </c>
      <c r="P160" s="119"/>
      <c r="Q160" s="119"/>
      <c r="R160" s="119"/>
    </row>
    <row r="161" spans="1:18">
      <c r="A161" s="117" t="s">
        <v>21</v>
      </c>
      <c r="B161" s="118">
        <v>0.656250000000003</v>
      </c>
      <c r="C161" s="118">
        <v>0.66666666666666796</v>
      </c>
      <c r="D161" s="119"/>
      <c r="E161" s="117" t="s">
        <v>93</v>
      </c>
      <c r="F161" s="119"/>
      <c r="G161" s="119"/>
      <c r="H161" s="119"/>
      <c r="I161" s="119"/>
      <c r="J161" s="117" t="s">
        <v>93</v>
      </c>
      <c r="K161" s="119"/>
      <c r="L161" s="119"/>
      <c r="M161" s="119"/>
      <c r="N161" s="119"/>
      <c r="O161" s="117" t="s">
        <v>93</v>
      </c>
      <c r="P161" s="119"/>
      <c r="Q161" s="119"/>
      <c r="R161" s="119"/>
    </row>
    <row r="162" spans="1:18">
      <c r="A162" s="117" t="s">
        <v>21</v>
      </c>
      <c r="B162" s="118">
        <v>0.66666666666666996</v>
      </c>
      <c r="C162" s="118">
        <v>0.67708333333333504</v>
      </c>
      <c r="D162" s="119"/>
      <c r="E162" s="117" t="s">
        <v>93</v>
      </c>
      <c r="F162" s="119"/>
      <c r="G162" s="119"/>
      <c r="H162" s="119"/>
      <c r="I162" s="119"/>
      <c r="J162" s="117" t="s">
        <v>93</v>
      </c>
      <c r="K162" s="119"/>
      <c r="L162" s="119"/>
      <c r="M162" s="119"/>
      <c r="N162" s="119"/>
      <c r="O162" s="117" t="s">
        <v>93</v>
      </c>
      <c r="P162" s="119"/>
      <c r="Q162" s="119"/>
      <c r="R162" s="119"/>
    </row>
    <row r="163" spans="1:18">
      <c r="A163" s="117" t="s">
        <v>21</v>
      </c>
      <c r="B163" s="118">
        <v>0.67708333333333703</v>
      </c>
      <c r="C163" s="118">
        <v>0.687500000000002</v>
      </c>
      <c r="D163" s="119"/>
      <c r="E163" s="117" t="s">
        <v>93</v>
      </c>
      <c r="F163" s="119"/>
      <c r="G163" s="119"/>
      <c r="H163" s="119"/>
      <c r="I163" s="119"/>
      <c r="J163" s="117" t="s">
        <v>93</v>
      </c>
      <c r="K163" s="119"/>
      <c r="L163" s="119"/>
      <c r="M163" s="119"/>
      <c r="N163" s="119"/>
      <c r="O163" s="117" t="s">
        <v>93</v>
      </c>
      <c r="P163" s="119"/>
      <c r="Q163" s="119"/>
      <c r="R163" s="119"/>
    </row>
    <row r="164" spans="1:18">
      <c r="A164" s="117" t="s">
        <v>21</v>
      </c>
      <c r="B164" s="118">
        <v>0.687500000000004</v>
      </c>
      <c r="C164" s="118">
        <v>0.69791666666666896</v>
      </c>
      <c r="D164" s="119"/>
      <c r="E164" s="117" t="s">
        <v>93</v>
      </c>
      <c r="F164" s="119"/>
      <c r="G164" s="119"/>
      <c r="H164" s="119"/>
      <c r="I164" s="119"/>
      <c r="J164" s="117" t="s">
        <v>93</v>
      </c>
      <c r="K164" s="119"/>
      <c r="L164" s="119"/>
      <c r="M164" s="119"/>
      <c r="N164" s="119"/>
      <c r="O164" s="117" t="s">
        <v>93</v>
      </c>
      <c r="P164" s="119"/>
      <c r="Q164" s="119"/>
      <c r="R164" s="119"/>
    </row>
    <row r="165" spans="1:18">
      <c r="A165" s="117" t="s">
        <v>21</v>
      </c>
      <c r="B165" s="118">
        <v>0.69791666666667096</v>
      </c>
      <c r="C165" s="118">
        <v>0.70833333333333603</v>
      </c>
      <c r="D165" s="119"/>
      <c r="E165" s="117" t="s">
        <v>93</v>
      </c>
      <c r="F165" s="119"/>
      <c r="G165" s="119"/>
      <c r="H165" s="119"/>
      <c r="I165" s="119"/>
      <c r="J165" s="117" t="s">
        <v>93</v>
      </c>
      <c r="K165" s="119"/>
      <c r="L165" s="119"/>
      <c r="M165" s="119"/>
      <c r="N165" s="119"/>
      <c r="O165" s="117" t="s">
        <v>93</v>
      </c>
      <c r="P165" s="119"/>
      <c r="Q165" s="119"/>
      <c r="R165" s="119"/>
    </row>
    <row r="166" spans="1:18">
      <c r="A166" s="117" t="s">
        <v>21</v>
      </c>
      <c r="B166" s="118">
        <v>0.70833333333333803</v>
      </c>
      <c r="C166" s="118">
        <v>0.718750000000003</v>
      </c>
      <c r="D166" s="119"/>
      <c r="E166" s="117" t="s">
        <v>93</v>
      </c>
      <c r="F166" s="119"/>
      <c r="G166" s="119"/>
      <c r="H166" s="119"/>
      <c r="I166" s="119"/>
      <c r="J166" s="117" t="s">
        <v>93</v>
      </c>
      <c r="K166" s="119"/>
      <c r="L166" s="119"/>
      <c r="M166" s="119"/>
      <c r="N166" s="119"/>
      <c r="O166" s="117" t="s">
        <v>93</v>
      </c>
      <c r="P166" s="119"/>
      <c r="Q166" s="119"/>
      <c r="R166" s="119"/>
    </row>
    <row r="167" spans="1:18">
      <c r="A167" s="117" t="s">
        <v>21</v>
      </c>
      <c r="B167" s="118">
        <v>0.718750000000005</v>
      </c>
      <c r="C167" s="118">
        <v>0.72916666666666996</v>
      </c>
      <c r="D167" s="119"/>
      <c r="E167" s="117" t="s">
        <v>93</v>
      </c>
      <c r="F167" s="119"/>
      <c r="G167" s="119"/>
      <c r="H167" s="119"/>
      <c r="I167" s="119"/>
      <c r="J167" s="117" t="s">
        <v>93</v>
      </c>
      <c r="K167" s="119"/>
      <c r="L167" s="119"/>
      <c r="M167" s="119"/>
      <c r="N167" s="119"/>
      <c r="O167" s="117" t="s">
        <v>93</v>
      </c>
      <c r="P167" s="119"/>
      <c r="Q167" s="119"/>
      <c r="R167" s="119"/>
    </row>
    <row r="168" spans="1:18">
      <c r="A168" s="117" t="s">
        <v>21</v>
      </c>
      <c r="B168" s="118">
        <v>0.72916666666667096</v>
      </c>
      <c r="C168" s="118">
        <v>0.73958333333333603</v>
      </c>
      <c r="D168" s="119"/>
      <c r="E168" s="117" t="s">
        <v>93</v>
      </c>
      <c r="F168" s="119"/>
      <c r="G168" s="119"/>
      <c r="H168" s="119"/>
      <c r="I168" s="119"/>
      <c r="J168" s="117" t="s">
        <v>93</v>
      </c>
      <c r="K168" s="119"/>
      <c r="L168" s="119"/>
      <c r="M168" s="119"/>
      <c r="N168" s="119"/>
      <c r="O168" s="117" t="s">
        <v>93</v>
      </c>
      <c r="P168" s="119"/>
      <c r="Q168" s="119"/>
      <c r="R168" s="119"/>
    </row>
    <row r="169" spans="1:18">
      <c r="A169" s="117" t="s">
        <v>21</v>
      </c>
      <c r="B169" s="118">
        <v>0.73958333333333803</v>
      </c>
      <c r="C169" s="118">
        <v>0.750000000000003</v>
      </c>
      <c r="D169" s="119"/>
      <c r="E169" s="117" t="s">
        <v>93</v>
      </c>
      <c r="F169" s="119"/>
      <c r="G169" s="119"/>
      <c r="H169" s="119"/>
      <c r="I169" s="119"/>
      <c r="J169" s="117" t="s">
        <v>93</v>
      </c>
      <c r="K169" s="119"/>
      <c r="L169" s="119"/>
      <c r="M169" s="119"/>
      <c r="N169" s="119"/>
      <c r="O169" s="117" t="s">
        <v>93</v>
      </c>
      <c r="P169" s="119"/>
      <c r="Q169" s="119"/>
      <c r="R169" s="119"/>
    </row>
    <row r="170" spans="1:18">
      <c r="A170" s="117" t="s">
        <v>21</v>
      </c>
      <c r="B170" s="118">
        <v>0.750000000000005</v>
      </c>
      <c r="C170" s="118">
        <v>0.76041666666666996</v>
      </c>
      <c r="D170" s="119"/>
      <c r="E170" s="117" t="s">
        <v>93</v>
      </c>
      <c r="F170" s="119"/>
      <c r="G170" s="119"/>
      <c r="H170" s="119"/>
      <c r="I170" s="119"/>
      <c r="J170" s="117" t="s">
        <v>93</v>
      </c>
      <c r="K170" s="119"/>
      <c r="L170" s="119"/>
      <c r="M170" s="119"/>
      <c r="N170" s="119"/>
      <c r="O170" s="117" t="s">
        <v>93</v>
      </c>
      <c r="P170" s="119"/>
      <c r="Q170" s="119"/>
      <c r="R170" s="119"/>
    </row>
    <row r="171" spans="1:18">
      <c r="A171" s="117" t="s">
        <v>21</v>
      </c>
      <c r="B171" s="118">
        <v>0.76041666666667196</v>
      </c>
      <c r="C171" s="118">
        <v>0.77083333333333703</v>
      </c>
      <c r="D171" s="119"/>
      <c r="E171" s="117" t="s">
        <v>93</v>
      </c>
      <c r="F171" s="119"/>
      <c r="G171" s="119"/>
      <c r="H171" s="119"/>
      <c r="I171" s="119"/>
      <c r="J171" s="117" t="s">
        <v>93</v>
      </c>
      <c r="K171" s="119"/>
      <c r="L171" s="119"/>
      <c r="M171" s="119"/>
      <c r="N171" s="119"/>
      <c r="O171" s="117" t="s">
        <v>93</v>
      </c>
      <c r="P171" s="119"/>
      <c r="Q171" s="119"/>
      <c r="R171" s="119"/>
    </row>
    <row r="172" spans="1:18">
      <c r="A172" s="117" t="s">
        <v>21</v>
      </c>
      <c r="B172" s="118">
        <v>0.77083333333333903</v>
      </c>
      <c r="C172" s="118">
        <v>0.781250000000004</v>
      </c>
      <c r="D172" s="119"/>
      <c r="E172" s="117" t="s">
        <v>93</v>
      </c>
      <c r="F172" s="119"/>
      <c r="G172" s="119"/>
      <c r="H172" s="119"/>
      <c r="I172" s="119"/>
      <c r="J172" s="117" t="s">
        <v>93</v>
      </c>
      <c r="K172" s="119"/>
      <c r="L172" s="119"/>
      <c r="M172" s="119"/>
      <c r="N172" s="119"/>
      <c r="O172" s="117" t="s">
        <v>93</v>
      </c>
      <c r="P172" s="119"/>
      <c r="Q172" s="119"/>
      <c r="R172" s="119"/>
    </row>
    <row r="173" spans="1:18">
      <c r="A173" s="117" t="s">
        <v>21</v>
      </c>
      <c r="B173" s="118">
        <v>0.781250000000006</v>
      </c>
      <c r="C173" s="118">
        <v>0.79166666666667096</v>
      </c>
      <c r="D173" s="119"/>
      <c r="E173" s="117" t="s">
        <v>93</v>
      </c>
      <c r="F173" s="119"/>
      <c r="G173" s="119"/>
      <c r="H173" s="119"/>
      <c r="I173" s="119"/>
      <c r="J173" s="117" t="s">
        <v>93</v>
      </c>
      <c r="K173" s="119"/>
      <c r="L173" s="119"/>
      <c r="M173" s="119"/>
      <c r="N173" s="119"/>
      <c r="O173" s="117" t="s">
        <v>93</v>
      </c>
      <c r="P173" s="119"/>
      <c r="Q173" s="119"/>
      <c r="R173" s="119"/>
    </row>
    <row r="174" spans="1:18">
      <c r="A174" s="117" t="s">
        <v>21</v>
      </c>
      <c r="B174" s="118">
        <v>0.79166666666667296</v>
      </c>
      <c r="C174" s="118">
        <v>0.80208333333333803</v>
      </c>
      <c r="D174" s="119"/>
      <c r="E174" s="117" t="s">
        <v>93</v>
      </c>
      <c r="F174" s="119"/>
      <c r="G174" s="119"/>
      <c r="H174" s="119"/>
      <c r="I174" s="119"/>
      <c r="J174" s="117" t="s">
        <v>93</v>
      </c>
      <c r="K174" s="119"/>
      <c r="L174" s="119"/>
      <c r="M174" s="119"/>
      <c r="N174" s="119"/>
      <c r="O174" s="117" t="s">
        <v>93</v>
      </c>
      <c r="P174" s="119"/>
      <c r="Q174" s="119"/>
      <c r="R174" s="119"/>
    </row>
    <row r="175" spans="1:18">
      <c r="A175" s="117" t="s">
        <v>21</v>
      </c>
      <c r="B175" s="118">
        <v>0.80208333333334003</v>
      </c>
      <c r="C175" s="118">
        <v>0.812500000000005</v>
      </c>
      <c r="D175" s="119"/>
      <c r="E175" s="117" t="s">
        <v>93</v>
      </c>
      <c r="F175" s="119"/>
      <c r="G175" s="119"/>
      <c r="H175" s="119"/>
      <c r="I175" s="119"/>
      <c r="J175" s="117" t="s">
        <v>93</v>
      </c>
      <c r="K175" s="119"/>
      <c r="L175" s="119"/>
      <c r="M175" s="119"/>
      <c r="N175" s="119"/>
      <c r="O175" s="117" t="s">
        <v>93</v>
      </c>
      <c r="P175" s="119"/>
      <c r="Q175" s="119"/>
      <c r="R175" s="119"/>
    </row>
    <row r="176" spans="1:18">
      <c r="A176" s="117" t="s">
        <v>21</v>
      </c>
      <c r="B176" s="118">
        <v>0.81250000000000699</v>
      </c>
      <c r="C176" s="118">
        <v>0.82291666666667196</v>
      </c>
      <c r="D176" s="119"/>
      <c r="E176" s="117" t="s">
        <v>93</v>
      </c>
      <c r="F176" s="119"/>
      <c r="G176" s="119"/>
      <c r="H176" s="119"/>
      <c r="I176" s="119"/>
      <c r="J176" s="117" t="s">
        <v>93</v>
      </c>
      <c r="K176" s="119"/>
      <c r="L176" s="119"/>
      <c r="M176" s="119"/>
      <c r="N176" s="119"/>
      <c r="O176" s="117" t="s">
        <v>93</v>
      </c>
      <c r="P176" s="119"/>
      <c r="Q176" s="119"/>
      <c r="R176" s="119"/>
    </row>
    <row r="177" spans="1:18">
      <c r="A177" s="117" t="s">
        <v>21</v>
      </c>
      <c r="B177" s="118">
        <v>0.82291666666667396</v>
      </c>
      <c r="C177" s="118">
        <v>0.83333333333333903</v>
      </c>
      <c r="D177" s="119"/>
      <c r="E177" s="117" t="s">
        <v>93</v>
      </c>
      <c r="F177" s="119"/>
      <c r="G177" s="119"/>
      <c r="H177" s="119"/>
      <c r="I177" s="119"/>
      <c r="J177" s="117" t="s">
        <v>93</v>
      </c>
      <c r="K177" s="119"/>
      <c r="L177" s="119"/>
      <c r="M177" s="119"/>
      <c r="N177" s="119"/>
      <c r="O177" s="117" t="s">
        <v>93</v>
      </c>
      <c r="P177" s="119"/>
      <c r="Q177" s="119"/>
      <c r="R177" s="119"/>
    </row>
    <row r="178" spans="1:18">
      <c r="A178" s="117" t="s">
        <v>21</v>
      </c>
      <c r="B178" s="118">
        <v>0.83333333333334103</v>
      </c>
      <c r="C178" s="118">
        <v>0.843750000000006</v>
      </c>
      <c r="D178" s="119"/>
      <c r="E178" s="117" t="s">
        <v>93</v>
      </c>
      <c r="F178" s="119"/>
      <c r="G178" s="119"/>
      <c r="H178" s="119"/>
      <c r="I178" s="119"/>
      <c r="J178" s="117" t="s">
        <v>93</v>
      </c>
      <c r="K178" s="119"/>
      <c r="L178" s="119"/>
      <c r="M178" s="119"/>
      <c r="N178" s="119"/>
      <c r="O178" s="117" t="s">
        <v>93</v>
      </c>
      <c r="P178" s="119"/>
      <c r="Q178" s="119"/>
      <c r="R178" s="119"/>
    </row>
    <row r="179" spans="1:18">
      <c r="A179" s="117" t="s">
        <v>21</v>
      </c>
      <c r="B179" s="118">
        <v>0.84375000000000799</v>
      </c>
      <c r="C179" s="118">
        <v>0.85416666666667296</v>
      </c>
      <c r="D179" s="119"/>
      <c r="E179" s="117" t="s">
        <v>93</v>
      </c>
      <c r="F179" s="119"/>
      <c r="G179" s="119"/>
      <c r="H179" s="119"/>
      <c r="I179" s="119"/>
      <c r="J179" s="117" t="s">
        <v>93</v>
      </c>
      <c r="K179" s="119"/>
      <c r="L179" s="119"/>
      <c r="M179" s="119"/>
      <c r="N179" s="119"/>
      <c r="O179" s="117" t="s">
        <v>93</v>
      </c>
      <c r="P179" s="119"/>
      <c r="Q179" s="119"/>
      <c r="R179" s="119"/>
    </row>
    <row r="180" spans="1:18">
      <c r="A180" s="117" t="s">
        <v>21</v>
      </c>
      <c r="B180" s="118">
        <v>0.85416666666667496</v>
      </c>
      <c r="C180" s="118">
        <v>0.86458333333334003</v>
      </c>
      <c r="D180" s="119"/>
      <c r="E180" s="117" t="s">
        <v>93</v>
      </c>
      <c r="F180" s="119"/>
      <c r="G180" s="119"/>
      <c r="H180" s="119"/>
      <c r="I180" s="119"/>
      <c r="J180" s="117" t="s">
        <v>93</v>
      </c>
      <c r="K180" s="119"/>
      <c r="L180" s="119"/>
      <c r="M180" s="119"/>
      <c r="N180" s="119"/>
      <c r="O180" s="117" t="s">
        <v>93</v>
      </c>
      <c r="P180" s="119"/>
      <c r="Q180" s="119"/>
      <c r="R180" s="119"/>
    </row>
    <row r="181" spans="1:18">
      <c r="A181" s="117" t="s">
        <v>21</v>
      </c>
      <c r="B181" s="118">
        <v>0.86458333333334203</v>
      </c>
      <c r="C181" s="118">
        <v>0.87500000000000699</v>
      </c>
      <c r="D181" s="119"/>
      <c r="E181" s="117" t="s">
        <v>93</v>
      </c>
      <c r="F181" s="119"/>
      <c r="G181" s="119"/>
      <c r="H181" s="119"/>
      <c r="I181" s="119"/>
      <c r="J181" s="117" t="s">
        <v>93</v>
      </c>
      <c r="K181" s="119"/>
      <c r="L181" s="119"/>
      <c r="M181" s="119"/>
      <c r="N181" s="119"/>
      <c r="O181" s="117" t="s">
        <v>93</v>
      </c>
      <c r="P181" s="119"/>
      <c r="Q181" s="119"/>
      <c r="R181" s="119"/>
    </row>
    <row r="182" spans="1:18">
      <c r="A182" s="117" t="s">
        <v>21</v>
      </c>
      <c r="B182" s="118">
        <v>0.87500000000000899</v>
      </c>
      <c r="C182" s="118">
        <v>0.88541666666667396</v>
      </c>
      <c r="D182" s="119"/>
      <c r="E182" s="117" t="s">
        <v>93</v>
      </c>
      <c r="F182" s="119"/>
      <c r="G182" s="119"/>
      <c r="H182" s="119"/>
      <c r="I182" s="119"/>
      <c r="J182" s="117" t="s">
        <v>93</v>
      </c>
      <c r="K182" s="119"/>
      <c r="L182" s="119"/>
      <c r="M182" s="119"/>
      <c r="N182" s="119"/>
      <c r="O182" s="117" t="s">
        <v>93</v>
      </c>
      <c r="P182" s="119"/>
      <c r="Q182" s="119"/>
      <c r="R182" s="119"/>
    </row>
    <row r="183" spans="1:18">
      <c r="A183" s="117" t="s">
        <v>21</v>
      </c>
      <c r="B183" s="118">
        <v>0.88541666666667596</v>
      </c>
      <c r="C183" s="118">
        <v>0.89583333333334103</v>
      </c>
      <c r="D183" s="119"/>
      <c r="E183" s="117" t="s">
        <v>93</v>
      </c>
      <c r="F183" s="119"/>
      <c r="G183" s="119"/>
      <c r="H183" s="119"/>
      <c r="I183" s="119"/>
      <c r="J183" s="117" t="s">
        <v>93</v>
      </c>
      <c r="K183" s="119"/>
      <c r="L183" s="119"/>
      <c r="M183" s="119"/>
      <c r="N183" s="119"/>
      <c r="O183" s="117" t="s">
        <v>93</v>
      </c>
      <c r="P183" s="119"/>
      <c r="Q183" s="119"/>
      <c r="R183" s="119"/>
    </row>
    <row r="184" spans="1:18">
      <c r="A184" s="117" t="s">
        <v>21</v>
      </c>
      <c r="B184" s="118">
        <v>0.89583333333334303</v>
      </c>
      <c r="C184" s="118">
        <v>0.90625000000000799</v>
      </c>
      <c r="D184" s="119"/>
      <c r="E184" s="117" t="s">
        <v>93</v>
      </c>
      <c r="F184" s="119"/>
      <c r="G184" s="119"/>
      <c r="H184" s="119"/>
      <c r="I184" s="119"/>
      <c r="J184" s="117" t="s">
        <v>93</v>
      </c>
      <c r="K184" s="119"/>
      <c r="L184" s="119"/>
      <c r="M184" s="119"/>
      <c r="N184" s="119"/>
      <c r="O184" s="117" t="s">
        <v>93</v>
      </c>
      <c r="P184" s="119"/>
      <c r="Q184" s="119"/>
      <c r="R184" s="119"/>
    </row>
    <row r="185" spans="1:18">
      <c r="A185" s="117" t="s">
        <v>21</v>
      </c>
      <c r="B185" s="118">
        <v>0.90625000000000999</v>
      </c>
      <c r="C185" s="118">
        <v>0.91666666666667496</v>
      </c>
      <c r="D185" s="119"/>
      <c r="E185" s="117" t="s">
        <v>93</v>
      </c>
      <c r="F185" s="119"/>
      <c r="G185" s="119"/>
      <c r="H185" s="119"/>
      <c r="I185" s="119"/>
      <c r="J185" s="117" t="s">
        <v>93</v>
      </c>
      <c r="K185" s="119"/>
      <c r="L185" s="119"/>
      <c r="M185" s="119"/>
      <c r="N185" s="119"/>
      <c r="O185" s="117" t="s">
        <v>93</v>
      </c>
      <c r="P185" s="119"/>
      <c r="Q185" s="119"/>
      <c r="R185" s="119"/>
    </row>
    <row r="186" spans="1:18">
      <c r="A186" s="117" t="s">
        <v>21</v>
      </c>
      <c r="B186" s="118">
        <v>0.91666666666666663</v>
      </c>
      <c r="C186" s="118">
        <v>0.92708333333333215</v>
      </c>
      <c r="D186" s="119"/>
      <c r="E186" s="117" t="s">
        <v>93</v>
      </c>
      <c r="F186" s="119"/>
      <c r="G186" s="119"/>
      <c r="H186" s="119"/>
      <c r="I186" s="119"/>
      <c r="J186" s="117" t="s">
        <v>93</v>
      </c>
      <c r="K186" s="119"/>
      <c r="L186" s="119"/>
      <c r="M186" s="119"/>
      <c r="N186" s="119"/>
      <c r="O186" s="117" t="s">
        <v>93</v>
      </c>
      <c r="P186" s="119"/>
      <c r="Q186" s="119"/>
      <c r="R186" s="119"/>
    </row>
    <row r="187" spans="1:18">
      <c r="A187" s="117" t="s">
        <v>21</v>
      </c>
      <c r="B187" s="118">
        <v>0.92708333333333337</v>
      </c>
      <c r="C187" s="118">
        <v>0.93749999999999878</v>
      </c>
      <c r="D187" s="119"/>
      <c r="E187" s="117" t="s">
        <v>93</v>
      </c>
      <c r="F187" s="119"/>
      <c r="G187" s="119"/>
      <c r="H187" s="119"/>
      <c r="I187" s="119"/>
      <c r="J187" s="117" t="s">
        <v>93</v>
      </c>
      <c r="K187" s="119"/>
      <c r="L187" s="119"/>
      <c r="M187" s="119"/>
      <c r="N187" s="119"/>
      <c r="O187" s="117" t="s">
        <v>93</v>
      </c>
      <c r="P187" s="119"/>
      <c r="Q187" s="119"/>
      <c r="R187" s="119"/>
    </row>
    <row r="188" spans="1:18">
      <c r="A188" s="117" t="s">
        <v>21</v>
      </c>
      <c r="B188" s="118">
        <v>0.9375</v>
      </c>
      <c r="C188" s="118">
        <v>0.94791666666666541</v>
      </c>
      <c r="D188" s="119"/>
      <c r="E188" s="117" t="s">
        <v>93</v>
      </c>
      <c r="F188" s="119"/>
      <c r="G188" s="119"/>
      <c r="H188" s="119"/>
      <c r="I188" s="119"/>
      <c r="J188" s="117" t="s">
        <v>93</v>
      </c>
      <c r="K188" s="119"/>
      <c r="L188" s="119"/>
      <c r="M188" s="119"/>
      <c r="N188" s="119"/>
      <c r="O188" s="117" t="s">
        <v>93</v>
      </c>
      <c r="P188" s="119"/>
      <c r="Q188" s="119"/>
      <c r="R188" s="119"/>
    </row>
    <row r="189" spans="1:18">
      <c r="A189" s="117" t="s">
        <v>21</v>
      </c>
      <c r="B189" s="118">
        <v>0.94791666666666663</v>
      </c>
      <c r="C189" s="118">
        <v>0.95833333333333204</v>
      </c>
      <c r="D189" s="119"/>
      <c r="E189" s="117" t="s">
        <v>93</v>
      </c>
      <c r="F189" s="119"/>
      <c r="G189" s="119"/>
      <c r="H189" s="119"/>
      <c r="I189" s="119"/>
      <c r="J189" s="117" t="s">
        <v>93</v>
      </c>
      <c r="K189" s="119"/>
      <c r="L189" s="119"/>
      <c r="M189" s="119"/>
      <c r="N189" s="119"/>
      <c r="O189" s="117" t="s">
        <v>93</v>
      </c>
      <c r="P189" s="119"/>
      <c r="Q189" s="119"/>
      <c r="R189" s="119"/>
    </row>
    <row r="190" spans="1:18">
      <c r="A190" s="117" t="s">
        <v>21</v>
      </c>
      <c r="B190" s="118">
        <v>0.95833333333333337</v>
      </c>
      <c r="C190" s="118">
        <v>0.96874999999999867</v>
      </c>
      <c r="D190" s="119"/>
      <c r="E190" s="117" t="s">
        <v>93</v>
      </c>
      <c r="F190" s="119"/>
      <c r="G190" s="119"/>
      <c r="H190" s="119"/>
      <c r="I190" s="119"/>
      <c r="J190" s="117" t="s">
        <v>93</v>
      </c>
      <c r="K190" s="119"/>
      <c r="L190" s="119"/>
      <c r="M190" s="119"/>
      <c r="N190" s="119"/>
      <c r="O190" s="117" t="s">
        <v>93</v>
      </c>
      <c r="P190" s="119"/>
      <c r="Q190" s="119"/>
      <c r="R190" s="119"/>
    </row>
    <row r="191" spans="1:18">
      <c r="A191" s="117" t="s">
        <v>21</v>
      </c>
      <c r="B191" s="118">
        <v>0.96875</v>
      </c>
      <c r="C191" s="118">
        <v>0.9791666666666653</v>
      </c>
      <c r="D191" s="119"/>
      <c r="E191" s="117" t="s">
        <v>93</v>
      </c>
      <c r="F191" s="119"/>
      <c r="G191" s="119"/>
      <c r="H191" s="119"/>
      <c r="I191" s="119"/>
      <c r="J191" s="117" t="s">
        <v>93</v>
      </c>
      <c r="K191" s="119"/>
      <c r="L191" s="119"/>
      <c r="M191" s="119"/>
      <c r="N191" s="119"/>
      <c r="O191" s="117" t="s">
        <v>93</v>
      </c>
      <c r="P191" s="119"/>
      <c r="Q191" s="119"/>
      <c r="R191" s="119"/>
    </row>
    <row r="192" spans="1:18">
      <c r="A192" s="117" t="s">
        <v>21</v>
      </c>
      <c r="B192" s="118">
        <v>0.97916666666666663</v>
      </c>
      <c r="C192" s="118">
        <v>0.98958333333333193</v>
      </c>
      <c r="D192" s="119"/>
      <c r="E192" s="117" t="s">
        <v>93</v>
      </c>
      <c r="F192" s="119"/>
      <c r="G192" s="119"/>
      <c r="H192" s="119"/>
      <c r="I192" s="119"/>
      <c r="J192" s="117" t="s">
        <v>93</v>
      </c>
      <c r="K192" s="119"/>
      <c r="L192" s="119"/>
      <c r="M192" s="119"/>
      <c r="N192" s="119"/>
      <c r="O192" s="117" t="s">
        <v>93</v>
      </c>
      <c r="P192" s="119"/>
      <c r="Q192" s="119"/>
      <c r="R192" s="119"/>
    </row>
    <row r="193" spans="1:18" s="105" customFormat="1" ht="17.25" thickBot="1">
      <c r="A193" s="120" t="s">
        <v>21</v>
      </c>
      <c r="B193" s="121">
        <v>0.98958333333333337</v>
      </c>
      <c r="C193" s="121" t="s">
        <v>124</v>
      </c>
      <c r="D193" s="122"/>
      <c r="E193" s="120" t="s">
        <v>93</v>
      </c>
      <c r="F193" s="122"/>
      <c r="G193" s="122"/>
      <c r="H193" s="122"/>
      <c r="I193" s="122"/>
      <c r="J193" s="120" t="s">
        <v>93</v>
      </c>
      <c r="K193" s="122"/>
      <c r="L193" s="122"/>
      <c r="M193" s="122"/>
      <c r="N193" s="122"/>
      <c r="O193" s="120" t="s">
        <v>93</v>
      </c>
      <c r="P193" s="122"/>
      <c r="Q193" s="122"/>
      <c r="R193" s="122"/>
    </row>
    <row r="194" spans="1:18" ht="17.25" thickTop="1">
      <c r="A194" s="135" t="s">
        <v>118</v>
      </c>
      <c r="B194" s="136">
        <v>0</v>
      </c>
      <c r="C194" s="143">
        <v>1.0416666666666666E-2</v>
      </c>
      <c r="D194" s="134"/>
      <c r="E194" s="134"/>
      <c r="F194" s="135" t="s">
        <v>93</v>
      </c>
      <c r="G194" s="134"/>
      <c r="H194" s="134"/>
      <c r="I194" s="134"/>
      <c r="J194" s="134"/>
      <c r="K194" s="135" t="s">
        <v>93</v>
      </c>
      <c r="L194" s="134"/>
      <c r="M194" s="134"/>
      <c r="N194" s="134"/>
      <c r="O194" s="134"/>
      <c r="P194" s="135" t="s">
        <v>93</v>
      </c>
      <c r="Q194" s="134"/>
      <c r="R194" s="134"/>
    </row>
    <row r="195" spans="1:18">
      <c r="A195" s="137" t="s">
        <v>118</v>
      </c>
      <c r="B195" s="138">
        <v>1.0416666666666666E-2</v>
      </c>
      <c r="C195" s="144">
        <v>2.0833333333333332E-2</v>
      </c>
      <c r="D195" s="134"/>
      <c r="E195" s="134"/>
      <c r="F195" s="135" t="s">
        <v>93</v>
      </c>
      <c r="G195" s="134"/>
      <c r="H195" s="134"/>
      <c r="I195" s="134"/>
      <c r="J195" s="134"/>
      <c r="K195" s="135" t="s">
        <v>93</v>
      </c>
      <c r="L195" s="134"/>
      <c r="M195" s="134"/>
      <c r="N195" s="134"/>
      <c r="O195" s="134"/>
      <c r="P195" s="135" t="s">
        <v>93</v>
      </c>
      <c r="Q195" s="134"/>
      <c r="R195" s="134"/>
    </row>
    <row r="196" spans="1:18">
      <c r="A196" s="137" t="s">
        <v>118</v>
      </c>
      <c r="B196" s="138">
        <v>2.0833333333333332E-2</v>
      </c>
      <c r="C196" s="144">
        <v>3.125E-2</v>
      </c>
      <c r="D196" s="134"/>
      <c r="E196" s="134"/>
      <c r="F196" s="135" t="s">
        <v>93</v>
      </c>
      <c r="G196" s="134"/>
      <c r="H196" s="134"/>
      <c r="I196" s="134"/>
      <c r="J196" s="134"/>
      <c r="K196" s="135" t="s">
        <v>93</v>
      </c>
      <c r="L196" s="134"/>
      <c r="M196" s="134"/>
      <c r="N196" s="134"/>
      <c r="O196" s="134"/>
      <c r="P196" s="135" t="s">
        <v>93</v>
      </c>
      <c r="Q196" s="134"/>
      <c r="R196" s="134"/>
    </row>
    <row r="197" spans="1:18">
      <c r="A197" s="137" t="s">
        <v>118</v>
      </c>
      <c r="B197" s="138">
        <v>3.125E-2</v>
      </c>
      <c r="C197" s="144">
        <v>4.1666666666666664E-2</v>
      </c>
      <c r="D197" s="134"/>
      <c r="E197" s="134"/>
      <c r="F197" s="135" t="s">
        <v>93</v>
      </c>
      <c r="G197" s="134"/>
      <c r="H197" s="134"/>
      <c r="I197" s="134"/>
      <c r="J197" s="134"/>
      <c r="K197" s="135" t="s">
        <v>93</v>
      </c>
      <c r="L197" s="134"/>
      <c r="M197" s="134"/>
      <c r="N197" s="134"/>
      <c r="O197" s="134"/>
      <c r="P197" s="135" t="s">
        <v>93</v>
      </c>
      <c r="Q197" s="134"/>
      <c r="R197" s="134"/>
    </row>
    <row r="198" spans="1:18">
      <c r="A198" s="137" t="s">
        <v>118</v>
      </c>
      <c r="B198" s="138">
        <v>4.1666666666666664E-2</v>
      </c>
      <c r="C198" s="144">
        <v>5.2083333333333329E-2</v>
      </c>
      <c r="D198" s="134"/>
      <c r="E198" s="134"/>
      <c r="F198" s="135" t="s">
        <v>93</v>
      </c>
      <c r="G198" s="134"/>
      <c r="H198" s="134"/>
      <c r="I198" s="134"/>
      <c r="J198" s="134"/>
      <c r="K198" s="135" t="s">
        <v>93</v>
      </c>
      <c r="L198" s="134"/>
      <c r="M198" s="134"/>
      <c r="N198" s="134"/>
      <c r="O198" s="134"/>
      <c r="P198" s="135" t="s">
        <v>93</v>
      </c>
      <c r="Q198" s="134"/>
      <c r="R198" s="134"/>
    </row>
    <row r="199" spans="1:18">
      <c r="A199" s="137" t="s">
        <v>118</v>
      </c>
      <c r="B199" s="138">
        <v>5.2083333333333329E-2</v>
      </c>
      <c r="C199" s="144">
        <v>6.25E-2</v>
      </c>
      <c r="D199" s="134"/>
      <c r="E199" s="134"/>
      <c r="F199" s="135" t="s">
        <v>93</v>
      </c>
      <c r="G199" s="134"/>
      <c r="H199" s="134"/>
      <c r="I199" s="134"/>
      <c r="J199" s="134"/>
      <c r="K199" s="135" t="s">
        <v>93</v>
      </c>
      <c r="L199" s="134"/>
      <c r="M199" s="134"/>
      <c r="N199" s="134"/>
      <c r="O199" s="134"/>
      <c r="P199" s="135" t="s">
        <v>93</v>
      </c>
      <c r="Q199" s="134"/>
      <c r="R199" s="134"/>
    </row>
    <row r="200" spans="1:18">
      <c r="A200" s="137" t="s">
        <v>118</v>
      </c>
      <c r="B200" s="138">
        <v>6.25E-2</v>
      </c>
      <c r="C200" s="144">
        <v>7.2916666666666657E-2</v>
      </c>
      <c r="D200" s="134"/>
      <c r="E200" s="134"/>
      <c r="F200" s="135" t="s">
        <v>93</v>
      </c>
      <c r="G200" s="134"/>
      <c r="H200" s="134"/>
      <c r="I200" s="134"/>
      <c r="J200" s="134"/>
      <c r="K200" s="135" t="s">
        <v>93</v>
      </c>
      <c r="L200" s="134"/>
      <c r="M200" s="134"/>
      <c r="N200" s="134"/>
      <c r="O200" s="134"/>
      <c r="P200" s="135" t="s">
        <v>93</v>
      </c>
      <c r="Q200" s="134"/>
      <c r="R200" s="134"/>
    </row>
    <row r="201" spans="1:18">
      <c r="A201" s="137" t="s">
        <v>118</v>
      </c>
      <c r="B201" s="138">
        <v>7.2916666666666657E-2</v>
      </c>
      <c r="C201" s="144">
        <v>8.3333333333333329E-2</v>
      </c>
      <c r="D201" s="134"/>
      <c r="E201" s="134"/>
      <c r="F201" s="135" t="s">
        <v>93</v>
      </c>
      <c r="G201" s="134"/>
      <c r="H201" s="134"/>
      <c r="I201" s="134"/>
      <c r="J201" s="134"/>
      <c r="K201" s="135" t="s">
        <v>93</v>
      </c>
      <c r="L201" s="134"/>
      <c r="M201" s="134"/>
      <c r="N201" s="134"/>
      <c r="O201" s="134"/>
      <c r="P201" s="135" t="s">
        <v>93</v>
      </c>
      <c r="Q201" s="134"/>
      <c r="R201" s="134"/>
    </row>
    <row r="202" spans="1:18">
      <c r="A202" s="137" t="s">
        <v>118</v>
      </c>
      <c r="B202" s="138">
        <v>8.3333333333333329E-2</v>
      </c>
      <c r="C202" s="144">
        <v>9.375E-2</v>
      </c>
      <c r="D202" s="134"/>
      <c r="E202" s="134"/>
      <c r="F202" s="135" t="s">
        <v>93</v>
      </c>
      <c r="G202" s="134"/>
      <c r="H202" s="134"/>
      <c r="I202" s="134"/>
      <c r="J202" s="134"/>
      <c r="K202" s="135" t="s">
        <v>93</v>
      </c>
      <c r="L202" s="134"/>
      <c r="M202" s="134"/>
      <c r="N202" s="134"/>
      <c r="O202" s="134"/>
      <c r="P202" s="135" t="s">
        <v>93</v>
      </c>
      <c r="Q202" s="134"/>
      <c r="R202" s="134"/>
    </row>
    <row r="203" spans="1:18">
      <c r="A203" s="137" t="s">
        <v>118</v>
      </c>
      <c r="B203" s="138">
        <v>9.375E-2</v>
      </c>
      <c r="C203" s="144">
        <v>0.10416666666666667</v>
      </c>
      <c r="D203" s="134"/>
      <c r="E203" s="134"/>
      <c r="F203" s="135" t="s">
        <v>93</v>
      </c>
      <c r="G203" s="134"/>
      <c r="H203" s="134"/>
      <c r="I203" s="134"/>
      <c r="J203" s="134"/>
      <c r="K203" s="135" t="s">
        <v>93</v>
      </c>
      <c r="L203" s="134"/>
      <c r="M203" s="134"/>
      <c r="N203" s="134"/>
      <c r="O203" s="134"/>
      <c r="P203" s="135" t="s">
        <v>93</v>
      </c>
      <c r="Q203" s="134"/>
      <c r="R203" s="134"/>
    </row>
    <row r="204" spans="1:18">
      <c r="A204" s="137" t="s">
        <v>118</v>
      </c>
      <c r="B204" s="138">
        <v>0.10416666666666667</v>
      </c>
      <c r="C204" s="144">
        <v>0.11458333333333334</v>
      </c>
      <c r="D204" s="134"/>
      <c r="E204" s="134"/>
      <c r="F204" s="135" t="s">
        <v>93</v>
      </c>
      <c r="G204" s="134"/>
      <c r="H204" s="134"/>
      <c r="I204" s="134"/>
      <c r="J204" s="134"/>
      <c r="K204" s="135" t="s">
        <v>93</v>
      </c>
      <c r="L204" s="134"/>
      <c r="M204" s="134"/>
      <c r="N204" s="134"/>
      <c r="O204" s="134"/>
      <c r="P204" s="135" t="s">
        <v>93</v>
      </c>
      <c r="Q204" s="134"/>
      <c r="R204" s="134"/>
    </row>
    <row r="205" spans="1:18">
      <c r="A205" s="137" t="s">
        <v>118</v>
      </c>
      <c r="B205" s="138">
        <v>0.11458333333333334</v>
      </c>
      <c r="C205" s="144">
        <v>0.125</v>
      </c>
      <c r="D205" s="134"/>
      <c r="E205" s="134"/>
      <c r="F205" s="135" t="s">
        <v>93</v>
      </c>
      <c r="G205" s="134"/>
      <c r="H205" s="134"/>
      <c r="I205" s="134"/>
      <c r="J205" s="134"/>
      <c r="K205" s="135" t="s">
        <v>93</v>
      </c>
      <c r="L205" s="134"/>
      <c r="M205" s="134"/>
      <c r="N205" s="134"/>
      <c r="O205" s="134"/>
      <c r="P205" s="135" t="s">
        <v>93</v>
      </c>
      <c r="Q205" s="134"/>
      <c r="R205" s="134"/>
    </row>
    <row r="206" spans="1:18">
      <c r="A206" s="137" t="s">
        <v>118</v>
      </c>
      <c r="B206" s="138">
        <v>0.125</v>
      </c>
      <c r="C206" s="144">
        <v>0.13541666666666666</v>
      </c>
      <c r="D206" s="134"/>
      <c r="E206" s="134"/>
      <c r="F206" s="135" t="s">
        <v>93</v>
      </c>
      <c r="G206" s="134"/>
      <c r="H206" s="134"/>
      <c r="I206" s="134"/>
      <c r="J206" s="134"/>
      <c r="K206" s="135" t="s">
        <v>93</v>
      </c>
      <c r="L206" s="134"/>
      <c r="M206" s="134"/>
      <c r="N206" s="134"/>
      <c r="O206" s="134"/>
      <c r="P206" s="135" t="s">
        <v>93</v>
      </c>
      <c r="Q206" s="134"/>
      <c r="R206" s="134"/>
    </row>
    <row r="207" spans="1:18">
      <c r="A207" s="137" t="s">
        <v>118</v>
      </c>
      <c r="B207" s="138">
        <v>0.13541666666666666</v>
      </c>
      <c r="C207" s="144">
        <v>0.14583333333333331</v>
      </c>
      <c r="D207" s="134"/>
      <c r="E207" s="134"/>
      <c r="F207" s="135" t="s">
        <v>93</v>
      </c>
      <c r="G207" s="134"/>
      <c r="H207" s="134"/>
      <c r="I207" s="134"/>
      <c r="J207" s="134"/>
      <c r="K207" s="135" t="s">
        <v>93</v>
      </c>
      <c r="L207" s="134"/>
      <c r="M207" s="134"/>
      <c r="N207" s="134"/>
      <c r="O207" s="134"/>
      <c r="P207" s="135" t="s">
        <v>93</v>
      </c>
      <c r="Q207" s="134"/>
      <c r="R207" s="134"/>
    </row>
    <row r="208" spans="1:18">
      <c r="A208" s="137" t="s">
        <v>118</v>
      </c>
      <c r="B208" s="138">
        <v>0.14583333333333331</v>
      </c>
      <c r="C208" s="144">
        <v>0.15625</v>
      </c>
      <c r="D208" s="134"/>
      <c r="E208" s="134"/>
      <c r="F208" s="135" t="s">
        <v>93</v>
      </c>
      <c r="G208" s="134"/>
      <c r="H208" s="134"/>
      <c r="I208" s="134"/>
      <c r="J208" s="134"/>
      <c r="K208" s="135" t="s">
        <v>93</v>
      </c>
      <c r="L208" s="134"/>
      <c r="M208" s="134"/>
      <c r="N208" s="134"/>
      <c r="O208" s="134"/>
      <c r="P208" s="135" t="s">
        <v>93</v>
      </c>
      <c r="Q208" s="134"/>
      <c r="R208" s="134"/>
    </row>
    <row r="209" spans="1:18">
      <c r="A209" s="137" t="s">
        <v>118</v>
      </c>
      <c r="B209" s="138">
        <v>0.15625</v>
      </c>
      <c r="C209" s="144">
        <v>0.16666666666666663</v>
      </c>
      <c r="D209" s="134"/>
      <c r="E209" s="134"/>
      <c r="F209" s="135" t="s">
        <v>93</v>
      </c>
      <c r="G209" s="134"/>
      <c r="H209" s="134"/>
      <c r="I209" s="134"/>
      <c r="J209" s="134"/>
      <c r="K209" s="135" t="s">
        <v>93</v>
      </c>
      <c r="L209" s="134"/>
      <c r="M209" s="134"/>
      <c r="N209" s="134"/>
      <c r="O209" s="134"/>
      <c r="P209" s="135" t="s">
        <v>93</v>
      </c>
      <c r="Q209" s="134"/>
      <c r="R209" s="134"/>
    </row>
    <row r="210" spans="1:18">
      <c r="A210" s="137" t="s">
        <v>118</v>
      </c>
      <c r="B210" s="138">
        <v>0.16666666666666666</v>
      </c>
      <c r="C210" s="144">
        <v>0.17708333333333329</v>
      </c>
      <c r="D210" s="134"/>
      <c r="E210" s="134"/>
      <c r="F210" s="135" t="s">
        <v>93</v>
      </c>
      <c r="G210" s="134"/>
      <c r="H210" s="134"/>
      <c r="I210" s="134"/>
      <c r="J210" s="134"/>
      <c r="K210" s="135" t="s">
        <v>93</v>
      </c>
      <c r="L210" s="134"/>
      <c r="M210" s="134"/>
      <c r="N210" s="134"/>
      <c r="O210" s="134"/>
      <c r="P210" s="135" t="s">
        <v>93</v>
      </c>
      <c r="Q210" s="134"/>
      <c r="R210" s="134"/>
    </row>
    <row r="211" spans="1:18">
      <c r="A211" s="137" t="s">
        <v>118</v>
      </c>
      <c r="B211" s="138">
        <v>0.17708333333333334</v>
      </c>
      <c r="C211" s="144">
        <v>0.1875</v>
      </c>
      <c r="D211" s="134"/>
      <c r="E211" s="134"/>
      <c r="F211" s="135" t="s">
        <v>93</v>
      </c>
      <c r="G211" s="134"/>
      <c r="H211" s="134"/>
      <c r="I211" s="134"/>
      <c r="J211" s="134"/>
      <c r="K211" s="135" t="s">
        <v>93</v>
      </c>
      <c r="L211" s="134"/>
      <c r="M211" s="134"/>
      <c r="N211" s="134"/>
      <c r="O211" s="134"/>
      <c r="P211" s="135" t="s">
        <v>93</v>
      </c>
      <c r="Q211" s="134"/>
      <c r="R211" s="134"/>
    </row>
    <row r="212" spans="1:18">
      <c r="A212" s="137" t="s">
        <v>118</v>
      </c>
      <c r="B212" s="138">
        <v>0.1875</v>
      </c>
      <c r="C212" s="144">
        <v>0.1979166666666666</v>
      </c>
      <c r="D212" s="134"/>
      <c r="E212" s="134"/>
      <c r="F212" s="135" t="s">
        <v>93</v>
      </c>
      <c r="G212" s="134"/>
      <c r="H212" s="134"/>
      <c r="I212" s="134"/>
      <c r="J212" s="134"/>
      <c r="K212" s="135" t="s">
        <v>93</v>
      </c>
      <c r="L212" s="134"/>
      <c r="M212" s="134"/>
      <c r="N212" s="134"/>
      <c r="O212" s="134"/>
      <c r="P212" s="135" t="s">
        <v>93</v>
      </c>
      <c r="Q212" s="134"/>
      <c r="R212" s="134"/>
    </row>
    <row r="213" spans="1:18">
      <c r="A213" s="137" t="s">
        <v>118</v>
      </c>
      <c r="B213" s="138">
        <v>0.19791666666666666</v>
      </c>
      <c r="C213" s="144">
        <v>0.20833333333333326</v>
      </c>
      <c r="D213" s="134"/>
      <c r="E213" s="134"/>
      <c r="F213" s="135" t="s">
        <v>93</v>
      </c>
      <c r="G213" s="134"/>
      <c r="H213" s="134"/>
      <c r="I213" s="134"/>
      <c r="J213" s="134"/>
      <c r="K213" s="135" t="s">
        <v>93</v>
      </c>
      <c r="L213" s="134"/>
      <c r="M213" s="134"/>
      <c r="N213" s="134"/>
      <c r="O213" s="134"/>
      <c r="P213" s="135" t="s">
        <v>93</v>
      </c>
      <c r="Q213" s="134"/>
      <c r="R213" s="134"/>
    </row>
    <row r="214" spans="1:18">
      <c r="A214" s="137" t="s">
        <v>118</v>
      </c>
      <c r="B214" s="138">
        <v>0.20833333333333334</v>
      </c>
      <c r="C214" s="144">
        <v>0.21875</v>
      </c>
      <c r="D214" s="134"/>
      <c r="E214" s="134"/>
      <c r="F214" s="135" t="s">
        <v>93</v>
      </c>
      <c r="G214" s="134"/>
      <c r="H214" s="134"/>
      <c r="I214" s="134"/>
      <c r="J214" s="134"/>
      <c r="K214" s="135" t="s">
        <v>93</v>
      </c>
      <c r="L214" s="134"/>
      <c r="M214" s="134"/>
      <c r="N214" s="134"/>
      <c r="O214" s="134"/>
      <c r="P214" s="135" t="s">
        <v>93</v>
      </c>
      <c r="Q214" s="134"/>
      <c r="R214" s="134"/>
    </row>
    <row r="215" spans="1:18">
      <c r="A215" s="137" t="s">
        <v>118</v>
      </c>
      <c r="B215" s="138">
        <v>0.21875</v>
      </c>
      <c r="C215" s="144">
        <v>0.22916666666666657</v>
      </c>
      <c r="D215" s="134"/>
      <c r="E215" s="134"/>
      <c r="F215" s="135" t="s">
        <v>93</v>
      </c>
      <c r="G215" s="134"/>
      <c r="H215" s="134"/>
      <c r="I215" s="134"/>
      <c r="J215" s="134"/>
      <c r="K215" s="135" t="s">
        <v>93</v>
      </c>
      <c r="L215" s="134"/>
      <c r="M215" s="134"/>
      <c r="N215" s="134"/>
      <c r="O215" s="134"/>
      <c r="P215" s="135" t="s">
        <v>93</v>
      </c>
      <c r="Q215" s="134"/>
      <c r="R215" s="134"/>
    </row>
    <row r="216" spans="1:18">
      <c r="A216" s="137" t="s">
        <v>118</v>
      </c>
      <c r="B216" s="138">
        <v>0.22916666666666666</v>
      </c>
      <c r="C216" s="144">
        <v>0.23958333333333323</v>
      </c>
      <c r="D216" s="134"/>
      <c r="E216" s="134"/>
      <c r="F216" s="135" t="s">
        <v>93</v>
      </c>
      <c r="G216" s="134"/>
      <c r="H216" s="134"/>
      <c r="I216" s="134"/>
      <c r="J216" s="134"/>
      <c r="K216" s="135" t="s">
        <v>93</v>
      </c>
      <c r="L216" s="134"/>
      <c r="M216" s="134"/>
      <c r="N216" s="134"/>
      <c r="O216" s="134"/>
      <c r="P216" s="135" t="s">
        <v>93</v>
      </c>
      <c r="Q216" s="134"/>
      <c r="R216" s="134"/>
    </row>
    <row r="217" spans="1:18">
      <c r="A217" s="137" t="s">
        <v>118</v>
      </c>
      <c r="B217" s="138">
        <v>0.23958333333333334</v>
      </c>
      <c r="C217" s="144">
        <v>0.25</v>
      </c>
      <c r="D217" s="134"/>
      <c r="E217" s="134"/>
      <c r="F217" s="135" t="s">
        <v>93</v>
      </c>
      <c r="G217" s="134"/>
      <c r="H217" s="134"/>
      <c r="I217" s="134"/>
      <c r="J217" s="134"/>
      <c r="K217" s="135" t="s">
        <v>93</v>
      </c>
      <c r="L217" s="134"/>
      <c r="M217" s="134"/>
      <c r="N217" s="134"/>
      <c r="O217" s="134"/>
      <c r="P217" s="135" t="s">
        <v>93</v>
      </c>
      <c r="Q217" s="134"/>
      <c r="R217" s="134"/>
    </row>
    <row r="218" spans="1:18">
      <c r="A218" s="135" t="s">
        <v>22</v>
      </c>
      <c r="B218" s="136">
        <v>0.25</v>
      </c>
      <c r="C218" s="136">
        <v>0.26041666666666669</v>
      </c>
      <c r="D218" s="134"/>
      <c r="E218" s="134"/>
      <c r="F218" s="135" t="s">
        <v>93</v>
      </c>
      <c r="G218" s="134"/>
      <c r="H218" s="134"/>
      <c r="I218" s="134"/>
      <c r="J218" s="134"/>
      <c r="K218" s="135" t="s">
        <v>93</v>
      </c>
      <c r="L218" s="134"/>
      <c r="M218" s="134"/>
      <c r="N218" s="134"/>
      <c r="O218" s="134"/>
      <c r="P218" s="135" t="s">
        <v>93</v>
      </c>
      <c r="Q218" s="134"/>
      <c r="R218" s="134"/>
    </row>
    <row r="219" spans="1:18">
      <c r="A219" s="137" t="s">
        <v>22</v>
      </c>
      <c r="B219" s="138">
        <v>0.26041666666666669</v>
      </c>
      <c r="C219" s="138">
        <v>0.27083333333333331</v>
      </c>
      <c r="D219" s="139"/>
      <c r="E219" s="139"/>
      <c r="F219" s="137" t="s">
        <v>93</v>
      </c>
      <c r="G219" s="139"/>
      <c r="H219" s="139"/>
      <c r="I219" s="139"/>
      <c r="J219" s="139"/>
      <c r="K219" s="137" t="s">
        <v>93</v>
      </c>
      <c r="L219" s="139"/>
      <c r="M219" s="139"/>
      <c r="N219" s="139"/>
      <c r="O219" s="139"/>
      <c r="P219" s="137" t="s">
        <v>93</v>
      </c>
      <c r="Q219" s="139"/>
      <c r="R219" s="139"/>
    </row>
    <row r="220" spans="1:18">
      <c r="A220" s="137" t="s">
        <v>22</v>
      </c>
      <c r="B220" s="138">
        <v>0.27083333333333298</v>
      </c>
      <c r="C220" s="138">
        <v>0.28125</v>
      </c>
      <c r="D220" s="139"/>
      <c r="E220" s="139"/>
      <c r="F220" s="137" t="s">
        <v>93</v>
      </c>
      <c r="G220" s="139"/>
      <c r="H220" s="139"/>
      <c r="I220" s="139"/>
      <c r="J220" s="139"/>
      <c r="K220" s="137" t="s">
        <v>93</v>
      </c>
      <c r="L220" s="139"/>
      <c r="M220" s="139"/>
      <c r="N220" s="139"/>
      <c r="O220" s="139"/>
      <c r="P220" s="137" t="s">
        <v>93</v>
      </c>
      <c r="Q220" s="139"/>
      <c r="R220" s="139"/>
    </row>
    <row r="221" spans="1:18">
      <c r="A221" s="137" t="s">
        <v>22</v>
      </c>
      <c r="B221" s="138">
        <v>0.28125</v>
      </c>
      <c r="C221" s="138">
        <v>0.29166666666666702</v>
      </c>
      <c r="D221" s="139"/>
      <c r="E221" s="139"/>
      <c r="F221" s="137" t="s">
        <v>93</v>
      </c>
      <c r="G221" s="139"/>
      <c r="H221" s="139"/>
      <c r="I221" s="139"/>
      <c r="J221" s="139"/>
      <c r="K221" s="137" t="s">
        <v>93</v>
      </c>
      <c r="L221" s="139"/>
      <c r="M221" s="139"/>
      <c r="N221" s="139"/>
      <c r="O221" s="139"/>
      <c r="P221" s="137" t="s">
        <v>93</v>
      </c>
      <c r="Q221" s="139"/>
      <c r="R221" s="139"/>
    </row>
    <row r="222" spans="1:18">
      <c r="A222" s="137" t="s">
        <v>22</v>
      </c>
      <c r="B222" s="138">
        <v>0.29166666666666702</v>
      </c>
      <c r="C222" s="138">
        <v>0.30208333333333298</v>
      </c>
      <c r="D222" s="139"/>
      <c r="E222" s="139"/>
      <c r="F222" s="137" t="s">
        <v>93</v>
      </c>
      <c r="G222" s="139"/>
      <c r="H222" s="139"/>
      <c r="I222" s="139"/>
      <c r="J222" s="139"/>
      <c r="K222" s="137" t="s">
        <v>93</v>
      </c>
      <c r="L222" s="139"/>
      <c r="M222" s="139"/>
      <c r="N222" s="139"/>
      <c r="O222" s="139"/>
      <c r="P222" s="137" t="s">
        <v>93</v>
      </c>
      <c r="Q222" s="139"/>
      <c r="R222" s="139"/>
    </row>
    <row r="223" spans="1:18">
      <c r="A223" s="137" t="s">
        <v>22</v>
      </c>
      <c r="B223" s="138">
        <v>0.30208333333333298</v>
      </c>
      <c r="C223" s="138">
        <v>0.3125</v>
      </c>
      <c r="D223" s="139"/>
      <c r="E223" s="139"/>
      <c r="F223" s="137" t="s">
        <v>93</v>
      </c>
      <c r="G223" s="139"/>
      <c r="H223" s="139"/>
      <c r="I223" s="139"/>
      <c r="J223" s="139"/>
      <c r="K223" s="137" t="s">
        <v>93</v>
      </c>
      <c r="L223" s="139"/>
      <c r="M223" s="139"/>
      <c r="N223" s="139"/>
      <c r="O223" s="139"/>
      <c r="P223" s="137" t="s">
        <v>93</v>
      </c>
      <c r="Q223" s="139"/>
      <c r="R223" s="139"/>
    </row>
    <row r="224" spans="1:18">
      <c r="A224" s="137" t="s">
        <v>22</v>
      </c>
      <c r="B224" s="138">
        <v>0.3125</v>
      </c>
      <c r="C224" s="138">
        <v>0.32291666666666602</v>
      </c>
      <c r="D224" s="139"/>
      <c r="E224" s="139"/>
      <c r="F224" s="137" t="s">
        <v>93</v>
      </c>
      <c r="G224" s="139"/>
      <c r="H224" s="139"/>
      <c r="I224" s="139"/>
      <c r="J224" s="139"/>
      <c r="K224" s="137" t="s">
        <v>93</v>
      </c>
      <c r="L224" s="139"/>
      <c r="M224" s="139"/>
      <c r="N224" s="139"/>
      <c r="O224" s="139"/>
      <c r="P224" s="137" t="s">
        <v>93</v>
      </c>
      <c r="Q224" s="139"/>
      <c r="R224" s="139"/>
    </row>
    <row r="225" spans="1:18">
      <c r="A225" s="137" t="s">
        <v>22</v>
      </c>
      <c r="B225" s="138">
        <v>0.32291666666666702</v>
      </c>
      <c r="C225" s="138">
        <v>0.33333333333333298</v>
      </c>
      <c r="D225" s="139"/>
      <c r="E225" s="139"/>
      <c r="F225" s="137" t="s">
        <v>93</v>
      </c>
      <c r="G225" s="139"/>
      <c r="H225" s="139"/>
      <c r="I225" s="139"/>
      <c r="J225" s="139"/>
      <c r="K225" s="137" t="s">
        <v>93</v>
      </c>
      <c r="L225" s="139"/>
      <c r="M225" s="139"/>
      <c r="N225" s="139"/>
      <c r="O225" s="139"/>
      <c r="P225" s="137" t="s">
        <v>93</v>
      </c>
      <c r="Q225" s="139"/>
      <c r="R225" s="139"/>
    </row>
    <row r="226" spans="1:18">
      <c r="A226" s="137" t="s">
        <v>22</v>
      </c>
      <c r="B226" s="138">
        <v>0.33333333333333298</v>
      </c>
      <c r="C226" s="138">
        <v>0.34375</v>
      </c>
      <c r="D226" s="139"/>
      <c r="E226" s="139"/>
      <c r="F226" s="137" t="s">
        <v>93</v>
      </c>
      <c r="G226" s="139"/>
      <c r="H226" s="139"/>
      <c r="I226" s="139"/>
      <c r="J226" s="139"/>
      <c r="K226" s="137" t="s">
        <v>93</v>
      </c>
      <c r="L226" s="139"/>
      <c r="M226" s="139"/>
      <c r="N226" s="139"/>
      <c r="O226" s="139"/>
      <c r="P226" s="137" t="s">
        <v>93</v>
      </c>
      <c r="Q226" s="139"/>
      <c r="R226" s="139"/>
    </row>
    <row r="227" spans="1:18">
      <c r="A227" s="137" t="s">
        <v>22</v>
      </c>
      <c r="B227" s="138">
        <v>0.34375</v>
      </c>
      <c r="C227" s="138">
        <v>0.35416666666666602</v>
      </c>
      <c r="D227" s="139"/>
      <c r="E227" s="139"/>
      <c r="F227" s="137" t="s">
        <v>93</v>
      </c>
      <c r="G227" s="139"/>
      <c r="H227" s="139"/>
      <c r="I227" s="139"/>
      <c r="J227" s="139"/>
      <c r="K227" s="137" t="s">
        <v>93</v>
      </c>
      <c r="L227" s="139"/>
      <c r="M227" s="139"/>
      <c r="N227" s="139"/>
      <c r="O227" s="139"/>
      <c r="P227" s="137" t="s">
        <v>93</v>
      </c>
      <c r="Q227" s="139"/>
      <c r="R227" s="139"/>
    </row>
    <row r="228" spans="1:18">
      <c r="A228" s="137" t="s">
        <v>22</v>
      </c>
      <c r="B228" s="138">
        <v>0.35416666666666702</v>
      </c>
      <c r="C228" s="138">
        <v>0.36458333333333298</v>
      </c>
      <c r="D228" s="139"/>
      <c r="E228" s="139"/>
      <c r="F228" s="137" t="s">
        <v>93</v>
      </c>
      <c r="G228" s="139"/>
      <c r="H228" s="139"/>
      <c r="I228" s="139"/>
      <c r="J228" s="139"/>
      <c r="K228" s="137" t="s">
        <v>93</v>
      </c>
      <c r="L228" s="139"/>
      <c r="M228" s="139"/>
      <c r="N228" s="139"/>
      <c r="O228" s="139"/>
      <c r="P228" s="137" t="s">
        <v>93</v>
      </c>
      <c r="Q228" s="139"/>
      <c r="R228" s="139"/>
    </row>
    <row r="229" spans="1:18">
      <c r="A229" s="137" t="s">
        <v>22</v>
      </c>
      <c r="B229" s="138">
        <v>0.36458333333333398</v>
      </c>
      <c r="C229" s="138">
        <v>0.375</v>
      </c>
      <c r="D229" s="139"/>
      <c r="E229" s="139"/>
      <c r="F229" s="137" t="s">
        <v>93</v>
      </c>
      <c r="G229" s="139"/>
      <c r="H229" s="139"/>
      <c r="I229" s="139"/>
      <c r="J229" s="139"/>
      <c r="K229" s="137" t="s">
        <v>93</v>
      </c>
      <c r="L229" s="139"/>
      <c r="M229" s="139"/>
      <c r="N229" s="139"/>
      <c r="O229" s="139"/>
      <c r="P229" s="137" t="s">
        <v>93</v>
      </c>
      <c r="Q229" s="139"/>
      <c r="R229" s="139"/>
    </row>
    <row r="230" spans="1:18">
      <c r="A230" s="137" t="s">
        <v>22</v>
      </c>
      <c r="B230" s="138">
        <v>0.375</v>
      </c>
      <c r="C230" s="138">
        <v>0.38541666666666702</v>
      </c>
      <c r="D230" s="139"/>
      <c r="E230" s="139"/>
      <c r="F230" s="137" t="s">
        <v>93</v>
      </c>
      <c r="G230" s="139"/>
      <c r="H230" s="139"/>
      <c r="I230" s="139"/>
      <c r="J230" s="139"/>
      <c r="K230" s="137" t="s">
        <v>93</v>
      </c>
      <c r="L230" s="139"/>
      <c r="M230" s="139"/>
      <c r="N230" s="139"/>
      <c r="O230" s="139"/>
      <c r="P230" s="137" t="s">
        <v>93</v>
      </c>
      <c r="Q230" s="139"/>
      <c r="R230" s="139"/>
    </row>
    <row r="231" spans="1:18">
      <c r="A231" s="137" t="s">
        <v>22</v>
      </c>
      <c r="B231" s="138">
        <v>0.38541666666666702</v>
      </c>
      <c r="C231" s="138">
        <v>0.39583333333333298</v>
      </c>
      <c r="D231" s="139"/>
      <c r="E231" s="139"/>
      <c r="F231" s="137" t="s">
        <v>93</v>
      </c>
      <c r="G231" s="139"/>
      <c r="H231" s="139"/>
      <c r="I231" s="139"/>
      <c r="J231" s="139"/>
      <c r="K231" s="137" t="s">
        <v>93</v>
      </c>
      <c r="L231" s="139"/>
      <c r="M231" s="139"/>
      <c r="N231" s="139"/>
      <c r="O231" s="139"/>
      <c r="P231" s="137" t="s">
        <v>93</v>
      </c>
      <c r="Q231" s="139"/>
      <c r="R231" s="139"/>
    </row>
    <row r="232" spans="1:18">
      <c r="A232" s="137" t="s">
        <v>22</v>
      </c>
      <c r="B232" s="138">
        <v>0.39583333333333398</v>
      </c>
      <c r="C232" s="138">
        <v>0.40625</v>
      </c>
      <c r="D232" s="139"/>
      <c r="E232" s="139"/>
      <c r="F232" s="137" t="s">
        <v>93</v>
      </c>
      <c r="G232" s="139"/>
      <c r="H232" s="139"/>
      <c r="I232" s="139"/>
      <c r="J232" s="139"/>
      <c r="K232" s="137" t="s">
        <v>93</v>
      </c>
      <c r="L232" s="139"/>
      <c r="M232" s="139"/>
      <c r="N232" s="139"/>
      <c r="O232" s="139"/>
      <c r="P232" s="137" t="s">
        <v>93</v>
      </c>
      <c r="Q232" s="139"/>
      <c r="R232" s="139"/>
    </row>
    <row r="233" spans="1:18">
      <c r="A233" s="137" t="s">
        <v>22</v>
      </c>
      <c r="B233" s="138">
        <v>0.40625</v>
      </c>
      <c r="C233" s="138">
        <v>0.41666666666666602</v>
      </c>
      <c r="D233" s="139"/>
      <c r="E233" s="139"/>
      <c r="F233" s="137" t="s">
        <v>93</v>
      </c>
      <c r="G233" s="139"/>
      <c r="H233" s="139"/>
      <c r="I233" s="139"/>
      <c r="J233" s="139"/>
      <c r="K233" s="137" t="s">
        <v>93</v>
      </c>
      <c r="L233" s="139"/>
      <c r="M233" s="139"/>
      <c r="N233" s="139"/>
      <c r="O233" s="139"/>
      <c r="P233" s="137" t="s">
        <v>93</v>
      </c>
      <c r="Q233" s="139"/>
      <c r="R233" s="139"/>
    </row>
    <row r="234" spans="1:18">
      <c r="A234" s="137" t="s">
        <v>22</v>
      </c>
      <c r="B234" s="138">
        <v>0.41666666666666702</v>
      </c>
      <c r="C234" s="138">
        <v>0.42708333333333298</v>
      </c>
      <c r="D234" s="139"/>
      <c r="E234" s="139"/>
      <c r="F234" s="137" t="s">
        <v>93</v>
      </c>
      <c r="G234" s="139"/>
      <c r="H234" s="139"/>
      <c r="I234" s="139"/>
      <c r="J234" s="139"/>
      <c r="K234" s="137" t="s">
        <v>93</v>
      </c>
      <c r="L234" s="139"/>
      <c r="M234" s="139"/>
      <c r="N234" s="139"/>
      <c r="O234" s="139"/>
      <c r="P234" s="137" t="s">
        <v>93</v>
      </c>
      <c r="Q234" s="139"/>
      <c r="R234" s="139"/>
    </row>
    <row r="235" spans="1:18">
      <c r="A235" s="137" t="s">
        <v>22</v>
      </c>
      <c r="B235" s="138">
        <v>0.42708333333333398</v>
      </c>
      <c r="C235" s="138">
        <v>0.4375</v>
      </c>
      <c r="D235" s="139"/>
      <c r="E235" s="139"/>
      <c r="F235" s="137" t="s">
        <v>93</v>
      </c>
      <c r="G235" s="139"/>
      <c r="H235" s="139"/>
      <c r="I235" s="139"/>
      <c r="J235" s="139"/>
      <c r="K235" s="137" t="s">
        <v>93</v>
      </c>
      <c r="L235" s="139"/>
      <c r="M235" s="139"/>
      <c r="N235" s="139"/>
      <c r="O235" s="139"/>
      <c r="P235" s="137" t="s">
        <v>93</v>
      </c>
      <c r="Q235" s="139"/>
      <c r="R235" s="139"/>
    </row>
    <row r="236" spans="1:18">
      <c r="A236" s="137" t="s">
        <v>22</v>
      </c>
      <c r="B236" s="138">
        <v>0.4375</v>
      </c>
      <c r="C236" s="138">
        <v>0.44791666666666602</v>
      </c>
      <c r="D236" s="139"/>
      <c r="E236" s="139"/>
      <c r="F236" s="137" t="s">
        <v>93</v>
      </c>
      <c r="G236" s="139"/>
      <c r="H236" s="139"/>
      <c r="I236" s="139"/>
      <c r="J236" s="139"/>
      <c r="K236" s="137" t="s">
        <v>93</v>
      </c>
      <c r="L236" s="139"/>
      <c r="M236" s="139"/>
      <c r="N236" s="139"/>
      <c r="O236" s="139"/>
      <c r="P236" s="137" t="s">
        <v>93</v>
      </c>
      <c r="Q236" s="139"/>
      <c r="R236" s="139"/>
    </row>
    <row r="237" spans="1:18">
      <c r="A237" s="137" t="s">
        <v>22</v>
      </c>
      <c r="B237" s="138">
        <v>0.44791666666666702</v>
      </c>
      <c r="C237" s="138">
        <v>0.45833333333333298</v>
      </c>
      <c r="D237" s="139"/>
      <c r="E237" s="139"/>
      <c r="F237" s="137" t="s">
        <v>93</v>
      </c>
      <c r="G237" s="139"/>
      <c r="H237" s="139"/>
      <c r="I237" s="139"/>
      <c r="J237" s="139"/>
      <c r="K237" s="137" t="s">
        <v>93</v>
      </c>
      <c r="L237" s="139"/>
      <c r="M237" s="139"/>
      <c r="N237" s="139"/>
      <c r="O237" s="139"/>
      <c r="P237" s="137" t="s">
        <v>93</v>
      </c>
      <c r="Q237" s="139"/>
      <c r="R237" s="139"/>
    </row>
    <row r="238" spans="1:18">
      <c r="A238" s="137" t="s">
        <v>22</v>
      </c>
      <c r="B238" s="138">
        <v>0.45833333333333398</v>
      </c>
      <c r="C238" s="138">
        <v>0.46875</v>
      </c>
      <c r="D238" s="139"/>
      <c r="E238" s="139"/>
      <c r="F238" s="137" t="s">
        <v>93</v>
      </c>
      <c r="G238" s="139"/>
      <c r="H238" s="139"/>
      <c r="I238" s="139"/>
      <c r="J238" s="139"/>
      <c r="K238" s="137" t="s">
        <v>93</v>
      </c>
      <c r="L238" s="139"/>
      <c r="M238" s="139"/>
      <c r="N238" s="139"/>
      <c r="O238" s="139"/>
      <c r="P238" s="137" t="s">
        <v>93</v>
      </c>
      <c r="Q238" s="139"/>
      <c r="R238" s="139"/>
    </row>
    <row r="239" spans="1:18">
      <c r="A239" s="137" t="s">
        <v>22</v>
      </c>
      <c r="B239" s="138">
        <v>0.46875</v>
      </c>
      <c r="C239" s="138">
        <v>0.47916666666666602</v>
      </c>
      <c r="D239" s="139"/>
      <c r="E239" s="139"/>
      <c r="F239" s="137" t="s">
        <v>93</v>
      </c>
      <c r="G239" s="139"/>
      <c r="H239" s="139"/>
      <c r="I239" s="139"/>
      <c r="J239" s="139"/>
      <c r="K239" s="137" t="s">
        <v>93</v>
      </c>
      <c r="L239" s="139"/>
      <c r="M239" s="139"/>
      <c r="N239" s="139"/>
      <c r="O239" s="139"/>
      <c r="P239" s="137" t="s">
        <v>93</v>
      </c>
      <c r="Q239" s="139"/>
      <c r="R239" s="139"/>
    </row>
    <row r="240" spans="1:18">
      <c r="A240" s="137" t="s">
        <v>22</v>
      </c>
      <c r="B240" s="138">
        <v>0.47916666666666702</v>
      </c>
      <c r="C240" s="138">
        <v>0.48958333333333298</v>
      </c>
      <c r="D240" s="139"/>
      <c r="E240" s="139"/>
      <c r="F240" s="137" t="s">
        <v>93</v>
      </c>
      <c r="G240" s="139"/>
      <c r="H240" s="139"/>
      <c r="I240" s="139"/>
      <c r="J240" s="139"/>
      <c r="K240" s="137" t="s">
        <v>93</v>
      </c>
      <c r="L240" s="139"/>
      <c r="M240" s="139"/>
      <c r="N240" s="139"/>
      <c r="O240" s="139"/>
      <c r="P240" s="137" t="s">
        <v>93</v>
      </c>
      <c r="Q240" s="139"/>
      <c r="R240" s="139"/>
    </row>
    <row r="241" spans="1:18">
      <c r="A241" s="137" t="s">
        <v>22</v>
      </c>
      <c r="B241" s="138">
        <v>0.48958333333333398</v>
      </c>
      <c r="C241" s="138">
        <v>0.499999999999999</v>
      </c>
      <c r="D241" s="139"/>
      <c r="E241" s="139"/>
      <c r="F241" s="137" t="s">
        <v>93</v>
      </c>
      <c r="G241" s="139"/>
      <c r="H241" s="139"/>
      <c r="I241" s="139"/>
      <c r="J241" s="139"/>
      <c r="K241" s="137" t="s">
        <v>93</v>
      </c>
      <c r="L241" s="139"/>
      <c r="M241" s="139"/>
      <c r="N241" s="139"/>
      <c r="O241" s="139"/>
      <c r="P241" s="137" t="s">
        <v>93</v>
      </c>
      <c r="Q241" s="139"/>
      <c r="R241" s="139"/>
    </row>
    <row r="242" spans="1:18">
      <c r="A242" s="137" t="s">
        <v>22</v>
      </c>
      <c r="B242" s="138">
        <v>0.5</v>
      </c>
      <c r="C242" s="138">
        <v>0.51041666666666596</v>
      </c>
      <c r="D242" s="139"/>
      <c r="E242" s="139"/>
      <c r="F242" s="137" t="s">
        <v>93</v>
      </c>
      <c r="G242" s="139"/>
      <c r="H242" s="139"/>
      <c r="I242" s="139"/>
      <c r="J242" s="139"/>
      <c r="K242" s="137" t="s">
        <v>93</v>
      </c>
      <c r="L242" s="139"/>
      <c r="M242" s="139"/>
      <c r="N242" s="139"/>
      <c r="O242" s="139"/>
      <c r="P242" s="137" t="s">
        <v>93</v>
      </c>
      <c r="Q242" s="139"/>
      <c r="R242" s="139"/>
    </row>
    <row r="243" spans="1:18">
      <c r="A243" s="137" t="s">
        <v>22</v>
      </c>
      <c r="B243" s="138">
        <v>0.51041666666666696</v>
      </c>
      <c r="C243" s="138">
        <v>0.52083333333333304</v>
      </c>
      <c r="D243" s="139"/>
      <c r="E243" s="139"/>
      <c r="F243" s="137" t="s">
        <v>93</v>
      </c>
      <c r="G243" s="139"/>
      <c r="H243" s="139"/>
      <c r="I243" s="139"/>
      <c r="J243" s="139"/>
      <c r="K243" s="137" t="s">
        <v>93</v>
      </c>
      <c r="L243" s="139"/>
      <c r="M243" s="139"/>
      <c r="N243" s="139"/>
      <c r="O243" s="139"/>
      <c r="P243" s="137" t="s">
        <v>93</v>
      </c>
      <c r="Q243" s="139"/>
      <c r="R243" s="139"/>
    </row>
    <row r="244" spans="1:18">
      <c r="A244" s="137" t="s">
        <v>22</v>
      </c>
      <c r="B244" s="138">
        <v>0.52083333333333404</v>
      </c>
      <c r="C244" s="138">
        <v>0.531249999999999</v>
      </c>
      <c r="D244" s="139"/>
      <c r="E244" s="139"/>
      <c r="F244" s="137" t="s">
        <v>93</v>
      </c>
      <c r="G244" s="139"/>
      <c r="H244" s="139"/>
      <c r="I244" s="139"/>
      <c r="J244" s="139"/>
      <c r="K244" s="137" t="s">
        <v>93</v>
      </c>
      <c r="L244" s="139"/>
      <c r="M244" s="139"/>
      <c r="N244" s="139"/>
      <c r="O244" s="139"/>
      <c r="P244" s="137" t="s">
        <v>93</v>
      </c>
      <c r="Q244" s="139"/>
      <c r="R244" s="139"/>
    </row>
    <row r="245" spans="1:18">
      <c r="A245" s="137" t="s">
        <v>22</v>
      </c>
      <c r="B245" s="138">
        <v>0.53125</v>
      </c>
      <c r="C245" s="138">
        <v>0.54166666666666596</v>
      </c>
      <c r="D245" s="139"/>
      <c r="E245" s="139"/>
      <c r="F245" s="137" t="s">
        <v>93</v>
      </c>
      <c r="G245" s="139"/>
      <c r="H245" s="139"/>
      <c r="I245" s="139"/>
      <c r="J245" s="139"/>
      <c r="K245" s="137" t="s">
        <v>93</v>
      </c>
      <c r="L245" s="139"/>
      <c r="M245" s="139"/>
      <c r="N245" s="139"/>
      <c r="O245" s="139"/>
      <c r="P245" s="137" t="s">
        <v>93</v>
      </c>
      <c r="Q245" s="139"/>
      <c r="R245" s="139"/>
    </row>
    <row r="246" spans="1:18">
      <c r="A246" s="137" t="s">
        <v>22</v>
      </c>
      <c r="B246" s="138">
        <v>0.54166666666666696</v>
      </c>
      <c r="C246" s="138">
        <v>0.55208333333333304</v>
      </c>
      <c r="D246" s="139"/>
      <c r="E246" s="139"/>
      <c r="F246" s="137" t="s">
        <v>93</v>
      </c>
      <c r="G246" s="139"/>
      <c r="H246" s="139"/>
      <c r="I246" s="139"/>
      <c r="J246" s="139"/>
      <c r="K246" s="137" t="s">
        <v>93</v>
      </c>
      <c r="L246" s="139"/>
      <c r="M246" s="139"/>
      <c r="N246" s="139"/>
      <c r="O246" s="139"/>
      <c r="P246" s="137" t="s">
        <v>93</v>
      </c>
      <c r="Q246" s="139"/>
      <c r="R246" s="139"/>
    </row>
    <row r="247" spans="1:18">
      <c r="A247" s="137" t="s">
        <v>22</v>
      </c>
      <c r="B247" s="138">
        <v>0.55208333333333404</v>
      </c>
      <c r="C247" s="138">
        <v>0.562499999999999</v>
      </c>
      <c r="D247" s="139"/>
      <c r="E247" s="139"/>
      <c r="F247" s="137" t="s">
        <v>93</v>
      </c>
      <c r="G247" s="139"/>
      <c r="H247" s="139"/>
      <c r="I247" s="139"/>
      <c r="J247" s="139"/>
      <c r="K247" s="137" t="s">
        <v>93</v>
      </c>
      <c r="L247" s="139"/>
      <c r="M247" s="139"/>
      <c r="N247" s="139"/>
      <c r="O247" s="139"/>
      <c r="P247" s="137" t="s">
        <v>93</v>
      </c>
      <c r="Q247" s="139"/>
      <c r="R247" s="139"/>
    </row>
    <row r="248" spans="1:18">
      <c r="A248" s="137" t="s">
        <v>22</v>
      </c>
      <c r="B248" s="138">
        <v>0.562500000000001</v>
      </c>
      <c r="C248" s="138">
        <v>0.57291666666666596</v>
      </c>
      <c r="D248" s="139"/>
      <c r="E248" s="139"/>
      <c r="F248" s="137" t="s">
        <v>93</v>
      </c>
      <c r="G248" s="139"/>
      <c r="H248" s="139"/>
      <c r="I248" s="139"/>
      <c r="J248" s="139"/>
      <c r="K248" s="137" t="s">
        <v>93</v>
      </c>
      <c r="L248" s="139"/>
      <c r="M248" s="139"/>
      <c r="N248" s="139"/>
      <c r="O248" s="139"/>
      <c r="P248" s="137" t="s">
        <v>93</v>
      </c>
      <c r="Q248" s="139"/>
      <c r="R248" s="139"/>
    </row>
    <row r="249" spans="1:18">
      <c r="A249" s="137" t="s">
        <v>22</v>
      </c>
      <c r="B249" s="138">
        <v>0.57291666666666696</v>
      </c>
      <c r="C249" s="138">
        <v>0.58333333333333304</v>
      </c>
      <c r="D249" s="139"/>
      <c r="E249" s="139"/>
      <c r="F249" s="137" t="s">
        <v>93</v>
      </c>
      <c r="G249" s="139"/>
      <c r="H249" s="139"/>
      <c r="I249" s="139"/>
      <c r="J249" s="139"/>
      <c r="K249" s="137" t="s">
        <v>93</v>
      </c>
      <c r="L249" s="139"/>
      <c r="M249" s="139"/>
      <c r="N249" s="139"/>
      <c r="O249" s="139"/>
      <c r="P249" s="137" t="s">
        <v>93</v>
      </c>
      <c r="Q249" s="139"/>
      <c r="R249" s="139"/>
    </row>
    <row r="250" spans="1:18">
      <c r="A250" s="137" t="s">
        <v>22</v>
      </c>
      <c r="B250" s="138">
        <v>0.58333333333333404</v>
      </c>
      <c r="C250" s="138">
        <v>0.593749999999999</v>
      </c>
      <c r="D250" s="139"/>
      <c r="E250" s="139"/>
      <c r="F250" s="137" t="s">
        <v>93</v>
      </c>
      <c r="G250" s="139"/>
      <c r="H250" s="139"/>
      <c r="I250" s="139"/>
      <c r="J250" s="139"/>
      <c r="K250" s="137" t="s">
        <v>93</v>
      </c>
      <c r="L250" s="139"/>
      <c r="M250" s="139"/>
      <c r="N250" s="139"/>
      <c r="O250" s="139"/>
      <c r="P250" s="137" t="s">
        <v>93</v>
      </c>
      <c r="Q250" s="139"/>
      <c r="R250" s="139"/>
    </row>
    <row r="251" spans="1:18">
      <c r="A251" s="137" t="s">
        <v>22</v>
      </c>
      <c r="B251" s="138">
        <v>0.593750000000001</v>
      </c>
      <c r="C251" s="138">
        <v>0.60416666666666596</v>
      </c>
      <c r="D251" s="139"/>
      <c r="E251" s="139"/>
      <c r="F251" s="137" t="s">
        <v>93</v>
      </c>
      <c r="G251" s="139"/>
      <c r="H251" s="139"/>
      <c r="I251" s="139"/>
      <c r="J251" s="139"/>
      <c r="K251" s="137" t="s">
        <v>93</v>
      </c>
      <c r="L251" s="139"/>
      <c r="M251" s="139"/>
      <c r="N251" s="139"/>
      <c r="O251" s="139"/>
      <c r="P251" s="137" t="s">
        <v>93</v>
      </c>
      <c r="Q251" s="139"/>
      <c r="R251" s="139"/>
    </row>
    <row r="252" spans="1:18">
      <c r="A252" s="137" t="s">
        <v>22</v>
      </c>
      <c r="B252" s="138">
        <v>0.60416666666666796</v>
      </c>
      <c r="C252" s="138">
        <v>0.61458333333333304</v>
      </c>
      <c r="D252" s="139"/>
      <c r="E252" s="139"/>
      <c r="F252" s="137" t="s">
        <v>93</v>
      </c>
      <c r="G252" s="139"/>
      <c r="H252" s="139"/>
      <c r="I252" s="139"/>
      <c r="J252" s="139"/>
      <c r="K252" s="137" t="s">
        <v>93</v>
      </c>
      <c r="L252" s="139"/>
      <c r="M252" s="139"/>
      <c r="N252" s="139"/>
      <c r="O252" s="139"/>
      <c r="P252" s="137" t="s">
        <v>93</v>
      </c>
      <c r="Q252" s="139"/>
      <c r="R252" s="139"/>
    </row>
    <row r="253" spans="1:18">
      <c r="A253" s="137" t="s">
        <v>22</v>
      </c>
      <c r="B253" s="138">
        <v>0.61458333333333504</v>
      </c>
      <c r="C253" s="138">
        <v>0.625</v>
      </c>
      <c r="D253" s="139"/>
      <c r="E253" s="139"/>
      <c r="F253" s="137" t="s">
        <v>93</v>
      </c>
      <c r="G253" s="139"/>
      <c r="H253" s="139"/>
      <c r="I253" s="139"/>
      <c r="J253" s="139"/>
      <c r="K253" s="137" t="s">
        <v>93</v>
      </c>
      <c r="L253" s="139"/>
      <c r="M253" s="139"/>
      <c r="N253" s="139"/>
      <c r="O253" s="139"/>
      <c r="P253" s="137" t="s">
        <v>93</v>
      </c>
      <c r="Q253" s="139"/>
      <c r="R253" s="139"/>
    </row>
    <row r="254" spans="1:18">
      <c r="A254" s="137" t="s">
        <v>22</v>
      </c>
      <c r="B254" s="138">
        <v>0.625000000000002</v>
      </c>
      <c r="C254" s="138">
        <v>0.63541666666666696</v>
      </c>
      <c r="D254" s="139"/>
      <c r="E254" s="139"/>
      <c r="F254" s="137" t="s">
        <v>93</v>
      </c>
      <c r="G254" s="139"/>
      <c r="H254" s="139"/>
      <c r="I254" s="139"/>
      <c r="J254" s="139"/>
      <c r="K254" s="137" t="s">
        <v>93</v>
      </c>
      <c r="L254" s="139"/>
      <c r="M254" s="139"/>
      <c r="N254" s="139"/>
      <c r="O254" s="139"/>
      <c r="P254" s="137" t="s">
        <v>93</v>
      </c>
      <c r="Q254" s="139"/>
      <c r="R254" s="139"/>
    </row>
    <row r="255" spans="1:18">
      <c r="A255" s="137" t="s">
        <v>22</v>
      </c>
      <c r="B255" s="138">
        <v>0.63541666666666896</v>
      </c>
      <c r="C255" s="138">
        <v>0.64583333333333404</v>
      </c>
      <c r="D255" s="139"/>
      <c r="E255" s="139"/>
      <c r="F255" s="137" t="s">
        <v>93</v>
      </c>
      <c r="G255" s="139"/>
      <c r="H255" s="139"/>
      <c r="I255" s="139"/>
      <c r="J255" s="139"/>
      <c r="K255" s="137" t="s">
        <v>93</v>
      </c>
      <c r="L255" s="139"/>
      <c r="M255" s="139"/>
      <c r="N255" s="139"/>
      <c r="O255" s="139"/>
      <c r="P255" s="137" t="s">
        <v>93</v>
      </c>
      <c r="Q255" s="139"/>
      <c r="R255" s="139"/>
    </row>
    <row r="256" spans="1:18">
      <c r="A256" s="137" t="s">
        <v>22</v>
      </c>
      <c r="B256" s="138">
        <v>0.64583333333333603</v>
      </c>
      <c r="C256" s="138">
        <v>0.656250000000001</v>
      </c>
      <c r="D256" s="139"/>
      <c r="E256" s="139"/>
      <c r="F256" s="137" t="s">
        <v>93</v>
      </c>
      <c r="G256" s="139"/>
      <c r="H256" s="139"/>
      <c r="I256" s="139"/>
      <c r="J256" s="139"/>
      <c r="K256" s="137" t="s">
        <v>93</v>
      </c>
      <c r="L256" s="139"/>
      <c r="M256" s="139"/>
      <c r="N256" s="139"/>
      <c r="O256" s="139"/>
      <c r="P256" s="137" t="s">
        <v>93</v>
      </c>
      <c r="Q256" s="139"/>
      <c r="R256" s="139"/>
    </row>
    <row r="257" spans="1:18">
      <c r="A257" s="137" t="s">
        <v>22</v>
      </c>
      <c r="B257" s="138">
        <v>0.656250000000003</v>
      </c>
      <c r="C257" s="138">
        <v>0.66666666666666796</v>
      </c>
      <c r="D257" s="139"/>
      <c r="E257" s="139"/>
      <c r="F257" s="137" t="s">
        <v>93</v>
      </c>
      <c r="G257" s="139"/>
      <c r="H257" s="139"/>
      <c r="I257" s="139"/>
      <c r="J257" s="139"/>
      <c r="K257" s="137" t="s">
        <v>93</v>
      </c>
      <c r="L257" s="139"/>
      <c r="M257" s="139"/>
      <c r="N257" s="139"/>
      <c r="O257" s="139"/>
      <c r="P257" s="137" t="s">
        <v>93</v>
      </c>
      <c r="Q257" s="139"/>
      <c r="R257" s="139"/>
    </row>
    <row r="258" spans="1:18">
      <c r="A258" s="137" t="s">
        <v>22</v>
      </c>
      <c r="B258" s="138">
        <v>0.66666666666666996</v>
      </c>
      <c r="C258" s="138">
        <v>0.67708333333333504</v>
      </c>
      <c r="D258" s="139"/>
      <c r="E258" s="139"/>
      <c r="F258" s="137" t="s">
        <v>93</v>
      </c>
      <c r="G258" s="139"/>
      <c r="H258" s="139"/>
      <c r="I258" s="139"/>
      <c r="J258" s="139"/>
      <c r="K258" s="137" t="s">
        <v>93</v>
      </c>
      <c r="L258" s="139"/>
      <c r="M258" s="139"/>
      <c r="N258" s="139"/>
      <c r="O258" s="139"/>
      <c r="P258" s="137" t="s">
        <v>93</v>
      </c>
      <c r="Q258" s="139"/>
      <c r="R258" s="139"/>
    </row>
    <row r="259" spans="1:18">
      <c r="A259" s="137" t="s">
        <v>22</v>
      </c>
      <c r="B259" s="138">
        <v>0.67708333333333703</v>
      </c>
      <c r="C259" s="138">
        <v>0.687500000000002</v>
      </c>
      <c r="D259" s="139"/>
      <c r="E259" s="139"/>
      <c r="F259" s="137" t="s">
        <v>93</v>
      </c>
      <c r="G259" s="139"/>
      <c r="H259" s="139"/>
      <c r="I259" s="139"/>
      <c r="J259" s="139"/>
      <c r="K259" s="137" t="s">
        <v>93</v>
      </c>
      <c r="L259" s="139"/>
      <c r="M259" s="139"/>
      <c r="N259" s="139"/>
      <c r="O259" s="139"/>
      <c r="P259" s="137" t="s">
        <v>93</v>
      </c>
      <c r="Q259" s="139"/>
      <c r="R259" s="139"/>
    </row>
    <row r="260" spans="1:18">
      <c r="A260" s="137" t="s">
        <v>22</v>
      </c>
      <c r="B260" s="138">
        <v>0.687500000000004</v>
      </c>
      <c r="C260" s="138">
        <v>0.69791666666666896</v>
      </c>
      <c r="D260" s="139"/>
      <c r="E260" s="139"/>
      <c r="F260" s="137" t="s">
        <v>93</v>
      </c>
      <c r="G260" s="139"/>
      <c r="H260" s="139"/>
      <c r="I260" s="139"/>
      <c r="J260" s="139"/>
      <c r="K260" s="137" t="s">
        <v>93</v>
      </c>
      <c r="L260" s="139"/>
      <c r="M260" s="139"/>
      <c r="N260" s="139"/>
      <c r="O260" s="139"/>
      <c r="P260" s="137" t="s">
        <v>93</v>
      </c>
      <c r="Q260" s="139"/>
      <c r="R260" s="139"/>
    </row>
    <row r="261" spans="1:18">
      <c r="A261" s="137" t="s">
        <v>22</v>
      </c>
      <c r="B261" s="138">
        <v>0.69791666666667096</v>
      </c>
      <c r="C261" s="138">
        <v>0.70833333333333603</v>
      </c>
      <c r="D261" s="139"/>
      <c r="E261" s="139"/>
      <c r="F261" s="137" t="s">
        <v>93</v>
      </c>
      <c r="G261" s="139"/>
      <c r="H261" s="139"/>
      <c r="I261" s="139"/>
      <c r="J261" s="139"/>
      <c r="K261" s="137" t="s">
        <v>93</v>
      </c>
      <c r="L261" s="139"/>
      <c r="M261" s="139"/>
      <c r="N261" s="139"/>
      <c r="O261" s="139"/>
      <c r="P261" s="137" t="s">
        <v>93</v>
      </c>
      <c r="Q261" s="139"/>
      <c r="R261" s="139"/>
    </row>
    <row r="262" spans="1:18">
      <c r="A262" s="137" t="s">
        <v>22</v>
      </c>
      <c r="B262" s="138">
        <v>0.70833333333333803</v>
      </c>
      <c r="C262" s="138">
        <v>0.718750000000003</v>
      </c>
      <c r="D262" s="139"/>
      <c r="E262" s="139"/>
      <c r="F262" s="137" t="s">
        <v>93</v>
      </c>
      <c r="G262" s="139"/>
      <c r="H262" s="139"/>
      <c r="I262" s="139"/>
      <c r="J262" s="139"/>
      <c r="K262" s="137" t="s">
        <v>93</v>
      </c>
      <c r="L262" s="139"/>
      <c r="M262" s="139"/>
      <c r="N262" s="139"/>
      <c r="O262" s="139"/>
      <c r="P262" s="137" t="s">
        <v>93</v>
      </c>
      <c r="Q262" s="139"/>
      <c r="R262" s="139"/>
    </row>
    <row r="263" spans="1:18">
      <c r="A263" s="137" t="s">
        <v>22</v>
      </c>
      <c r="B263" s="138">
        <v>0.718750000000005</v>
      </c>
      <c r="C263" s="138">
        <v>0.72916666666666996</v>
      </c>
      <c r="D263" s="139"/>
      <c r="E263" s="139"/>
      <c r="F263" s="137" t="s">
        <v>93</v>
      </c>
      <c r="G263" s="139"/>
      <c r="H263" s="139"/>
      <c r="I263" s="139"/>
      <c r="J263" s="139"/>
      <c r="K263" s="137" t="s">
        <v>93</v>
      </c>
      <c r="L263" s="139"/>
      <c r="M263" s="139"/>
      <c r="N263" s="139"/>
      <c r="O263" s="139"/>
      <c r="P263" s="137" t="s">
        <v>93</v>
      </c>
      <c r="Q263" s="139"/>
      <c r="R263" s="139"/>
    </row>
    <row r="264" spans="1:18">
      <c r="A264" s="137" t="s">
        <v>22</v>
      </c>
      <c r="B264" s="138">
        <v>0.72916666666667096</v>
      </c>
      <c r="C264" s="138">
        <v>0.73958333333333603</v>
      </c>
      <c r="D264" s="139"/>
      <c r="E264" s="139"/>
      <c r="F264" s="137" t="s">
        <v>93</v>
      </c>
      <c r="G264" s="139"/>
      <c r="H264" s="139"/>
      <c r="I264" s="139"/>
      <c r="J264" s="139"/>
      <c r="K264" s="137" t="s">
        <v>93</v>
      </c>
      <c r="L264" s="139"/>
      <c r="M264" s="139"/>
      <c r="N264" s="139"/>
      <c r="O264" s="139"/>
      <c r="P264" s="137" t="s">
        <v>93</v>
      </c>
      <c r="Q264" s="139"/>
      <c r="R264" s="139"/>
    </row>
    <row r="265" spans="1:18">
      <c r="A265" s="137" t="s">
        <v>22</v>
      </c>
      <c r="B265" s="138">
        <v>0.73958333333333803</v>
      </c>
      <c r="C265" s="138">
        <v>0.750000000000003</v>
      </c>
      <c r="D265" s="139"/>
      <c r="E265" s="139"/>
      <c r="F265" s="137" t="s">
        <v>93</v>
      </c>
      <c r="G265" s="139"/>
      <c r="H265" s="139"/>
      <c r="I265" s="139"/>
      <c r="J265" s="139"/>
      <c r="K265" s="137" t="s">
        <v>93</v>
      </c>
      <c r="L265" s="139"/>
      <c r="M265" s="139"/>
      <c r="N265" s="139"/>
      <c r="O265" s="139"/>
      <c r="P265" s="137" t="s">
        <v>93</v>
      </c>
      <c r="Q265" s="139"/>
      <c r="R265" s="139"/>
    </row>
    <row r="266" spans="1:18">
      <c r="A266" s="137" t="s">
        <v>22</v>
      </c>
      <c r="B266" s="138">
        <v>0.750000000000005</v>
      </c>
      <c r="C266" s="138">
        <v>0.76041666666666996</v>
      </c>
      <c r="D266" s="139"/>
      <c r="E266" s="139"/>
      <c r="F266" s="137" t="s">
        <v>93</v>
      </c>
      <c r="G266" s="139"/>
      <c r="H266" s="139"/>
      <c r="I266" s="139"/>
      <c r="J266" s="139"/>
      <c r="K266" s="137" t="s">
        <v>93</v>
      </c>
      <c r="L266" s="139"/>
      <c r="M266" s="139"/>
      <c r="N266" s="139"/>
      <c r="O266" s="139"/>
      <c r="P266" s="137" t="s">
        <v>93</v>
      </c>
      <c r="Q266" s="139"/>
      <c r="R266" s="139"/>
    </row>
    <row r="267" spans="1:18">
      <c r="A267" s="137" t="s">
        <v>22</v>
      </c>
      <c r="B267" s="138">
        <v>0.76041666666667196</v>
      </c>
      <c r="C267" s="138">
        <v>0.77083333333333703</v>
      </c>
      <c r="D267" s="139"/>
      <c r="E267" s="139"/>
      <c r="F267" s="137" t="s">
        <v>93</v>
      </c>
      <c r="G267" s="139"/>
      <c r="H267" s="139"/>
      <c r="I267" s="139"/>
      <c r="J267" s="139"/>
      <c r="K267" s="137" t="s">
        <v>93</v>
      </c>
      <c r="L267" s="139"/>
      <c r="M267" s="139"/>
      <c r="N267" s="139"/>
      <c r="O267" s="139"/>
      <c r="P267" s="137" t="s">
        <v>93</v>
      </c>
      <c r="Q267" s="139"/>
      <c r="R267" s="139"/>
    </row>
    <row r="268" spans="1:18">
      <c r="A268" s="137" t="s">
        <v>22</v>
      </c>
      <c r="B268" s="138">
        <v>0.77083333333333903</v>
      </c>
      <c r="C268" s="138">
        <v>0.781250000000004</v>
      </c>
      <c r="D268" s="139"/>
      <c r="E268" s="139"/>
      <c r="F268" s="137" t="s">
        <v>93</v>
      </c>
      <c r="G268" s="139"/>
      <c r="H268" s="139"/>
      <c r="I268" s="139"/>
      <c r="J268" s="139"/>
      <c r="K268" s="137" t="s">
        <v>93</v>
      </c>
      <c r="L268" s="139"/>
      <c r="M268" s="139"/>
      <c r="N268" s="139"/>
      <c r="O268" s="139"/>
      <c r="P268" s="137" t="s">
        <v>93</v>
      </c>
      <c r="Q268" s="139"/>
      <c r="R268" s="139"/>
    </row>
    <row r="269" spans="1:18">
      <c r="A269" s="137" t="s">
        <v>22</v>
      </c>
      <c r="B269" s="138">
        <v>0.781250000000006</v>
      </c>
      <c r="C269" s="138">
        <v>0.79166666666667096</v>
      </c>
      <c r="D269" s="139"/>
      <c r="E269" s="139"/>
      <c r="F269" s="137" t="s">
        <v>93</v>
      </c>
      <c r="G269" s="139"/>
      <c r="H269" s="139"/>
      <c r="I269" s="139"/>
      <c r="J269" s="139"/>
      <c r="K269" s="137" t="s">
        <v>93</v>
      </c>
      <c r="L269" s="139"/>
      <c r="M269" s="139"/>
      <c r="N269" s="139"/>
      <c r="O269" s="139"/>
      <c r="P269" s="137" t="s">
        <v>93</v>
      </c>
      <c r="Q269" s="139"/>
      <c r="R269" s="139"/>
    </row>
    <row r="270" spans="1:18">
      <c r="A270" s="137" t="s">
        <v>22</v>
      </c>
      <c r="B270" s="138">
        <v>0.79166666666667296</v>
      </c>
      <c r="C270" s="138">
        <v>0.80208333333333803</v>
      </c>
      <c r="D270" s="139"/>
      <c r="E270" s="139"/>
      <c r="F270" s="137" t="s">
        <v>93</v>
      </c>
      <c r="G270" s="139"/>
      <c r="H270" s="139"/>
      <c r="I270" s="139"/>
      <c r="J270" s="139"/>
      <c r="K270" s="137" t="s">
        <v>93</v>
      </c>
      <c r="L270" s="139"/>
      <c r="M270" s="139"/>
      <c r="N270" s="139"/>
      <c r="O270" s="139"/>
      <c r="P270" s="137" t="s">
        <v>93</v>
      </c>
      <c r="Q270" s="139"/>
      <c r="R270" s="139"/>
    </row>
    <row r="271" spans="1:18">
      <c r="A271" s="137" t="s">
        <v>22</v>
      </c>
      <c r="B271" s="138">
        <v>0.80208333333334003</v>
      </c>
      <c r="C271" s="138">
        <v>0.812500000000005</v>
      </c>
      <c r="D271" s="139"/>
      <c r="E271" s="139"/>
      <c r="F271" s="137" t="s">
        <v>93</v>
      </c>
      <c r="G271" s="139"/>
      <c r="H271" s="139"/>
      <c r="I271" s="139"/>
      <c r="J271" s="139"/>
      <c r="K271" s="137" t="s">
        <v>93</v>
      </c>
      <c r="L271" s="139"/>
      <c r="M271" s="139"/>
      <c r="N271" s="139"/>
      <c r="O271" s="139"/>
      <c r="P271" s="137" t="s">
        <v>93</v>
      </c>
      <c r="Q271" s="139"/>
      <c r="R271" s="139"/>
    </row>
    <row r="272" spans="1:18">
      <c r="A272" s="137" t="s">
        <v>22</v>
      </c>
      <c r="B272" s="138">
        <v>0.81250000000000699</v>
      </c>
      <c r="C272" s="138">
        <v>0.82291666666667196</v>
      </c>
      <c r="D272" s="139"/>
      <c r="E272" s="139"/>
      <c r="F272" s="137" t="s">
        <v>93</v>
      </c>
      <c r="G272" s="139"/>
      <c r="H272" s="139"/>
      <c r="I272" s="139"/>
      <c r="J272" s="139"/>
      <c r="K272" s="137" t="s">
        <v>93</v>
      </c>
      <c r="L272" s="139"/>
      <c r="M272" s="139"/>
      <c r="N272" s="139"/>
      <c r="O272" s="139"/>
      <c r="P272" s="137" t="s">
        <v>93</v>
      </c>
      <c r="Q272" s="139"/>
      <c r="R272" s="139"/>
    </row>
    <row r="273" spans="1:18">
      <c r="A273" s="137" t="s">
        <v>22</v>
      </c>
      <c r="B273" s="138">
        <v>0.82291666666667396</v>
      </c>
      <c r="C273" s="138">
        <v>0.83333333333333903</v>
      </c>
      <c r="D273" s="139"/>
      <c r="E273" s="139"/>
      <c r="F273" s="137" t="s">
        <v>93</v>
      </c>
      <c r="G273" s="139"/>
      <c r="H273" s="139"/>
      <c r="I273" s="139"/>
      <c r="J273" s="139"/>
      <c r="K273" s="137" t="s">
        <v>93</v>
      </c>
      <c r="L273" s="139"/>
      <c r="M273" s="139"/>
      <c r="N273" s="139"/>
      <c r="O273" s="139"/>
      <c r="P273" s="137" t="s">
        <v>93</v>
      </c>
      <c r="Q273" s="139"/>
      <c r="R273" s="139"/>
    </row>
    <row r="274" spans="1:18">
      <c r="A274" s="137" t="s">
        <v>22</v>
      </c>
      <c r="B274" s="138">
        <v>0.83333333333334103</v>
      </c>
      <c r="C274" s="138">
        <v>0.843750000000006</v>
      </c>
      <c r="D274" s="139"/>
      <c r="E274" s="139"/>
      <c r="F274" s="137" t="s">
        <v>93</v>
      </c>
      <c r="G274" s="139"/>
      <c r="H274" s="139"/>
      <c r="I274" s="139"/>
      <c r="J274" s="139"/>
      <c r="K274" s="137" t="s">
        <v>93</v>
      </c>
      <c r="L274" s="139"/>
      <c r="M274" s="139"/>
      <c r="N274" s="139"/>
      <c r="O274" s="139"/>
      <c r="P274" s="137" t="s">
        <v>93</v>
      </c>
      <c r="Q274" s="139"/>
      <c r="R274" s="139"/>
    </row>
    <row r="275" spans="1:18">
      <c r="A275" s="137" t="s">
        <v>22</v>
      </c>
      <c r="B275" s="138">
        <v>0.84375000000000799</v>
      </c>
      <c r="C275" s="138">
        <v>0.85416666666667296</v>
      </c>
      <c r="D275" s="139"/>
      <c r="E275" s="139"/>
      <c r="F275" s="137" t="s">
        <v>93</v>
      </c>
      <c r="G275" s="139"/>
      <c r="H275" s="139"/>
      <c r="I275" s="139"/>
      <c r="J275" s="139"/>
      <c r="K275" s="137" t="s">
        <v>93</v>
      </c>
      <c r="L275" s="139"/>
      <c r="M275" s="139"/>
      <c r="N275" s="139"/>
      <c r="O275" s="139"/>
      <c r="P275" s="137" t="s">
        <v>93</v>
      </c>
      <c r="Q275" s="139"/>
      <c r="R275" s="139"/>
    </row>
    <row r="276" spans="1:18">
      <c r="A276" s="137" t="s">
        <v>22</v>
      </c>
      <c r="B276" s="138">
        <v>0.85416666666667496</v>
      </c>
      <c r="C276" s="138">
        <v>0.86458333333334003</v>
      </c>
      <c r="D276" s="139"/>
      <c r="E276" s="139"/>
      <c r="F276" s="137" t="s">
        <v>93</v>
      </c>
      <c r="G276" s="139"/>
      <c r="H276" s="139"/>
      <c r="I276" s="139"/>
      <c r="J276" s="139"/>
      <c r="K276" s="137" t="s">
        <v>93</v>
      </c>
      <c r="L276" s="139"/>
      <c r="M276" s="139"/>
      <c r="N276" s="139"/>
      <c r="O276" s="139"/>
      <c r="P276" s="137" t="s">
        <v>93</v>
      </c>
      <c r="Q276" s="139"/>
      <c r="R276" s="139"/>
    </row>
    <row r="277" spans="1:18">
      <c r="A277" s="137" t="s">
        <v>22</v>
      </c>
      <c r="B277" s="138">
        <v>0.86458333333334203</v>
      </c>
      <c r="C277" s="138">
        <v>0.87500000000000699</v>
      </c>
      <c r="D277" s="139"/>
      <c r="E277" s="139"/>
      <c r="F277" s="137" t="s">
        <v>93</v>
      </c>
      <c r="G277" s="139"/>
      <c r="H277" s="139"/>
      <c r="I277" s="139"/>
      <c r="J277" s="139"/>
      <c r="K277" s="137" t="s">
        <v>93</v>
      </c>
      <c r="L277" s="139"/>
      <c r="M277" s="139"/>
      <c r="N277" s="139"/>
      <c r="O277" s="139"/>
      <c r="P277" s="137" t="s">
        <v>93</v>
      </c>
      <c r="Q277" s="139"/>
      <c r="R277" s="139"/>
    </row>
    <row r="278" spans="1:18">
      <c r="A278" s="137" t="s">
        <v>22</v>
      </c>
      <c r="B278" s="138">
        <v>0.87500000000000899</v>
      </c>
      <c r="C278" s="138">
        <v>0.88541666666667396</v>
      </c>
      <c r="D278" s="139"/>
      <c r="E278" s="139"/>
      <c r="F278" s="137" t="s">
        <v>93</v>
      </c>
      <c r="G278" s="139"/>
      <c r="H278" s="139"/>
      <c r="I278" s="139"/>
      <c r="J278" s="139"/>
      <c r="K278" s="137" t="s">
        <v>93</v>
      </c>
      <c r="L278" s="139"/>
      <c r="M278" s="139"/>
      <c r="N278" s="139"/>
      <c r="O278" s="139"/>
      <c r="P278" s="137" t="s">
        <v>93</v>
      </c>
      <c r="Q278" s="139"/>
      <c r="R278" s="139"/>
    </row>
    <row r="279" spans="1:18">
      <c r="A279" s="137" t="s">
        <v>22</v>
      </c>
      <c r="B279" s="138">
        <v>0.88541666666667596</v>
      </c>
      <c r="C279" s="138">
        <v>0.89583333333334103</v>
      </c>
      <c r="D279" s="139"/>
      <c r="E279" s="139"/>
      <c r="F279" s="137" t="s">
        <v>93</v>
      </c>
      <c r="G279" s="139"/>
      <c r="H279" s="139"/>
      <c r="I279" s="139"/>
      <c r="J279" s="139"/>
      <c r="K279" s="137" t="s">
        <v>93</v>
      </c>
      <c r="L279" s="139"/>
      <c r="M279" s="139"/>
      <c r="N279" s="139"/>
      <c r="O279" s="139"/>
      <c r="P279" s="137" t="s">
        <v>93</v>
      </c>
      <c r="Q279" s="139"/>
      <c r="R279" s="139"/>
    </row>
    <row r="280" spans="1:18">
      <c r="A280" s="137" t="s">
        <v>22</v>
      </c>
      <c r="B280" s="138">
        <v>0.89583333333334303</v>
      </c>
      <c r="C280" s="138">
        <v>0.90625000000000799</v>
      </c>
      <c r="D280" s="139"/>
      <c r="E280" s="139"/>
      <c r="F280" s="137" t="s">
        <v>93</v>
      </c>
      <c r="G280" s="139"/>
      <c r="H280" s="139"/>
      <c r="I280" s="139"/>
      <c r="J280" s="139"/>
      <c r="K280" s="137" t="s">
        <v>93</v>
      </c>
      <c r="L280" s="139"/>
      <c r="M280" s="139"/>
      <c r="N280" s="139"/>
      <c r="O280" s="139"/>
      <c r="P280" s="137" t="s">
        <v>93</v>
      </c>
      <c r="Q280" s="139"/>
      <c r="R280" s="139"/>
    </row>
    <row r="281" spans="1:18">
      <c r="A281" s="137" t="s">
        <v>22</v>
      </c>
      <c r="B281" s="138">
        <v>0.90625000000000999</v>
      </c>
      <c r="C281" s="138">
        <v>0.91666666666667496</v>
      </c>
      <c r="D281" s="139"/>
      <c r="E281" s="139"/>
      <c r="F281" s="137" t="s">
        <v>93</v>
      </c>
      <c r="G281" s="139"/>
      <c r="H281" s="139"/>
      <c r="I281" s="139"/>
      <c r="J281" s="139"/>
      <c r="K281" s="137" t="s">
        <v>93</v>
      </c>
      <c r="L281" s="139"/>
      <c r="M281" s="139"/>
      <c r="N281" s="139"/>
      <c r="O281" s="139"/>
      <c r="P281" s="137" t="s">
        <v>93</v>
      </c>
      <c r="Q281" s="139"/>
      <c r="R281" s="139"/>
    </row>
    <row r="282" spans="1:18">
      <c r="A282" s="137" t="s">
        <v>118</v>
      </c>
      <c r="B282" s="138">
        <v>0.91666666666666663</v>
      </c>
      <c r="C282" s="144">
        <v>0.92708333333333215</v>
      </c>
      <c r="D282" s="139"/>
      <c r="E282" s="139"/>
      <c r="F282" s="137" t="s">
        <v>93</v>
      </c>
      <c r="G282" s="139"/>
      <c r="H282" s="139"/>
      <c r="I282" s="139"/>
      <c r="J282" s="139"/>
      <c r="K282" s="137" t="s">
        <v>93</v>
      </c>
      <c r="L282" s="139"/>
      <c r="M282" s="139"/>
      <c r="N282" s="139"/>
      <c r="O282" s="139"/>
      <c r="P282" s="137" t="s">
        <v>93</v>
      </c>
      <c r="Q282" s="139"/>
      <c r="R282" s="139"/>
    </row>
    <row r="283" spans="1:18">
      <c r="A283" s="137" t="s">
        <v>118</v>
      </c>
      <c r="B283" s="138">
        <v>0.92708333333333337</v>
      </c>
      <c r="C283" s="144">
        <v>0.93749999999999878</v>
      </c>
      <c r="D283" s="139"/>
      <c r="E283" s="139"/>
      <c r="F283" s="137" t="s">
        <v>93</v>
      </c>
      <c r="G283" s="139"/>
      <c r="H283" s="139"/>
      <c r="I283" s="139"/>
      <c r="J283" s="139"/>
      <c r="K283" s="137" t="s">
        <v>93</v>
      </c>
      <c r="L283" s="139"/>
      <c r="M283" s="139"/>
      <c r="N283" s="139"/>
      <c r="O283" s="139"/>
      <c r="P283" s="137" t="s">
        <v>93</v>
      </c>
      <c r="Q283" s="139"/>
      <c r="R283" s="139"/>
    </row>
    <row r="284" spans="1:18">
      <c r="A284" s="137" t="s">
        <v>118</v>
      </c>
      <c r="B284" s="138">
        <v>0.9375</v>
      </c>
      <c r="C284" s="144">
        <v>0.94791666666666541</v>
      </c>
      <c r="D284" s="139"/>
      <c r="E284" s="139"/>
      <c r="F284" s="137" t="s">
        <v>93</v>
      </c>
      <c r="G284" s="139"/>
      <c r="H284" s="139"/>
      <c r="I284" s="139"/>
      <c r="J284" s="139"/>
      <c r="K284" s="137" t="s">
        <v>93</v>
      </c>
      <c r="L284" s="139"/>
      <c r="M284" s="139"/>
      <c r="N284" s="139"/>
      <c r="O284" s="139"/>
      <c r="P284" s="137" t="s">
        <v>93</v>
      </c>
      <c r="Q284" s="139"/>
      <c r="R284" s="139"/>
    </row>
    <row r="285" spans="1:18">
      <c r="A285" s="137" t="s">
        <v>118</v>
      </c>
      <c r="B285" s="138">
        <v>0.94791666666666663</v>
      </c>
      <c r="C285" s="144">
        <v>0.95833333333333204</v>
      </c>
      <c r="D285" s="139"/>
      <c r="E285" s="139"/>
      <c r="F285" s="137" t="s">
        <v>93</v>
      </c>
      <c r="G285" s="139"/>
      <c r="H285" s="139"/>
      <c r="I285" s="139"/>
      <c r="J285" s="139"/>
      <c r="K285" s="137" t="s">
        <v>93</v>
      </c>
      <c r="L285" s="139"/>
      <c r="M285" s="139"/>
      <c r="N285" s="139"/>
      <c r="O285" s="139"/>
      <c r="P285" s="137" t="s">
        <v>93</v>
      </c>
      <c r="Q285" s="139"/>
      <c r="R285" s="139"/>
    </row>
    <row r="286" spans="1:18">
      <c r="A286" s="137" t="s">
        <v>118</v>
      </c>
      <c r="B286" s="138">
        <v>0.95833333333333337</v>
      </c>
      <c r="C286" s="144">
        <v>0.96874999999999867</v>
      </c>
      <c r="D286" s="139"/>
      <c r="E286" s="139"/>
      <c r="F286" s="137" t="s">
        <v>93</v>
      </c>
      <c r="G286" s="139"/>
      <c r="H286" s="139"/>
      <c r="I286" s="139"/>
      <c r="J286" s="139"/>
      <c r="K286" s="137" t="s">
        <v>93</v>
      </c>
      <c r="L286" s="139"/>
      <c r="M286" s="139"/>
      <c r="N286" s="139"/>
      <c r="O286" s="139"/>
      <c r="P286" s="137" t="s">
        <v>93</v>
      </c>
      <c r="Q286" s="139"/>
      <c r="R286" s="139"/>
    </row>
    <row r="287" spans="1:18">
      <c r="A287" s="137" t="s">
        <v>118</v>
      </c>
      <c r="B287" s="138">
        <v>0.96875</v>
      </c>
      <c r="C287" s="144">
        <v>0.9791666666666653</v>
      </c>
      <c r="D287" s="139"/>
      <c r="E287" s="139"/>
      <c r="F287" s="137" t="s">
        <v>93</v>
      </c>
      <c r="G287" s="139"/>
      <c r="H287" s="139"/>
      <c r="I287" s="139"/>
      <c r="J287" s="139"/>
      <c r="K287" s="137" t="s">
        <v>93</v>
      </c>
      <c r="L287" s="139"/>
      <c r="M287" s="139"/>
      <c r="N287" s="139"/>
      <c r="O287" s="139"/>
      <c r="P287" s="137" t="s">
        <v>93</v>
      </c>
      <c r="Q287" s="139"/>
      <c r="R287" s="139"/>
    </row>
    <row r="288" spans="1:18">
      <c r="A288" s="137" t="s">
        <v>118</v>
      </c>
      <c r="B288" s="138">
        <v>0.97916666666666663</v>
      </c>
      <c r="C288" s="144">
        <v>0.98958333333333193</v>
      </c>
      <c r="D288" s="139"/>
      <c r="E288" s="139"/>
      <c r="F288" s="137" t="s">
        <v>93</v>
      </c>
      <c r="G288" s="139"/>
      <c r="H288" s="139"/>
      <c r="I288" s="139"/>
      <c r="J288" s="139"/>
      <c r="K288" s="137" t="s">
        <v>93</v>
      </c>
      <c r="L288" s="139"/>
      <c r="M288" s="139"/>
      <c r="N288" s="139"/>
      <c r="O288" s="139"/>
      <c r="P288" s="137" t="s">
        <v>93</v>
      </c>
      <c r="Q288" s="139"/>
      <c r="R288" s="139"/>
    </row>
    <row r="289" spans="1:18" s="105" customFormat="1" ht="17.25" thickBot="1">
      <c r="A289" s="140" t="s">
        <v>118</v>
      </c>
      <c r="B289" s="141">
        <v>0.98958333333333337</v>
      </c>
      <c r="C289" s="247" t="s">
        <v>124</v>
      </c>
      <c r="D289" s="142"/>
      <c r="E289" s="142"/>
      <c r="F289" s="140" t="s">
        <v>93</v>
      </c>
      <c r="G289" s="142"/>
      <c r="H289" s="142"/>
      <c r="I289" s="142"/>
      <c r="J289" s="142"/>
      <c r="K289" s="140" t="s">
        <v>93</v>
      </c>
      <c r="L289" s="142"/>
      <c r="M289" s="142"/>
      <c r="N289" s="142"/>
      <c r="O289" s="142"/>
      <c r="P289" s="140" t="s">
        <v>93</v>
      </c>
      <c r="Q289" s="142"/>
      <c r="R289" s="142"/>
    </row>
    <row r="290" spans="1:18" ht="17.25" thickTop="1">
      <c r="A290" s="248" t="s">
        <v>18</v>
      </c>
      <c r="B290" s="249">
        <v>0</v>
      </c>
      <c r="C290" s="250">
        <v>1.0416666666666666E-2</v>
      </c>
      <c r="D290" s="147"/>
      <c r="E290" s="147"/>
      <c r="F290" s="147"/>
      <c r="G290" s="145" t="s">
        <v>93</v>
      </c>
      <c r="H290" s="147"/>
      <c r="I290" s="147"/>
      <c r="J290" s="147"/>
      <c r="K290" s="147"/>
      <c r="L290" s="145" t="s">
        <v>93</v>
      </c>
      <c r="M290" s="147"/>
      <c r="N290" s="147"/>
      <c r="O290" s="147"/>
      <c r="P290" s="147"/>
      <c r="Q290" s="145" t="s">
        <v>93</v>
      </c>
      <c r="R290" s="147"/>
    </row>
    <row r="291" spans="1:18">
      <c r="A291" s="103" t="s">
        <v>18</v>
      </c>
      <c r="B291" s="104">
        <v>1.0416666666666666E-2</v>
      </c>
      <c r="C291" s="104">
        <v>2.0833333333333332E-2</v>
      </c>
      <c r="D291" s="147"/>
      <c r="E291" s="147"/>
      <c r="F291" s="147"/>
      <c r="G291" s="145" t="s">
        <v>93</v>
      </c>
      <c r="H291" s="147"/>
      <c r="I291" s="147"/>
      <c r="J291" s="147"/>
      <c r="K291" s="147"/>
      <c r="L291" s="145" t="s">
        <v>93</v>
      </c>
      <c r="M291" s="147"/>
      <c r="N291" s="147"/>
      <c r="O291" s="147"/>
      <c r="P291" s="147"/>
      <c r="Q291" s="145" t="s">
        <v>93</v>
      </c>
      <c r="R291" s="147"/>
    </row>
    <row r="292" spans="1:18">
      <c r="A292" s="103" t="s">
        <v>18</v>
      </c>
      <c r="B292" s="104">
        <v>2.0833333333333332E-2</v>
      </c>
      <c r="C292" s="104">
        <v>3.125E-2</v>
      </c>
      <c r="D292" s="147"/>
      <c r="E292" s="147"/>
      <c r="F292" s="147"/>
      <c r="G292" s="145" t="s">
        <v>93</v>
      </c>
      <c r="H292" s="147"/>
      <c r="I292" s="147"/>
      <c r="J292" s="147"/>
      <c r="K292" s="147"/>
      <c r="L292" s="145" t="s">
        <v>93</v>
      </c>
      <c r="M292" s="147"/>
      <c r="N292" s="147"/>
      <c r="O292" s="147"/>
      <c r="P292" s="147"/>
      <c r="Q292" s="145" t="s">
        <v>93</v>
      </c>
      <c r="R292" s="147"/>
    </row>
    <row r="293" spans="1:18">
      <c r="A293" s="103" t="s">
        <v>18</v>
      </c>
      <c r="B293" s="104">
        <v>3.125E-2</v>
      </c>
      <c r="C293" s="104">
        <v>4.1666666666666664E-2</v>
      </c>
      <c r="D293" s="147"/>
      <c r="E293" s="147"/>
      <c r="F293" s="147"/>
      <c r="G293" s="145" t="s">
        <v>93</v>
      </c>
      <c r="H293" s="147"/>
      <c r="I293" s="147"/>
      <c r="J293" s="147"/>
      <c r="K293" s="147"/>
      <c r="L293" s="145" t="s">
        <v>93</v>
      </c>
      <c r="M293" s="147"/>
      <c r="N293" s="147"/>
      <c r="O293" s="147"/>
      <c r="P293" s="147"/>
      <c r="Q293" s="145" t="s">
        <v>93</v>
      </c>
      <c r="R293" s="147"/>
    </row>
    <row r="294" spans="1:18">
      <c r="A294" s="103" t="s">
        <v>18</v>
      </c>
      <c r="B294" s="104">
        <v>4.1666666666666664E-2</v>
      </c>
      <c r="C294" s="104">
        <v>5.2083333333333329E-2</v>
      </c>
      <c r="D294" s="147"/>
      <c r="E294" s="147"/>
      <c r="F294" s="147"/>
      <c r="G294" s="145" t="s">
        <v>93</v>
      </c>
      <c r="H294" s="147"/>
      <c r="I294" s="147"/>
      <c r="J294" s="147"/>
      <c r="K294" s="147"/>
      <c r="L294" s="145" t="s">
        <v>93</v>
      </c>
      <c r="M294" s="147"/>
      <c r="N294" s="147"/>
      <c r="O294" s="147"/>
      <c r="P294" s="147"/>
      <c r="Q294" s="145" t="s">
        <v>93</v>
      </c>
      <c r="R294" s="147"/>
    </row>
    <row r="295" spans="1:18">
      <c r="A295" s="103" t="s">
        <v>18</v>
      </c>
      <c r="B295" s="104">
        <v>5.2083333333333329E-2</v>
      </c>
      <c r="C295" s="104">
        <v>6.25E-2</v>
      </c>
      <c r="D295" s="147"/>
      <c r="E295" s="147"/>
      <c r="F295" s="147"/>
      <c r="G295" s="145" t="s">
        <v>93</v>
      </c>
      <c r="H295" s="147"/>
      <c r="I295" s="147"/>
      <c r="J295" s="147"/>
      <c r="K295" s="147"/>
      <c r="L295" s="145" t="s">
        <v>93</v>
      </c>
      <c r="M295" s="147"/>
      <c r="N295" s="147"/>
      <c r="O295" s="147"/>
      <c r="P295" s="147"/>
      <c r="Q295" s="145" t="s">
        <v>93</v>
      </c>
      <c r="R295" s="147"/>
    </row>
    <row r="296" spans="1:18">
      <c r="A296" s="103" t="s">
        <v>18</v>
      </c>
      <c r="B296" s="104">
        <v>6.25E-2</v>
      </c>
      <c r="C296" s="104">
        <v>7.2916666666666657E-2</v>
      </c>
      <c r="D296" s="147"/>
      <c r="E296" s="147"/>
      <c r="F296" s="147"/>
      <c r="G296" s="145" t="s">
        <v>93</v>
      </c>
      <c r="H296" s="147"/>
      <c r="I296" s="147"/>
      <c r="J296" s="147"/>
      <c r="K296" s="147"/>
      <c r="L296" s="145" t="s">
        <v>93</v>
      </c>
      <c r="M296" s="147"/>
      <c r="N296" s="147"/>
      <c r="O296" s="147"/>
      <c r="P296" s="147"/>
      <c r="Q296" s="145" t="s">
        <v>93</v>
      </c>
      <c r="R296" s="147"/>
    </row>
    <row r="297" spans="1:18">
      <c r="A297" s="103" t="s">
        <v>18</v>
      </c>
      <c r="B297" s="104">
        <v>7.2916666666666657E-2</v>
      </c>
      <c r="C297" s="104">
        <v>8.3333333333333329E-2</v>
      </c>
      <c r="D297" s="147"/>
      <c r="E297" s="147"/>
      <c r="F297" s="147"/>
      <c r="G297" s="145" t="s">
        <v>93</v>
      </c>
      <c r="H297" s="147"/>
      <c r="I297" s="147"/>
      <c r="J297" s="147"/>
      <c r="K297" s="147"/>
      <c r="L297" s="145" t="s">
        <v>93</v>
      </c>
      <c r="M297" s="147"/>
      <c r="N297" s="147"/>
      <c r="O297" s="147"/>
      <c r="P297" s="147"/>
      <c r="Q297" s="145" t="s">
        <v>93</v>
      </c>
      <c r="R297" s="147"/>
    </row>
    <row r="298" spans="1:18">
      <c r="A298" s="103" t="s">
        <v>18</v>
      </c>
      <c r="B298" s="104">
        <v>8.3333333333333329E-2</v>
      </c>
      <c r="C298" s="104">
        <v>9.375E-2</v>
      </c>
      <c r="D298" s="147"/>
      <c r="E298" s="147"/>
      <c r="F298" s="147"/>
      <c r="G298" s="145" t="s">
        <v>93</v>
      </c>
      <c r="H298" s="147"/>
      <c r="I298" s="147"/>
      <c r="J298" s="147"/>
      <c r="K298" s="147"/>
      <c r="L298" s="145" t="s">
        <v>93</v>
      </c>
      <c r="M298" s="147"/>
      <c r="N298" s="147"/>
      <c r="O298" s="147"/>
      <c r="P298" s="147"/>
      <c r="Q298" s="145" t="s">
        <v>93</v>
      </c>
      <c r="R298" s="147"/>
    </row>
    <row r="299" spans="1:18">
      <c r="A299" s="103" t="s">
        <v>18</v>
      </c>
      <c r="B299" s="104">
        <v>9.375E-2</v>
      </c>
      <c r="C299" s="104">
        <v>0.10416666666666667</v>
      </c>
      <c r="D299" s="147"/>
      <c r="E299" s="147"/>
      <c r="F299" s="147"/>
      <c r="G299" s="145" t="s">
        <v>93</v>
      </c>
      <c r="H299" s="147"/>
      <c r="I299" s="147"/>
      <c r="J299" s="147"/>
      <c r="K299" s="147"/>
      <c r="L299" s="145" t="s">
        <v>93</v>
      </c>
      <c r="M299" s="147"/>
      <c r="N299" s="147"/>
      <c r="O299" s="147"/>
      <c r="P299" s="147"/>
      <c r="Q299" s="145" t="s">
        <v>93</v>
      </c>
      <c r="R299" s="147"/>
    </row>
    <row r="300" spans="1:18">
      <c r="A300" s="103" t="s">
        <v>18</v>
      </c>
      <c r="B300" s="104">
        <v>0.10416666666666667</v>
      </c>
      <c r="C300" s="104">
        <v>0.11458333333333334</v>
      </c>
      <c r="D300" s="147"/>
      <c r="E300" s="147"/>
      <c r="F300" s="147"/>
      <c r="G300" s="145" t="s">
        <v>93</v>
      </c>
      <c r="H300" s="147"/>
      <c r="I300" s="147"/>
      <c r="J300" s="147"/>
      <c r="K300" s="147"/>
      <c r="L300" s="145" t="s">
        <v>93</v>
      </c>
      <c r="M300" s="147"/>
      <c r="N300" s="147"/>
      <c r="O300" s="147"/>
      <c r="P300" s="147"/>
      <c r="Q300" s="145" t="s">
        <v>93</v>
      </c>
      <c r="R300" s="147"/>
    </row>
    <row r="301" spans="1:18">
      <c r="A301" s="103" t="s">
        <v>18</v>
      </c>
      <c r="B301" s="104">
        <v>0.11458333333333334</v>
      </c>
      <c r="C301" s="104">
        <v>0.125</v>
      </c>
      <c r="D301" s="147"/>
      <c r="E301" s="147"/>
      <c r="F301" s="147"/>
      <c r="G301" s="145" t="s">
        <v>93</v>
      </c>
      <c r="H301" s="147"/>
      <c r="I301" s="147"/>
      <c r="J301" s="147"/>
      <c r="K301" s="147"/>
      <c r="L301" s="145" t="s">
        <v>93</v>
      </c>
      <c r="M301" s="147"/>
      <c r="N301" s="147"/>
      <c r="O301" s="147"/>
      <c r="P301" s="147"/>
      <c r="Q301" s="145" t="s">
        <v>93</v>
      </c>
      <c r="R301" s="147"/>
    </row>
    <row r="302" spans="1:18">
      <c r="A302" s="103" t="s">
        <v>18</v>
      </c>
      <c r="B302" s="104">
        <v>0.125</v>
      </c>
      <c r="C302" s="104">
        <v>0.13541666666666666</v>
      </c>
      <c r="D302" s="147"/>
      <c r="E302" s="147"/>
      <c r="F302" s="147"/>
      <c r="G302" s="145" t="s">
        <v>93</v>
      </c>
      <c r="H302" s="147"/>
      <c r="I302" s="147"/>
      <c r="J302" s="147"/>
      <c r="K302" s="147"/>
      <c r="L302" s="145" t="s">
        <v>93</v>
      </c>
      <c r="M302" s="147"/>
      <c r="N302" s="147"/>
      <c r="O302" s="147"/>
      <c r="P302" s="147"/>
      <c r="Q302" s="145" t="s">
        <v>93</v>
      </c>
      <c r="R302" s="147"/>
    </row>
    <row r="303" spans="1:18">
      <c r="A303" s="103" t="s">
        <v>18</v>
      </c>
      <c r="B303" s="104">
        <v>0.13541666666666666</v>
      </c>
      <c r="C303" s="104">
        <v>0.14583333333333331</v>
      </c>
      <c r="D303" s="147"/>
      <c r="E303" s="147"/>
      <c r="F303" s="147"/>
      <c r="G303" s="145" t="s">
        <v>93</v>
      </c>
      <c r="H303" s="147"/>
      <c r="I303" s="147"/>
      <c r="J303" s="147"/>
      <c r="K303" s="147"/>
      <c r="L303" s="145" t="s">
        <v>93</v>
      </c>
      <c r="M303" s="147"/>
      <c r="N303" s="147"/>
      <c r="O303" s="147"/>
      <c r="P303" s="147"/>
      <c r="Q303" s="145" t="s">
        <v>93</v>
      </c>
      <c r="R303" s="147"/>
    </row>
    <row r="304" spans="1:18">
      <c r="A304" s="103" t="s">
        <v>18</v>
      </c>
      <c r="B304" s="104">
        <v>0.14583333333333331</v>
      </c>
      <c r="C304" s="104">
        <v>0.15625</v>
      </c>
      <c r="D304" s="147"/>
      <c r="E304" s="147"/>
      <c r="F304" s="147"/>
      <c r="G304" s="145" t="s">
        <v>93</v>
      </c>
      <c r="H304" s="147"/>
      <c r="I304" s="147"/>
      <c r="J304" s="147"/>
      <c r="K304" s="147"/>
      <c r="L304" s="145" t="s">
        <v>93</v>
      </c>
      <c r="M304" s="147"/>
      <c r="N304" s="147"/>
      <c r="O304" s="147"/>
      <c r="P304" s="147"/>
      <c r="Q304" s="145" t="s">
        <v>93</v>
      </c>
      <c r="R304" s="147"/>
    </row>
    <row r="305" spans="1:18">
      <c r="A305" s="103" t="s">
        <v>18</v>
      </c>
      <c r="B305" s="104">
        <v>0.15625</v>
      </c>
      <c r="C305" s="104">
        <v>0.16666666666666663</v>
      </c>
      <c r="D305" s="147"/>
      <c r="E305" s="147"/>
      <c r="F305" s="147"/>
      <c r="G305" s="145" t="s">
        <v>93</v>
      </c>
      <c r="H305" s="147"/>
      <c r="I305" s="147"/>
      <c r="J305" s="147"/>
      <c r="K305" s="147"/>
      <c r="L305" s="145" t="s">
        <v>93</v>
      </c>
      <c r="M305" s="147"/>
      <c r="N305" s="147"/>
      <c r="O305" s="147"/>
      <c r="P305" s="147"/>
      <c r="Q305" s="145" t="s">
        <v>93</v>
      </c>
      <c r="R305" s="147"/>
    </row>
    <row r="306" spans="1:18">
      <c r="A306" s="103" t="s">
        <v>18</v>
      </c>
      <c r="B306" s="104">
        <v>0.16666666666666666</v>
      </c>
      <c r="C306" s="104">
        <v>0.17708333333333329</v>
      </c>
      <c r="D306" s="147"/>
      <c r="E306" s="147"/>
      <c r="F306" s="147"/>
      <c r="G306" s="145" t="s">
        <v>93</v>
      </c>
      <c r="H306" s="147"/>
      <c r="I306" s="147"/>
      <c r="J306" s="147"/>
      <c r="K306" s="147"/>
      <c r="L306" s="145" t="s">
        <v>93</v>
      </c>
      <c r="M306" s="147"/>
      <c r="N306" s="147"/>
      <c r="O306" s="147"/>
      <c r="P306" s="147"/>
      <c r="Q306" s="145" t="s">
        <v>93</v>
      </c>
      <c r="R306" s="147"/>
    </row>
    <row r="307" spans="1:18">
      <c r="A307" s="103" t="s">
        <v>18</v>
      </c>
      <c r="B307" s="104">
        <v>0.17708333333333334</v>
      </c>
      <c r="C307" s="104">
        <v>0.1875</v>
      </c>
      <c r="D307" s="147"/>
      <c r="E307" s="147"/>
      <c r="F307" s="147"/>
      <c r="G307" s="145" t="s">
        <v>93</v>
      </c>
      <c r="H307" s="147"/>
      <c r="I307" s="147"/>
      <c r="J307" s="147"/>
      <c r="K307" s="147"/>
      <c r="L307" s="145" t="s">
        <v>93</v>
      </c>
      <c r="M307" s="147"/>
      <c r="N307" s="147"/>
      <c r="O307" s="147"/>
      <c r="P307" s="147"/>
      <c r="Q307" s="145" t="s">
        <v>93</v>
      </c>
      <c r="R307" s="147"/>
    </row>
    <row r="308" spans="1:18">
      <c r="A308" s="103" t="s">
        <v>18</v>
      </c>
      <c r="B308" s="104">
        <v>0.1875</v>
      </c>
      <c r="C308" s="104">
        <v>0.1979166666666666</v>
      </c>
      <c r="D308" s="147"/>
      <c r="E308" s="147"/>
      <c r="F308" s="147"/>
      <c r="G308" s="145" t="s">
        <v>93</v>
      </c>
      <c r="H308" s="147"/>
      <c r="I308" s="147"/>
      <c r="J308" s="147"/>
      <c r="K308" s="147"/>
      <c r="L308" s="145" t="s">
        <v>93</v>
      </c>
      <c r="M308" s="147"/>
      <c r="N308" s="147"/>
      <c r="O308" s="147"/>
      <c r="P308" s="147"/>
      <c r="Q308" s="145" t="s">
        <v>93</v>
      </c>
      <c r="R308" s="147"/>
    </row>
    <row r="309" spans="1:18">
      <c r="A309" s="103" t="s">
        <v>18</v>
      </c>
      <c r="B309" s="104">
        <v>0.19791666666666666</v>
      </c>
      <c r="C309" s="104">
        <v>0.20833333333333326</v>
      </c>
      <c r="D309" s="147"/>
      <c r="E309" s="147"/>
      <c r="F309" s="147"/>
      <c r="G309" s="145" t="s">
        <v>93</v>
      </c>
      <c r="H309" s="147"/>
      <c r="I309" s="147"/>
      <c r="J309" s="147"/>
      <c r="K309" s="147"/>
      <c r="L309" s="145" t="s">
        <v>93</v>
      </c>
      <c r="M309" s="147"/>
      <c r="N309" s="147"/>
      <c r="O309" s="147"/>
      <c r="P309" s="147"/>
      <c r="Q309" s="145" t="s">
        <v>93</v>
      </c>
      <c r="R309" s="147"/>
    </row>
    <row r="310" spans="1:18">
      <c r="A310" s="103" t="s">
        <v>18</v>
      </c>
      <c r="B310" s="104">
        <v>0.20833333333333334</v>
      </c>
      <c r="C310" s="104">
        <v>0.21875</v>
      </c>
      <c r="D310" s="147"/>
      <c r="E310" s="147"/>
      <c r="F310" s="147"/>
      <c r="G310" s="145" t="s">
        <v>93</v>
      </c>
      <c r="H310" s="147"/>
      <c r="I310" s="147"/>
      <c r="J310" s="147"/>
      <c r="K310" s="147"/>
      <c r="L310" s="145" t="s">
        <v>93</v>
      </c>
      <c r="M310" s="147"/>
      <c r="N310" s="147"/>
      <c r="O310" s="147"/>
      <c r="P310" s="147"/>
      <c r="Q310" s="145" t="s">
        <v>93</v>
      </c>
      <c r="R310" s="147"/>
    </row>
    <row r="311" spans="1:18">
      <c r="A311" s="103" t="s">
        <v>18</v>
      </c>
      <c r="B311" s="104">
        <v>0.21875</v>
      </c>
      <c r="C311" s="104">
        <v>0.22916666666666657</v>
      </c>
      <c r="D311" s="147"/>
      <c r="E311" s="147"/>
      <c r="F311" s="147"/>
      <c r="G311" s="145" t="s">
        <v>93</v>
      </c>
      <c r="H311" s="147"/>
      <c r="I311" s="147"/>
      <c r="J311" s="147"/>
      <c r="K311" s="147"/>
      <c r="L311" s="145" t="s">
        <v>93</v>
      </c>
      <c r="M311" s="147"/>
      <c r="N311" s="147"/>
      <c r="O311" s="147"/>
      <c r="P311" s="147"/>
      <c r="Q311" s="145" t="s">
        <v>93</v>
      </c>
      <c r="R311" s="147"/>
    </row>
    <row r="312" spans="1:18">
      <c r="A312" s="103" t="s">
        <v>18</v>
      </c>
      <c r="B312" s="104">
        <v>0.22916666666666666</v>
      </c>
      <c r="C312" s="104">
        <v>0.23958333333333323</v>
      </c>
      <c r="D312" s="147"/>
      <c r="E312" s="147"/>
      <c r="F312" s="147"/>
      <c r="G312" s="145" t="s">
        <v>93</v>
      </c>
      <c r="H312" s="147"/>
      <c r="I312" s="147"/>
      <c r="J312" s="147"/>
      <c r="K312" s="147"/>
      <c r="L312" s="145" t="s">
        <v>93</v>
      </c>
      <c r="M312" s="147"/>
      <c r="N312" s="147"/>
      <c r="O312" s="147"/>
      <c r="P312" s="147"/>
      <c r="Q312" s="145" t="s">
        <v>93</v>
      </c>
      <c r="R312" s="147"/>
    </row>
    <row r="313" spans="1:18">
      <c r="A313" s="103" t="s">
        <v>18</v>
      </c>
      <c r="B313" s="104">
        <v>0.23958333333333334</v>
      </c>
      <c r="C313" s="104">
        <v>0.25</v>
      </c>
      <c r="D313" s="147"/>
      <c r="E313" s="147"/>
      <c r="F313" s="147"/>
      <c r="G313" s="145" t="s">
        <v>93</v>
      </c>
      <c r="H313" s="147"/>
      <c r="I313" s="147"/>
      <c r="J313" s="147"/>
      <c r="K313" s="147"/>
      <c r="L313" s="145" t="s">
        <v>93</v>
      </c>
      <c r="M313" s="147"/>
      <c r="N313" s="147"/>
      <c r="O313" s="147"/>
      <c r="P313" s="147"/>
      <c r="Q313" s="145" t="s">
        <v>93</v>
      </c>
      <c r="R313" s="147"/>
    </row>
    <row r="314" spans="1:18">
      <c r="A314" s="103" t="s">
        <v>18</v>
      </c>
      <c r="B314" s="104">
        <v>0.25</v>
      </c>
      <c r="C314" s="104">
        <v>0.26041666666666669</v>
      </c>
      <c r="D314" s="147"/>
      <c r="E314" s="147"/>
      <c r="F314" s="147"/>
      <c r="G314" s="145" t="s">
        <v>93</v>
      </c>
      <c r="H314" s="147"/>
      <c r="I314" s="147"/>
      <c r="J314" s="147"/>
      <c r="K314" s="147"/>
      <c r="L314" s="145" t="s">
        <v>93</v>
      </c>
      <c r="M314" s="147"/>
      <c r="N314" s="147"/>
      <c r="O314" s="147"/>
      <c r="P314" s="147"/>
      <c r="Q314" s="145" t="s">
        <v>93</v>
      </c>
      <c r="R314" s="147"/>
    </row>
    <row r="315" spans="1:18">
      <c r="A315" s="103" t="s">
        <v>18</v>
      </c>
      <c r="B315" s="104">
        <v>0.26041666666666669</v>
      </c>
      <c r="C315" s="104">
        <v>0.27083333333333331</v>
      </c>
      <c r="D315" s="146"/>
      <c r="E315" s="146"/>
      <c r="F315" s="146"/>
      <c r="G315" s="103" t="s">
        <v>93</v>
      </c>
      <c r="H315" s="146"/>
      <c r="I315" s="146"/>
      <c r="J315" s="146"/>
      <c r="K315" s="146"/>
      <c r="L315" s="103" t="s">
        <v>93</v>
      </c>
      <c r="M315" s="146"/>
      <c r="N315" s="146"/>
      <c r="O315" s="146"/>
      <c r="P315" s="146"/>
      <c r="Q315" s="103" t="s">
        <v>93</v>
      </c>
      <c r="R315" s="146"/>
    </row>
    <row r="316" spans="1:18">
      <c r="A316" s="103" t="s">
        <v>18</v>
      </c>
      <c r="B316" s="104">
        <v>0.27083333333333298</v>
      </c>
      <c r="C316" s="104">
        <v>0.28125</v>
      </c>
      <c r="D316" s="146"/>
      <c r="E316" s="146"/>
      <c r="F316" s="146"/>
      <c r="G316" s="103" t="s">
        <v>93</v>
      </c>
      <c r="H316" s="146"/>
      <c r="I316" s="146"/>
      <c r="J316" s="146"/>
      <c r="K316" s="146"/>
      <c r="L316" s="103" t="s">
        <v>93</v>
      </c>
      <c r="M316" s="146"/>
      <c r="N316" s="146"/>
      <c r="O316" s="146"/>
      <c r="P316" s="146"/>
      <c r="Q316" s="103" t="s">
        <v>93</v>
      </c>
      <c r="R316" s="146"/>
    </row>
    <row r="317" spans="1:18">
      <c r="A317" s="103" t="s">
        <v>18</v>
      </c>
      <c r="B317" s="104">
        <v>0.28125</v>
      </c>
      <c r="C317" s="104">
        <v>0.29166666666666702</v>
      </c>
      <c r="D317" s="146"/>
      <c r="E317" s="146"/>
      <c r="F317" s="146"/>
      <c r="G317" s="103" t="s">
        <v>93</v>
      </c>
      <c r="H317" s="146"/>
      <c r="I317" s="146"/>
      <c r="J317" s="146"/>
      <c r="K317" s="146"/>
      <c r="L317" s="103" t="s">
        <v>93</v>
      </c>
      <c r="M317" s="146"/>
      <c r="N317" s="146"/>
      <c r="O317" s="146"/>
      <c r="P317" s="146"/>
      <c r="Q317" s="103" t="s">
        <v>93</v>
      </c>
      <c r="R317" s="146"/>
    </row>
    <row r="318" spans="1:18">
      <c r="A318" s="103" t="s">
        <v>18</v>
      </c>
      <c r="B318" s="104">
        <v>0.29166666666666702</v>
      </c>
      <c r="C318" s="104">
        <v>0.30208333333333298</v>
      </c>
      <c r="D318" s="146"/>
      <c r="E318" s="146"/>
      <c r="F318" s="146"/>
      <c r="G318" s="103" t="s">
        <v>93</v>
      </c>
      <c r="H318" s="146"/>
      <c r="I318" s="146"/>
      <c r="J318" s="146"/>
      <c r="K318" s="146"/>
      <c r="L318" s="103" t="s">
        <v>93</v>
      </c>
      <c r="M318" s="146"/>
      <c r="N318" s="146"/>
      <c r="O318" s="146"/>
      <c r="P318" s="146"/>
      <c r="Q318" s="103" t="s">
        <v>93</v>
      </c>
      <c r="R318" s="146"/>
    </row>
    <row r="319" spans="1:18">
      <c r="A319" s="103" t="s">
        <v>18</v>
      </c>
      <c r="B319" s="104">
        <v>0.30208333333333298</v>
      </c>
      <c r="C319" s="104">
        <v>0.3125</v>
      </c>
      <c r="D319" s="146"/>
      <c r="E319" s="146"/>
      <c r="F319" s="146"/>
      <c r="G319" s="103" t="s">
        <v>93</v>
      </c>
      <c r="H319" s="146"/>
      <c r="I319" s="146"/>
      <c r="J319" s="146"/>
      <c r="K319" s="146"/>
      <c r="L319" s="103" t="s">
        <v>93</v>
      </c>
      <c r="M319" s="146"/>
      <c r="N319" s="146"/>
      <c r="O319" s="146"/>
      <c r="P319" s="146"/>
      <c r="Q319" s="103" t="s">
        <v>93</v>
      </c>
      <c r="R319" s="146"/>
    </row>
    <row r="320" spans="1:18">
      <c r="A320" s="103" t="s">
        <v>18</v>
      </c>
      <c r="B320" s="104">
        <v>0.3125</v>
      </c>
      <c r="C320" s="104">
        <v>0.32291666666666602</v>
      </c>
      <c r="D320" s="146"/>
      <c r="E320" s="146"/>
      <c r="F320" s="146"/>
      <c r="G320" s="103" t="s">
        <v>93</v>
      </c>
      <c r="H320" s="146"/>
      <c r="I320" s="146"/>
      <c r="J320" s="146"/>
      <c r="K320" s="146"/>
      <c r="L320" s="103" t="s">
        <v>93</v>
      </c>
      <c r="M320" s="146"/>
      <c r="N320" s="146"/>
      <c r="O320" s="146"/>
      <c r="P320" s="146"/>
      <c r="Q320" s="103" t="s">
        <v>93</v>
      </c>
      <c r="R320" s="146"/>
    </row>
    <row r="321" spans="1:18">
      <c r="A321" s="103" t="s">
        <v>18</v>
      </c>
      <c r="B321" s="104">
        <v>0.32291666666666702</v>
      </c>
      <c r="C321" s="104">
        <v>0.33333333333333298</v>
      </c>
      <c r="D321" s="146"/>
      <c r="E321" s="146"/>
      <c r="F321" s="146"/>
      <c r="G321" s="103" t="s">
        <v>93</v>
      </c>
      <c r="H321" s="146"/>
      <c r="I321" s="146"/>
      <c r="J321" s="146"/>
      <c r="K321" s="146"/>
      <c r="L321" s="103" t="s">
        <v>93</v>
      </c>
      <c r="M321" s="146"/>
      <c r="N321" s="146"/>
      <c r="O321" s="146"/>
      <c r="P321" s="146"/>
      <c r="Q321" s="103" t="s">
        <v>93</v>
      </c>
      <c r="R321" s="146"/>
    </row>
    <row r="322" spans="1:18">
      <c r="A322" s="103" t="s">
        <v>18</v>
      </c>
      <c r="B322" s="104">
        <v>0.33333333333333298</v>
      </c>
      <c r="C322" s="104">
        <v>0.34375</v>
      </c>
      <c r="D322" s="146"/>
      <c r="E322" s="146"/>
      <c r="F322" s="146"/>
      <c r="G322" s="103" t="s">
        <v>93</v>
      </c>
      <c r="H322" s="146"/>
      <c r="I322" s="146"/>
      <c r="J322" s="146"/>
      <c r="K322" s="146"/>
      <c r="L322" s="103" t="s">
        <v>93</v>
      </c>
      <c r="M322" s="146"/>
      <c r="N322" s="146"/>
      <c r="O322" s="146"/>
      <c r="P322" s="146"/>
      <c r="Q322" s="103" t="s">
        <v>93</v>
      </c>
      <c r="R322" s="146"/>
    </row>
    <row r="323" spans="1:18">
      <c r="A323" s="103" t="s">
        <v>18</v>
      </c>
      <c r="B323" s="104">
        <v>0.34375</v>
      </c>
      <c r="C323" s="104">
        <v>0.35416666666666602</v>
      </c>
      <c r="D323" s="146"/>
      <c r="E323" s="146"/>
      <c r="F323" s="146"/>
      <c r="G323" s="103" t="s">
        <v>93</v>
      </c>
      <c r="H323" s="146"/>
      <c r="I323" s="146"/>
      <c r="J323" s="146"/>
      <c r="K323" s="146"/>
      <c r="L323" s="103" t="s">
        <v>93</v>
      </c>
      <c r="M323" s="146"/>
      <c r="N323" s="146"/>
      <c r="O323" s="146"/>
      <c r="P323" s="146"/>
      <c r="Q323" s="103" t="s">
        <v>93</v>
      </c>
      <c r="R323" s="146"/>
    </row>
    <row r="324" spans="1:18">
      <c r="A324" s="103" t="s">
        <v>18</v>
      </c>
      <c r="B324" s="104">
        <v>0.35416666666666702</v>
      </c>
      <c r="C324" s="104">
        <v>0.36458333333333298</v>
      </c>
      <c r="D324" s="146"/>
      <c r="E324" s="146"/>
      <c r="F324" s="146"/>
      <c r="G324" s="103" t="s">
        <v>93</v>
      </c>
      <c r="H324" s="146"/>
      <c r="I324" s="146"/>
      <c r="J324" s="146"/>
      <c r="K324" s="146"/>
      <c r="L324" s="103" t="s">
        <v>93</v>
      </c>
      <c r="M324" s="146"/>
      <c r="N324" s="146"/>
      <c r="O324" s="146"/>
      <c r="P324" s="146"/>
      <c r="Q324" s="103" t="s">
        <v>93</v>
      </c>
      <c r="R324" s="146"/>
    </row>
    <row r="325" spans="1:18">
      <c r="A325" s="103" t="s">
        <v>18</v>
      </c>
      <c r="B325" s="104">
        <v>0.36458333333333398</v>
      </c>
      <c r="C325" s="104">
        <v>0.375</v>
      </c>
      <c r="D325" s="146"/>
      <c r="E325" s="146"/>
      <c r="F325" s="146"/>
      <c r="G325" s="103" t="s">
        <v>93</v>
      </c>
      <c r="H325" s="146"/>
      <c r="I325" s="146"/>
      <c r="J325" s="146"/>
      <c r="K325" s="146"/>
      <c r="L325" s="103" t="s">
        <v>93</v>
      </c>
      <c r="M325" s="146"/>
      <c r="N325" s="146"/>
      <c r="O325" s="146"/>
      <c r="P325" s="146"/>
      <c r="Q325" s="103" t="s">
        <v>93</v>
      </c>
      <c r="R325" s="146"/>
    </row>
    <row r="326" spans="1:18">
      <c r="A326" s="103" t="s">
        <v>18</v>
      </c>
      <c r="B326" s="104">
        <v>0.375</v>
      </c>
      <c r="C326" s="104">
        <v>0.38541666666666702</v>
      </c>
      <c r="D326" s="146"/>
      <c r="E326" s="146"/>
      <c r="F326" s="146"/>
      <c r="G326" s="103" t="s">
        <v>93</v>
      </c>
      <c r="H326" s="146"/>
      <c r="I326" s="146"/>
      <c r="J326" s="146"/>
      <c r="K326" s="146"/>
      <c r="L326" s="103" t="s">
        <v>93</v>
      </c>
      <c r="M326" s="146"/>
      <c r="N326" s="146"/>
      <c r="O326" s="146"/>
      <c r="P326" s="146"/>
      <c r="Q326" s="103" t="s">
        <v>93</v>
      </c>
      <c r="R326" s="146"/>
    </row>
    <row r="327" spans="1:18">
      <c r="A327" s="103" t="s">
        <v>18</v>
      </c>
      <c r="B327" s="104">
        <v>0.38541666666666702</v>
      </c>
      <c r="C327" s="104">
        <v>0.39583333333333298</v>
      </c>
      <c r="D327" s="146"/>
      <c r="E327" s="146"/>
      <c r="F327" s="146"/>
      <c r="G327" s="103" t="s">
        <v>93</v>
      </c>
      <c r="H327" s="146"/>
      <c r="I327" s="146"/>
      <c r="J327" s="146"/>
      <c r="K327" s="146"/>
      <c r="L327" s="103" t="s">
        <v>93</v>
      </c>
      <c r="M327" s="146"/>
      <c r="N327" s="146"/>
      <c r="O327" s="146"/>
      <c r="P327" s="146"/>
      <c r="Q327" s="103" t="s">
        <v>93</v>
      </c>
      <c r="R327" s="146"/>
    </row>
    <row r="328" spans="1:18">
      <c r="A328" s="103" t="s">
        <v>18</v>
      </c>
      <c r="B328" s="104">
        <v>0.39583333333333398</v>
      </c>
      <c r="C328" s="104">
        <v>0.40625</v>
      </c>
      <c r="D328" s="146"/>
      <c r="E328" s="146"/>
      <c r="F328" s="146"/>
      <c r="G328" s="103" t="s">
        <v>93</v>
      </c>
      <c r="H328" s="146"/>
      <c r="I328" s="146"/>
      <c r="J328" s="146"/>
      <c r="K328" s="146"/>
      <c r="L328" s="103" t="s">
        <v>93</v>
      </c>
      <c r="M328" s="146"/>
      <c r="N328" s="146"/>
      <c r="O328" s="146"/>
      <c r="P328" s="146"/>
      <c r="Q328" s="103" t="s">
        <v>93</v>
      </c>
      <c r="R328" s="146"/>
    </row>
    <row r="329" spans="1:18">
      <c r="A329" s="103" t="s">
        <v>18</v>
      </c>
      <c r="B329" s="104">
        <v>0.40625</v>
      </c>
      <c r="C329" s="104">
        <v>0.41666666666666602</v>
      </c>
      <c r="D329" s="146"/>
      <c r="E329" s="146"/>
      <c r="F329" s="146"/>
      <c r="G329" s="103" t="s">
        <v>93</v>
      </c>
      <c r="H329" s="146"/>
      <c r="I329" s="146"/>
      <c r="J329" s="146"/>
      <c r="K329" s="146"/>
      <c r="L329" s="103" t="s">
        <v>93</v>
      </c>
      <c r="M329" s="146"/>
      <c r="N329" s="146"/>
      <c r="O329" s="146"/>
      <c r="P329" s="146"/>
      <c r="Q329" s="103" t="s">
        <v>93</v>
      </c>
      <c r="R329" s="146"/>
    </row>
    <row r="330" spans="1:18">
      <c r="A330" s="103" t="s">
        <v>18</v>
      </c>
      <c r="B330" s="104">
        <v>0.41666666666666702</v>
      </c>
      <c r="C330" s="104">
        <v>0.42708333333333298</v>
      </c>
      <c r="D330" s="146"/>
      <c r="E330" s="146"/>
      <c r="F330" s="146"/>
      <c r="G330" s="103" t="s">
        <v>93</v>
      </c>
      <c r="H330" s="146"/>
      <c r="I330" s="146"/>
      <c r="J330" s="146"/>
      <c r="K330" s="146"/>
      <c r="L330" s="103" t="s">
        <v>93</v>
      </c>
      <c r="M330" s="146"/>
      <c r="N330" s="146"/>
      <c r="O330" s="146"/>
      <c r="P330" s="146"/>
      <c r="Q330" s="103" t="s">
        <v>93</v>
      </c>
      <c r="R330" s="146"/>
    </row>
    <row r="331" spans="1:18">
      <c r="A331" s="103" t="s">
        <v>18</v>
      </c>
      <c r="B331" s="104">
        <v>0.42708333333333398</v>
      </c>
      <c r="C331" s="104">
        <v>0.4375</v>
      </c>
      <c r="D331" s="146"/>
      <c r="E331" s="146"/>
      <c r="F331" s="146"/>
      <c r="G331" s="103" t="s">
        <v>93</v>
      </c>
      <c r="H331" s="146"/>
      <c r="I331" s="146"/>
      <c r="J331" s="146"/>
      <c r="K331" s="146"/>
      <c r="L331" s="103" t="s">
        <v>93</v>
      </c>
      <c r="M331" s="146"/>
      <c r="N331" s="146"/>
      <c r="O331" s="146"/>
      <c r="P331" s="146"/>
      <c r="Q331" s="103" t="s">
        <v>93</v>
      </c>
      <c r="R331" s="146"/>
    </row>
    <row r="332" spans="1:18">
      <c r="A332" s="103" t="s">
        <v>18</v>
      </c>
      <c r="B332" s="104">
        <v>0.4375</v>
      </c>
      <c r="C332" s="104">
        <v>0.44791666666666602</v>
      </c>
      <c r="D332" s="146"/>
      <c r="E332" s="146"/>
      <c r="F332" s="146"/>
      <c r="G332" s="103" t="s">
        <v>93</v>
      </c>
      <c r="H332" s="146"/>
      <c r="I332" s="146"/>
      <c r="J332" s="146"/>
      <c r="K332" s="146"/>
      <c r="L332" s="103" t="s">
        <v>93</v>
      </c>
      <c r="M332" s="146"/>
      <c r="N332" s="146"/>
      <c r="O332" s="146"/>
      <c r="P332" s="146"/>
      <c r="Q332" s="103" t="s">
        <v>93</v>
      </c>
      <c r="R332" s="146"/>
    </row>
    <row r="333" spans="1:18">
      <c r="A333" s="103" t="s">
        <v>18</v>
      </c>
      <c r="B333" s="104">
        <v>0.44791666666666702</v>
      </c>
      <c r="C333" s="104">
        <v>0.45833333333333298</v>
      </c>
      <c r="D333" s="146"/>
      <c r="E333" s="146"/>
      <c r="F333" s="146"/>
      <c r="G333" s="103" t="s">
        <v>93</v>
      </c>
      <c r="H333" s="146"/>
      <c r="I333" s="146"/>
      <c r="J333" s="146"/>
      <c r="K333" s="146"/>
      <c r="L333" s="103" t="s">
        <v>93</v>
      </c>
      <c r="M333" s="146"/>
      <c r="N333" s="146"/>
      <c r="O333" s="146"/>
      <c r="P333" s="146"/>
      <c r="Q333" s="103" t="s">
        <v>93</v>
      </c>
      <c r="R333" s="146"/>
    </row>
    <row r="334" spans="1:18">
      <c r="A334" s="103" t="s">
        <v>18</v>
      </c>
      <c r="B334" s="104">
        <v>0.45833333333333398</v>
      </c>
      <c r="C334" s="104">
        <v>0.46875</v>
      </c>
      <c r="D334" s="146"/>
      <c r="E334" s="146"/>
      <c r="F334" s="146"/>
      <c r="G334" s="103" t="s">
        <v>93</v>
      </c>
      <c r="H334" s="146"/>
      <c r="I334" s="146"/>
      <c r="J334" s="146"/>
      <c r="K334" s="146"/>
      <c r="L334" s="103" t="s">
        <v>93</v>
      </c>
      <c r="M334" s="146"/>
      <c r="N334" s="146"/>
      <c r="O334" s="146"/>
      <c r="P334" s="146"/>
      <c r="Q334" s="103" t="s">
        <v>93</v>
      </c>
      <c r="R334" s="146"/>
    </row>
    <row r="335" spans="1:18">
      <c r="A335" s="103" t="s">
        <v>18</v>
      </c>
      <c r="B335" s="104">
        <v>0.46875</v>
      </c>
      <c r="C335" s="104">
        <v>0.47916666666666602</v>
      </c>
      <c r="D335" s="146"/>
      <c r="E335" s="146"/>
      <c r="F335" s="146"/>
      <c r="G335" s="103" t="s">
        <v>93</v>
      </c>
      <c r="H335" s="146"/>
      <c r="I335" s="146"/>
      <c r="J335" s="146"/>
      <c r="K335" s="146"/>
      <c r="L335" s="103" t="s">
        <v>93</v>
      </c>
      <c r="M335" s="146"/>
      <c r="N335" s="146"/>
      <c r="O335" s="146"/>
      <c r="P335" s="146"/>
      <c r="Q335" s="103" t="s">
        <v>93</v>
      </c>
      <c r="R335" s="146"/>
    </row>
    <row r="336" spans="1:18">
      <c r="A336" s="103" t="s">
        <v>18</v>
      </c>
      <c r="B336" s="104">
        <v>0.47916666666666702</v>
      </c>
      <c r="C336" s="104">
        <v>0.48958333333333298</v>
      </c>
      <c r="D336" s="146"/>
      <c r="E336" s="146"/>
      <c r="F336" s="146"/>
      <c r="G336" s="103" t="s">
        <v>93</v>
      </c>
      <c r="H336" s="146"/>
      <c r="I336" s="146"/>
      <c r="J336" s="146"/>
      <c r="K336" s="146"/>
      <c r="L336" s="103" t="s">
        <v>93</v>
      </c>
      <c r="M336" s="146"/>
      <c r="N336" s="146"/>
      <c r="O336" s="146"/>
      <c r="P336" s="146"/>
      <c r="Q336" s="103" t="s">
        <v>93</v>
      </c>
      <c r="R336" s="146"/>
    </row>
    <row r="337" spans="1:18">
      <c r="A337" s="103" t="s">
        <v>18</v>
      </c>
      <c r="B337" s="104">
        <v>0.48958333333333398</v>
      </c>
      <c r="C337" s="104">
        <v>0.499999999999999</v>
      </c>
      <c r="D337" s="146"/>
      <c r="E337" s="146"/>
      <c r="F337" s="146"/>
      <c r="G337" s="103" t="s">
        <v>93</v>
      </c>
      <c r="H337" s="146"/>
      <c r="I337" s="146"/>
      <c r="J337" s="146"/>
      <c r="K337" s="146"/>
      <c r="L337" s="103" t="s">
        <v>93</v>
      </c>
      <c r="M337" s="146"/>
      <c r="N337" s="146"/>
      <c r="O337" s="146"/>
      <c r="P337" s="146"/>
      <c r="Q337" s="103" t="s">
        <v>93</v>
      </c>
      <c r="R337" s="146"/>
    </row>
    <row r="338" spans="1:18">
      <c r="A338" s="103" t="s">
        <v>18</v>
      </c>
      <c r="B338" s="104">
        <v>0.5</v>
      </c>
      <c r="C338" s="104">
        <v>0.51041666666666596</v>
      </c>
      <c r="D338" s="146"/>
      <c r="E338" s="146"/>
      <c r="F338" s="146"/>
      <c r="G338" s="103" t="s">
        <v>93</v>
      </c>
      <c r="H338" s="146"/>
      <c r="I338" s="146"/>
      <c r="J338" s="146"/>
      <c r="K338" s="146"/>
      <c r="L338" s="103" t="s">
        <v>93</v>
      </c>
      <c r="M338" s="146"/>
      <c r="N338" s="146"/>
      <c r="O338" s="146"/>
      <c r="P338" s="146"/>
      <c r="Q338" s="103" t="s">
        <v>93</v>
      </c>
      <c r="R338" s="146"/>
    </row>
    <row r="339" spans="1:18">
      <c r="A339" s="103" t="s">
        <v>18</v>
      </c>
      <c r="B339" s="104">
        <v>0.51041666666666696</v>
      </c>
      <c r="C339" s="104">
        <v>0.52083333333333304</v>
      </c>
      <c r="D339" s="146"/>
      <c r="E339" s="146"/>
      <c r="F339" s="146"/>
      <c r="G339" s="103" t="s">
        <v>93</v>
      </c>
      <c r="H339" s="146"/>
      <c r="I339" s="146"/>
      <c r="J339" s="146"/>
      <c r="K339" s="146"/>
      <c r="L339" s="103" t="s">
        <v>93</v>
      </c>
      <c r="M339" s="146"/>
      <c r="N339" s="146"/>
      <c r="O339" s="146"/>
      <c r="P339" s="146"/>
      <c r="Q339" s="103" t="s">
        <v>93</v>
      </c>
      <c r="R339" s="146"/>
    </row>
    <row r="340" spans="1:18">
      <c r="A340" s="103" t="s">
        <v>18</v>
      </c>
      <c r="B340" s="104">
        <v>0.52083333333333404</v>
      </c>
      <c r="C340" s="104">
        <v>0.531249999999999</v>
      </c>
      <c r="D340" s="146"/>
      <c r="E340" s="146"/>
      <c r="F340" s="146"/>
      <c r="G340" s="103" t="s">
        <v>93</v>
      </c>
      <c r="H340" s="146"/>
      <c r="I340" s="146"/>
      <c r="J340" s="146"/>
      <c r="K340" s="146"/>
      <c r="L340" s="103" t="s">
        <v>93</v>
      </c>
      <c r="M340" s="146"/>
      <c r="N340" s="146"/>
      <c r="O340" s="146"/>
      <c r="P340" s="146"/>
      <c r="Q340" s="103" t="s">
        <v>93</v>
      </c>
      <c r="R340" s="146"/>
    </row>
    <row r="341" spans="1:18">
      <c r="A341" s="103" t="s">
        <v>18</v>
      </c>
      <c r="B341" s="104">
        <v>0.53125</v>
      </c>
      <c r="C341" s="104">
        <v>0.54166666666666596</v>
      </c>
      <c r="D341" s="146"/>
      <c r="E341" s="146"/>
      <c r="F341" s="146"/>
      <c r="G341" s="103" t="s">
        <v>93</v>
      </c>
      <c r="H341" s="146"/>
      <c r="I341" s="146"/>
      <c r="J341" s="146"/>
      <c r="K341" s="146"/>
      <c r="L341" s="103" t="s">
        <v>93</v>
      </c>
      <c r="M341" s="146"/>
      <c r="N341" s="146"/>
      <c r="O341" s="146"/>
      <c r="P341" s="146"/>
      <c r="Q341" s="103" t="s">
        <v>93</v>
      </c>
      <c r="R341" s="146"/>
    </row>
    <row r="342" spans="1:18">
      <c r="A342" s="103" t="s">
        <v>18</v>
      </c>
      <c r="B342" s="104">
        <v>0.54166666666666696</v>
      </c>
      <c r="C342" s="104">
        <v>0.55208333333333304</v>
      </c>
      <c r="D342" s="146"/>
      <c r="E342" s="146"/>
      <c r="F342" s="146"/>
      <c r="G342" s="103" t="s">
        <v>93</v>
      </c>
      <c r="H342" s="146"/>
      <c r="I342" s="146"/>
      <c r="J342" s="146"/>
      <c r="K342" s="146"/>
      <c r="L342" s="103" t="s">
        <v>93</v>
      </c>
      <c r="M342" s="146"/>
      <c r="N342" s="146"/>
      <c r="O342" s="146"/>
      <c r="P342" s="146"/>
      <c r="Q342" s="103" t="s">
        <v>93</v>
      </c>
      <c r="R342" s="146"/>
    </row>
    <row r="343" spans="1:18">
      <c r="A343" s="103" t="s">
        <v>18</v>
      </c>
      <c r="B343" s="104">
        <v>0.55208333333333404</v>
      </c>
      <c r="C343" s="104">
        <v>0.562499999999999</v>
      </c>
      <c r="D343" s="146"/>
      <c r="E343" s="146"/>
      <c r="F343" s="146"/>
      <c r="G343" s="103" t="s">
        <v>93</v>
      </c>
      <c r="H343" s="146"/>
      <c r="I343" s="146"/>
      <c r="J343" s="146"/>
      <c r="K343" s="146"/>
      <c r="L343" s="103" t="s">
        <v>93</v>
      </c>
      <c r="M343" s="146"/>
      <c r="N343" s="146"/>
      <c r="O343" s="146"/>
      <c r="P343" s="146"/>
      <c r="Q343" s="103" t="s">
        <v>93</v>
      </c>
      <c r="R343" s="146"/>
    </row>
    <row r="344" spans="1:18">
      <c r="A344" s="103" t="s">
        <v>18</v>
      </c>
      <c r="B344" s="104">
        <v>0.562500000000001</v>
      </c>
      <c r="C344" s="104">
        <v>0.57291666666666596</v>
      </c>
      <c r="D344" s="146"/>
      <c r="E344" s="146"/>
      <c r="F344" s="146"/>
      <c r="G344" s="103" t="s">
        <v>93</v>
      </c>
      <c r="H344" s="146"/>
      <c r="I344" s="146"/>
      <c r="J344" s="146"/>
      <c r="K344" s="146"/>
      <c r="L344" s="103" t="s">
        <v>93</v>
      </c>
      <c r="M344" s="146"/>
      <c r="N344" s="146"/>
      <c r="O344" s="146"/>
      <c r="P344" s="146"/>
      <c r="Q344" s="103" t="s">
        <v>93</v>
      </c>
      <c r="R344" s="146"/>
    </row>
    <row r="345" spans="1:18">
      <c r="A345" s="103" t="s">
        <v>18</v>
      </c>
      <c r="B345" s="104">
        <v>0.57291666666666696</v>
      </c>
      <c r="C345" s="104">
        <v>0.58333333333333304</v>
      </c>
      <c r="D345" s="146"/>
      <c r="E345" s="146"/>
      <c r="F345" s="146"/>
      <c r="G345" s="103" t="s">
        <v>93</v>
      </c>
      <c r="H345" s="146"/>
      <c r="I345" s="146"/>
      <c r="J345" s="146"/>
      <c r="K345" s="146"/>
      <c r="L345" s="103" t="s">
        <v>93</v>
      </c>
      <c r="M345" s="146"/>
      <c r="N345" s="146"/>
      <c r="O345" s="146"/>
      <c r="P345" s="146"/>
      <c r="Q345" s="103" t="s">
        <v>93</v>
      </c>
      <c r="R345" s="146"/>
    </row>
    <row r="346" spans="1:18">
      <c r="A346" s="103" t="s">
        <v>18</v>
      </c>
      <c r="B346" s="104">
        <v>0.58333333333333404</v>
      </c>
      <c r="C346" s="104">
        <v>0.593749999999999</v>
      </c>
      <c r="D346" s="146"/>
      <c r="E346" s="146"/>
      <c r="F346" s="146"/>
      <c r="G346" s="103" t="s">
        <v>93</v>
      </c>
      <c r="H346" s="146"/>
      <c r="I346" s="146"/>
      <c r="J346" s="146"/>
      <c r="K346" s="146"/>
      <c r="L346" s="103" t="s">
        <v>93</v>
      </c>
      <c r="M346" s="146"/>
      <c r="N346" s="146"/>
      <c r="O346" s="146"/>
      <c r="P346" s="146"/>
      <c r="Q346" s="103" t="s">
        <v>93</v>
      </c>
      <c r="R346" s="146"/>
    </row>
    <row r="347" spans="1:18">
      <c r="A347" s="103" t="s">
        <v>18</v>
      </c>
      <c r="B347" s="104">
        <v>0.593750000000001</v>
      </c>
      <c r="C347" s="104">
        <v>0.60416666666666596</v>
      </c>
      <c r="D347" s="146"/>
      <c r="E347" s="146"/>
      <c r="F347" s="146"/>
      <c r="G347" s="103" t="s">
        <v>93</v>
      </c>
      <c r="H347" s="146"/>
      <c r="I347" s="146"/>
      <c r="J347" s="146"/>
      <c r="K347" s="146"/>
      <c r="L347" s="103" t="s">
        <v>93</v>
      </c>
      <c r="M347" s="146"/>
      <c r="N347" s="146"/>
      <c r="O347" s="146"/>
      <c r="P347" s="146"/>
      <c r="Q347" s="103" t="s">
        <v>93</v>
      </c>
      <c r="R347" s="146"/>
    </row>
    <row r="348" spans="1:18">
      <c r="A348" s="103" t="s">
        <v>18</v>
      </c>
      <c r="B348" s="104">
        <v>0.60416666666666796</v>
      </c>
      <c r="C348" s="104">
        <v>0.61458333333333304</v>
      </c>
      <c r="D348" s="146"/>
      <c r="E348" s="146"/>
      <c r="F348" s="146"/>
      <c r="G348" s="103" t="s">
        <v>93</v>
      </c>
      <c r="H348" s="146"/>
      <c r="I348" s="146"/>
      <c r="J348" s="146"/>
      <c r="K348" s="146"/>
      <c r="L348" s="103" t="s">
        <v>93</v>
      </c>
      <c r="M348" s="146"/>
      <c r="N348" s="146"/>
      <c r="O348" s="146"/>
      <c r="P348" s="146"/>
      <c r="Q348" s="103" t="s">
        <v>93</v>
      </c>
      <c r="R348" s="146"/>
    </row>
    <row r="349" spans="1:18">
      <c r="A349" s="103" t="s">
        <v>18</v>
      </c>
      <c r="B349" s="104">
        <v>0.61458333333333504</v>
      </c>
      <c r="C349" s="104">
        <v>0.625</v>
      </c>
      <c r="D349" s="146"/>
      <c r="E349" s="146"/>
      <c r="F349" s="146"/>
      <c r="G349" s="103" t="s">
        <v>93</v>
      </c>
      <c r="H349" s="146"/>
      <c r="I349" s="146"/>
      <c r="J349" s="146"/>
      <c r="K349" s="146"/>
      <c r="L349" s="103" t="s">
        <v>93</v>
      </c>
      <c r="M349" s="146"/>
      <c r="N349" s="146"/>
      <c r="O349" s="146"/>
      <c r="P349" s="146"/>
      <c r="Q349" s="103" t="s">
        <v>93</v>
      </c>
      <c r="R349" s="146"/>
    </row>
    <row r="350" spans="1:18">
      <c r="A350" s="103" t="s">
        <v>18</v>
      </c>
      <c r="B350" s="104">
        <v>0.625000000000002</v>
      </c>
      <c r="C350" s="104">
        <v>0.63541666666666696</v>
      </c>
      <c r="D350" s="146"/>
      <c r="E350" s="146"/>
      <c r="F350" s="146"/>
      <c r="G350" s="103" t="s">
        <v>93</v>
      </c>
      <c r="H350" s="146"/>
      <c r="I350" s="146"/>
      <c r="J350" s="146"/>
      <c r="K350" s="146"/>
      <c r="L350" s="103" t="s">
        <v>93</v>
      </c>
      <c r="M350" s="146"/>
      <c r="N350" s="146"/>
      <c r="O350" s="146"/>
      <c r="P350" s="146"/>
      <c r="Q350" s="103" t="s">
        <v>93</v>
      </c>
      <c r="R350" s="146"/>
    </row>
    <row r="351" spans="1:18">
      <c r="A351" s="103" t="s">
        <v>18</v>
      </c>
      <c r="B351" s="104">
        <v>0.63541666666666896</v>
      </c>
      <c r="C351" s="104">
        <v>0.64583333333333404</v>
      </c>
      <c r="D351" s="146"/>
      <c r="E351" s="146"/>
      <c r="F351" s="146"/>
      <c r="G351" s="103" t="s">
        <v>93</v>
      </c>
      <c r="H351" s="146"/>
      <c r="I351" s="146"/>
      <c r="J351" s="146"/>
      <c r="K351" s="146"/>
      <c r="L351" s="103" t="s">
        <v>93</v>
      </c>
      <c r="M351" s="146"/>
      <c r="N351" s="146"/>
      <c r="O351" s="146"/>
      <c r="P351" s="146"/>
      <c r="Q351" s="103" t="s">
        <v>93</v>
      </c>
      <c r="R351" s="146"/>
    </row>
    <row r="352" spans="1:18">
      <c r="A352" s="103" t="s">
        <v>18</v>
      </c>
      <c r="B352" s="104">
        <v>0.64583333333333603</v>
      </c>
      <c r="C352" s="104">
        <v>0.656250000000001</v>
      </c>
      <c r="D352" s="146"/>
      <c r="E352" s="146"/>
      <c r="F352" s="146"/>
      <c r="G352" s="103" t="s">
        <v>93</v>
      </c>
      <c r="H352" s="146"/>
      <c r="I352" s="146"/>
      <c r="J352" s="146"/>
      <c r="K352" s="146"/>
      <c r="L352" s="103" t="s">
        <v>93</v>
      </c>
      <c r="M352" s="146"/>
      <c r="N352" s="146"/>
      <c r="O352" s="146"/>
      <c r="P352" s="146"/>
      <c r="Q352" s="103" t="s">
        <v>93</v>
      </c>
      <c r="R352" s="146"/>
    </row>
    <row r="353" spans="1:18">
      <c r="A353" s="103" t="s">
        <v>18</v>
      </c>
      <c r="B353" s="104">
        <v>0.656250000000003</v>
      </c>
      <c r="C353" s="104">
        <v>0.66666666666666796</v>
      </c>
      <c r="D353" s="146"/>
      <c r="E353" s="146"/>
      <c r="F353" s="146"/>
      <c r="G353" s="103" t="s">
        <v>93</v>
      </c>
      <c r="H353" s="146"/>
      <c r="I353" s="146"/>
      <c r="J353" s="146"/>
      <c r="K353" s="146"/>
      <c r="L353" s="103" t="s">
        <v>93</v>
      </c>
      <c r="M353" s="146"/>
      <c r="N353" s="146"/>
      <c r="O353" s="146"/>
      <c r="P353" s="146"/>
      <c r="Q353" s="103" t="s">
        <v>93</v>
      </c>
      <c r="R353" s="146"/>
    </row>
    <row r="354" spans="1:18">
      <c r="A354" s="103" t="s">
        <v>18</v>
      </c>
      <c r="B354" s="104">
        <v>0.66666666666666996</v>
      </c>
      <c r="C354" s="104">
        <v>0.67708333333333504</v>
      </c>
      <c r="D354" s="146"/>
      <c r="E354" s="146"/>
      <c r="F354" s="146"/>
      <c r="G354" s="103" t="s">
        <v>93</v>
      </c>
      <c r="H354" s="146"/>
      <c r="I354" s="146"/>
      <c r="J354" s="146"/>
      <c r="K354" s="146"/>
      <c r="L354" s="103" t="s">
        <v>93</v>
      </c>
      <c r="M354" s="146"/>
      <c r="N354" s="146"/>
      <c r="O354" s="146"/>
      <c r="P354" s="146"/>
      <c r="Q354" s="103" t="s">
        <v>93</v>
      </c>
      <c r="R354" s="146"/>
    </row>
    <row r="355" spans="1:18">
      <c r="A355" s="103" t="s">
        <v>18</v>
      </c>
      <c r="B355" s="104">
        <v>0.67708333333333703</v>
      </c>
      <c r="C355" s="104">
        <v>0.687500000000002</v>
      </c>
      <c r="D355" s="146"/>
      <c r="E355" s="146"/>
      <c r="F355" s="146"/>
      <c r="G355" s="103" t="s">
        <v>93</v>
      </c>
      <c r="H355" s="146"/>
      <c r="I355" s="146"/>
      <c r="J355" s="146"/>
      <c r="K355" s="146"/>
      <c r="L355" s="103" t="s">
        <v>93</v>
      </c>
      <c r="M355" s="146"/>
      <c r="N355" s="146"/>
      <c r="O355" s="146"/>
      <c r="P355" s="146"/>
      <c r="Q355" s="103" t="s">
        <v>93</v>
      </c>
      <c r="R355" s="146"/>
    </row>
    <row r="356" spans="1:18">
      <c r="A356" s="103" t="s">
        <v>18</v>
      </c>
      <c r="B356" s="104">
        <v>0.687500000000004</v>
      </c>
      <c r="C356" s="104">
        <v>0.69791666666666896</v>
      </c>
      <c r="D356" s="146"/>
      <c r="E356" s="146"/>
      <c r="F356" s="146"/>
      <c r="G356" s="103" t="s">
        <v>93</v>
      </c>
      <c r="H356" s="146"/>
      <c r="I356" s="146"/>
      <c r="J356" s="146"/>
      <c r="K356" s="146"/>
      <c r="L356" s="103" t="s">
        <v>93</v>
      </c>
      <c r="M356" s="146"/>
      <c r="N356" s="146"/>
      <c r="O356" s="146"/>
      <c r="P356" s="146"/>
      <c r="Q356" s="103" t="s">
        <v>93</v>
      </c>
      <c r="R356" s="146"/>
    </row>
    <row r="357" spans="1:18">
      <c r="A357" s="103" t="s">
        <v>18</v>
      </c>
      <c r="B357" s="104">
        <v>0.69791666666667096</v>
      </c>
      <c r="C357" s="104">
        <v>0.70833333333333603</v>
      </c>
      <c r="D357" s="146"/>
      <c r="E357" s="146"/>
      <c r="F357" s="146"/>
      <c r="G357" s="103" t="s">
        <v>93</v>
      </c>
      <c r="H357" s="146"/>
      <c r="I357" s="146"/>
      <c r="J357" s="146"/>
      <c r="K357" s="146"/>
      <c r="L357" s="103" t="s">
        <v>93</v>
      </c>
      <c r="M357" s="146"/>
      <c r="N357" s="146"/>
      <c r="O357" s="146"/>
      <c r="P357" s="146"/>
      <c r="Q357" s="103" t="s">
        <v>93</v>
      </c>
      <c r="R357" s="146"/>
    </row>
    <row r="358" spans="1:18">
      <c r="A358" s="103" t="s">
        <v>18</v>
      </c>
      <c r="B358" s="104">
        <v>0.70833333333333803</v>
      </c>
      <c r="C358" s="104">
        <v>0.718750000000003</v>
      </c>
      <c r="D358" s="146"/>
      <c r="E358" s="146"/>
      <c r="F358" s="146"/>
      <c r="G358" s="103" t="s">
        <v>93</v>
      </c>
      <c r="H358" s="146"/>
      <c r="I358" s="146"/>
      <c r="J358" s="146"/>
      <c r="K358" s="146"/>
      <c r="L358" s="103" t="s">
        <v>93</v>
      </c>
      <c r="M358" s="146"/>
      <c r="N358" s="146"/>
      <c r="O358" s="146"/>
      <c r="P358" s="146"/>
      <c r="Q358" s="103" t="s">
        <v>93</v>
      </c>
      <c r="R358" s="146"/>
    </row>
    <row r="359" spans="1:18">
      <c r="A359" s="103" t="s">
        <v>18</v>
      </c>
      <c r="B359" s="104">
        <v>0.718750000000005</v>
      </c>
      <c r="C359" s="104">
        <v>0.72916666666666996</v>
      </c>
      <c r="D359" s="146"/>
      <c r="E359" s="146"/>
      <c r="F359" s="146"/>
      <c r="G359" s="103" t="s">
        <v>93</v>
      </c>
      <c r="H359" s="146"/>
      <c r="I359" s="146"/>
      <c r="J359" s="146"/>
      <c r="K359" s="146"/>
      <c r="L359" s="103" t="s">
        <v>93</v>
      </c>
      <c r="M359" s="146"/>
      <c r="N359" s="146"/>
      <c r="O359" s="146"/>
      <c r="P359" s="146"/>
      <c r="Q359" s="103" t="s">
        <v>93</v>
      </c>
      <c r="R359" s="146"/>
    </row>
    <row r="360" spans="1:18">
      <c r="A360" s="103" t="s">
        <v>18</v>
      </c>
      <c r="B360" s="104">
        <v>0.72916666666667096</v>
      </c>
      <c r="C360" s="104">
        <v>0.73958333333333603</v>
      </c>
      <c r="D360" s="146"/>
      <c r="E360" s="146"/>
      <c r="F360" s="146"/>
      <c r="G360" s="103" t="s">
        <v>93</v>
      </c>
      <c r="H360" s="146"/>
      <c r="I360" s="146"/>
      <c r="J360" s="146"/>
      <c r="K360" s="146"/>
      <c r="L360" s="103" t="s">
        <v>93</v>
      </c>
      <c r="M360" s="146"/>
      <c r="N360" s="146"/>
      <c r="O360" s="146"/>
      <c r="P360" s="146"/>
      <c r="Q360" s="103" t="s">
        <v>93</v>
      </c>
      <c r="R360" s="146"/>
    </row>
    <row r="361" spans="1:18">
      <c r="A361" s="103" t="s">
        <v>18</v>
      </c>
      <c r="B361" s="104">
        <v>0.73958333333333803</v>
      </c>
      <c r="C361" s="104">
        <v>0.750000000000003</v>
      </c>
      <c r="D361" s="146"/>
      <c r="E361" s="146"/>
      <c r="F361" s="146"/>
      <c r="G361" s="103" t="s">
        <v>93</v>
      </c>
      <c r="H361" s="146"/>
      <c r="I361" s="146"/>
      <c r="J361" s="146"/>
      <c r="K361" s="146"/>
      <c r="L361" s="103" t="s">
        <v>93</v>
      </c>
      <c r="M361" s="146"/>
      <c r="N361" s="146"/>
      <c r="O361" s="146"/>
      <c r="P361" s="146"/>
      <c r="Q361" s="103" t="s">
        <v>93</v>
      </c>
      <c r="R361" s="146"/>
    </row>
    <row r="362" spans="1:18">
      <c r="A362" s="103" t="s">
        <v>18</v>
      </c>
      <c r="B362" s="104">
        <v>0.750000000000005</v>
      </c>
      <c r="C362" s="104">
        <v>0.76041666666666996</v>
      </c>
      <c r="D362" s="146"/>
      <c r="E362" s="146"/>
      <c r="F362" s="146"/>
      <c r="G362" s="103" t="s">
        <v>93</v>
      </c>
      <c r="H362" s="146"/>
      <c r="I362" s="146"/>
      <c r="J362" s="146"/>
      <c r="K362" s="146"/>
      <c r="L362" s="103" t="s">
        <v>93</v>
      </c>
      <c r="M362" s="146"/>
      <c r="N362" s="146"/>
      <c r="O362" s="146"/>
      <c r="P362" s="146"/>
      <c r="Q362" s="103" t="s">
        <v>93</v>
      </c>
      <c r="R362" s="146"/>
    </row>
    <row r="363" spans="1:18">
      <c r="A363" s="103" t="s">
        <v>18</v>
      </c>
      <c r="B363" s="104">
        <v>0.76041666666667196</v>
      </c>
      <c r="C363" s="104">
        <v>0.77083333333333703</v>
      </c>
      <c r="D363" s="146"/>
      <c r="E363" s="146"/>
      <c r="F363" s="146"/>
      <c r="G363" s="103" t="s">
        <v>93</v>
      </c>
      <c r="H363" s="146"/>
      <c r="I363" s="146"/>
      <c r="J363" s="146"/>
      <c r="K363" s="146"/>
      <c r="L363" s="103" t="s">
        <v>93</v>
      </c>
      <c r="M363" s="146"/>
      <c r="N363" s="146"/>
      <c r="O363" s="146"/>
      <c r="P363" s="146"/>
      <c r="Q363" s="103" t="s">
        <v>93</v>
      </c>
      <c r="R363" s="146"/>
    </row>
    <row r="364" spans="1:18">
      <c r="A364" s="103" t="s">
        <v>18</v>
      </c>
      <c r="B364" s="104">
        <v>0.77083333333333903</v>
      </c>
      <c r="C364" s="104">
        <v>0.781250000000004</v>
      </c>
      <c r="D364" s="146"/>
      <c r="E364" s="146"/>
      <c r="F364" s="146"/>
      <c r="G364" s="103" t="s">
        <v>93</v>
      </c>
      <c r="H364" s="146"/>
      <c r="I364" s="146"/>
      <c r="J364" s="146"/>
      <c r="K364" s="146"/>
      <c r="L364" s="103" t="s">
        <v>93</v>
      </c>
      <c r="M364" s="146"/>
      <c r="N364" s="146"/>
      <c r="O364" s="146"/>
      <c r="P364" s="146"/>
      <c r="Q364" s="103" t="s">
        <v>93</v>
      </c>
      <c r="R364" s="146"/>
    </row>
    <row r="365" spans="1:18">
      <c r="A365" s="103" t="s">
        <v>18</v>
      </c>
      <c r="B365" s="104">
        <v>0.781250000000006</v>
      </c>
      <c r="C365" s="104">
        <v>0.79166666666667096</v>
      </c>
      <c r="D365" s="146"/>
      <c r="E365" s="146"/>
      <c r="F365" s="146"/>
      <c r="G365" s="103" t="s">
        <v>93</v>
      </c>
      <c r="H365" s="146"/>
      <c r="I365" s="146"/>
      <c r="J365" s="146"/>
      <c r="K365" s="146"/>
      <c r="L365" s="103" t="s">
        <v>93</v>
      </c>
      <c r="M365" s="146"/>
      <c r="N365" s="146"/>
      <c r="O365" s="146"/>
      <c r="P365" s="146"/>
      <c r="Q365" s="103" t="s">
        <v>93</v>
      </c>
      <c r="R365" s="146"/>
    </row>
    <row r="366" spans="1:18">
      <c r="A366" s="103" t="s">
        <v>18</v>
      </c>
      <c r="B366" s="104">
        <v>0.79166666666667296</v>
      </c>
      <c r="C366" s="104">
        <v>0.80208333333333803</v>
      </c>
      <c r="D366" s="146"/>
      <c r="E366" s="146"/>
      <c r="F366" s="146"/>
      <c r="G366" s="103" t="s">
        <v>93</v>
      </c>
      <c r="H366" s="146"/>
      <c r="I366" s="146"/>
      <c r="J366" s="146"/>
      <c r="K366" s="146"/>
      <c r="L366" s="103" t="s">
        <v>93</v>
      </c>
      <c r="M366" s="146"/>
      <c r="N366" s="146"/>
      <c r="O366" s="146"/>
      <c r="P366" s="146"/>
      <c r="Q366" s="103" t="s">
        <v>93</v>
      </c>
      <c r="R366" s="146"/>
    </row>
    <row r="367" spans="1:18">
      <c r="A367" s="103" t="s">
        <v>18</v>
      </c>
      <c r="B367" s="104">
        <v>0.80208333333334003</v>
      </c>
      <c r="C367" s="104">
        <v>0.812500000000005</v>
      </c>
      <c r="D367" s="146"/>
      <c r="E367" s="146"/>
      <c r="F367" s="146"/>
      <c r="G367" s="103" t="s">
        <v>93</v>
      </c>
      <c r="H367" s="146"/>
      <c r="I367" s="146"/>
      <c r="J367" s="146"/>
      <c r="K367" s="146"/>
      <c r="L367" s="103" t="s">
        <v>93</v>
      </c>
      <c r="M367" s="146"/>
      <c r="N367" s="146"/>
      <c r="O367" s="146"/>
      <c r="P367" s="146"/>
      <c r="Q367" s="103" t="s">
        <v>93</v>
      </c>
      <c r="R367" s="146"/>
    </row>
    <row r="368" spans="1:18">
      <c r="A368" s="103" t="s">
        <v>18</v>
      </c>
      <c r="B368" s="104">
        <v>0.81250000000000699</v>
      </c>
      <c r="C368" s="104">
        <v>0.82291666666667196</v>
      </c>
      <c r="D368" s="146"/>
      <c r="E368" s="146"/>
      <c r="F368" s="146"/>
      <c r="G368" s="103" t="s">
        <v>93</v>
      </c>
      <c r="H368" s="146"/>
      <c r="I368" s="146"/>
      <c r="J368" s="146"/>
      <c r="K368" s="146"/>
      <c r="L368" s="103" t="s">
        <v>93</v>
      </c>
      <c r="M368" s="146"/>
      <c r="N368" s="146"/>
      <c r="O368" s="146"/>
      <c r="P368" s="146"/>
      <c r="Q368" s="103" t="s">
        <v>93</v>
      </c>
      <c r="R368" s="146"/>
    </row>
    <row r="369" spans="1:18">
      <c r="A369" s="103" t="s">
        <v>18</v>
      </c>
      <c r="B369" s="104">
        <v>0.82291666666667396</v>
      </c>
      <c r="C369" s="104">
        <v>0.83333333333333903</v>
      </c>
      <c r="D369" s="146"/>
      <c r="E369" s="146"/>
      <c r="F369" s="146"/>
      <c r="G369" s="103" t="s">
        <v>93</v>
      </c>
      <c r="H369" s="146"/>
      <c r="I369" s="146"/>
      <c r="J369" s="146"/>
      <c r="K369" s="146"/>
      <c r="L369" s="103" t="s">
        <v>93</v>
      </c>
      <c r="M369" s="146"/>
      <c r="N369" s="146"/>
      <c r="O369" s="146"/>
      <c r="P369" s="146"/>
      <c r="Q369" s="103" t="s">
        <v>93</v>
      </c>
      <c r="R369" s="146"/>
    </row>
    <row r="370" spans="1:18">
      <c r="A370" s="103" t="s">
        <v>18</v>
      </c>
      <c r="B370" s="104">
        <v>0.83333333333334103</v>
      </c>
      <c r="C370" s="104">
        <v>0.843750000000006</v>
      </c>
      <c r="D370" s="146"/>
      <c r="E370" s="146"/>
      <c r="F370" s="146"/>
      <c r="G370" s="103" t="s">
        <v>93</v>
      </c>
      <c r="H370" s="146"/>
      <c r="I370" s="146"/>
      <c r="J370" s="146"/>
      <c r="K370" s="146"/>
      <c r="L370" s="103" t="s">
        <v>93</v>
      </c>
      <c r="M370" s="146"/>
      <c r="N370" s="146"/>
      <c r="O370" s="146"/>
      <c r="P370" s="146"/>
      <c r="Q370" s="103" t="s">
        <v>93</v>
      </c>
      <c r="R370" s="146"/>
    </row>
    <row r="371" spans="1:18">
      <c r="A371" s="103" t="s">
        <v>18</v>
      </c>
      <c r="B371" s="104">
        <v>0.84375000000000799</v>
      </c>
      <c r="C371" s="104">
        <v>0.85416666666667296</v>
      </c>
      <c r="D371" s="146"/>
      <c r="E371" s="146"/>
      <c r="F371" s="146"/>
      <c r="G371" s="103" t="s">
        <v>93</v>
      </c>
      <c r="H371" s="146"/>
      <c r="I371" s="146"/>
      <c r="J371" s="146"/>
      <c r="K371" s="146"/>
      <c r="L371" s="103" t="s">
        <v>93</v>
      </c>
      <c r="M371" s="146"/>
      <c r="N371" s="146"/>
      <c r="O371" s="146"/>
      <c r="P371" s="146"/>
      <c r="Q371" s="103" t="s">
        <v>93</v>
      </c>
      <c r="R371" s="146"/>
    </row>
    <row r="372" spans="1:18">
      <c r="A372" s="103" t="s">
        <v>18</v>
      </c>
      <c r="B372" s="104">
        <v>0.85416666666667496</v>
      </c>
      <c r="C372" s="104">
        <v>0.86458333333334003</v>
      </c>
      <c r="D372" s="146"/>
      <c r="E372" s="146"/>
      <c r="F372" s="146"/>
      <c r="G372" s="103" t="s">
        <v>93</v>
      </c>
      <c r="H372" s="146"/>
      <c r="I372" s="146"/>
      <c r="J372" s="146"/>
      <c r="K372" s="146"/>
      <c r="L372" s="103" t="s">
        <v>93</v>
      </c>
      <c r="M372" s="146"/>
      <c r="N372" s="146"/>
      <c r="O372" s="146"/>
      <c r="P372" s="146"/>
      <c r="Q372" s="103" t="s">
        <v>93</v>
      </c>
      <c r="R372" s="146"/>
    </row>
    <row r="373" spans="1:18">
      <c r="A373" s="103" t="s">
        <v>18</v>
      </c>
      <c r="B373" s="104">
        <v>0.86458333333334203</v>
      </c>
      <c r="C373" s="104">
        <v>0.87500000000000699</v>
      </c>
      <c r="D373" s="146"/>
      <c r="E373" s="146"/>
      <c r="F373" s="146"/>
      <c r="G373" s="103" t="s">
        <v>93</v>
      </c>
      <c r="H373" s="146"/>
      <c r="I373" s="146"/>
      <c r="J373" s="146"/>
      <c r="K373" s="146"/>
      <c r="L373" s="103" t="s">
        <v>93</v>
      </c>
      <c r="M373" s="146"/>
      <c r="N373" s="146"/>
      <c r="O373" s="146"/>
      <c r="P373" s="146"/>
      <c r="Q373" s="103" t="s">
        <v>93</v>
      </c>
      <c r="R373" s="146"/>
    </row>
    <row r="374" spans="1:18">
      <c r="A374" s="103" t="s">
        <v>18</v>
      </c>
      <c r="B374" s="104">
        <v>0.87500000000000899</v>
      </c>
      <c r="C374" s="104">
        <v>0.88541666666667396</v>
      </c>
      <c r="D374" s="146"/>
      <c r="E374" s="146"/>
      <c r="F374" s="146"/>
      <c r="G374" s="103" t="s">
        <v>93</v>
      </c>
      <c r="H374" s="146"/>
      <c r="I374" s="146"/>
      <c r="J374" s="146"/>
      <c r="K374" s="146"/>
      <c r="L374" s="103" t="s">
        <v>93</v>
      </c>
      <c r="M374" s="146"/>
      <c r="N374" s="146"/>
      <c r="O374" s="146"/>
      <c r="P374" s="146"/>
      <c r="Q374" s="103" t="s">
        <v>93</v>
      </c>
      <c r="R374" s="146"/>
    </row>
    <row r="375" spans="1:18">
      <c r="A375" s="103" t="s">
        <v>18</v>
      </c>
      <c r="B375" s="104">
        <v>0.88541666666667596</v>
      </c>
      <c r="C375" s="104">
        <v>0.89583333333334103</v>
      </c>
      <c r="D375" s="146"/>
      <c r="E375" s="146"/>
      <c r="F375" s="146"/>
      <c r="G375" s="103" t="s">
        <v>93</v>
      </c>
      <c r="H375" s="146"/>
      <c r="I375" s="146"/>
      <c r="J375" s="146"/>
      <c r="K375" s="146"/>
      <c r="L375" s="103" t="s">
        <v>93</v>
      </c>
      <c r="M375" s="146"/>
      <c r="N375" s="146"/>
      <c r="O375" s="146"/>
      <c r="P375" s="146"/>
      <c r="Q375" s="103" t="s">
        <v>93</v>
      </c>
      <c r="R375" s="146"/>
    </row>
    <row r="376" spans="1:18">
      <c r="A376" s="103" t="s">
        <v>18</v>
      </c>
      <c r="B376" s="104">
        <v>0.89583333333334303</v>
      </c>
      <c r="C376" s="104">
        <v>0.90625000000000799</v>
      </c>
      <c r="D376" s="146"/>
      <c r="E376" s="146"/>
      <c r="F376" s="146"/>
      <c r="G376" s="103" t="s">
        <v>93</v>
      </c>
      <c r="H376" s="146"/>
      <c r="I376" s="146"/>
      <c r="J376" s="146"/>
      <c r="K376" s="146"/>
      <c r="L376" s="103" t="s">
        <v>93</v>
      </c>
      <c r="M376" s="146"/>
      <c r="N376" s="146"/>
      <c r="O376" s="146"/>
      <c r="P376" s="146"/>
      <c r="Q376" s="103" t="s">
        <v>93</v>
      </c>
      <c r="R376" s="146"/>
    </row>
    <row r="377" spans="1:18">
      <c r="A377" s="103" t="s">
        <v>18</v>
      </c>
      <c r="B377" s="104">
        <v>0.90625000000000999</v>
      </c>
      <c r="C377" s="104">
        <v>0.91666666666667496</v>
      </c>
      <c r="D377" s="146"/>
      <c r="E377" s="146"/>
      <c r="F377" s="146"/>
      <c r="G377" s="103" t="s">
        <v>93</v>
      </c>
      <c r="H377" s="146"/>
      <c r="I377" s="146"/>
      <c r="J377" s="146"/>
      <c r="K377" s="146"/>
      <c r="L377" s="103" t="s">
        <v>93</v>
      </c>
      <c r="M377" s="146"/>
      <c r="N377" s="146"/>
      <c r="O377" s="146"/>
      <c r="P377" s="146"/>
      <c r="Q377" s="103" t="s">
        <v>93</v>
      </c>
      <c r="R377" s="146"/>
    </row>
    <row r="378" spans="1:18">
      <c r="A378" s="103" t="s">
        <v>18</v>
      </c>
      <c r="B378" s="104">
        <v>0.91666666666666663</v>
      </c>
      <c r="C378" s="104">
        <v>0.92708333333333215</v>
      </c>
      <c r="D378" s="146"/>
      <c r="E378" s="146"/>
      <c r="F378" s="146"/>
      <c r="G378" s="103" t="s">
        <v>93</v>
      </c>
      <c r="H378" s="146"/>
      <c r="I378" s="146"/>
      <c r="J378" s="146"/>
      <c r="K378" s="146"/>
      <c r="L378" s="103" t="s">
        <v>93</v>
      </c>
      <c r="M378" s="146"/>
      <c r="N378" s="146"/>
      <c r="O378" s="146"/>
      <c r="P378" s="146"/>
      <c r="Q378" s="103" t="s">
        <v>93</v>
      </c>
      <c r="R378" s="146"/>
    </row>
    <row r="379" spans="1:18">
      <c r="A379" s="103" t="s">
        <v>18</v>
      </c>
      <c r="B379" s="104">
        <v>0.92708333333333337</v>
      </c>
      <c r="C379" s="104">
        <v>0.93749999999999878</v>
      </c>
      <c r="D379" s="146"/>
      <c r="E379" s="146"/>
      <c r="F379" s="146"/>
      <c r="G379" s="103" t="s">
        <v>93</v>
      </c>
      <c r="H379" s="146"/>
      <c r="I379" s="146"/>
      <c r="J379" s="146"/>
      <c r="K379" s="146"/>
      <c r="L379" s="103" t="s">
        <v>93</v>
      </c>
      <c r="M379" s="146"/>
      <c r="N379" s="146"/>
      <c r="O379" s="146"/>
      <c r="P379" s="146"/>
      <c r="Q379" s="103" t="s">
        <v>93</v>
      </c>
      <c r="R379" s="146"/>
    </row>
    <row r="380" spans="1:18">
      <c r="A380" s="103" t="s">
        <v>18</v>
      </c>
      <c r="B380" s="104">
        <v>0.9375</v>
      </c>
      <c r="C380" s="104">
        <v>0.94791666666666541</v>
      </c>
      <c r="D380" s="146"/>
      <c r="E380" s="146"/>
      <c r="F380" s="146"/>
      <c r="G380" s="103" t="s">
        <v>93</v>
      </c>
      <c r="H380" s="146"/>
      <c r="I380" s="146"/>
      <c r="J380" s="146"/>
      <c r="K380" s="146"/>
      <c r="L380" s="103" t="s">
        <v>93</v>
      </c>
      <c r="M380" s="146"/>
      <c r="N380" s="146"/>
      <c r="O380" s="146"/>
      <c r="P380" s="146"/>
      <c r="Q380" s="103" t="s">
        <v>93</v>
      </c>
      <c r="R380" s="146"/>
    </row>
    <row r="381" spans="1:18">
      <c r="A381" s="103" t="s">
        <v>18</v>
      </c>
      <c r="B381" s="104">
        <v>0.94791666666666663</v>
      </c>
      <c r="C381" s="104">
        <v>0.95833333333333204</v>
      </c>
      <c r="D381" s="146"/>
      <c r="E381" s="146"/>
      <c r="F381" s="146"/>
      <c r="G381" s="103" t="s">
        <v>93</v>
      </c>
      <c r="H381" s="146"/>
      <c r="I381" s="146"/>
      <c r="J381" s="146"/>
      <c r="K381" s="146"/>
      <c r="L381" s="103" t="s">
        <v>93</v>
      </c>
      <c r="M381" s="146"/>
      <c r="N381" s="146"/>
      <c r="O381" s="146"/>
      <c r="P381" s="146"/>
      <c r="Q381" s="103" t="s">
        <v>93</v>
      </c>
      <c r="R381" s="146"/>
    </row>
    <row r="382" spans="1:18">
      <c r="A382" s="103" t="s">
        <v>18</v>
      </c>
      <c r="B382" s="104">
        <v>0.95833333333333337</v>
      </c>
      <c r="C382" s="104">
        <v>0.96874999999999867</v>
      </c>
      <c r="D382" s="146"/>
      <c r="E382" s="146"/>
      <c r="F382" s="146"/>
      <c r="G382" s="103" t="s">
        <v>93</v>
      </c>
      <c r="H382" s="146"/>
      <c r="I382" s="146"/>
      <c r="J382" s="146"/>
      <c r="K382" s="146"/>
      <c r="L382" s="103" t="s">
        <v>93</v>
      </c>
      <c r="M382" s="146"/>
      <c r="N382" s="146"/>
      <c r="O382" s="146"/>
      <c r="P382" s="146"/>
      <c r="Q382" s="103" t="s">
        <v>93</v>
      </c>
      <c r="R382" s="146"/>
    </row>
    <row r="383" spans="1:18">
      <c r="A383" s="103" t="s">
        <v>18</v>
      </c>
      <c r="B383" s="104">
        <v>0.96875</v>
      </c>
      <c r="C383" s="104">
        <v>0.9791666666666653</v>
      </c>
      <c r="D383" s="146"/>
      <c r="E383" s="146"/>
      <c r="F383" s="146"/>
      <c r="G383" s="103" t="s">
        <v>93</v>
      </c>
      <c r="H383" s="146"/>
      <c r="I383" s="146"/>
      <c r="J383" s="146"/>
      <c r="K383" s="146"/>
      <c r="L383" s="103" t="s">
        <v>93</v>
      </c>
      <c r="M383" s="146"/>
      <c r="N383" s="146"/>
      <c r="O383" s="146"/>
      <c r="P383" s="146"/>
      <c r="Q383" s="103" t="s">
        <v>93</v>
      </c>
      <c r="R383" s="146"/>
    </row>
    <row r="384" spans="1:18">
      <c r="A384" s="103" t="s">
        <v>18</v>
      </c>
      <c r="B384" s="104">
        <v>0.97916666666666663</v>
      </c>
      <c r="C384" s="104">
        <v>0.98958333333333193</v>
      </c>
      <c r="D384" s="146"/>
      <c r="E384" s="146"/>
      <c r="F384" s="146"/>
      <c r="G384" s="103" t="s">
        <v>93</v>
      </c>
      <c r="H384" s="146"/>
      <c r="I384" s="146"/>
      <c r="J384" s="146"/>
      <c r="K384" s="146"/>
      <c r="L384" s="103" t="s">
        <v>93</v>
      </c>
      <c r="M384" s="146"/>
      <c r="N384" s="146"/>
      <c r="O384" s="146"/>
      <c r="P384" s="146"/>
      <c r="Q384" s="103" t="s">
        <v>93</v>
      </c>
      <c r="R384" s="146"/>
    </row>
    <row r="385" spans="1:18" s="105" customFormat="1" ht="17.25" thickBot="1">
      <c r="A385" s="149" t="s">
        <v>18</v>
      </c>
      <c r="B385" s="148">
        <v>0.98958333333333337</v>
      </c>
      <c r="C385" s="148" t="s">
        <v>124</v>
      </c>
      <c r="D385" s="150"/>
      <c r="E385" s="150"/>
      <c r="F385" s="150"/>
      <c r="G385" s="149" t="s">
        <v>93</v>
      </c>
      <c r="H385" s="150"/>
      <c r="I385" s="150"/>
      <c r="J385" s="150"/>
      <c r="K385" s="150"/>
      <c r="L385" s="149" t="s">
        <v>93</v>
      </c>
      <c r="M385" s="150"/>
      <c r="N385" s="150"/>
      <c r="O385" s="150"/>
      <c r="P385" s="150"/>
      <c r="Q385" s="149" t="s">
        <v>93</v>
      </c>
      <c r="R385" s="150"/>
    </row>
    <row r="386" spans="1:18" ht="17.25" thickTop="1">
      <c r="A386" s="123" t="s">
        <v>94</v>
      </c>
      <c r="B386" s="124">
        <v>0</v>
      </c>
      <c r="C386" s="125">
        <v>1.0416666666666666E-2</v>
      </c>
      <c r="D386" s="131"/>
      <c r="E386" s="131"/>
      <c r="F386" s="131"/>
      <c r="G386" s="131"/>
      <c r="H386" s="123" t="s">
        <v>93</v>
      </c>
      <c r="I386" s="131"/>
      <c r="J386" s="131"/>
      <c r="K386" s="131"/>
      <c r="L386" s="131"/>
      <c r="M386" s="123" t="s">
        <v>93</v>
      </c>
      <c r="N386" s="131"/>
      <c r="O386" s="131"/>
      <c r="P386" s="131"/>
      <c r="Q386" s="131"/>
      <c r="R386" s="123" t="s">
        <v>93</v>
      </c>
    </row>
    <row r="387" spans="1:18">
      <c r="A387" s="123" t="s">
        <v>94</v>
      </c>
      <c r="B387" s="127">
        <v>1.0416666666666666E-2</v>
      </c>
      <c r="C387" s="128">
        <v>2.0833333333333332E-2</v>
      </c>
      <c r="D387" s="132"/>
      <c r="E387" s="132"/>
      <c r="F387" s="132"/>
      <c r="G387" s="132"/>
      <c r="H387" s="126" t="s">
        <v>93</v>
      </c>
      <c r="I387" s="132"/>
      <c r="J387" s="132"/>
      <c r="K387" s="132"/>
      <c r="L387" s="132"/>
      <c r="M387" s="126" t="s">
        <v>93</v>
      </c>
      <c r="N387" s="132"/>
      <c r="O387" s="132"/>
      <c r="P387" s="132"/>
      <c r="Q387" s="132"/>
      <c r="R387" s="126" t="s">
        <v>93</v>
      </c>
    </row>
    <row r="388" spans="1:18">
      <c r="A388" s="123" t="s">
        <v>94</v>
      </c>
      <c r="B388" s="127">
        <v>2.0833333333333332E-2</v>
      </c>
      <c r="C388" s="128">
        <v>3.125E-2</v>
      </c>
      <c r="D388" s="132"/>
      <c r="E388" s="132"/>
      <c r="F388" s="132"/>
      <c r="G388" s="132"/>
      <c r="H388" s="126" t="s">
        <v>93</v>
      </c>
      <c r="I388" s="132"/>
      <c r="J388" s="132"/>
      <c r="K388" s="132"/>
      <c r="L388" s="132"/>
      <c r="M388" s="126" t="s">
        <v>93</v>
      </c>
      <c r="N388" s="132"/>
      <c r="O388" s="132"/>
      <c r="P388" s="132"/>
      <c r="Q388" s="132"/>
      <c r="R388" s="126" t="s">
        <v>93</v>
      </c>
    </row>
    <row r="389" spans="1:18">
      <c r="A389" s="123" t="s">
        <v>94</v>
      </c>
      <c r="B389" s="127">
        <v>3.125E-2</v>
      </c>
      <c r="C389" s="128">
        <v>4.1666666666666664E-2</v>
      </c>
      <c r="D389" s="132"/>
      <c r="E389" s="132"/>
      <c r="F389" s="132"/>
      <c r="G389" s="132"/>
      <c r="H389" s="126" t="s">
        <v>93</v>
      </c>
      <c r="I389" s="132"/>
      <c r="J389" s="132"/>
      <c r="K389" s="132"/>
      <c r="L389" s="132"/>
      <c r="M389" s="126" t="s">
        <v>93</v>
      </c>
      <c r="N389" s="132"/>
      <c r="O389" s="132"/>
      <c r="P389" s="132"/>
      <c r="Q389" s="132"/>
      <c r="R389" s="126" t="s">
        <v>93</v>
      </c>
    </row>
    <row r="390" spans="1:18">
      <c r="A390" s="123" t="s">
        <v>94</v>
      </c>
      <c r="B390" s="127">
        <v>4.1666666666666664E-2</v>
      </c>
      <c r="C390" s="128">
        <v>5.2083333333333329E-2</v>
      </c>
      <c r="D390" s="132"/>
      <c r="E390" s="132"/>
      <c r="F390" s="132"/>
      <c r="G390" s="132"/>
      <c r="H390" s="126" t="s">
        <v>93</v>
      </c>
      <c r="I390" s="132"/>
      <c r="J390" s="132"/>
      <c r="K390" s="132"/>
      <c r="L390" s="132"/>
      <c r="M390" s="126" t="s">
        <v>93</v>
      </c>
      <c r="N390" s="132"/>
      <c r="O390" s="132"/>
      <c r="P390" s="132"/>
      <c r="Q390" s="132"/>
      <c r="R390" s="126" t="s">
        <v>93</v>
      </c>
    </row>
    <row r="391" spans="1:18">
      <c r="A391" s="123" t="s">
        <v>94</v>
      </c>
      <c r="B391" s="127">
        <v>5.2083333333333329E-2</v>
      </c>
      <c r="C391" s="128">
        <v>6.25E-2</v>
      </c>
      <c r="D391" s="132"/>
      <c r="E391" s="132"/>
      <c r="F391" s="132"/>
      <c r="G391" s="132"/>
      <c r="H391" s="126" t="s">
        <v>93</v>
      </c>
      <c r="I391" s="132"/>
      <c r="J391" s="132"/>
      <c r="K391" s="132"/>
      <c r="L391" s="132"/>
      <c r="M391" s="126" t="s">
        <v>93</v>
      </c>
      <c r="N391" s="132"/>
      <c r="O391" s="132"/>
      <c r="P391" s="132"/>
      <c r="Q391" s="132"/>
      <c r="R391" s="126" t="s">
        <v>93</v>
      </c>
    </row>
    <row r="392" spans="1:18">
      <c r="A392" s="123" t="s">
        <v>94</v>
      </c>
      <c r="B392" s="127">
        <v>6.25E-2</v>
      </c>
      <c r="C392" s="128">
        <v>7.2916666666666657E-2</v>
      </c>
      <c r="D392" s="132"/>
      <c r="E392" s="132"/>
      <c r="F392" s="132"/>
      <c r="G392" s="132"/>
      <c r="H392" s="126" t="s">
        <v>93</v>
      </c>
      <c r="I392" s="132"/>
      <c r="J392" s="132"/>
      <c r="K392" s="132"/>
      <c r="L392" s="132"/>
      <c r="M392" s="126" t="s">
        <v>93</v>
      </c>
      <c r="N392" s="132"/>
      <c r="O392" s="132"/>
      <c r="P392" s="132"/>
      <c r="Q392" s="132"/>
      <c r="R392" s="126" t="s">
        <v>93</v>
      </c>
    </row>
    <row r="393" spans="1:18">
      <c r="A393" s="123" t="s">
        <v>94</v>
      </c>
      <c r="B393" s="127">
        <v>7.2916666666666657E-2</v>
      </c>
      <c r="C393" s="128">
        <v>8.3333333333333329E-2</v>
      </c>
      <c r="D393" s="132"/>
      <c r="E393" s="132"/>
      <c r="F393" s="132"/>
      <c r="G393" s="132"/>
      <c r="H393" s="126" t="s">
        <v>93</v>
      </c>
      <c r="I393" s="132"/>
      <c r="J393" s="132"/>
      <c r="K393" s="132"/>
      <c r="L393" s="132"/>
      <c r="M393" s="126" t="s">
        <v>93</v>
      </c>
      <c r="N393" s="132"/>
      <c r="O393" s="132"/>
      <c r="P393" s="132"/>
      <c r="Q393" s="132"/>
      <c r="R393" s="126" t="s">
        <v>93</v>
      </c>
    </row>
    <row r="394" spans="1:18">
      <c r="A394" s="123" t="s">
        <v>94</v>
      </c>
      <c r="B394" s="127">
        <v>8.3333333333333329E-2</v>
      </c>
      <c r="C394" s="128">
        <v>9.375E-2</v>
      </c>
      <c r="D394" s="132"/>
      <c r="E394" s="132"/>
      <c r="F394" s="132"/>
      <c r="G394" s="132"/>
      <c r="H394" s="126" t="s">
        <v>93</v>
      </c>
      <c r="I394" s="132"/>
      <c r="J394" s="132"/>
      <c r="K394" s="132"/>
      <c r="L394" s="132"/>
      <c r="M394" s="126" t="s">
        <v>93</v>
      </c>
      <c r="N394" s="132"/>
      <c r="O394" s="132"/>
      <c r="P394" s="132"/>
      <c r="Q394" s="132"/>
      <c r="R394" s="126" t="s">
        <v>93</v>
      </c>
    </row>
    <row r="395" spans="1:18">
      <c r="A395" s="123" t="s">
        <v>94</v>
      </c>
      <c r="B395" s="127">
        <v>9.375E-2</v>
      </c>
      <c r="C395" s="128">
        <v>0.10416666666666667</v>
      </c>
      <c r="D395" s="132"/>
      <c r="E395" s="132"/>
      <c r="F395" s="132"/>
      <c r="G395" s="132"/>
      <c r="H395" s="126" t="s">
        <v>93</v>
      </c>
      <c r="I395" s="132"/>
      <c r="J395" s="132"/>
      <c r="K395" s="132"/>
      <c r="L395" s="132"/>
      <c r="M395" s="126" t="s">
        <v>93</v>
      </c>
      <c r="N395" s="132"/>
      <c r="O395" s="132"/>
      <c r="P395" s="132"/>
      <c r="Q395" s="132"/>
      <c r="R395" s="126" t="s">
        <v>93</v>
      </c>
    </row>
    <row r="396" spans="1:18">
      <c r="A396" s="123" t="s">
        <v>94</v>
      </c>
      <c r="B396" s="127">
        <v>0.10416666666666667</v>
      </c>
      <c r="C396" s="128">
        <v>0.11458333333333334</v>
      </c>
      <c r="D396" s="132"/>
      <c r="E396" s="132"/>
      <c r="F396" s="132"/>
      <c r="G396" s="132"/>
      <c r="H396" s="126" t="s">
        <v>93</v>
      </c>
      <c r="I396" s="132"/>
      <c r="J396" s="132"/>
      <c r="K396" s="132"/>
      <c r="L396" s="132"/>
      <c r="M396" s="126" t="s">
        <v>93</v>
      </c>
      <c r="N396" s="132"/>
      <c r="O396" s="132"/>
      <c r="P396" s="132"/>
      <c r="Q396" s="132"/>
      <c r="R396" s="126" t="s">
        <v>93</v>
      </c>
    </row>
    <row r="397" spans="1:18">
      <c r="A397" s="123" t="s">
        <v>94</v>
      </c>
      <c r="B397" s="127">
        <v>0.11458333333333334</v>
      </c>
      <c r="C397" s="128">
        <v>0.125</v>
      </c>
      <c r="D397" s="132"/>
      <c r="E397" s="132"/>
      <c r="F397" s="132"/>
      <c r="G397" s="132"/>
      <c r="H397" s="126" t="s">
        <v>93</v>
      </c>
      <c r="I397" s="132"/>
      <c r="J397" s="132"/>
      <c r="K397" s="132"/>
      <c r="L397" s="132"/>
      <c r="M397" s="126" t="s">
        <v>93</v>
      </c>
      <c r="N397" s="132"/>
      <c r="O397" s="132"/>
      <c r="P397" s="132"/>
      <c r="Q397" s="132"/>
      <c r="R397" s="126" t="s">
        <v>93</v>
      </c>
    </row>
    <row r="398" spans="1:18">
      <c r="A398" s="123" t="s">
        <v>94</v>
      </c>
      <c r="B398" s="127">
        <v>0.125</v>
      </c>
      <c r="C398" s="128">
        <v>0.13541666666666666</v>
      </c>
      <c r="D398" s="132"/>
      <c r="E398" s="132"/>
      <c r="F398" s="132"/>
      <c r="G398" s="132"/>
      <c r="H398" s="126" t="s">
        <v>93</v>
      </c>
      <c r="I398" s="132"/>
      <c r="J398" s="132"/>
      <c r="K398" s="132"/>
      <c r="L398" s="132"/>
      <c r="M398" s="126" t="s">
        <v>93</v>
      </c>
      <c r="N398" s="132"/>
      <c r="O398" s="132"/>
      <c r="P398" s="132"/>
      <c r="Q398" s="132"/>
      <c r="R398" s="126" t="s">
        <v>93</v>
      </c>
    </row>
    <row r="399" spans="1:18">
      <c r="A399" s="123" t="s">
        <v>94</v>
      </c>
      <c r="B399" s="127">
        <v>0.13541666666666666</v>
      </c>
      <c r="C399" s="128">
        <v>0.14583333333333331</v>
      </c>
      <c r="D399" s="132"/>
      <c r="E399" s="132"/>
      <c r="F399" s="132"/>
      <c r="G399" s="132"/>
      <c r="H399" s="126" t="s">
        <v>93</v>
      </c>
      <c r="I399" s="132"/>
      <c r="J399" s="132"/>
      <c r="K399" s="132"/>
      <c r="L399" s="132"/>
      <c r="M399" s="126" t="s">
        <v>93</v>
      </c>
      <c r="N399" s="132"/>
      <c r="O399" s="132"/>
      <c r="P399" s="132"/>
      <c r="Q399" s="132"/>
      <c r="R399" s="126" t="s">
        <v>93</v>
      </c>
    </row>
    <row r="400" spans="1:18">
      <c r="A400" s="123" t="s">
        <v>94</v>
      </c>
      <c r="B400" s="127">
        <v>0.14583333333333331</v>
      </c>
      <c r="C400" s="128">
        <v>0.15625</v>
      </c>
      <c r="D400" s="132"/>
      <c r="E400" s="132"/>
      <c r="F400" s="132"/>
      <c r="G400" s="132"/>
      <c r="H400" s="126" t="s">
        <v>93</v>
      </c>
      <c r="I400" s="132"/>
      <c r="J400" s="132"/>
      <c r="K400" s="132"/>
      <c r="L400" s="132"/>
      <c r="M400" s="126" t="s">
        <v>93</v>
      </c>
      <c r="N400" s="132"/>
      <c r="O400" s="132"/>
      <c r="P400" s="132"/>
      <c r="Q400" s="132"/>
      <c r="R400" s="126" t="s">
        <v>93</v>
      </c>
    </row>
    <row r="401" spans="1:18">
      <c r="A401" s="123" t="s">
        <v>94</v>
      </c>
      <c r="B401" s="127">
        <v>0.15625</v>
      </c>
      <c r="C401" s="128">
        <v>0.16666666666666663</v>
      </c>
      <c r="D401" s="132"/>
      <c r="E401" s="132"/>
      <c r="F401" s="132"/>
      <c r="G401" s="132"/>
      <c r="H401" s="126" t="s">
        <v>93</v>
      </c>
      <c r="I401" s="132"/>
      <c r="J401" s="132"/>
      <c r="K401" s="132"/>
      <c r="L401" s="132"/>
      <c r="M401" s="126" t="s">
        <v>93</v>
      </c>
      <c r="N401" s="132"/>
      <c r="O401" s="132"/>
      <c r="P401" s="132"/>
      <c r="Q401" s="132"/>
      <c r="R401" s="126" t="s">
        <v>93</v>
      </c>
    </row>
    <row r="402" spans="1:18">
      <c r="A402" s="123" t="s">
        <v>94</v>
      </c>
      <c r="B402" s="127">
        <v>0.16666666666666666</v>
      </c>
      <c r="C402" s="128">
        <v>0.17708333333333329</v>
      </c>
      <c r="D402" s="132"/>
      <c r="E402" s="132"/>
      <c r="F402" s="132"/>
      <c r="G402" s="132"/>
      <c r="H402" s="126" t="s">
        <v>93</v>
      </c>
      <c r="I402" s="132"/>
      <c r="J402" s="132"/>
      <c r="K402" s="132"/>
      <c r="L402" s="132"/>
      <c r="M402" s="126" t="s">
        <v>93</v>
      </c>
      <c r="N402" s="132"/>
      <c r="O402" s="132"/>
      <c r="P402" s="132"/>
      <c r="Q402" s="132"/>
      <c r="R402" s="126" t="s">
        <v>93</v>
      </c>
    </row>
    <row r="403" spans="1:18">
      <c r="A403" s="123" t="s">
        <v>94</v>
      </c>
      <c r="B403" s="127">
        <v>0.17708333333333334</v>
      </c>
      <c r="C403" s="128">
        <v>0.1875</v>
      </c>
      <c r="D403" s="132"/>
      <c r="E403" s="132"/>
      <c r="F403" s="132"/>
      <c r="G403" s="132"/>
      <c r="H403" s="126" t="s">
        <v>93</v>
      </c>
      <c r="I403" s="132"/>
      <c r="J403" s="132"/>
      <c r="K403" s="132"/>
      <c r="L403" s="132"/>
      <c r="M403" s="126" t="s">
        <v>93</v>
      </c>
      <c r="N403" s="132"/>
      <c r="O403" s="132"/>
      <c r="P403" s="132"/>
      <c r="Q403" s="132"/>
      <c r="R403" s="126" t="s">
        <v>93</v>
      </c>
    </row>
    <row r="404" spans="1:18">
      <c r="A404" s="123" t="s">
        <v>94</v>
      </c>
      <c r="B404" s="127">
        <v>0.1875</v>
      </c>
      <c r="C404" s="128">
        <v>0.1979166666666666</v>
      </c>
      <c r="D404" s="132"/>
      <c r="E404" s="132"/>
      <c r="F404" s="132"/>
      <c r="G404" s="132"/>
      <c r="H404" s="126" t="s">
        <v>93</v>
      </c>
      <c r="I404" s="132"/>
      <c r="J404" s="132"/>
      <c r="K404" s="132"/>
      <c r="L404" s="132"/>
      <c r="M404" s="126" t="s">
        <v>93</v>
      </c>
      <c r="N404" s="132"/>
      <c r="O404" s="132"/>
      <c r="P404" s="132"/>
      <c r="Q404" s="132"/>
      <c r="R404" s="126" t="s">
        <v>93</v>
      </c>
    </row>
    <row r="405" spans="1:18">
      <c r="A405" s="123" t="s">
        <v>94</v>
      </c>
      <c r="B405" s="127">
        <v>0.19791666666666666</v>
      </c>
      <c r="C405" s="128">
        <v>0.20833333333333326</v>
      </c>
      <c r="D405" s="132"/>
      <c r="E405" s="132"/>
      <c r="F405" s="132"/>
      <c r="G405" s="132"/>
      <c r="H405" s="126" t="s">
        <v>93</v>
      </c>
      <c r="I405" s="132"/>
      <c r="J405" s="132"/>
      <c r="K405" s="132"/>
      <c r="L405" s="132"/>
      <c r="M405" s="126" t="s">
        <v>93</v>
      </c>
      <c r="N405" s="132"/>
      <c r="O405" s="132"/>
      <c r="P405" s="132"/>
      <c r="Q405" s="132"/>
      <c r="R405" s="126" t="s">
        <v>93</v>
      </c>
    </row>
    <row r="406" spans="1:18">
      <c r="A406" s="123" t="s">
        <v>94</v>
      </c>
      <c r="B406" s="127">
        <v>0.20833333333333334</v>
      </c>
      <c r="C406" s="128">
        <v>0.21875</v>
      </c>
      <c r="D406" s="132"/>
      <c r="E406" s="132"/>
      <c r="F406" s="132"/>
      <c r="G406" s="132"/>
      <c r="H406" s="126" t="s">
        <v>93</v>
      </c>
      <c r="I406" s="132"/>
      <c r="J406" s="132"/>
      <c r="K406" s="132"/>
      <c r="L406" s="132"/>
      <c r="M406" s="126" t="s">
        <v>93</v>
      </c>
      <c r="N406" s="132"/>
      <c r="O406" s="132"/>
      <c r="P406" s="132"/>
      <c r="Q406" s="132"/>
      <c r="R406" s="126" t="s">
        <v>93</v>
      </c>
    </row>
    <row r="407" spans="1:18">
      <c r="A407" s="123" t="s">
        <v>94</v>
      </c>
      <c r="B407" s="127">
        <v>0.21875</v>
      </c>
      <c r="C407" s="128">
        <v>0.22916666666666657</v>
      </c>
      <c r="D407" s="132"/>
      <c r="E407" s="132"/>
      <c r="F407" s="132"/>
      <c r="G407" s="132"/>
      <c r="H407" s="126" t="s">
        <v>93</v>
      </c>
      <c r="I407" s="132"/>
      <c r="J407" s="132"/>
      <c r="K407" s="132"/>
      <c r="L407" s="132"/>
      <c r="M407" s="126" t="s">
        <v>93</v>
      </c>
      <c r="N407" s="132"/>
      <c r="O407" s="132"/>
      <c r="P407" s="132"/>
      <c r="Q407" s="132"/>
      <c r="R407" s="126" t="s">
        <v>93</v>
      </c>
    </row>
    <row r="408" spans="1:18">
      <c r="A408" s="123" t="s">
        <v>94</v>
      </c>
      <c r="B408" s="127">
        <v>0.22916666666666666</v>
      </c>
      <c r="C408" s="128">
        <v>0.23958333333333323</v>
      </c>
      <c r="D408" s="132"/>
      <c r="E408" s="132"/>
      <c r="F408" s="132"/>
      <c r="G408" s="132"/>
      <c r="H408" s="126" t="s">
        <v>93</v>
      </c>
      <c r="I408" s="132"/>
      <c r="J408" s="132"/>
      <c r="K408" s="132"/>
      <c r="L408" s="132"/>
      <c r="M408" s="126" t="s">
        <v>93</v>
      </c>
      <c r="N408" s="132"/>
      <c r="O408" s="132"/>
      <c r="P408" s="132"/>
      <c r="Q408" s="132"/>
      <c r="R408" s="126" t="s">
        <v>93</v>
      </c>
    </row>
    <row r="409" spans="1:18">
      <c r="A409" s="123" t="s">
        <v>94</v>
      </c>
      <c r="B409" s="127">
        <v>0.23958333333333334</v>
      </c>
      <c r="C409" s="128">
        <v>0.25</v>
      </c>
      <c r="D409" s="132"/>
      <c r="E409" s="132"/>
      <c r="F409" s="132"/>
      <c r="G409" s="132"/>
      <c r="H409" s="126" t="s">
        <v>93</v>
      </c>
      <c r="I409" s="132"/>
      <c r="J409" s="132"/>
      <c r="K409" s="132"/>
      <c r="L409" s="132"/>
      <c r="M409" s="126" t="s">
        <v>93</v>
      </c>
      <c r="N409" s="132"/>
      <c r="O409" s="132"/>
      <c r="P409" s="132"/>
      <c r="Q409" s="132"/>
      <c r="R409" s="126" t="s">
        <v>93</v>
      </c>
    </row>
    <row r="410" spans="1:18">
      <c r="A410" s="123" t="s">
        <v>94</v>
      </c>
      <c r="B410" s="124">
        <v>0.25</v>
      </c>
      <c r="C410" s="124">
        <v>0.26041666666666669</v>
      </c>
      <c r="D410" s="131"/>
      <c r="E410" s="131"/>
      <c r="F410" s="131"/>
      <c r="G410" s="131"/>
      <c r="H410" s="123" t="s">
        <v>93</v>
      </c>
      <c r="I410" s="131"/>
      <c r="J410" s="131"/>
      <c r="K410" s="131"/>
      <c r="L410" s="131"/>
      <c r="M410" s="123" t="s">
        <v>93</v>
      </c>
      <c r="N410" s="131"/>
      <c r="O410" s="131"/>
      <c r="P410" s="131"/>
      <c r="Q410" s="131"/>
      <c r="R410" s="123" t="s">
        <v>93</v>
      </c>
    </row>
    <row r="411" spans="1:18">
      <c r="A411" s="126" t="s">
        <v>94</v>
      </c>
      <c r="B411" s="127">
        <v>0.26041666666666669</v>
      </c>
      <c r="C411" s="127">
        <v>0.27083333333333331</v>
      </c>
      <c r="D411" s="132"/>
      <c r="E411" s="132"/>
      <c r="F411" s="132"/>
      <c r="G411" s="132"/>
      <c r="H411" s="126" t="s">
        <v>93</v>
      </c>
      <c r="I411" s="132"/>
      <c r="J411" s="132"/>
      <c r="K411" s="132"/>
      <c r="L411" s="132"/>
      <c r="M411" s="126" t="s">
        <v>93</v>
      </c>
      <c r="N411" s="132"/>
      <c r="O411" s="132"/>
      <c r="P411" s="132"/>
      <c r="Q411" s="132"/>
      <c r="R411" s="126" t="s">
        <v>93</v>
      </c>
    </row>
    <row r="412" spans="1:18">
      <c r="A412" s="126" t="s">
        <v>94</v>
      </c>
      <c r="B412" s="127">
        <v>0.27083333333333298</v>
      </c>
      <c r="C412" s="127">
        <v>0.28125</v>
      </c>
      <c r="D412" s="132"/>
      <c r="E412" s="132"/>
      <c r="F412" s="132"/>
      <c r="G412" s="132"/>
      <c r="H412" s="126" t="s">
        <v>93</v>
      </c>
      <c r="I412" s="132"/>
      <c r="J412" s="132"/>
      <c r="K412" s="132"/>
      <c r="L412" s="132"/>
      <c r="M412" s="126" t="s">
        <v>93</v>
      </c>
      <c r="N412" s="132"/>
      <c r="O412" s="132"/>
      <c r="P412" s="132"/>
      <c r="Q412" s="132"/>
      <c r="R412" s="126" t="s">
        <v>93</v>
      </c>
    </row>
    <row r="413" spans="1:18">
      <c r="A413" s="126" t="s">
        <v>94</v>
      </c>
      <c r="B413" s="127">
        <v>0.28125</v>
      </c>
      <c r="C413" s="127">
        <v>0.29166666666666702</v>
      </c>
      <c r="D413" s="132"/>
      <c r="E413" s="132"/>
      <c r="F413" s="132"/>
      <c r="G413" s="132"/>
      <c r="H413" s="126" t="s">
        <v>93</v>
      </c>
      <c r="I413" s="132"/>
      <c r="J413" s="132"/>
      <c r="K413" s="132"/>
      <c r="L413" s="132"/>
      <c r="M413" s="126" t="s">
        <v>93</v>
      </c>
      <c r="N413" s="132"/>
      <c r="O413" s="132"/>
      <c r="P413" s="132"/>
      <c r="Q413" s="132"/>
      <c r="R413" s="126" t="s">
        <v>93</v>
      </c>
    </row>
    <row r="414" spans="1:18">
      <c r="A414" s="126" t="s">
        <v>94</v>
      </c>
      <c r="B414" s="127">
        <v>0.29166666666666702</v>
      </c>
      <c r="C414" s="127">
        <v>0.30208333333333298</v>
      </c>
      <c r="D414" s="132"/>
      <c r="E414" s="132"/>
      <c r="F414" s="132"/>
      <c r="G414" s="132"/>
      <c r="H414" s="126" t="s">
        <v>93</v>
      </c>
      <c r="I414" s="132"/>
      <c r="J414" s="132"/>
      <c r="K414" s="132"/>
      <c r="L414" s="132"/>
      <c r="M414" s="126" t="s">
        <v>93</v>
      </c>
      <c r="N414" s="132"/>
      <c r="O414" s="132"/>
      <c r="P414" s="132"/>
      <c r="Q414" s="132"/>
      <c r="R414" s="126" t="s">
        <v>93</v>
      </c>
    </row>
    <row r="415" spans="1:18">
      <c r="A415" s="126" t="s">
        <v>94</v>
      </c>
      <c r="B415" s="127">
        <v>0.30208333333333298</v>
      </c>
      <c r="C415" s="127">
        <v>0.3125</v>
      </c>
      <c r="D415" s="132"/>
      <c r="E415" s="132"/>
      <c r="F415" s="132"/>
      <c r="G415" s="132"/>
      <c r="H415" s="126" t="s">
        <v>93</v>
      </c>
      <c r="I415" s="132"/>
      <c r="J415" s="132"/>
      <c r="K415" s="132"/>
      <c r="L415" s="132"/>
      <c r="M415" s="126" t="s">
        <v>93</v>
      </c>
      <c r="N415" s="132"/>
      <c r="O415" s="132"/>
      <c r="P415" s="132"/>
      <c r="Q415" s="132"/>
      <c r="R415" s="126" t="s">
        <v>93</v>
      </c>
    </row>
    <row r="416" spans="1:18">
      <c r="A416" s="126" t="s">
        <v>94</v>
      </c>
      <c r="B416" s="127">
        <v>0.3125</v>
      </c>
      <c r="C416" s="127">
        <v>0.32291666666666602</v>
      </c>
      <c r="D416" s="132"/>
      <c r="E416" s="132"/>
      <c r="F416" s="132"/>
      <c r="G416" s="132"/>
      <c r="H416" s="126" t="s">
        <v>93</v>
      </c>
      <c r="I416" s="132"/>
      <c r="J416" s="132"/>
      <c r="K416" s="132"/>
      <c r="L416" s="132"/>
      <c r="M416" s="126" t="s">
        <v>93</v>
      </c>
      <c r="N416" s="132"/>
      <c r="O416" s="132"/>
      <c r="P416" s="132"/>
      <c r="Q416" s="132"/>
      <c r="R416" s="126" t="s">
        <v>93</v>
      </c>
    </row>
    <row r="417" spans="1:18">
      <c r="A417" s="126" t="s">
        <v>94</v>
      </c>
      <c r="B417" s="127">
        <v>0.32291666666666702</v>
      </c>
      <c r="C417" s="127">
        <v>0.33333333333333298</v>
      </c>
      <c r="D417" s="132"/>
      <c r="E417" s="132"/>
      <c r="F417" s="132"/>
      <c r="G417" s="132"/>
      <c r="H417" s="126" t="s">
        <v>93</v>
      </c>
      <c r="I417" s="132"/>
      <c r="J417" s="132"/>
      <c r="K417" s="132"/>
      <c r="L417" s="132"/>
      <c r="M417" s="126" t="s">
        <v>93</v>
      </c>
      <c r="N417" s="132"/>
      <c r="O417" s="132"/>
      <c r="P417" s="132"/>
      <c r="Q417" s="132"/>
      <c r="R417" s="126" t="s">
        <v>93</v>
      </c>
    </row>
    <row r="418" spans="1:18">
      <c r="A418" s="126" t="s">
        <v>94</v>
      </c>
      <c r="B418" s="127">
        <v>0.33333333333333298</v>
      </c>
      <c r="C418" s="127">
        <v>0.34375</v>
      </c>
      <c r="D418" s="132"/>
      <c r="E418" s="132"/>
      <c r="F418" s="132"/>
      <c r="G418" s="132"/>
      <c r="H418" s="126" t="s">
        <v>93</v>
      </c>
      <c r="I418" s="132"/>
      <c r="J418" s="132"/>
      <c r="K418" s="132"/>
      <c r="L418" s="132"/>
      <c r="M418" s="126" t="s">
        <v>93</v>
      </c>
      <c r="N418" s="132"/>
      <c r="O418" s="132"/>
      <c r="P418" s="132"/>
      <c r="Q418" s="132"/>
      <c r="R418" s="126" t="s">
        <v>93</v>
      </c>
    </row>
    <row r="419" spans="1:18">
      <c r="A419" s="126" t="s">
        <v>94</v>
      </c>
      <c r="B419" s="127">
        <v>0.34375</v>
      </c>
      <c r="C419" s="127">
        <v>0.35416666666666602</v>
      </c>
      <c r="D419" s="132"/>
      <c r="E419" s="132"/>
      <c r="F419" s="132"/>
      <c r="G419" s="132"/>
      <c r="H419" s="126" t="s">
        <v>93</v>
      </c>
      <c r="I419" s="132"/>
      <c r="J419" s="132"/>
      <c r="K419" s="132"/>
      <c r="L419" s="132"/>
      <c r="M419" s="126" t="s">
        <v>93</v>
      </c>
      <c r="N419" s="132"/>
      <c r="O419" s="132"/>
      <c r="P419" s="132"/>
      <c r="Q419" s="132"/>
      <c r="R419" s="126" t="s">
        <v>93</v>
      </c>
    </row>
    <row r="420" spans="1:18">
      <c r="A420" s="126" t="s">
        <v>94</v>
      </c>
      <c r="B420" s="127">
        <v>0.35416666666666702</v>
      </c>
      <c r="C420" s="127">
        <v>0.36458333333333298</v>
      </c>
      <c r="D420" s="132"/>
      <c r="E420" s="132"/>
      <c r="F420" s="132"/>
      <c r="G420" s="132"/>
      <c r="H420" s="126" t="s">
        <v>93</v>
      </c>
      <c r="I420" s="132"/>
      <c r="J420" s="132"/>
      <c r="K420" s="132"/>
      <c r="L420" s="132"/>
      <c r="M420" s="126" t="s">
        <v>93</v>
      </c>
      <c r="N420" s="132"/>
      <c r="O420" s="132"/>
      <c r="P420" s="132"/>
      <c r="Q420" s="132"/>
      <c r="R420" s="126" t="s">
        <v>93</v>
      </c>
    </row>
    <row r="421" spans="1:18">
      <c r="A421" s="126" t="s">
        <v>94</v>
      </c>
      <c r="B421" s="127">
        <v>0.36458333333333398</v>
      </c>
      <c r="C421" s="127">
        <v>0.375</v>
      </c>
      <c r="D421" s="132"/>
      <c r="E421" s="132"/>
      <c r="F421" s="132"/>
      <c r="G421" s="132"/>
      <c r="H421" s="126" t="s">
        <v>93</v>
      </c>
      <c r="I421" s="132"/>
      <c r="J421" s="132"/>
      <c r="K421" s="132"/>
      <c r="L421" s="132"/>
      <c r="M421" s="126" t="s">
        <v>93</v>
      </c>
      <c r="N421" s="132"/>
      <c r="O421" s="132"/>
      <c r="P421" s="132"/>
      <c r="Q421" s="132"/>
      <c r="R421" s="126" t="s">
        <v>93</v>
      </c>
    </row>
    <row r="422" spans="1:18">
      <c r="A422" s="126" t="s">
        <v>94</v>
      </c>
      <c r="B422" s="127">
        <v>0.375</v>
      </c>
      <c r="C422" s="127">
        <v>0.38541666666666702</v>
      </c>
      <c r="D422" s="132"/>
      <c r="E422" s="132"/>
      <c r="F422" s="132"/>
      <c r="G422" s="132"/>
      <c r="H422" s="126" t="s">
        <v>93</v>
      </c>
      <c r="I422" s="132"/>
      <c r="J422" s="132"/>
      <c r="K422" s="132"/>
      <c r="L422" s="132"/>
      <c r="M422" s="126" t="s">
        <v>93</v>
      </c>
      <c r="N422" s="132"/>
      <c r="O422" s="132"/>
      <c r="P422" s="132"/>
      <c r="Q422" s="132"/>
      <c r="R422" s="126" t="s">
        <v>93</v>
      </c>
    </row>
    <row r="423" spans="1:18">
      <c r="A423" s="126" t="s">
        <v>94</v>
      </c>
      <c r="B423" s="127">
        <v>0.38541666666666702</v>
      </c>
      <c r="C423" s="127">
        <v>0.39583333333333298</v>
      </c>
      <c r="D423" s="132"/>
      <c r="E423" s="132"/>
      <c r="F423" s="132"/>
      <c r="G423" s="132"/>
      <c r="H423" s="126" t="s">
        <v>93</v>
      </c>
      <c r="I423" s="132"/>
      <c r="J423" s="132"/>
      <c r="K423" s="132"/>
      <c r="L423" s="132"/>
      <c r="M423" s="126" t="s">
        <v>93</v>
      </c>
      <c r="N423" s="132"/>
      <c r="O423" s="132"/>
      <c r="P423" s="132"/>
      <c r="Q423" s="132"/>
      <c r="R423" s="126" t="s">
        <v>93</v>
      </c>
    </row>
    <row r="424" spans="1:18">
      <c r="A424" s="126" t="s">
        <v>94</v>
      </c>
      <c r="B424" s="127">
        <v>0.39583333333333398</v>
      </c>
      <c r="C424" s="127">
        <v>0.40625</v>
      </c>
      <c r="D424" s="132"/>
      <c r="E424" s="132"/>
      <c r="F424" s="132"/>
      <c r="G424" s="132"/>
      <c r="H424" s="126" t="s">
        <v>93</v>
      </c>
      <c r="I424" s="132"/>
      <c r="J424" s="132"/>
      <c r="K424" s="132"/>
      <c r="L424" s="132"/>
      <c r="M424" s="126" t="s">
        <v>93</v>
      </c>
      <c r="N424" s="132"/>
      <c r="O424" s="132"/>
      <c r="P424" s="132"/>
      <c r="Q424" s="132"/>
      <c r="R424" s="126" t="s">
        <v>93</v>
      </c>
    </row>
    <row r="425" spans="1:18">
      <c r="A425" s="126" t="s">
        <v>94</v>
      </c>
      <c r="B425" s="127">
        <v>0.40625</v>
      </c>
      <c r="C425" s="127">
        <v>0.41666666666666602</v>
      </c>
      <c r="D425" s="132"/>
      <c r="E425" s="132"/>
      <c r="F425" s="132"/>
      <c r="G425" s="132"/>
      <c r="H425" s="126" t="s">
        <v>93</v>
      </c>
      <c r="I425" s="132"/>
      <c r="J425" s="132"/>
      <c r="K425" s="132"/>
      <c r="L425" s="132"/>
      <c r="M425" s="126" t="s">
        <v>93</v>
      </c>
      <c r="N425" s="132"/>
      <c r="O425" s="132"/>
      <c r="P425" s="132"/>
      <c r="Q425" s="132"/>
      <c r="R425" s="126" t="s">
        <v>93</v>
      </c>
    </row>
    <row r="426" spans="1:18">
      <c r="A426" s="126" t="s">
        <v>94</v>
      </c>
      <c r="B426" s="127">
        <v>0.41666666666666702</v>
      </c>
      <c r="C426" s="127">
        <v>0.42708333333333298</v>
      </c>
      <c r="D426" s="132"/>
      <c r="E426" s="132"/>
      <c r="F426" s="132"/>
      <c r="G426" s="132"/>
      <c r="H426" s="126" t="s">
        <v>93</v>
      </c>
      <c r="I426" s="132"/>
      <c r="J426" s="132"/>
      <c r="K426" s="132"/>
      <c r="L426" s="132"/>
      <c r="M426" s="126" t="s">
        <v>93</v>
      </c>
      <c r="N426" s="132"/>
      <c r="O426" s="132"/>
      <c r="P426" s="132"/>
      <c r="Q426" s="132"/>
      <c r="R426" s="126" t="s">
        <v>93</v>
      </c>
    </row>
    <row r="427" spans="1:18">
      <c r="A427" s="126" t="s">
        <v>94</v>
      </c>
      <c r="B427" s="127">
        <v>0.42708333333333398</v>
      </c>
      <c r="C427" s="127">
        <v>0.4375</v>
      </c>
      <c r="D427" s="132"/>
      <c r="E427" s="132"/>
      <c r="F427" s="132"/>
      <c r="G427" s="132"/>
      <c r="H427" s="126" t="s">
        <v>93</v>
      </c>
      <c r="I427" s="132"/>
      <c r="J427" s="132"/>
      <c r="K427" s="132"/>
      <c r="L427" s="132"/>
      <c r="M427" s="126" t="s">
        <v>93</v>
      </c>
      <c r="N427" s="132"/>
      <c r="O427" s="132"/>
      <c r="P427" s="132"/>
      <c r="Q427" s="132"/>
      <c r="R427" s="126" t="s">
        <v>93</v>
      </c>
    </row>
    <row r="428" spans="1:18">
      <c r="A428" s="126" t="s">
        <v>94</v>
      </c>
      <c r="B428" s="127">
        <v>0.4375</v>
      </c>
      <c r="C428" s="127">
        <v>0.44791666666666602</v>
      </c>
      <c r="D428" s="132"/>
      <c r="E428" s="132"/>
      <c r="F428" s="132"/>
      <c r="G428" s="132"/>
      <c r="H428" s="126" t="s">
        <v>93</v>
      </c>
      <c r="I428" s="132"/>
      <c r="J428" s="132"/>
      <c r="K428" s="132"/>
      <c r="L428" s="132"/>
      <c r="M428" s="126" t="s">
        <v>93</v>
      </c>
      <c r="N428" s="132"/>
      <c r="O428" s="132"/>
      <c r="P428" s="132"/>
      <c r="Q428" s="132"/>
      <c r="R428" s="126" t="s">
        <v>93</v>
      </c>
    </row>
    <row r="429" spans="1:18">
      <c r="A429" s="126" t="s">
        <v>94</v>
      </c>
      <c r="B429" s="127">
        <v>0.44791666666666702</v>
      </c>
      <c r="C429" s="127">
        <v>0.45833333333333298</v>
      </c>
      <c r="D429" s="132"/>
      <c r="E429" s="132"/>
      <c r="F429" s="132"/>
      <c r="G429" s="132"/>
      <c r="H429" s="126" t="s">
        <v>93</v>
      </c>
      <c r="I429" s="132"/>
      <c r="J429" s="132"/>
      <c r="K429" s="132"/>
      <c r="L429" s="132"/>
      <c r="M429" s="126" t="s">
        <v>93</v>
      </c>
      <c r="N429" s="132"/>
      <c r="O429" s="132"/>
      <c r="P429" s="132"/>
      <c r="Q429" s="132"/>
      <c r="R429" s="126" t="s">
        <v>93</v>
      </c>
    </row>
    <row r="430" spans="1:18">
      <c r="A430" s="126" t="s">
        <v>94</v>
      </c>
      <c r="B430" s="127">
        <v>0.45833333333333398</v>
      </c>
      <c r="C430" s="127">
        <v>0.46875</v>
      </c>
      <c r="D430" s="132"/>
      <c r="E430" s="132"/>
      <c r="F430" s="132"/>
      <c r="G430" s="132"/>
      <c r="H430" s="126" t="s">
        <v>93</v>
      </c>
      <c r="I430" s="132"/>
      <c r="J430" s="132"/>
      <c r="K430" s="132"/>
      <c r="L430" s="132"/>
      <c r="M430" s="126" t="s">
        <v>93</v>
      </c>
      <c r="N430" s="132"/>
      <c r="O430" s="132"/>
      <c r="P430" s="132"/>
      <c r="Q430" s="132"/>
      <c r="R430" s="126" t="s">
        <v>93</v>
      </c>
    </row>
    <row r="431" spans="1:18">
      <c r="A431" s="126" t="s">
        <v>94</v>
      </c>
      <c r="B431" s="127">
        <v>0.46875</v>
      </c>
      <c r="C431" s="127">
        <v>0.47916666666666602</v>
      </c>
      <c r="D431" s="132"/>
      <c r="E431" s="132"/>
      <c r="F431" s="132"/>
      <c r="G431" s="132"/>
      <c r="H431" s="126" t="s">
        <v>93</v>
      </c>
      <c r="I431" s="132"/>
      <c r="J431" s="132"/>
      <c r="K431" s="132"/>
      <c r="L431" s="132"/>
      <c r="M431" s="126" t="s">
        <v>93</v>
      </c>
      <c r="N431" s="132"/>
      <c r="O431" s="132"/>
      <c r="P431" s="132"/>
      <c r="Q431" s="132"/>
      <c r="R431" s="126" t="s">
        <v>93</v>
      </c>
    </row>
    <row r="432" spans="1:18">
      <c r="A432" s="126" t="s">
        <v>94</v>
      </c>
      <c r="B432" s="127">
        <v>0.47916666666666702</v>
      </c>
      <c r="C432" s="127">
        <v>0.48958333333333298</v>
      </c>
      <c r="D432" s="132"/>
      <c r="E432" s="132"/>
      <c r="F432" s="132"/>
      <c r="G432" s="132"/>
      <c r="H432" s="126" t="s">
        <v>93</v>
      </c>
      <c r="I432" s="132"/>
      <c r="J432" s="132"/>
      <c r="K432" s="132"/>
      <c r="L432" s="132"/>
      <c r="M432" s="126" t="s">
        <v>93</v>
      </c>
      <c r="N432" s="132"/>
      <c r="O432" s="132"/>
      <c r="P432" s="132"/>
      <c r="Q432" s="132"/>
      <c r="R432" s="126" t="s">
        <v>93</v>
      </c>
    </row>
    <row r="433" spans="1:18">
      <c r="A433" s="126" t="s">
        <v>94</v>
      </c>
      <c r="B433" s="127">
        <v>0.48958333333333398</v>
      </c>
      <c r="C433" s="127">
        <v>0.499999999999999</v>
      </c>
      <c r="D433" s="132"/>
      <c r="E433" s="132"/>
      <c r="F433" s="132"/>
      <c r="G433" s="132"/>
      <c r="H433" s="126" t="s">
        <v>93</v>
      </c>
      <c r="I433" s="132"/>
      <c r="J433" s="132"/>
      <c r="K433" s="132"/>
      <c r="L433" s="132"/>
      <c r="M433" s="126" t="s">
        <v>93</v>
      </c>
      <c r="N433" s="132"/>
      <c r="O433" s="132"/>
      <c r="P433" s="132"/>
      <c r="Q433" s="132"/>
      <c r="R433" s="126" t="s">
        <v>93</v>
      </c>
    </row>
    <row r="434" spans="1:18">
      <c r="A434" s="126" t="s">
        <v>94</v>
      </c>
      <c r="B434" s="127">
        <v>0.5</v>
      </c>
      <c r="C434" s="127">
        <v>0.51041666666666596</v>
      </c>
      <c r="D434" s="132"/>
      <c r="E434" s="132"/>
      <c r="F434" s="132"/>
      <c r="G434" s="132"/>
      <c r="H434" s="126" t="s">
        <v>93</v>
      </c>
      <c r="I434" s="132"/>
      <c r="J434" s="132"/>
      <c r="K434" s="132"/>
      <c r="L434" s="132"/>
      <c r="M434" s="126" t="s">
        <v>93</v>
      </c>
      <c r="N434" s="132"/>
      <c r="O434" s="132"/>
      <c r="P434" s="132"/>
      <c r="Q434" s="132"/>
      <c r="R434" s="126" t="s">
        <v>93</v>
      </c>
    </row>
    <row r="435" spans="1:18">
      <c r="A435" s="126" t="s">
        <v>94</v>
      </c>
      <c r="B435" s="127">
        <v>0.51041666666666696</v>
      </c>
      <c r="C435" s="127">
        <v>0.52083333333333304</v>
      </c>
      <c r="D435" s="132"/>
      <c r="E435" s="132"/>
      <c r="F435" s="132"/>
      <c r="G435" s="132"/>
      <c r="H435" s="126" t="s">
        <v>93</v>
      </c>
      <c r="I435" s="132"/>
      <c r="J435" s="132"/>
      <c r="K435" s="132"/>
      <c r="L435" s="132"/>
      <c r="M435" s="126" t="s">
        <v>93</v>
      </c>
      <c r="N435" s="132"/>
      <c r="O435" s="132"/>
      <c r="P435" s="132"/>
      <c r="Q435" s="132"/>
      <c r="R435" s="126" t="s">
        <v>93</v>
      </c>
    </row>
    <row r="436" spans="1:18">
      <c r="A436" s="126" t="s">
        <v>94</v>
      </c>
      <c r="B436" s="127">
        <v>0.52083333333333404</v>
      </c>
      <c r="C436" s="127">
        <v>0.531249999999999</v>
      </c>
      <c r="D436" s="132"/>
      <c r="E436" s="132"/>
      <c r="F436" s="132"/>
      <c r="G436" s="132"/>
      <c r="H436" s="126" t="s">
        <v>93</v>
      </c>
      <c r="I436" s="132"/>
      <c r="J436" s="132"/>
      <c r="K436" s="132"/>
      <c r="L436" s="132"/>
      <c r="M436" s="126" t="s">
        <v>93</v>
      </c>
      <c r="N436" s="132"/>
      <c r="O436" s="132"/>
      <c r="P436" s="132"/>
      <c r="Q436" s="132"/>
      <c r="R436" s="126" t="s">
        <v>93</v>
      </c>
    </row>
    <row r="437" spans="1:18">
      <c r="A437" s="126" t="s">
        <v>94</v>
      </c>
      <c r="B437" s="127">
        <v>0.53125</v>
      </c>
      <c r="C437" s="127">
        <v>0.54166666666666596</v>
      </c>
      <c r="D437" s="132"/>
      <c r="E437" s="132"/>
      <c r="F437" s="132"/>
      <c r="G437" s="132"/>
      <c r="H437" s="126" t="s">
        <v>93</v>
      </c>
      <c r="I437" s="132"/>
      <c r="J437" s="132"/>
      <c r="K437" s="132"/>
      <c r="L437" s="132"/>
      <c r="M437" s="126" t="s">
        <v>93</v>
      </c>
      <c r="N437" s="132"/>
      <c r="O437" s="132"/>
      <c r="P437" s="132"/>
      <c r="Q437" s="132"/>
      <c r="R437" s="126" t="s">
        <v>93</v>
      </c>
    </row>
    <row r="438" spans="1:18">
      <c r="A438" s="126" t="s">
        <v>94</v>
      </c>
      <c r="B438" s="127">
        <v>0.54166666666666696</v>
      </c>
      <c r="C438" s="127">
        <v>0.55208333333333304</v>
      </c>
      <c r="D438" s="132"/>
      <c r="E438" s="132"/>
      <c r="F438" s="132"/>
      <c r="G438" s="132"/>
      <c r="H438" s="126" t="s">
        <v>93</v>
      </c>
      <c r="I438" s="132"/>
      <c r="J438" s="132"/>
      <c r="K438" s="132"/>
      <c r="L438" s="132"/>
      <c r="M438" s="126" t="s">
        <v>93</v>
      </c>
      <c r="N438" s="132"/>
      <c r="O438" s="132"/>
      <c r="P438" s="132"/>
      <c r="Q438" s="132"/>
      <c r="R438" s="126" t="s">
        <v>93</v>
      </c>
    </row>
    <row r="439" spans="1:18">
      <c r="A439" s="126" t="s">
        <v>94</v>
      </c>
      <c r="B439" s="127">
        <v>0.55208333333333404</v>
      </c>
      <c r="C439" s="127">
        <v>0.562499999999999</v>
      </c>
      <c r="D439" s="132"/>
      <c r="E439" s="132"/>
      <c r="F439" s="132"/>
      <c r="G439" s="132"/>
      <c r="H439" s="126" t="s">
        <v>93</v>
      </c>
      <c r="I439" s="132"/>
      <c r="J439" s="132"/>
      <c r="K439" s="132"/>
      <c r="L439" s="132"/>
      <c r="M439" s="126" t="s">
        <v>93</v>
      </c>
      <c r="N439" s="132"/>
      <c r="O439" s="132"/>
      <c r="P439" s="132"/>
      <c r="Q439" s="132"/>
      <c r="R439" s="126" t="s">
        <v>93</v>
      </c>
    </row>
    <row r="440" spans="1:18">
      <c r="A440" s="126" t="s">
        <v>94</v>
      </c>
      <c r="B440" s="127">
        <v>0.562500000000001</v>
      </c>
      <c r="C440" s="127">
        <v>0.57291666666666596</v>
      </c>
      <c r="D440" s="132"/>
      <c r="E440" s="132"/>
      <c r="F440" s="132"/>
      <c r="G440" s="132"/>
      <c r="H440" s="126" t="s">
        <v>93</v>
      </c>
      <c r="I440" s="132"/>
      <c r="J440" s="132"/>
      <c r="K440" s="132"/>
      <c r="L440" s="132"/>
      <c r="M440" s="126" t="s">
        <v>93</v>
      </c>
      <c r="N440" s="132"/>
      <c r="O440" s="132"/>
      <c r="P440" s="132"/>
      <c r="Q440" s="132"/>
      <c r="R440" s="126" t="s">
        <v>93</v>
      </c>
    </row>
    <row r="441" spans="1:18">
      <c r="A441" s="126" t="s">
        <v>94</v>
      </c>
      <c r="B441" s="127">
        <v>0.57291666666666696</v>
      </c>
      <c r="C441" s="127">
        <v>0.58333333333333304</v>
      </c>
      <c r="D441" s="132"/>
      <c r="E441" s="132"/>
      <c r="F441" s="132"/>
      <c r="G441" s="132"/>
      <c r="H441" s="126" t="s">
        <v>93</v>
      </c>
      <c r="I441" s="132"/>
      <c r="J441" s="132"/>
      <c r="K441" s="132"/>
      <c r="L441" s="132"/>
      <c r="M441" s="126" t="s">
        <v>93</v>
      </c>
      <c r="N441" s="132"/>
      <c r="O441" s="132"/>
      <c r="P441" s="132"/>
      <c r="Q441" s="132"/>
      <c r="R441" s="126" t="s">
        <v>93</v>
      </c>
    </row>
    <row r="442" spans="1:18">
      <c r="A442" s="126" t="s">
        <v>94</v>
      </c>
      <c r="B442" s="127">
        <v>0.58333333333333404</v>
      </c>
      <c r="C442" s="127">
        <v>0.593749999999999</v>
      </c>
      <c r="D442" s="132"/>
      <c r="E442" s="132"/>
      <c r="F442" s="132"/>
      <c r="G442" s="132"/>
      <c r="H442" s="126" t="s">
        <v>93</v>
      </c>
      <c r="I442" s="132"/>
      <c r="J442" s="132"/>
      <c r="K442" s="132"/>
      <c r="L442" s="132"/>
      <c r="M442" s="126" t="s">
        <v>93</v>
      </c>
      <c r="N442" s="132"/>
      <c r="O442" s="132"/>
      <c r="P442" s="132"/>
      <c r="Q442" s="132"/>
      <c r="R442" s="126" t="s">
        <v>93</v>
      </c>
    </row>
    <row r="443" spans="1:18">
      <c r="A443" s="126" t="s">
        <v>94</v>
      </c>
      <c r="B443" s="127">
        <v>0.593750000000001</v>
      </c>
      <c r="C443" s="127">
        <v>0.60416666666666596</v>
      </c>
      <c r="D443" s="132"/>
      <c r="E443" s="132"/>
      <c r="F443" s="132"/>
      <c r="G443" s="132"/>
      <c r="H443" s="126" t="s">
        <v>93</v>
      </c>
      <c r="I443" s="132"/>
      <c r="J443" s="132"/>
      <c r="K443" s="132"/>
      <c r="L443" s="132"/>
      <c r="M443" s="126" t="s">
        <v>93</v>
      </c>
      <c r="N443" s="132"/>
      <c r="O443" s="132"/>
      <c r="P443" s="132"/>
      <c r="Q443" s="132"/>
      <c r="R443" s="126" t="s">
        <v>93</v>
      </c>
    </row>
    <row r="444" spans="1:18">
      <c r="A444" s="126" t="s">
        <v>94</v>
      </c>
      <c r="B444" s="127">
        <v>0.60416666666666796</v>
      </c>
      <c r="C444" s="127">
        <v>0.61458333333333304</v>
      </c>
      <c r="D444" s="132"/>
      <c r="E444" s="132"/>
      <c r="F444" s="132"/>
      <c r="G444" s="132"/>
      <c r="H444" s="126" t="s">
        <v>93</v>
      </c>
      <c r="I444" s="132"/>
      <c r="J444" s="132"/>
      <c r="K444" s="132"/>
      <c r="L444" s="132"/>
      <c r="M444" s="126" t="s">
        <v>93</v>
      </c>
      <c r="N444" s="132"/>
      <c r="O444" s="132"/>
      <c r="P444" s="132"/>
      <c r="Q444" s="132"/>
      <c r="R444" s="126" t="s">
        <v>93</v>
      </c>
    </row>
    <row r="445" spans="1:18">
      <c r="A445" s="126" t="s">
        <v>94</v>
      </c>
      <c r="B445" s="127">
        <v>0.61458333333333504</v>
      </c>
      <c r="C445" s="127">
        <v>0.625</v>
      </c>
      <c r="D445" s="132"/>
      <c r="E445" s="132"/>
      <c r="F445" s="132"/>
      <c r="G445" s="132"/>
      <c r="H445" s="126" t="s">
        <v>93</v>
      </c>
      <c r="I445" s="132"/>
      <c r="J445" s="132"/>
      <c r="K445" s="132"/>
      <c r="L445" s="132"/>
      <c r="M445" s="126" t="s">
        <v>93</v>
      </c>
      <c r="N445" s="132"/>
      <c r="O445" s="132"/>
      <c r="P445" s="132"/>
      <c r="Q445" s="132"/>
      <c r="R445" s="126" t="s">
        <v>93</v>
      </c>
    </row>
    <row r="446" spans="1:18">
      <c r="A446" s="126" t="s">
        <v>94</v>
      </c>
      <c r="B446" s="127">
        <v>0.625000000000002</v>
      </c>
      <c r="C446" s="127">
        <v>0.63541666666666696</v>
      </c>
      <c r="D446" s="132"/>
      <c r="E446" s="132"/>
      <c r="F446" s="132"/>
      <c r="G446" s="132"/>
      <c r="H446" s="126" t="s">
        <v>93</v>
      </c>
      <c r="I446" s="132"/>
      <c r="J446" s="132"/>
      <c r="K446" s="132"/>
      <c r="L446" s="132"/>
      <c r="M446" s="126" t="s">
        <v>93</v>
      </c>
      <c r="N446" s="132"/>
      <c r="O446" s="132"/>
      <c r="P446" s="132"/>
      <c r="Q446" s="132"/>
      <c r="R446" s="126" t="s">
        <v>93</v>
      </c>
    </row>
    <row r="447" spans="1:18">
      <c r="A447" s="126" t="s">
        <v>94</v>
      </c>
      <c r="B447" s="127">
        <v>0.63541666666666896</v>
      </c>
      <c r="C447" s="127">
        <v>0.64583333333333404</v>
      </c>
      <c r="D447" s="132"/>
      <c r="E447" s="132"/>
      <c r="F447" s="132"/>
      <c r="G447" s="132"/>
      <c r="H447" s="126" t="s">
        <v>93</v>
      </c>
      <c r="I447" s="132"/>
      <c r="J447" s="132"/>
      <c r="K447" s="132"/>
      <c r="L447" s="132"/>
      <c r="M447" s="126" t="s">
        <v>93</v>
      </c>
      <c r="N447" s="132"/>
      <c r="O447" s="132"/>
      <c r="P447" s="132"/>
      <c r="Q447" s="132"/>
      <c r="R447" s="126" t="s">
        <v>93</v>
      </c>
    </row>
    <row r="448" spans="1:18">
      <c r="A448" s="126" t="s">
        <v>94</v>
      </c>
      <c r="B448" s="127">
        <v>0.64583333333333603</v>
      </c>
      <c r="C448" s="127">
        <v>0.656250000000001</v>
      </c>
      <c r="D448" s="132"/>
      <c r="E448" s="132"/>
      <c r="F448" s="132"/>
      <c r="G448" s="132"/>
      <c r="H448" s="126" t="s">
        <v>93</v>
      </c>
      <c r="I448" s="132"/>
      <c r="J448" s="132"/>
      <c r="K448" s="132"/>
      <c r="L448" s="132"/>
      <c r="M448" s="126" t="s">
        <v>93</v>
      </c>
      <c r="N448" s="132"/>
      <c r="O448" s="132"/>
      <c r="P448" s="132"/>
      <c r="Q448" s="132"/>
      <c r="R448" s="126" t="s">
        <v>93</v>
      </c>
    </row>
    <row r="449" spans="1:18">
      <c r="A449" s="126" t="s">
        <v>94</v>
      </c>
      <c r="B449" s="127">
        <v>0.656250000000003</v>
      </c>
      <c r="C449" s="127">
        <v>0.66666666666666796</v>
      </c>
      <c r="D449" s="132"/>
      <c r="E449" s="132"/>
      <c r="F449" s="132"/>
      <c r="G449" s="132"/>
      <c r="H449" s="126" t="s">
        <v>93</v>
      </c>
      <c r="I449" s="132"/>
      <c r="J449" s="132"/>
      <c r="K449" s="132"/>
      <c r="L449" s="132"/>
      <c r="M449" s="126" t="s">
        <v>93</v>
      </c>
      <c r="N449" s="132"/>
      <c r="O449" s="132"/>
      <c r="P449" s="132"/>
      <c r="Q449" s="132"/>
      <c r="R449" s="126" t="s">
        <v>93</v>
      </c>
    </row>
    <row r="450" spans="1:18">
      <c r="A450" s="126" t="s">
        <v>94</v>
      </c>
      <c r="B450" s="127">
        <v>0.66666666666666996</v>
      </c>
      <c r="C450" s="127">
        <v>0.67708333333333504</v>
      </c>
      <c r="D450" s="132"/>
      <c r="E450" s="132"/>
      <c r="F450" s="132"/>
      <c r="G450" s="132"/>
      <c r="H450" s="126" t="s">
        <v>93</v>
      </c>
      <c r="I450" s="132"/>
      <c r="J450" s="132"/>
      <c r="K450" s="132"/>
      <c r="L450" s="132"/>
      <c r="M450" s="126" t="s">
        <v>93</v>
      </c>
      <c r="N450" s="132"/>
      <c r="O450" s="132"/>
      <c r="P450" s="132"/>
      <c r="Q450" s="132"/>
      <c r="R450" s="126" t="s">
        <v>93</v>
      </c>
    </row>
    <row r="451" spans="1:18">
      <c r="A451" s="126" t="s">
        <v>94</v>
      </c>
      <c r="B451" s="127">
        <v>0.67708333333333703</v>
      </c>
      <c r="C451" s="127">
        <v>0.687500000000002</v>
      </c>
      <c r="D451" s="132"/>
      <c r="E451" s="132"/>
      <c r="F451" s="132"/>
      <c r="G451" s="132"/>
      <c r="H451" s="126" t="s">
        <v>93</v>
      </c>
      <c r="I451" s="132"/>
      <c r="J451" s="132"/>
      <c r="K451" s="132"/>
      <c r="L451" s="132"/>
      <c r="M451" s="126" t="s">
        <v>93</v>
      </c>
      <c r="N451" s="132"/>
      <c r="O451" s="132"/>
      <c r="P451" s="132"/>
      <c r="Q451" s="132"/>
      <c r="R451" s="126" t="s">
        <v>93</v>
      </c>
    </row>
    <row r="452" spans="1:18">
      <c r="A452" s="126" t="s">
        <v>94</v>
      </c>
      <c r="B452" s="127">
        <v>0.687500000000004</v>
      </c>
      <c r="C452" s="127">
        <v>0.69791666666666896</v>
      </c>
      <c r="D452" s="132"/>
      <c r="E452" s="132"/>
      <c r="F452" s="132"/>
      <c r="G452" s="132"/>
      <c r="H452" s="126" t="s">
        <v>93</v>
      </c>
      <c r="I452" s="132"/>
      <c r="J452" s="132"/>
      <c r="K452" s="132"/>
      <c r="L452" s="132"/>
      <c r="M452" s="126" t="s">
        <v>93</v>
      </c>
      <c r="N452" s="132"/>
      <c r="O452" s="132"/>
      <c r="P452" s="132"/>
      <c r="Q452" s="132"/>
      <c r="R452" s="126" t="s">
        <v>93</v>
      </c>
    </row>
    <row r="453" spans="1:18">
      <c r="A453" s="126" t="s">
        <v>94</v>
      </c>
      <c r="B453" s="127">
        <v>0.69791666666667096</v>
      </c>
      <c r="C453" s="127">
        <v>0.70833333333333603</v>
      </c>
      <c r="D453" s="132"/>
      <c r="E453" s="132"/>
      <c r="F453" s="132"/>
      <c r="G453" s="132"/>
      <c r="H453" s="126" t="s">
        <v>93</v>
      </c>
      <c r="I453" s="132"/>
      <c r="J453" s="132"/>
      <c r="K453" s="132"/>
      <c r="L453" s="132"/>
      <c r="M453" s="126" t="s">
        <v>93</v>
      </c>
      <c r="N453" s="132"/>
      <c r="O453" s="132"/>
      <c r="P453" s="132"/>
      <c r="Q453" s="132"/>
      <c r="R453" s="126" t="s">
        <v>93</v>
      </c>
    </row>
    <row r="454" spans="1:18">
      <c r="A454" s="126" t="s">
        <v>94</v>
      </c>
      <c r="B454" s="127">
        <v>0.70833333333333803</v>
      </c>
      <c r="C454" s="127">
        <v>0.718750000000003</v>
      </c>
      <c r="D454" s="132"/>
      <c r="E454" s="132"/>
      <c r="F454" s="132"/>
      <c r="G454" s="132"/>
      <c r="H454" s="126" t="s">
        <v>93</v>
      </c>
      <c r="I454" s="132"/>
      <c r="J454" s="132"/>
      <c r="K454" s="132"/>
      <c r="L454" s="132"/>
      <c r="M454" s="126" t="s">
        <v>93</v>
      </c>
      <c r="N454" s="132"/>
      <c r="O454" s="132"/>
      <c r="P454" s="132"/>
      <c r="Q454" s="132"/>
      <c r="R454" s="126" t="s">
        <v>93</v>
      </c>
    </row>
    <row r="455" spans="1:18">
      <c r="A455" s="126" t="s">
        <v>94</v>
      </c>
      <c r="B455" s="127">
        <v>0.718750000000005</v>
      </c>
      <c r="C455" s="127">
        <v>0.72916666666666996</v>
      </c>
      <c r="D455" s="132"/>
      <c r="E455" s="132"/>
      <c r="F455" s="132"/>
      <c r="G455" s="132"/>
      <c r="H455" s="126" t="s">
        <v>93</v>
      </c>
      <c r="I455" s="132"/>
      <c r="J455" s="132"/>
      <c r="K455" s="132"/>
      <c r="L455" s="132"/>
      <c r="M455" s="126" t="s">
        <v>93</v>
      </c>
      <c r="N455" s="132"/>
      <c r="O455" s="132"/>
      <c r="P455" s="132"/>
      <c r="Q455" s="132"/>
      <c r="R455" s="126" t="s">
        <v>93</v>
      </c>
    </row>
    <row r="456" spans="1:18">
      <c r="A456" s="126" t="s">
        <v>94</v>
      </c>
      <c r="B456" s="127">
        <v>0.72916666666667096</v>
      </c>
      <c r="C456" s="127">
        <v>0.73958333333333603</v>
      </c>
      <c r="D456" s="132"/>
      <c r="E456" s="132"/>
      <c r="F456" s="132"/>
      <c r="G456" s="132"/>
      <c r="H456" s="126" t="s">
        <v>93</v>
      </c>
      <c r="I456" s="132"/>
      <c r="J456" s="132"/>
      <c r="K456" s="132"/>
      <c r="L456" s="132"/>
      <c r="M456" s="126" t="s">
        <v>93</v>
      </c>
      <c r="N456" s="132"/>
      <c r="O456" s="132"/>
      <c r="P456" s="132"/>
      <c r="Q456" s="132"/>
      <c r="R456" s="126" t="s">
        <v>93</v>
      </c>
    </row>
    <row r="457" spans="1:18">
      <c r="A457" s="126" t="s">
        <v>94</v>
      </c>
      <c r="B457" s="127">
        <v>0.73958333333333803</v>
      </c>
      <c r="C457" s="127">
        <v>0.750000000000003</v>
      </c>
      <c r="D457" s="132"/>
      <c r="E457" s="132"/>
      <c r="F457" s="132"/>
      <c r="G457" s="132"/>
      <c r="H457" s="126" t="s">
        <v>93</v>
      </c>
      <c r="I457" s="132"/>
      <c r="J457" s="132"/>
      <c r="K457" s="132"/>
      <c r="L457" s="132"/>
      <c r="M457" s="126" t="s">
        <v>93</v>
      </c>
      <c r="N457" s="132"/>
      <c r="O457" s="132"/>
      <c r="P457" s="132"/>
      <c r="Q457" s="132"/>
      <c r="R457" s="126" t="s">
        <v>93</v>
      </c>
    </row>
    <row r="458" spans="1:18">
      <c r="A458" s="126" t="s">
        <v>94</v>
      </c>
      <c r="B458" s="127">
        <v>0.750000000000005</v>
      </c>
      <c r="C458" s="127">
        <v>0.76041666666666996</v>
      </c>
      <c r="D458" s="132"/>
      <c r="E458" s="132"/>
      <c r="F458" s="132"/>
      <c r="G458" s="132"/>
      <c r="H458" s="126" t="s">
        <v>93</v>
      </c>
      <c r="I458" s="132"/>
      <c r="J458" s="132"/>
      <c r="K458" s="132"/>
      <c r="L458" s="132"/>
      <c r="M458" s="126" t="s">
        <v>93</v>
      </c>
      <c r="N458" s="132"/>
      <c r="O458" s="132"/>
      <c r="P458" s="132"/>
      <c r="Q458" s="132"/>
      <c r="R458" s="126" t="s">
        <v>93</v>
      </c>
    </row>
    <row r="459" spans="1:18">
      <c r="A459" s="126" t="s">
        <v>94</v>
      </c>
      <c r="B459" s="127">
        <v>0.76041666666667196</v>
      </c>
      <c r="C459" s="127">
        <v>0.77083333333333703</v>
      </c>
      <c r="D459" s="132"/>
      <c r="E459" s="132"/>
      <c r="F459" s="132"/>
      <c r="G459" s="132"/>
      <c r="H459" s="126" t="s">
        <v>93</v>
      </c>
      <c r="I459" s="132"/>
      <c r="J459" s="132"/>
      <c r="K459" s="132"/>
      <c r="L459" s="132"/>
      <c r="M459" s="126" t="s">
        <v>93</v>
      </c>
      <c r="N459" s="132"/>
      <c r="O459" s="132"/>
      <c r="P459" s="132"/>
      <c r="Q459" s="132"/>
      <c r="R459" s="126" t="s">
        <v>93</v>
      </c>
    </row>
    <row r="460" spans="1:18">
      <c r="A460" s="126" t="s">
        <v>94</v>
      </c>
      <c r="B460" s="127">
        <v>0.77083333333333903</v>
      </c>
      <c r="C460" s="127">
        <v>0.781250000000004</v>
      </c>
      <c r="D460" s="132"/>
      <c r="E460" s="132"/>
      <c r="F460" s="132"/>
      <c r="G460" s="132"/>
      <c r="H460" s="126" t="s">
        <v>93</v>
      </c>
      <c r="I460" s="132"/>
      <c r="J460" s="132"/>
      <c r="K460" s="132"/>
      <c r="L460" s="132"/>
      <c r="M460" s="126" t="s">
        <v>93</v>
      </c>
      <c r="N460" s="132"/>
      <c r="O460" s="132"/>
      <c r="P460" s="132"/>
      <c r="Q460" s="132"/>
      <c r="R460" s="126" t="s">
        <v>93</v>
      </c>
    </row>
    <row r="461" spans="1:18">
      <c r="A461" s="126" t="s">
        <v>94</v>
      </c>
      <c r="B461" s="127">
        <v>0.781250000000006</v>
      </c>
      <c r="C461" s="127">
        <v>0.79166666666667096</v>
      </c>
      <c r="D461" s="132"/>
      <c r="E461" s="132"/>
      <c r="F461" s="132"/>
      <c r="G461" s="132"/>
      <c r="H461" s="126" t="s">
        <v>93</v>
      </c>
      <c r="I461" s="132"/>
      <c r="J461" s="132"/>
      <c r="K461" s="132"/>
      <c r="L461" s="132"/>
      <c r="M461" s="126" t="s">
        <v>93</v>
      </c>
      <c r="N461" s="132"/>
      <c r="O461" s="132"/>
      <c r="P461" s="132"/>
      <c r="Q461" s="132"/>
      <c r="R461" s="126" t="s">
        <v>93</v>
      </c>
    </row>
    <row r="462" spans="1:18">
      <c r="A462" s="126" t="s">
        <v>94</v>
      </c>
      <c r="B462" s="127">
        <v>0.79166666666667296</v>
      </c>
      <c r="C462" s="127">
        <v>0.80208333333333803</v>
      </c>
      <c r="D462" s="132"/>
      <c r="E462" s="132"/>
      <c r="F462" s="132"/>
      <c r="G462" s="132"/>
      <c r="H462" s="126" t="s">
        <v>93</v>
      </c>
      <c r="I462" s="132"/>
      <c r="J462" s="132"/>
      <c r="K462" s="132"/>
      <c r="L462" s="132"/>
      <c r="M462" s="126" t="s">
        <v>93</v>
      </c>
      <c r="N462" s="132"/>
      <c r="O462" s="132"/>
      <c r="P462" s="132"/>
      <c r="Q462" s="132"/>
      <c r="R462" s="126" t="s">
        <v>93</v>
      </c>
    </row>
    <row r="463" spans="1:18">
      <c r="A463" s="126" t="s">
        <v>94</v>
      </c>
      <c r="B463" s="127">
        <v>0.80208333333334003</v>
      </c>
      <c r="C463" s="127">
        <v>0.812500000000005</v>
      </c>
      <c r="D463" s="132"/>
      <c r="E463" s="132"/>
      <c r="F463" s="132"/>
      <c r="G463" s="132"/>
      <c r="H463" s="126" t="s">
        <v>93</v>
      </c>
      <c r="I463" s="132"/>
      <c r="J463" s="132"/>
      <c r="K463" s="132"/>
      <c r="L463" s="132"/>
      <c r="M463" s="126" t="s">
        <v>93</v>
      </c>
      <c r="N463" s="132"/>
      <c r="O463" s="132"/>
      <c r="P463" s="132"/>
      <c r="Q463" s="132"/>
      <c r="R463" s="126" t="s">
        <v>93</v>
      </c>
    </row>
    <row r="464" spans="1:18">
      <c r="A464" s="126" t="s">
        <v>94</v>
      </c>
      <c r="B464" s="127">
        <v>0.81250000000000699</v>
      </c>
      <c r="C464" s="127">
        <v>0.82291666666667196</v>
      </c>
      <c r="D464" s="132"/>
      <c r="E464" s="132"/>
      <c r="F464" s="132"/>
      <c r="G464" s="132"/>
      <c r="H464" s="126" t="s">
        <v>93</v>
      </c>
      <c r="I464" s="132"/>
      <c r="J464" s="132"/>
      <c r="K464" s="132"/>
      <c r="L464" s="132"/>
      <c r="M464" s="126" t="s">
        <v>93</v>
      </c>
      <c r="N464" s="132"/>
      <c r="O464" s="132"/>
      <c r="P464" s="132"/>
      <c r="Q464" s="132"/>
      <c r="R464" s="126" t="s">
        <v>93</v>
      </c>
    </row>
    <row r="465" spans="1:18">
      <c r="A465" s="126" t="s">
        <v>94</v>
      </c>
      <c r="B465" s="127">
        <v>0.82291666666667396</v>
      </c>
      <c r="C465" s="127">
        <v>0.83333333333333903</v>
      </c>
      <c r="D465" s="132"/>
      <c r="E465" s="132"/>
      <c r="F465" s="132"/>
      <c r="G465" s="132"/>
      <c r="H465" s="126" t="s">
        <v>93</v>
      </c>
      <c r="I465" s="132"/>
      <c r="J465" s="132"/>
      <c r="K465" s="132"/>
      <c r="L465" s="132"/>
      <c r="M465" s="126" t="s">
        <v>93</v>
      </c>
      <c r="N465" s="132"/>
      <c r="O465" s="132"/>
      <c r="P465" s="132"/>
      <c r="Q465" s="132"/>
      <c r="R465" s="126" t="s">
        <v>93</v>
      </c>
    </row>
    <row r="466" spans="1:18">
      <c r="A466" s="126" t="s">
        <v>94</v>
      </c>
      <c r="B466" s="127">
        <v>0.83333333333334103</v>
      </c>
      <c r="C466" s="127">
        <v>0.843750000000006</v>
      </c>
      <c r="D466" s="132"/>
      <c r="E466" s="132"/>
      <c r="F466" s="132"/>
      <c r="G466" s="132"/>
      <c r="H466" s="126" t="s">
        <v>93</v>
      </c>
      <c r="I466" s="132"/>
      <c r="J466" s="132"/>
      <c r="K466" s="132"/>
      <c r="L466" s="132"/>
      <c r="M466" s="126" t="s">
        <v>93</v>
      </c>
      <c r="N466" s="132"/>
      <c r="O466" s="132"/>
      <c r="P466" s="132"/>
      <c r="Q466" s="132"/>
      <c r="R466" s="126" t="s">
        <v>93</v>
      </c>
    </row>
    <row r="467" spans="1:18">
      <c r="A467" s="126" t="s">
        <v>94</v>
      </c>
      <c r="B467" s="127">
        <v>0.84375000000000799</v>
      </c>
      <c r="C467" s="127">
        <v>0.85416666666667296</v>
      </c>
      <c r="D467" s="132"/>
      <c r="E467" s="132"/>
      <c r="F467" s="132"/>
      <c r="G467" s="132"/>
      <c r="H467" s="126" t="s">
        <v>93</v>
      </c>
      <c r="I467" s="132"/>
      <c r="J467" s="132"/>
      <c r="K467" s="132"/>
      <c r="L467" s="132"/>
      <c r="M467" s="126" t="s">
        <v>93</v>
      </c>
      <c r="N467" s="132"/>
      <c r="O467" s="132"/>
      <c r="P467" s="132"/>
      <c r="Q467" s="132"/>
      <c r="R467" s="126" t="s">
        <v>93</v>
      </c>
    </row>
    <row r="468" spans="1:18">
      <c r="A468" s="126" t="s">
        <v>94</v>
      </c>
      <c r="B468" s="127">
        <v>0.85416666666667496</v>
      </c>
      <c r="C468" s="127">
        <v>0.86458333333334003</v>
      </c>
      <c r="D468" s="132"/>
      <c r="E468" s="132"/>
      <c r="F468" s="132"/>
      <c r="G468" s="132"/>
      <c r="H468" s="126" t="s">
        <v>93</v>
      </c>
      <c r="I468" s="132"/>
      <c r="J468" s="132"/>
      <c r="K468" s="132"/>
      <c r="L468" s="132"/>
      <c r="M468" s="126" t="s">
        <v>93</v>
      </c>
      <c r="N468" s="132"/>
      <c r="O468" s="132"/>
      <c r="P468" s="132"/>
      <c r="Q468" s="132"/>
      <c r="R468" s="126" t="s">
        <v>93</v>
      </c>
    </row>
    <row r="469" spans="1:18">
      <c r="A469" s="126" t="s">
        <v>94</v>
      </c>
      <c r="B469" s="127">
        <v>0.86458333333334203</v>
      </c>
      <c r="C469" s="127">
        <v>0.87500000000000699</v>
      </c>
      <c r="D469" s="132"/>
      <c r="E469" s="132"/>
      <c r="F469" s="132"/>
      <c r="G469" s="132"/>
      <c r="H469" s="126" t="s">
        <v>93</v>
      </c>
      <c r="I469" s="132"/>
      <c r="J469" s="132"/>
      <c r="K469" s="132"/>
      <c r="L469" s="132"/>
      <c r="M469" s="126" t="s">
        <v>93</v>
      </c>
      <c r="N469" s="132"/>
      <c r="O469" s="132"/>
      <c r="P469" s="132"/>
      <c r="Q469" s="132"/>
      <c r="R469" s="126" t="s">
        <v>93</v>
      </c>
    </row>
    <row r="470" spans="1:18">
      <c r="A470" s="126" t="s">
        <v>94</v>
      </c>
      <c r="B470" s="127">
        <v>0.87500000000000899</v>
      </c>
      <c r="C470" s="127">
        <v>0.88541666666667396</v>
      </c>
      <c r="D470" s="132"/>
      <c r="E470" s="132"/>
      <c r="F470" s="132"/>
      <c r="G470" s="132"/>
      <c r="H470" s="126" t="s">
        <v>93</v>
      </c>
      <c r="I470" s="132"/>
      <c r="J470" s="132"/>
      <c r="K470" s="132"/>
      <c r="L470" s="132"/>
      <c r="M470" s="126" t="s">
        <v>93</v>
      </c>
      <c r="N470" s="132"/>
      <c r="O470" s="132"/>
      <c r="P470" s="132"/>
      <c r="Q470" s="132"/>
      <c r="R470" s="126" t="s">
        <v>93</v>
      </c>
    </row>
    <row r="471" spans="1:18">
      <c r="A471" s="126" t="s">
        <v>94</v>
      </c>
      <c r="B471" s="127">
        <v>0.88541666666667596</v>
      </c>
      <c r="C471" s="127">
        <v>0.89583333333334103</v>
      </c>
      <c r="D471" s="132"/>
      <c r="E471" s="132"/>
      <c r="F471" s="132"/>
      <c r="G471" s="132"/>
      <c r="H471" s="126" t="s">
        <v>93</v>
      </c>
      <c r="I471" s="132"/>
      <c r="J471" s="132"/>
      <c r="K471" s="132"/>
      <c r="L471" s="132"/>
      <c r="M471" s="126" t="s">
        <v>93</v>
      </c>
      <c r="N471" s="132"/>
      <c r="O471" s="132"/>
      <c r="P471" s="132"/>
      <c r="Q471" s="132"/>
      <c r="R471" s="126" t="s">
        <v>93</v>
      </c>
    </row>
    <row r="472" spans="1:18">
      <c r="A472" s="126" t="s">
        <v>94</v>
      </c>
      <c r="B472" s="127">
        <v>0.89583333333334303</v>
      </c>
      <c r="C472" s="127">
        <v>0.90625000000000799</v>
      </c>
      <c r="D472" s="132"/>
      <c r="E472" s="132"/>
      <c r="F472" s="132"/>
      <c r="G472" s="132"/>
      <c r="H472" s="126" t="s">
        <v>93</v>
      </c>
      <c r="I472" s="132"/>
      <c r="J472" s="132"/>
      <c r="K472" s="132"/>
      <c r="L472" s="132"/>
      <c r="M472" s="126" t="s">
        <v>93</v>
      </c>
      <c r="N472" s="132"/>
      <c r="O472" s="132"/>
      <c r="P472" s="132"/>
      <c r="Q472" s="132"/>
      <c r="R472" s="126" t="s">
        <v>93</v>
      </c>
    </row>
    <row r="473" spans="1:18">
      <c r="A473" s="126" t="s">
        <v>94</v>
      </c>
      <c r="B473" s="127">
        <v>0.90625000000000999</v>
      </c>
      <c r="C473" s="127">
        <v>0.91666666666667496</v>
      </c>
      <c r="D473" s="132"/>
      <c r="E473" s="132"/>
      <c r="F473" s="132"/>
      <c r="G473" s="132"/>
      <c r="H473" s="126" t="s">
        <v>93</v>
      </c>
      <c r="I473" s="132"/>
      <c r="J473" s="132"/>
      <c r="K473" s="132"/>
      <c r="L473" s="132"/>
      <c r="M473" s="126" t="s">
        <v>93</v>
      </c>
      <c r="N473" s="132"/>
      <c r="O473" s="132"/>
      <c r="P473" s="132"/>
      <c r="Q473" s="132"/>
      <c r="R473" s="126" t="s">
        <v>93</v>
      </c>
    </row>
    <row r="474" spans="1:18">
      <c r="A474" s="126" t="s">
        <v>94</v>
      </c>
      <c r="B474" s="127">
        <v>0.91666666666666663</v>
      </c>
      <c r="C474" s="127">
        <v>0.92708333333333215</v>
      </c>
      <c r="D474" s="132"/>
      <c r="E474" s="132"/>
      <c r="F474" s="132"/>
      <c r="G474" s="132"/>
      <c r="H474" s="126" t="s">
        <v>93</v>
      </c>
      <c r="I474" s="132"/>
      <c r="J474" s="132"/>
      <c r="K474" s="132"/>
      <c r="L474" s="132"/>
      <c r="M474" s="126" t="s">
        <v>93</v>
      </c>
      <c r="N474" s="132"/>
      <c r="O474" s="132"/>
      <c r="P474" s="132"/>
      <c r="Q474" s="132"/>
      <c r="R474" s="126" t="s">
        <v>93</v>
      </c>
    </row>
    <row r="475" spans="1:18">
      <c r="A475" s="126" t="s">
        <v>94</v>
      </c>
      <c r="B475" s="127">
        <v>0.92708333333333337</v>
      </c>
      <c r="C475" s="127">
        <v>0.93749999999999878</v>
      </c>
      <c r="D475" s="132"/>
      <c r="E475" s="132"/>
      <c r="F475" s="132"/>
      <c r="G475" s="132"/>
      <c r="H475" s="126" t="s">
        <v>93</v>
      </c>
      <c r="I475" s="132"/>
      <c r="J475" s="132"/>
      <c r="K475" s="132"/>
      <c r="L475" s="132"/>
      <c r="M475" s="126" t="s">
        <v>93</v>
      </c>
      <c r="N475" s="132"/>
      <c r="O475" s="132"/>
      <c r="P475" s="132"/>
      <c r="Q475" s="132"/>
      <c r="R475" s="126" t="s">
        <v>93</v>
      </c>
    </row>
    <row r="476" spans="1:18">
      <c r="A476" s="126" t="s">
        <v>94</v>
      </c>
      <c r="B476" s="127">
        <v>0.9375</v>
      </c>
      <c r="C476" s="127">
        <v>0.94791666666666541</v>
      </c>
      <c r="D476" s="132"/>
      <c r="E476" s="132"/>
      <c r="F476" s="132"/>
      <c r="G476" s="132"/>
      <c r="H476" s="126" t="s">
        <v>93</v>
      </c>
      <c r="I476" s="132"/>
      <c r="J476" s="132"/>
      <c r="K476" s="132"/>
      <c r="L476" s="132"/>
      <c r="M476" s="126" t="s">
        <v>93</v>
      </c>
      <c r="N476" s="132"/>
      <c r="O476" s="132"/>
      <c r="P476" s="132"/>
      <c r="Q476" s="132"/>
      <c r="R476" s="126" t="s">
        <v>93</v>
      </c>
    </row>
    <row r="477" spans="1:18">
      <c r="A477" s="126" t="s">
        <v>94</v>
      </c>
      <c r="B477" s="127">
        <v>0.94791666666666663</v>
      </c>
      <c r="C477" s="127">
        <v>0.95833333333333204</v>
      </c>
      <c r="D477" s="132"/>
      <c r="E477" s="132"/>
      <c r="F477" s="132"/>
      <c r="G477" s="132"/>
      <c r="H477" s="126" t="s">
        <v>93</v>
      </c>
      <c r="I477" s="132"/>
      <c r="J477" s="132"/>
      <c r="K477" s="132"/>
      <c r="L477" s="132"/>
      <c r="M477" s="126" t="s">
        <v>93</v>
      </c>
      <c r="N477" s="132"/>
      <c r="O477" s="132"/>
      <c r="P477" s="132"/>
      <c r="Q477" s="132"/>
      <c r="R477" s="126" t="s">
        <v>93</v>
      </c>
    </row>
    <row r="478" spans="1:18">
      <c r="A478" s="126" t="s">
        <v>94</v>
      </c>
      <c r="B478" s="127">
        <v>0.95833333333333337</v>
      </c>
      <c r="C478" s="127">
        <v>0.96874999999999867</v>
      </c>
      <c r="D478" s="132"/>
      <c r="E478" s="132"/>
      <c r="F478" s="132"/>
      <c r="G478" s="132"/>
      <c r="H478" s="126" t="s">
        <v>93</v>
      </c>
      <c r="I478" s="132"/>
      <c r="J478" s="132"/>
      <c r="K478" s="132"/>
      <c r="L478" s="132"/>
      <c r="M478" s="126" t="s">
        <v>93</v>
      </c>
      <c r="N478" s="132"/>
      <c r="O478" s="132"/>
      <c r="P478" s="132"/>
      <c r="Q478" s="132"/>
      <c r="R478" s="126" t="s">
        <v>93</v>
      </c>
    </row>
    <row r="479" spans="1:18">
      <c r="A479" s="126" t="s">
        <v>94</v>
      </c>
      <c r="B479" s="127">
        <v>0.96875</v>
      </c>
      <c r="C479" s="127">
        <v>0.9791666666666653</v>
      </c>
      <c r="D479" s="132"/>
      <c r="E479" s="132"/>
      <c r="F479" s="132"/>
      <c r="G479" s="132"/>
      <c r="H479" s="126" t="s">
        <v>93</v>
      </c>
      <c r="I479" s="132"/>
      <c r="J479" s="132"/>
      <c r="K479" s="132"/>
      <c r="L479" s="132"/>
      <c r="M479" s="126" t="s">
        <v>93</v>
      </c>
      <c r="N479" s="132"/>
      <c r="O479" s="132"/>
      <c r="P479" s="132"/>
      <c r="Q479" s="132"/>
      <c r="R479" s="126" t="s">
        <v>93</v>
      </c>
    </row>
    <row r="480" spans="1:18">
      <c r="A480" s="126" t="s">
        <v>94</v>
      </c>
      <c r="B480" s="127">
        <v>0.97916666666666663</v>
      </c>
      <c r="C480" s="127">
        <v>0.98958333333333193</v>
      </c>
      <c r="D480" s="132"/>
      <c r="E480" s="132"/>
      <c r="F480" s="132"/>
      <c r="G480" s="132"/>
      <c r="H480" s="126" t="s">
        <v>93</v>
      </c>
      <c r="I480" s="132"/>
      <c r="J480" s="132"/>
      <c r="K480" s="132"/>
      <c r="L480" s="132"/>
      <c r="M480" s="126" t="s">
        <v>93</v>
      </c>
      <c r="N480" s="132"/>
      <c r="O480" s="132"/>
      <c r="P480" s="132"/>
      <c r="Q480" s="132"/>
      <c r="R480" s="126" t="s">
        <v>93</v>
      </c>
    </row>
    <row r="481" spans="1:18" s="105" customFormat="1" ht="17.25" thickBot="1">
      <c r="A481" s="129" t="s">
        <v>94</v>
      </c>
      <c r="B481" s="130">
        <v>0.98958333333333337</v>
      </c>
      <c r="C481" s="130" t="s">
        <v>124</v>
      </c>
      <c r="D481" s="133"/>
      <c r="E481" s="133"/>
      <c r="F481" s="133"/>
      <c r="G481" s="133"/>
      <c r="H481" s="129" t="s">
        <v>93</v>
      </c>
      <c r="I481" s="133"/>
      <c r="J481" s="133"/>
      <c r="K481" s="133"/>
      <c r="L481" s="133"/>
      <c r="M481" s="129" t="s">
        <v>93</v>
      </c>
      <c r="N481" s="133"/>
      <c r="O481" s="133"/>
      <c r="P481" s="133"/>
      <c r="Q481" s="133"/>
      <c r="R481" s="129" t="s">
        <v>93</v>
      </c>
    </row>
    <row r="482" spans="1:18" ht="17.25" thickTop="1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30"/>
  <sheetViews>
    <sheetView workbookViewId="0">
      <selection activeCell="M6" sqref="M6"/>
    </sheetView>
  </sheetViews>
  <sheetFormatPr defaultColWidth="9" defaultRowHeight="16.5"/>
  <cols>
    <col min="1" max="1" width="16.125" style="34" bestFit="1" customWidth="1"/>
    <col min="2" max="2" width="9.875" style="34" customWidth="1"/>
    <col min="3" max="9" width="8.625" style="34" customWidth="1"/>
    <col min="10" max="10" width="9" style="34"/>
    <col min="11" max="16384" width="9" style="33"/>
  </cols>
  <sheetData>
    <row r="1" spans="1:18">
      <c r="A1" s="25" t="s">
        <v>125</v>
      </c>
      <c r="B1" s="151"/>
      <c r="G1" s="152" t="s">
        <v>30</v>
      </c>
      <c r="H1" s="153"/>
      <c r="I1" s="154">
        <f>E15</f>
        <v>0</v>
      </c>
      <c r="J1" s="155">
        <f>F15</f>
        <v>0</v>
      </c>
      <c r="K1" s="156"/>
      <c r="L1" s="157" t="s">
        <v>13</v>
      </c>
      <c r="M1" s="32"/>
      <c r="P1" s="49"/>
      <c r="Q1" s="49"/>
    </row>
    <row r="2" spans="1:18">
      <c r="A2" s="25" t="s">
        <v>126</v>
      </c>
      <c r="B2" s="158"/>
      <c r="G2" s="153"/>
      <c r="H2" s="159"/>
      <c r="I2" s="160" t="s">
        <v>101</v>
      </c>
      <c r="J2" s="160" t="s">
        <v>96</v>
      </c>
      <c r="K2" s="156"/>
      <c r="L2" s="157" t="s">
        <v>19</v>
      </c>
      <c r="M2" s="32"/>
      <c r="P2" s="49"/>
      <c r="Q2" s="49"/>
      <c r="R2" s="49"/>
    </row>
    <row r="3" spans="1:18">
      <c r="G3" s="153"/>
      <c r="H3" s="161"/>
      <c r="I3" s="160"/>
      <c r="J3" s="160"/>
      <c r="K3" s="162"/>
      <c r="L3" s="156"/>
      <c r="P3" s="49"/>
      <c r="Q3" s="49"/>
      <c r="R3" s="49"/>
    </row>
    <row r="4" spans="1:18">
      <c r="A4" s="25" t="s">
        <v>77</v>
      </c>
      <c r="B4" s="163"/>
      <c r="C4" s="26"/>
      <c r="D4" s="26"/>
      <c r="G4" s="153"/>
      <c r="H4" s="164"/>
      <c r="I4" s="159"/>
      <c r="J4" s="159"/>
      <c r="K4" s="165"/>
      <c r="L4" s="156"/>
      <c r="R4" s="49"/>
    </row>
    <row r="5" spans="1:18">
      <c r="A5" s="25" t="s">
        <v>95</v>
      </c>
      <c r="B5" s="166"/>
      <c r="C5" s="27"/>
      <c r="D5" s="27"/>
      <c r="G5" s="167">
        <f>D15</f>
        <v>0</v>
      </c>
      <c r="H5" s="168" t="s">
        <v>118</v>
      </c>
      <c r="I5" s="159"/>
      <c r="J5" s="161"/>
      <c r="K5" s="168" t="s">
        <v>117</v>
      </c>
      <c r="L5" s="167">
        <f>B15</f>
        <v>0</v>
      </c>
      <c r="M5" s="101"/>
      <c r="R5" s="49"/>
    </row>
    <row r="6" spans="1:18">
      <c r="A6" s="25" t="s">
        <v>50</v>
      </c>
      <c r="B6" s="163"/>
      <c r="C6" s="26"/>
      <c r="D6" s="26"/>
      <c r="G6" s="153"/>
      <c r="H6" s="169"/>
      <c r="I6" s="159"/>
      <c r="J6" s="159"/>
      <c r="K6" s="170"/>
      <c r="L6" s="156"/>
    </row>
    <row r="7" spans="1:18">
      <c r="A7" s="25"/>
      <c r="B7" s="26"/>
      <c r="C7" s="26"/>
      <c r="D7" s="26"/>
      <c r="G7" s="153"/>
      <c r="H7" s="161"/>
      <c r="I7" s="171"/>
      <c r="J7" s="172"/>
      <c r="K7" s="162"/>
      <c r="L7" s="156"/>
    </row>
    <row r="8" spans="1:18">
      <c r="A8" s="25" t="s">
        <v>51</v>
      </c>
      <c r="B8" s="173" t="s">
        <v>127</v>
      </c>
      <c r="C8" s="27"/>
      <c r="D8" s="30"/>
      <c r="G8" s="153"/>
      <c r="H8" s="159"/>
      <c r="I8" s="174" t="s">
        <v>119</v>
      </c>
      <c r="J8" s="175"/>
      <c r="K8" s="162"/>
      <c r="L8" s="156"/>
    </row>
    <row r="9" spans="1:18">
      <c r="A9" s="25" t="s">
        <v>73</v>
      </c>
      <c r="B9" s="176"/>
      <c r="C9" s="26"/>
      <c r="D9" s="30"/>
      <c r="F9" s="33"/>
      <c r="G9" s="153"/>
      <c r="H9" s="153"/>
      <c r="I9" s="167">
        <f>C15</f>
        <v>0</v>
      </c>
      <c r="J9" s="167">
        <f>C15</f>
        <v>0</v>
      </c>
      <c r="K9" s="162"/>
      <c r="L9" s="156"/>
    </row>
    <row r="10" spans="1:18">
      <c r="A10" s="25" t="s">
        <v>72</v>
      </c>
      <c r="B10" s="176"/>
      <c r="C10" s="26"/>
      <c r="D10" s="30"/>
      <c r="F10" s="33"/>
      <c r="G10" s="33"/>
      <c r="H10" s="33"/>
      <c r="I10" s="29"/>
      <c r="J10" s="29"/>
    </row>
    <row r="11" spans="1:18">
      <c r="A11" s="25" t="s">
        <v>47</v>
      </c>
      <c r="B11" s="163"/>
      <c r="C11" s="26"/>
      <c r="D11" s="26"/>
      <c r="F11" s="33"/>
      <c r="G11" s="33"/>
      <c r="H11" s="33"/>
      <c r="I11" s="29"/>
      <c r="J11" s="29"/>
    </row>
    <row r="12" spans="1:18">
      <c r="G12" s="29"/>
      <c r="H12" s="26"/>
      <c r="I12" s="29"/>
      <c r="J12" s="29"/>
    </row>
    <row r="13" spans="1:18">
      <c r="A13" s="25" t="s">
        <v>76</v>
      </c>
      <c r="B13" s="52" t="s">
        <v>128</v>
      </c>
      <c r="C13" s="26"/>
      <c r="D13" s="26"/>
      <c r="E13" s="26"/>
      <c r="F13" s="33"/>
      <c r="G13" s="29"/>
      <c r="H13" s="26"/>
      <c r="I13" s="29"/>
      <c r="J13" s="29"/>
    </row>
    <row r="14" spans="1:18">
      <c r="A14" s="25" t="s">
        <v>74</v>
      </c>
      <c r="B14" s="31" t="s">
        <v>20</v>
      </c>
      <c r="C14" s="31" t="s">
        <v>21</v>
      </c>
      <c r="D14" s="31" t="s">
        <v>22</v>
      </c>
      <c r="E14" s="31" t="s">
        <v>18</v>
      </c>
      <c r="F14" s="31" t="s">
        <v>96</v>
      </c>
      <c r="G14" s="26"/>
      <c r="H14" s="26"/>
      <c r="I14" s="29"/>
      <c r="J14" s="29"/>
    </row>
    <row r="15" spans="1:18">
      <c r="A15" s="25" t="s">
        <v>48</v>
      </c>
      <c r="B15" s="177"/>
      <c r="C15" s="177"/>
      <c r="D15" s="177"/>
      <c r="E15" s="177"/>
      <c r="F15" s="177"/>
      <c r="G15" s="26"/>
      <c r="H15" s="26"/>
      <c r="I15" s="29"/>
      <c r="J15" s="29"/>
    </row>
    <row r="16" spans="1:18">
      <c r="A16" s="25" t="s">
        <v>23</v>
      </c>
      <c r="B16" s="177"/>
      <c r="C16" s="177"/>
      <c r="D16" s="177"/>
      <c r="E16" s="177"/>
      <c r="F16" s="177"/>
      <c r="G16" s="26"/>
      <c r="H16" s="26"/>
      <c r="I16" s="29"/>
      <c r="J16" s="29"/>
    </row>
    <row r="17" spans="1:10">
      <c r="A17" s="25" t="s">
        <v>75</v>
      </c>
      <c r="B17" s="177" t="s">
        <v>129</v>
      </c>
      <c r="C17" s="177" t="s">
        <v>130</v>
      </c>
      <c r="D17" s="177" t="s">
        <v>131</v>
      </c>
      <c r="E17" s="177" t="s">
        <v>132</v>
      </c>
      <c r="F17" s="177" t="s">
        <v>132</v>
      </c>
      <c r="G17" s="26"/>
      <c r="H17" s="26"/>
      <c r="I17" s="29"/>
      <c r="J17" s="29"/>
    </row>
    <row r="18" spans="1:10">
      <c r="A18" s="25" t="s">
        <v>110</v>
      </c>
      <c r="B18" s="31" t="s">
        <v>133</v>
      </c>
      <c r="C18" s="177" t="s">
        <v>134</v>
      </c>
      <c r="D18" s="177" t="s">
        <v>134</v>
      </c>
      <c r="E18" s="177" t="s">
        <v>134</v>
      </c>
      <c r="F18" s="177" t="s">
        <v>134</v>
      </c>
      <c r="G18" s="26"/>
      <c r="H18" s="26"/>
      <c r="I18" s="29"/>
      <c r="J18" s="29"/>
    </row>
    <row r="19" spans="1:10">
      <c r="A19" s="25" t="s">
        <v>111</v>
      </c>
      <c r="B19" s="177" t="s">
        <v>134</v>
      </c>
      <c r="C19" s="31" t="s">
        <v>133</v>
      </c>
      <c r="D19" s="177" t="s">
        <v>134</v>
      </c>
      <c r="E19" s="177" t="s">
        <v>134</v>
      </c>
      <c r="F19" s="177" t="s">
        <v>134</v>
      </c>
      <c r="G19" s="26"/>
      <c r="H19" s="26"/>
      <c r="I19" s="29"/>
      <c r="J19" s="29"/>
    </row>
    <row r="20" spans="1:10">
      <c r="A20" s="25" t="s">
        <v>112</v>
      </c>
      <c r="B20" s="177" t="s">
        <v>134</v>
      </c>
      <c r="C20" s="177" t="s">
        <v>134</v>
      </c>
      <c r="D20" s="31" t="s">
        <v>133</v>
      </c>
      <c r="E20" s="177" t="s">
        <v>134</v>
      </c>
      <c r="F20" s="177" t="s">
        <v>134</v>
      </c>
      <c r="G20" s="29"/>
      <c r="H20" s="29"/>
      <c r="I20" s="29"/>
      <c r="J20" s="29"/>
    </row>
    <row r="21" spans="1:10">
      <c r="A21" s="25" t="s">
        <v>113</v>
      </c>
      <c r="B21" s="177" t="s">
        <v>134</v>
      </c>
      <c r="C21" s="177" t="s">
        <v>134</v>
      </c>
      <c r="D21" s="177" t="s">
        <v>134</v>
      </c>
      <c r="E21" s="31" t="s">
        <v>133</v>
      </c>
      <c r="F21" s="177" t="s">
        <v>134</v>
      </c>
      <c r="G21" s="29"/>
      <c r="H21" s="29"/>
      <c r="I21" s="29"/>
      <c r="J21" s="29"/>
    </row>
    <row r="22" spans="1:10">
      <c r="A22" s="25" t="s">
        <v>114</v>
      </c>
      <c r="B22" s="177" t="s">
        <v>134</v>
      </c>
      <c r="C22" s="177" t="s">
        <v>134</v>
      </c>
      <c r="D22" s="177" t="s">
        <v>134</v>
      </c>
      <c r="E22" s="177" t="s">
        <v>134</v>
      </c>
      <c r="F22" s="31" t="s">
        <v>133</v>
      </c>
      <c r="G22" s="29"/>
      <c r="H22" s="29"/>
      <c r="I22" s="29"/>
      <c r="J22" s="29"/>
    </row>
    <row r="24" spans="1:10">
      <c r="A24" s="178" t="s">
        <v>135</v>
      </c>
      <c r="C24" s="26"/>
      <c r="D24" s="26"/>
      <c r="E24" s="26"/>
      <c r="F24" s="26"/>
      <c r="G24" s="26"/>
      <c r="H24" s="26"/>
    </row>
    <row r="25" spans="1:10">
      <c r="A25" s="178" t="s">
        <v>136</v>
      </c>
      <c r="B25" s="179"/>
      <c r="C25" s="178" t="s">
        <v>137</v>
      </c>
      <c r="D25" s="179"/>
      <c r="E25" s="178" t="s">
        <v>138</v>
      </c>
      <c r="F25" s="180"/>
      <c r="G25" s="178" t="s">
        <v>139</v>
      </c>
      <c r="H25" s="180"/>
    </row>
    <row r="26" spans="1:10">
      <c r="A26" s="25" t="s">
        <v>140</v>
      </c>
      <c r="B26" s="179"/>
      <c r="C26" s="178" t="s">
        <v>141</v>
      </c>
      <c r="D26" s="179"/>
      <c r="E26" s="178" t="s">
        <v>142</v>
      </c>
      <c r="F26" s="180"/>
      <c r="G26" s="178" t="s">
        <v>143</v>
      </c>
      <c r="H26" s="180"/>
    </row>
    <row r="27" spans="1:10">
      <c r="A27" s="178" t="s">
        <v>144</v>
      </c>
      <c r="B27" s="179"/>
      <c r="C27" s="178" t="s">
        <v>145</v>
      </c>
      <c r="D27" s="179"/>
      <c r="E27" s="178" t="s">
        <v>146</v>
      </c>
      <c r="F27" s="180"/>
      <c r="G27" s="26"/>
      <c r="H27" s="26"/>
    </row>
    <row r="28" spans="1:10">
      <c r="A28" s="25" t="s">
        <v>147</v>
      </c>
      <c r="B28" s="179"/>
      <c r="C28" s="178" t="s">
        <v>148</v>
      </c>
      <c r="D28" s="179"/>
      <c r="E28" s="178"/>
      <c r="F28" s="181"/>
      <c r="G28" s="181"/>
      <c r="H28" s="181"/>
    </row>
    <row r="29" spans="1:10">
      <c r="A29" s="178" t="s">
        <v>149</v>
      </c>
      <c r="B29" s="179"/>
      <c r="C29" s="181"/>
      <c r="D29" s="181"/>
      <c r="E29" s="181"/>
      <c r="F29" s="181"/>
      <c r="G29" s="181"/>
      <c r="H29" s="181"/>
    </row>
    <row r="30" spans="1:10">
      <c r="A30" s="25" t="s">
        <v>150</v>
      </c>
      <c r="B30" s="179"/>
      <c r="C30" s="181"/>
      <c r="D30" s="181"/>
      <c r="E30" s="181"/>
      <c r="F30" s="181"/>
      <c r="G30" s="181"/>
      <c r="H30" s="181"/>
    </row>
  </sheetData>
  <phoneticPr fontId="2" type="noConversion"/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EL107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U29" sqref="U29"/>
    </sheetView>
  </sheetViews>
  <sheetFormatPr defaultColWidth="9" defaultRowHeight="16.5"/>
  <cols>
    <col min="1" max="1" width="18" style="7" bestFit="1" customWidth="1"/>
    <col min="2" max="2" width="9.625" style="1" bestFit="1" customWidth="1"/>
    <col min="3" max="50" width="7.625" style="1" customWidth="1"/>
    <col min="51" max="61" width="7.625" style="2" customWidth="1"/>
    <col min="62" max="62" width="8.875" style="3" customWidth="1"/>
    <col min="63" max="63" width="11" style="1" bestFit="1" customWidth="1"/>
    <col min="64" max="16384" width="9" style="1"/>
  </cols>
  <sheetData>
    <row r="1" spans="1:142" s="51" customFormat="1" ht="17.25" customHeight="1">
      <c r="A1" s="47" t="s">
        <v>68</v>
      </c>
      <c r="B1" s="374">
        <f>IF(路口基本資料!$B$13="左轉",1.9,
IF(路口基本資料!$B$13="右轉",2.5,1.8))</f>
        <v>1.8</v>
      </c>
      <c r="C1" s="374">
        <f>IF(路口基本資料!$B$14="左轉",1.9,
IF(路口基本資料!$B$14="右轉",2.5,1.8))</f>
        <v>1.8</v>
      </c>
      <c r="D1" s="374">
        <f>IF(路口基本資料!$B$15="左轉",1.9,
IF(路口基本資料!$B$15="右轉",2.5,1.8))</f>
        <v>1.8</v>
      </c>
      <c r="E1" s="374">
        <f>IF(路口基本資料!$B$16="左轉",1.9,
IF(路口基本資料!$B$16="右轉",2.5,1.8))</f>
        <v>1.8</v>
      </c>
      <c r="F1" s="374">
        <v>1</v>
      </c>
      <c r="G1" s="374">
        <v>1</v>
      </c>
      <c r="H1" s="374">
        <v>1</v>
      </c>
      <c r="I1" s="374">
        <v>1</v>
      </c>
      <c r="J1" s="374">
        <f>IF(路口基本資料!$B$13="左轉",0.41,0.42)</f>
        <v>0.42</v>
      </c>
      <c r="K1" s="374">
        <f>IF(路口基本資料!$B$14="左轉",0.41,0.42)</f>
        <v>0.42</v>
      </c>
      <c r="L1" s="374">
        <f>IF(路口基本資料!$B$15="左轉",0.41,0.42)</f>
        <v>0.42</v>
      </c>
      <c r="M1" s="374">
        <f>IF(路口基本資料!$B$16="左轉",0.41,0.42)</f>
        <v>0.42</v>
      </c>
      <c r="N1" s="374">
        <f>IF(路口基本資料!$C$12="左轉",1.9,
IF(路口基本資料!$C$12="右轉",2.5,1.8))</f>
        <v>1.8</v>
      </c>
      <c r="O1" s="374">
        <f>IF(路口基本資料!$C$14="左轉",1.9,
IF(路口基本資料!$C$14="右轉",2.5,1.8))</f>
        <v>1.8</v>
      </c>
      <c r="P1" s="374">
        <f>IF(路口基本資料!$C$15="左轉",1.9,
IF(路口基本資料!$C$15="右轉",2.5,1.8))</f>
        <v>1.8</v>
      </c>
      <c r="Q1" s="374">
        <f>IF(路口基本資料!$C$16="左轉",1.9,
IF(路口基本資料!$C$16="右轉",2.5,1.8))</f>
        <v>1.8</v>
      </c>
      <c r="R1" s="374">
        <v>1</v>
      </c>
      <c r="S1" s="374">
        <v>1</v>
      </c>
      <c r="T1" s="374">
        <v>1</v>
      </c>
      <c r="U1" s="374">
        <v>1</v>
      </c>
      <c r="V1" s="374">
        <f>IF(路口基本資料!$C$12="左轉",0.41,0.42)</f>
        <v>0.42</v>
      </c>
      <c r="W1" s="374">
        <f>IF(路口基本資料!$C$14="左轉",0.41,0.42)</f>
        <v>0.42</v>
      </c>
      <c r="X1" s="374">
        <f>IF(路口基本資料!$C$15="左轉",0.41,0.42)</f>
        <v>0.42</v>
      </c>
      <c r="Y1" s="374">
        <f>IF(路口基本資料!$C$16="左轉",0.41,0.42)</f>
        <v>0.42</v>
      </c>
      <c r="Z1" s="374">
        <f>IF(路口基本資料!$D$12="左轉",1.9,
IF(路口基本資料!$D$12="右轉",2.5,1.8))</f>
        <v>1.8</v>
      </c>
      <c r="AA1" s="374">
        <f>IF(路口基本資料!$D$13="左轉",1.9,
IF(路口基本資料!$D$13="右轉",2.5,1.8))</f>
        <v>1.8</v>
      </c>
      <c r="AB1" s="374">
        <f>IF(路口基本資料!$D$15="左轉",1.9,
IF(路口基本資料!$D$15="右轉",2.5,1.8))</f>
        <v>1.8</v>
      </c>
      <c r="AC1" s="374">
        <f>IF(路口基本資料!$D$16="左轉",1.9,
IF(路口基本資料!$D$16="右轉",2.5,1.8))</f>
        <v>1.8</v>
      </c>
      <c r="AD1" s="374">
        <v>1</v>
      </c>
      <c r="AE1" s="374">
        <v>1</v>
      </c>
      <c r="AF1" s="374">
        <v>1</v>
      </c>
      <c r="AG1" s="374">
        <v>1</v>
      </c>
      <c r="AH1" s="374">
        <f>IF(路口基本資料!$D$12="左轉",0.41,0.42)</f>
        <v>0.42</v>
      </c>
      <c r="AI1" s="374">
        <f>IF(路口基本資料!$D$13="左轉",0.41,0.42)</f>
        <v>0.42</v>
      </c>
      <c r="AJ1" s="374">
        <f>IF(路口基本資料!$D$15="左轉",0.41,0.42)</f>
        <v>0.42</v>
      </c>
      <c r="AK1" s="374">
        <f>IF(路口基本資料!$D$16="左轉",0.41,0.42)</f>
        <v>0.42</v>
      </c>
      <c r="AL1" s="374">
        <f>IF(路口基本資料!$E$12="左轉",1.9,
IF(路口基本資料!$E$12="右轉",2.5,1.8))</f>
        <v>1.8</v>
      </c>
      <c r="AM1" s="374">
        <f>IF(路口基本資料!$E$13="左轉",1.9,
IF(路口基本資料!$E$13="右轉",2.5,1.8))</f>
        <v>1.8</v>
      </c>
      <c r="AN1" s="374">
        <f>IF(路口基本資料!$E$14="左轉",1.9,
IF(路口基本資料!$E$14="右轉",2.5,1.8))</f>
        <v>1.8</v>
      </c>
      <c r="AO1" s="374">
        <f>IF(路口基本資料!$E$16="左轉",1.9,
IF(路口基本資料!$E$16="右轉",2.5,1.8))</f>
        <v>1.8</v>
      </c>
      <c r="AP1" s="374">
        <v>1</v>
      </c>
      <c r="AQ1" s="374">
        <v>1</v>
      </c>
      <c r="AR1" s="374">
        <v>1</v>
      </c>
      <c r="AS1" s="374">
        <v>1</v>
      </c>
      <c r="AT1" s="374">
        <f>IF(路口基本資料!$E$12="左轉",0.41,0.42)</f>
        <v>0.42</v>
      </c>
      <c r="AU1" s="374">
        <f>IF(路口基本資料!$E$13="左轉",0.41,0.42)</f>
        <v>0.42</v>
      </c>
      <c r="AV1" s="374">
        <f>IF(路口基本資料!$E$14="左轉",0.41,0.42)</f>
        <v>0.42</v>
      </c>
      <c r="AW1" s="374">
        <f>IF(路口基本資料!$E$16="左轉",0.41,0.42)</f>
        <v>0.42</v>
      </c>
      <c r="AX1" s="374">
        <f>IF(路口基本資料!$F$12="左轉",1.9,
IF(路口基本資料!$F$12="右轉",2.5,1.8))</f>
        <v>1.8</v>
      </c>
      <c r="AY1" s="374">
        <f>IF(路口基本資料!$F$13="左轉",1.9,
IF(路口基本資料!$F$13="右轉",2.5,1.8))</f>
        <v>1.8</v>
      </c>
      <c r="AZ1" s="374">
        <f>IF(路口基本資料!$F$14="左轉",1.9,
IF(路口基本資料!$F$14="右轉",2.5,1.8))</f>
        <v>1.8</v>
      </c>
      <c r="BA1" s="374">
        <f>IF(路口基本資料!$F$15="左轉",1.9,
IF(路口基本資料!$F$15="右轉",2.5,1.8))</f>
        <v>1.8</v>
      </c>
      <c r="BB1" s="374">
        <v>1</v>
      </c>
      <c r="BC1" s="374">
        <v>1</v>
      </c>
      <c r="BD1" s="374">
        <v>1</v>
      </c>
      <c r="BE1" s="374">
        <v>1</v>
      </c>
      <c r="BF1" s="374">
        <f>IF(路口基本資料!$F$12="左轉",0.41,0.42)</f>
        <v>0.42</v>
      </c>
      <c r="BG1" s="374">
        <f>IF(路口基本資料!$F$13="左轉",0.41,0.42)</f>
        <v>0.42</v>
      </c>
      <c r="BH1" s="374">
        <f>IF(路口基本資料!$F$14="左轉",0.41,0.42)</f>
        <v>0.42</v>
      </c>
      <c r="BI1" s="374">
        <f>IF(路口基本資料!$F$15="左轉",0.41,0.42)</f>
        <v>0.42</v>
      </c>
      <c r="BJ1" s="3"/>
    </row>
    <row r="2" spans="1:142" s="6" customFormat="1" ht="17.25" hidden="1" customHeight="1">
      <c r="A2" s="182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1"/>
      <c r="Z2" s="10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11"/>
      <c r="AX2" s="11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3"/>
    </row>
    <row r="3" spans="1:142" s="6" customFormat="1" ht="17.25" hidden="1" customHeight="1">
      <c r="A3" s="182"/>
      <c r="B3" s="444" t="s">
        <v>116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6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1"/>
      <c r="Z3" s="10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1"/>
      <c r="AX3" s="11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3"/>
    </row>
    <row r="4" spans="1:142" s="6" customFormat="1" ht="17.25" hidden="1" customHeight="1">
      <c r="A4" s="182"/>
      <c r="B4" s="447"/>
      <c r="C4" s="448"/>
      <c r="D4" s="448"/>
      <c r="E4" s="448"/>
      <c r="F4" s="448"/>
      <c r="G4" s="448"/>
      <c r="H4" s="448"/>
      <c r="I4" s="448"/>
      <c r="J4" s="448"/>
      <c r="K4" s="448"/>
      <c r="L4" s="448"/>
      <c r="M4" s="44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1"/>
      <c r="Z4" s="10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1"/>
      <c r="AX4" s="11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3"/>
    </row>
    <row r="5" spans="1:142" s="6" customFormat="1" ht="17.25" hidden="1" customHeight="1">
      <c r="A5" s="182"/>
      <c r="B5" s="447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1"/>
      <c r="Z5" s="10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3"/>
      <c r="EL5" s="6" t="e">
        <f>IF($W5="N","N",SUM('調查資料(OUT)'!#REF!))</f>
        <v>#REF!</v>
      </c>
    </row>
    <row r="6" spans="1:142" s="6" customFormat="1" ht="17.25" hidden="1" customHeight="1">
      <c r="A6" s="182"/>
      <c r="B6" s="450"/>
      <c r="C6" s="451"/>
      <c r="D6" s="451"/>
      <c r="E6" s="451"/>
      <c r="F6" s="451"/>
      <c r="G6" s="451"/>
      <c r="H6" s="451"/>
      <c r="I6" s="451"/>
      <c r="J6" s="451"/>
      <c r="K6" s="451"/>
      <c r="L6" s="451"/>
      <c r="M6" s="45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1"/>
      <c r="Z6" s="10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1"/>
      <c r="AX6" s="11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3"/>
    </row>
    <row r="7" spans="1:142" s="6" customFormat="1" ht="17.25" customHeight="1">
      <c r="A7" s="182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10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1"/>
      <c r="AX7" s="11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3"/>
    </row>
    <row r="8" spans="1:142" s="4" customFormat="1" ht="20.25" customHeight="1">
      <c r="A8" s="183"/>
      <c r="B8" s="4" t="s">
        <v>10</v>
      </c>
      <c r="C8" s="443">
        <f>路口基本資料!$B$9</f>
        <v>0</v>
      </c>
      <c r="D8" s="443"/>
      <c r="E8" s="443"/>
      <c r="F8" t="s">
        <v>49</v>
      </c>
      <c r="G8" s="24">
        <f>路口基本資料!$B$10</f>
        <v>0</v>
      </c>
      <c r="H8" s="24"/>
      <c r="N8" s="4" t="s">
        <v>11</v>
      </c>
      <c r="O8" s="443">
        <f>路口基本資料!$C$9</f>
        <v>0</v>
      </c>
      <c r="P8" s="443"/>
      <c r="Q8" s="443"/>
      <c r="R8" t="s">
        <v>24</v>
      </c>
      <c r="S8" s="24">
        <f>路口基本資料!$C$10</f>
        <v>0</v>
      </c>
      <c r="T8" s="24"/>
      <c r="Z8" s="4" t="s">
        <v>120</v>
      </c>
      <c r="AA8" s="443">
        <f>路口基本資料!$D$9</f>
        <v>0</v>
      </c>
      <c r="AB8" s="443"/>
      <c r="AC8" s="443"/>
      <c r="AD8" t="s">
        <v>24</v>
      </c>
      <c r="AE8" s="24">
        <f>路口基本資料!$D$10</f>
        <v>0</v>
      </c>
      <c r="AF8" s="24"/>
      <c r="AG8"/>
      <c r="AL8" s="4" t="s">
        <v>121</v>
      </c>
      <c r="AM8" s="443">
        <f>路口基本資料!$E$9</f>
        <v>0</v>
      </c>
      <c r="AN8" s="443"/>
      <c r="AO8" s="443"/>
      <c r="AP8" t="s">
        <v>24</v>
      </c>
      <c r="AQ8" s="24">
        <f>路口基本資料!$E$10</f>
        <v>0</v>
      </c>
      <c r="AR8" s="24"/>
      <c r="AX8" s="4" t="s">
        <v>98</v>
      </c>
      <c r="AY8" s="443">
        <f>路口基本資料!$F$9</f>
        <v>0</v>
      </c>
      <c r="AZ8" s="443"/>
      <c r="BA8" s="443"/>
      <c r="BB8" t="s">
        <v>24</v>
      </c>
      <c r="BC8" s="53">
        <f>路口基本資料!$F$10</f>
        <v>0</v>
      </c>
      <c r="BD8" s="24"/>
      <c r="BJ8" s="14"/>
    </row>
    <row r="9" spans="1:142" s="55" customFormat="1">
      <c r="A9" s="453" t="s">
        <v>28</v>
      </c>
      <c r="B9" s="190" t="s">
        <v>115</v>
      </c>
      <c r="C9" s="191"/>
      <c r="D9" s="191"/>
      <c r="E9" s="192"/>
      <c r="F9" s="193" t="s">
        <v>2</v>
      </c>
      <c r="G9" s="191"/>
      <c r="H9" s="191"/>
      <c r="I9" s="192"/>
      <c r="J9" s="194" t="s">
        <v>99</v>
      </c>
      <c r="K9" s="191"/>
      <c r="L9" s="191"/>
      <c r="M9" s="192"/>
      <c r="N9" s="199" t="s">
        <v>115</v>
      </c>
      <c r="O9" s="200"/>
      <c r="P9" s="200"/>
      <c r="Q9" s="201"/>
      <c r="R9" s="199" t="s">
        <v>2</v>
      </c>
      <c r="S9" s="200"/>
      <c r="T9" s="200"/>
      <c r="U9" s="201"/>
      <c r="V9" s="202" t="s">
        <v>99</v>
      </c>
      <c r="W9" s="200"/>
      <c r="X9" s="200"/>
      <c r="Y9" s="201"/>
      <c r="Z9" s="212" t="s">
        <v>115</v>
      </c>
      <c r="AA9" s="213"/>
      <c r="AB9" s="213"/>
      <c r="AC9" s="214"/>
      <c r="AD9" s="212" t="s">
        <v>2</v>
      </c>
      <c r="AE9" s="213"/>
      <c r="AF9" s="213"/>
      <c r="AG9" s="214"/>
      <c r="AH9" s="213" t="s">
        <v>99</v>
      </c>
      <c r="AI9" s="213"/>
      <c r="AJ9" s="213"/>
      <c r="AK9" s="214"/>
      <c r="AL9" s="224" t="s">
        <v>115</v>
      </c>
      <c r="AM9" s="225"/>
      <c r="AN9" s="225"/>
      <c r="AO9" s="226"/>
      <c r="AP9" s="224" t="s">
        <v>2</v>
      </c>
      <c r="AQ9" s="225"/>
      <c r="AR9" s="225"/>
      <c r="AS9" s="226"/>
      <c r="AT9" s="233" t="s">
        <v>99</v>
      </c>
      <c r="AU9" s="225"/>
      <c r="AV9" s="225"/>
      <c r="AW9" s="226"/>
      <c r="AX9" s="237" t="s">
        <v>115</v>
      </c>
      <c r="AY9" s="238"/>
      <c r="AZ9" s="238"/>
      <c r="BA9" s="239"/>
      <c r="BB9" s="237" t="s">
        <v>2</v>
      </c>
      <c r="BC9" s="238"/>
      <c r="BD9" s="238"/>
      <c r="BE9" s="239"/>
      <c r="BF9" s="240" t="s">
        <v>100</v>
      </c>
      <c r="BG9" s="238"/>
      <c r="BH9" s="238"/>
      <c r="BI9" s="239"/>
      <c r="BJ9" s="16"/>
      <c r="BK9" s="54"/>
    </row>
    <row r="10" spans="1:142" s="55" customFormat="1">
      <c r="A10" s="454"/>
      <c r="B10" s="195" t="s">
        <v>21</v>
      </c>
      <c r="C10" s="196" t="s">
        <v>22</v>
      </c>
      <c r="D10" s="196" t="s">
        <v>18</v>
      </c>
      <c r="E10" s="197" t="s">
        <v>94</v>
      </c>
      <c r="F10" s="198" t="s">
        <v>21</v>
      </c>
      <c r="G10" s="196" t="s">
        <v>22</v>
      </c>
      <c r="H10" s="196" t="s">
        <v>18</v>
      </c>
      <c r="I10" s="197" t="s">
        <v>94</v>
      </c>
      <c r="J10" s="198" t="s">
        <v>21</v>
      </c>
      <c r="K10" s="196" t="s">
        <v>22</v>
      </c>
      <c r="L10" s="196" t="s">
        <v>18</v>
      </c>
      <c r="M10" s="197" t="s">
        <v>94</v>
      </c>
      <c r="N10" s="203" t="s">
        <v>20</v>
      </c>
      <c r="O10" s="204" t="s">
        <v>22</v>
      </c>
      <c r="P10" s="204" t="s">
        <v>18</v>
      </c>
      <c r="Q10" s="205" t="s">
        <v>94</v>
      </c>
      <c r="R10" s="206" t="s">
        <v>20</v>
      </c>
      <c r="S10" s="207" t="s">
        <v>22</v>
      </c>
      <c r="T10" s="207" t="s">
        <v>18</v>
      </c>
      <c r="U10" s="208" t="s">
        <v>94</v>
      </c>
      <c r="V10" s="207" t="s">
        <v>20</v>
      </c>
      <c r="W10" s="207" t="s">
        <v>22</v>
      </c>
      <c r="X10" s="207" t="s">
        <v>18</v>
      </c>
      <c r="Y10" s="208" t="s">
        <v>94</v>
      </c>
      <c r="Z10" s="215" t="s">
        <v>20</v>
      </c>
      <c r="AA10" s="216" t="s">
        <v>21</v>
      </c>
      <c r="AB10" s="216" t="s">
        <v>18</v>
      </c>
      <c r="AC10" s="217" t="s">
        <v>94</v>
      </c>
      <c r="AD10" s="218" t="s">
        <v>20</v>
      </c>
      <c r="AE10" s="219" t="s">
        <v>21</v>
      </c>
      <c r="AF10" s="219" t="s">
        <v>18</v>
      </c>
      <c r="AG10" s="220" t="s">
        <v>94</v>
      </c>
      <c r="AH10" s="218" t="s">
        <v>20</v>
      </c>
      <c r="AI10" s="219" t="s">
        <v>21</v>
      </c>
      <c r="AJ10" s="219" t="s">
        <v>18</v>
      </c>
      <c r="AK10" s="220" t="s">
        <v>94</v>
      </c>
      <c r="AL10" s="227" t="s">
        <v>20</v>
      </c>
      <c r="AM10" s="228" t="s">
        <v>21</v>
      </c>
      <c r="AN10" s="228" t="s">
        <v>22</v>
      </c>
      <c r="AO10" s="229" t="s">
        <v>94</v>
      </c>
      <c r="AP10" s="230" t="s">
        <v>20</v>
      </c>
      <c r="AQ10" s="231" t="s">
        <v>21</v>
      </c>
      <c r="AR10" s="231" t="s">
        <v>22</v>
      </c>
      <c r="AS10" s="232" t="s">
        <v>94</v>
      </c>
      <c r="AT10" s="230" t="s">
        <v>20</v>
      </c>
      <c r="AU10" s="231" t="s">
        <v>21</v>
      </c>
      <c r="AV10" s="231" t="s">
        <v>22</v>
      </c>
      <c r="AW10" s="232" t="s">
        <v>94</v>
      </c>
      <c r="AX10" s="241" t="s">
        <v>20</v>
      </c>
      <c r="AY10" s="242" t="s">
        <v>21</v>
      </c>
      <c r="AZ10" s="242" t="s">
        <v>22</v>
      </c>
      <c r="BA10" s="243" t="s">
        <v>18</v>
      </c>
      <c r="BB10" s="244" t="s">
        <v>20</v>
      </c>
      <c r="BC10" s="245" t="s">
        <v>21</v>
      </c>
      <c r="BD10" s="245" t="s">
        <v>22</v>
      </c>
      <c r="BE10" s="246" t="s">
        <v>18</v>
      </c>
      <c r="BF10" s="244" t="s">
        <v>20</v>
      </c>
      <c r="BG10" s="245" t="s">
        <v>21</v>
      </c>
      <c r="BH10" s="245" t="s">
        <v>22</v>
      </c>
      <c r="BI10" s="246" t="s">
        <v>18</v>
      </c>
      <c r="BJ10" s="16"/>
      <c r="BK10" s="54"/>
    </row>
    <row r="11" spans="1:142" s="7" customFormat="1" ht="16.5" customHeight="1">
      <c r="A11" s="28">
        <v>0</v>
      </c>
      <c r="B11" s="184">
        <f>轉向量!E2</f>
        <v>0</v>
      </c>
      <c r="C11" s="184">
        <f>轉向量!F2</f>
        <v>0</v>
      </c>
      <c r="D11" s="184">
        <f>轉向量!G2</f>
        <v>0</v>
      </c>
      <c r="E11" s="185">
        <f>轉向量!H2</f>
        <v>0</v>
      </c>
      <c r="F11" s="186">
        <f>轉向量!J2</f>
        <v>0</v>
      </c>
      <c r="G11" s="184">
        <f>轉向量!K2</f>
        <v>0</v>
      </c>
      <c r="H11" s="184">
        <f>轉向量!L2</f>
        <v>0</v>
      </c>
      <c r="I11" s="185">
        <f>轉向量!M2</f>
        <v>0</v>
      </c>
      <c r="J11" s="186">
        <f>轉向量!O2</f>
        <v>0</v>
      </c>
      <c r="K11" s="184">
        <f>轉向量!P2</f>
        <v>0</v>
      </c>
      <c r="L11" s="184">
        <f>轉向量!Q2</f>
        <v>0</v>
      </c>
      <c r="M11" s="185">
        <f>轉向量!R2</f>
        <v>0</v>
      </c>
      <c r="N11" s="187">
        <f>轉向量!D98</f>
        <v>0</v>
      </c>
      <c r="O11" s="188">
        <f>轉向量!F98</f>
        <v>0</v>
      </c>
      <c r="P11" s="188">
        <f>轉向量!G98</f>
        <v>0</v>
      </c>
      <c r="Q11" s="189">
        <f>轉向量!H98</f>
        <v>0</v>
      </c>
      <c r="R11" s="187">
        <f>轉向量!I98</f>
        <v>0</v>
      </c>
      <c r="S11" s="188">
        <f>轉向量!K98</f>
        <v>0</v>
      </c>
      <c r="T11" s="188">
        <f>轉向量!L98</f>
        <v>0</v>
      </c>
      <c r="U11" s="189">
        <f>轉向量!M98</f>
        <v>0</v>
      </c>
      <c r="V11" s="188">
        <f>轉向量!N98</f>
        <v>0</v>
      </c>
      <c r="W11" s="188">
        <f>轉向量!P98</f>
        <v>0</v>
      </c>
      <c r="X11" s="188">
        <f>轉向量!Q98</f>
        <v>0</v>
      </c>
      <c r="Y11" s="189">
        <f>轉向量!R98</f>
        <v>0</v>
      </c>
      <c r="Z11" s="209">
        <f>轉向量!D194</f>
        <v>0</v>
      </c>
      <c r="AA11" s="210">
        <f>轉向量!E194</f>
        <v>0</v>
      </c>
      <c r="AB11" s="210">
        <f>轉向量!G194</f>
        <v>0</v>
      </c>
      <c r="AC11" s="211">
        <f>轉向量!H194</f>
        <v>0</v>
      </c>
      <c r="AD11" s="210">
        <f>轉向量!I194</f>
        <v>0</v>
      </c>
      <c r="AE11" s="210">
        <f>轉向量!J194</f>
        <v>0</v>
      </c>
      <c r="AF11" s="210">
        <f>轉向量!L194</f>
        <v>0</v>
      </c>
      <c r="AG11" s="211">
        <f>轉向量!M194</f>
        <v>0</v>
      </c>
      <c r="AH11" s="210">
        <f>轉向量!N194</f>
        <v>0</v>
      </c>
      <c r="AI11" s="210">
        <f>轉向量!O194</f>
        <v>0</v>
      </c>
      <c r="AJ11" s="210">
        <f>轉向量!Q194</f>
        <v>0</v>
      </c>
      <c r="AK11" s="211">
        <f>轉向量!R194</f>
        <v>0</v>
      </c>
      <c r="AL11" s="221">
        <f>轉向量!D290</f>
        <v>0</v>
      </c>
      <c r="AM11" s="222">
        <f>轉向量!E290</f>
        <v>0</v>
      </c>
      <c r="AN11" s="222">
        <f>轉向量!F290</f>
        <v>0</v>
      </c>
      <c r="AO11" s="223">
        <f>轉向量!H290</f>
        <v>0</v>
      </c>
      <c r="AP11" s="222">
        <f>轉向量!I290</f>
        <v>0</v>
      </c>
      <c r="AQ11" s="222">
        <f>轉向量!J290</f>
        <v>0</v>
      </c>
      <c r="AR11" s="222">
        <f>轉向量!K290</f>
        <v>0</v>
      </c>
      <c r="AS11" s="223">
        <f>轉向量!M290</f>
        <v>0</v>
      </c>
      <c r="AT11" s="222">
        <f>轉向量!N290</f>
        <v>0</v>
      </c>
      <c r="AU11" s="222">
        <f>轉向量!O290</f>
        <v>0</v>
      </c>
      <c r="AV11" s="222">
        <f>轉向量!P290</f>
        <v>0</v>
      </c>
      <c r="AW11" s="223">
        <f>轉向量!R290</f>
        <v>0</v>
      </c>
      <c r="AX11" s="234">
        <f>轉向量!D386</f>
        <v>0</v>
      </c>
      <c r="AY11" s="235">
        <f>轉向量!E386</f>
        <v>0</v>
      </c>
      <c r="AZ11" s="235">
        <f>轉向量!F386</f>
        <v>0</v>
      </c>
      <c r="BA11" s="236">
        <f>轉向量!G386</f>
        <v>0</v>
      </c>
      <c r="BB11" s="235">
        <f>轉向量!I386</f>
        <v>0</v>
      </c>
      <c r="BC11" s="235">
        <f>轉向量!J386</f>
        <v>0</v>
      </c>
      <c r="BD11" s="235">
        <f>轉向量!K386</f>
        <v>0</v>
      </c>
      <c r="BE11" s="236">
        <f>轉向量!L386</f>
        <v>0</v>
      </c>
      <c r="BF11" s="235">
        <f>轉向量!N386</f>
        <v>0</v>
      </c>
      <c r="BG11" s="235">
        <f>轉向量!O386</f>
        <v>0</v>
      </c>
      <c r="BH11" s="235">
        <f>轉向量!P386</f>
        <v>0</v>
      </c>
      <c r="BI11" s="236">
        <f>轉向量!Q386</f>
        <v>0</v>
      </c>
      <c r="BJ11" s="16"/>
      <c r="BK11" s="15"/>
    </row>
    <row r="12" spans="1:142" s="7" customFormat="1" ht="16.5" customHeight="1">
      <c r="A12" s="28">
        <v>15</v>
      </c>
      <c r="B12" s="184">
        <f>轉向量!E3</f>
        <v>0</v>
      </c>
      <c r="C12" s="184">
        <f>轉向量!F3</f>
        <v>0</v>
      </c>
      <c r="D12" s="184">
        <f>轉向量!G3</f>
        <v>0</v>
      </c>
      <c r="E12" s="185">
        <f>轉向量!H3</f>
        <v>0</v>
      </c>
      <c r="F12" s="186">
        <f>轉向量!J3</f>
        <v>0</v>
      </c>
      <c r="G12" s="184">
        <f>轉向量!K3</f>
        <v>0</v>
      </c>
      <c r="H12" s="184">
        <f>轉向量!L3</f>
        <v>0</v>
      </c>
      <c r="I12" s="185">
        <f>轉向量!M3</f>
        <v>0</v>
      </c>
      <c r="J12" s="186">
        <f>轉向量!O3</f>
        <v>0</v>
      </c>
      <c r="K12" s="184">
        <f>轉向量!P3</f>
        <v>0</v>
      </c>
      <c r="L12" s="184">
        <f>轉向量!Q3</f>
        <v>0</v>
      </c>
      <c r="M12" s="185">
        <f>轉向量!R3</f>
        <v>0</v>
      </c>
      <c r="N12" s="187">
        <f>轉向量!D99</f>
        <v>0</v>
      </c>
      <c r="O12" s="188">
        <f>轉向量!F99</f>
        <v>0</v>
      </c>
      <c r="P12" s="188">
        <f>轉向量!G99</f>
        <v>0</v>
      </c>
      <c r="Q12" s="189">
        <f>轉向量!H99</f>
        <v>0</v>
      </c>
      <c r="R12" s="187">
        <f>轉向量!I99</f>
        <v>0</v>
      </c>
      <c r="S12" s="188">
        <f>轉向量!K99</f>
        <v>0</v>
      </c>
      <c r="T12" s="188">
        <f>轉向量!L99</f>
        <v>0</v>
      </c>
      <c r="U12" s="189">
        <f>轉向量!M99</f>
        <v>0</v>
      </c>
      <c r="V12" s="188">
        <f>轉向量!N99</f>
        <v>0</v>
      </c>
      <c r="W12" s="188">
        <f>轉向量!P99</f>
        <v>0</v>
      </c>
      <c r="X12" s="188">
        <f>轉向量!Q99</f>
        <v>0</v>
      </c>
      <c r="Y12" s="189">
        <f>轉向量!R99</f>
        <v>0</v>
      </c>
      <c r="Z12" s="209">
        <f>轉向量!D195</f>
        <v>0</v>
      </c>
      <c r="AA12" s="210">
        <f>轉向量!E195</f>
        <v>0</v>
      </c>
      <c r="AB12" s="210">
        <f>轉向量!G195</f>
        <v>0</v>
      </c>
      <c r="AC12" s="211">
        <f>轉向量!H195</f>
        <v>0</v>
      </c>
      <c r="AD12" s="210">
        <f>轉向量!I195</f>
        <v>0</v>
      </c>
      <c r="AE12" s="210">
        <f>轉向量!J195</f>
        <v>0</v>
      </c>
      <c r="AF12" s="210">
        <f>轉向量!L195</f>
        <v>0</v>
      </c>
      <c r="AG12" s="211">
        <f>轉向量!M195</f>
        <v>0</v>
      </c>
      <c r="AH12" s="210">
        <f>轉向量!N195</f>
        <v>0</v>
      </c>
      <c r="AI12" s="210">
        <f>轉向量!O195</f>
        <v>0</v>
      </c>
      <c r="AJ12" s="210">
        <f>轉向量!Q195</f>
        <v>0</v>
      </c>
      <c r="AK12" s="211">
        <f>轉向量!R195</f>
        <v>0</v>
      </c>
      <c r="AL12" s="221">
        <f>轉向量!D291</f>
        <v>0</v>
      </c>
      <c r="AM12" s="222">
        <f>轉向量!E291</f>
        <v>0</v>
      </c>
      <c r="AN12" s="222">
        <f>轉向量!F291</f>
        <v>0</v>
      </c>
      <c r="AO12" s="223">
        <f>轉向量!H291</f>
        <v>0</v>
      </c>
      <c r="AP12" s="222">
        <f>轉向量!I291</f>
        <v>0</v>
      </c>
      <c r="AQ12" s="222">
        <f>轉向量!J291</f>
        <v>0</v>
      </c>
      <c r="AR12" s="222">
        <f>轉向量!K291</f>
        <v>0</v>
      </c>
      <c r="AS12" s="223">
        <f>轉向量!M291</f>
        <v>0</v>
      </c>
      <c r="AT12" s="222">
        <f>轉向量!N291</f>
        <v>0</v>
      </c>
      <c r="AU12" s="222">
        <f>轉向量!O291</f>
        <v>0</v>
      </c>
      <c r="AV12" s="222">
        <f>轉向量!P291</f>
        <v>0</v>
      </c>
      <c r="AW12" s="223">
        <f>轉向量!R291</f>
        <v>0</v>
      </c>
      <c r="AX12" s="234">
        <f>轉向量!D387</f>
        <v>0</v>
      </c>
      <c r="AY12" s="235">
        <f>轉向量!E387</f>
        <v>0</v>
      </c>
      <c r="AZ12" s="235">
        <f>轉向量!F387</f>
        <v>0</v>
      </c>
      <c r="BA12" s="236">
        <f>轉向量!G387</f>
        <v>0</v>
      </c>
      <c r="BB12" s="235">
        <f>轉向量!I387</f>
        <v>0</v>
      </c>
      <c r="BC12" s="235">
        <f>轉向量!J387</f>
        <v>0</v>
      </c>
      <c r="BD12" s="235">
        <f>轉向量!K387</f>
        <v>0</v>
      </c>
      <c r="BE12" s="236">
        <f>轉向量!L387</f>
        <v>0</v>
      </c>
      <c r="BF12" s="235">
        <f>轉向量!N387</f>
        <v>0</v>
      </c>
      <c r="BG12" s="235">
        <f>轉向量!O387</f>
        <v>0</v>
      </c>
      <c r="BH12" s="235">
        <f>轉向量!P387</f>
        <v>0</v>
      </c>
      <c r="BI12" s="236">
        <f>轉向量!Q387</f>
        <v>0</v>
      </c>
      <c r="BJ12" s="16"/>
      <c r="BK12" s="15"/>
    </row>
    <row r="13" spans="1:142" s="7" customFormat="1" ht="16.5" customHeight="1">
      <c r="A13" s="28">
        <v>30</v>
      </c>
      <c r="B13" s="184">
        <f>轉向量!E4</f>
        <v>0</v>
      </c>
      <c r="C13" s="184">
        <f>轉向量!F4</f>
        <v>0</v>
      </c>
      <c r="D13" s="184">
        <f>轉向量!G4</f>
        <v>0</v>
      </c>
      <c r="E13" s="185">
        <f>轉向量!H4</f>
        <v>0</v>
      </c>
      <c r="F13" s="186">
        <f>轉向量!J4</f>
        <v>0</v>
      </c>
      <c r="G13" s="184">
        <f>轉向量!K4</f>
        <v>0</v>
      </c>
      <c r="H13" s="184">
        <f>轉向量!L4</f>
        <v>0</v>
      </c>
      <c r="I13" s="185">
        <f>轉向量!M4</f>
        <v>0</v>
      </c>
      <c r="J13" s="186">
        <f>轉向量!O4</f>
        <v>0</v>
      </c>
      <c r="K13" s="184">
        <f>轉向量!P4</f>
        <v>0</v>
      </c>
      <c r="L13" s="184">
        <f>轉向量!Q4</f>
        <v>0</v>
      </c>
      <c r="M13" s="185">
        <f>轉向量!R4</f>
        <v>0</v>
      </c>
      <c r="N13" s="187">
        <f>轉向量!D100</f>
        <v>0</v>
      </c>
      <c r="O13" s="188">
        <f>轉向量!F100</f>
        <v>0</v>
      </c>
      <c r="P13" s="188">
        <f>轉向量!G100</f>
        <v>0</v>
      </c>
      <c r="Q13" s="189">
        <f>轉向量!H100</f>
        <v>0</v>
      </c>
      <c r="R13" s="187">
        <f>轉向量!I100</f>
        <v>0</v>
      </c>
      <c r="S13" s="188">
        <f>轉向量!K100</f>
        <v>0</v>
      </c>
      <c r="T13" s="188">
        <f>轉向量!L100</f>
        <v>0</v>
      </c>
      <c r="U13" s="189">
        <f>轉向量!M100</f>
        <v>0</v>
      </c>
      <c r="V13" s="188">
        <f>轉向量!N100</f>
        <v>0</v>
      </c>
      <c r="W13" s="188">
        <f>轉向量!P100</f>
        <v>0</v>
      </c>
      <c r="X13" s="188">
        <f>轉向量!Q100</f>
        <v>0</v>
      </c>
      <c r="Y13" s="189">
        <f>轉向量!R100</f>
        <v>0</v>
      </c>
      <c r="Z13" s="209">
        <f>轉向量!D196</f>
        <v>0</v>
      </c>
      <c r="AA13" s="210">
        <f>轉向量!E196</f>
        <v>0</v>
      </c>
      <c r="AB13" s="210">
        <f>轉向量!G196</f>
        <v>0</v>
      </c>
      <c r="AC13" s="211">
        <f>轉向量!H196</f>
        <v>0</v>
      </c>
      <c r="AD13" s="210">
        <f>轉向量!I196</f>
        <v>0</v>
      </c>
      <c r="AE13" s="210">
        <f>轉向量!J196</f>
        <v>0</v>
      </c>
      <c r="AF13" s="210">
        <f>轉向量!L196</f>
        <v>0</v>
      </c>
      <c r="AG13" s="211">
        <f>轉向量!M196</f>
        <v>0</v>
      </c>
      <c r="AH13" s="210">
        <f>轉向量!N196</f>
        <v>0</v>
      </c>
      <c r="AI13" s="210">
        <f>轉向量!O196</f>
        <v>0</v>
      </c>
      <c r="AJ13" s="210">
        <f>轉向量!Q196</f>
        <v>0</v>
      </c>
      <c r="AK13" s="211">
        <f>轉向量!R196</f>
        <v>0</v>
      </c>
      <c r="AL13" s="221">
        <f>轉向量!D292</f>
        <v>0</v>
      </c>
      <c r="AM13" s="222">
        <f>轉向量!E292</f>
        <v>0</v>
      </c>
      <c r="AN13" s="222">
        <f>轉向量!F292</f>
        <v>0</v>
      </c>
      <c r="AO13" s="223">
        <f>轉向量!H292</f>
        <v>0</v>
      </c>
      <c r="AP13" s="222">
        <f>轉向量!I292</f>
        <v>0</v>
      </c>
      <c r="AQ13" s="222">
        <f>轉向量!J292</f>
        <v>0</v>
      </c>
      <c r="AR13" s="222">
        <f>轉向量!K292</f>
        <v>0</v>
      </c>
      <c r="AS13" s="223">
        <f>轉向量!M292</f>
        <v>0</v>
      </c>
      <c r="AT13" s="222">
        <f>轉向量!N292</f>
        <v>0</v>
      </c>
      <c r="AU13" s="222">
        <f>轉向量!O292</f>
        <v>0</v>
      </c>
      <c r="AV13" s="222">
        <f>轉向量!P292</f>
        <v>0</v>
      </c>
      <c r="AW13" s="223">
        <f>轉向量!R292</f>
        <v>0</v>
      </c>
      <c r="AX13" s="234">
        <f>轉向量!D388</f>
        <v>0</v>
      </c>
      <c r="AY13" s="235">
        <f>轉向量!E388</f>
        <v>0</v>
      </c>
      <c r="AZ13" s="235">
        <f>轉向量!F388</f>
        <v>0</v>
      </c>
      <c r="BA13" s="236">
        <f>轉向量!G388</f>
        <v>0</v>
      </c>
      <c r="BB13" s="235">
        <f>轉向量!I388</f>
        <v>0</v>
      </c>
      <c r="BC13" s="235">
        <f>轉向量!J388</f>
        <v>0</v>
      </c>
      <c r="BD13" s="235">
        <f>轉向量!K388</f>
        <v>0</v>
      </c>
      <c r="BE13" s="236">
        <f>轉向量!L388</f>
        <v>0</v>
      </c>
      <c r="BF13" s="235">
        <f>轉向量!N388</f>
        <v>0</v>
      </c>
      <c r="BG13" s="235">
        <f>轉向量!O388</f>
        <v>0</v>
      </c>
      <c r="BH13" s="235">
        <f>轉向量!P388</f>
        <v>0</v>
      </c>
      <c r="BI13" s="236">
        <f>轉向量!Q388</f>
        <v>0</v>
      </c>
      <c r="BJ13" s="16"/>
      <c r="BK13" s="15"/>
    </row>
    <row r="14" spans="1:142" s="7" customFormat="1" ht="16.5" customHeight="1">
      <c r="A14" s="28">
        <v>45</v>
      </c>
      <c r="B14" s="184">
        <f>轉向量!E5</f>
        <v>0</v>
      </c>
      <c r="C14" s="184">
        <f>轉向量!F5</f>
        <v>0</v>
      </c>
      <c r="D14" s="184">
        <f>轉向量!G5</f>
        <v>0</v>
      </c>
      <c r="E14" s="185">
        <f>轉向量!H5</f>
        <v>0</v>
      </c>
      <c r="F14" s="186">
        <f>轉向量!J5</f>
        <v>0</v>
      </c>
      <c r="G14" s="184">
        <f>轉向量!K5</f>
        <v>0</v>
      </c>
      <c r="H14" s="184">
        <f>轉向量!L5</f>
        <v>0</v>
      </c>
      <c r="I14" s="185">
        <f>轉向量!M5</f>
        <v>0</v>
      </c>
      <c r="J14" s="186">
        <f>轉向量!O5</f>
        <v>0</v>
      </c>
      <c r="K14" s="184">
        <f>轉向量!P5</f>
        <v>0</v>
      </c>
      <c r="L14" s="184">
        <f>轉向量!Q5</f>
        <v>0</v>
      </c>
      <c r="M14" s="185">
        <f>轉向量!R5</f>
        <v>0</v>
      </c>
      <c r="N14" s="187">
        <f>轉向量!D101</f>
        <v>0</v>
      </c>
      <c r="O14" s="188">
        <f>轉向量!F101</f>
        <v>0</v>
      </c>
      <c r="P14" s="188">
        <f>轉向量!G101</f>
        <v>0</v>
      </c>
      <c r="Q14" s="189">
        <f>轉向量!H101</f>
        <v>0</v>
      </c>
      <c r="R14" s="187">
        <f>轉向量!I101</f>
        <v>0</v>
      </c>
      <c r="S14" s="188">
        <f>轉向量!K101</f>
        <v>0</v>
      </c>
      <c r="T14" s="188">
        <f>轉向量!L101</f>
        <v>0</v>
      </c>
      <c r="U14" s="189">
        <f>轉向量!M101</f>
        <v>0</v>
      </c>
      <c r="V14" s="188">
        <f>轉向量!N101</f>
        <v>0</v>
      </c>
      <c r="W14" s="188">
        <f>轉向量!P101</f>
        <v>0</v>
      </c>
      <c r="X14" s="188">
        <f>轉向量!Q101</f>
        <v>0</v>
      </c>
      <c r="Y14" s="189">
        <f>轉向量!R101</f>
        <v>0</v>
      </c>
      <c r="Z14" s="209">
        <f>轉向量!D197</f>
        <v>0</v>
      </c>
      <c r="AA14" s="210">
        <f>轉向量!E197</f>
        <v>0</v>
      </c>
      <c r="AB14" s="210">
        <f>轉向量!G197</f>
        <v>0</v>
      </c>
      <c r="AC14" s="211">
        <f>轉向量!H197</f>
        <v>0</v>
      </c>
      <c r="AD14" s="210">
        <f>轉向量!I197</f>
        <v>0</v>
      </c>
      <c r="AE14" s="210">
        <f>轉向量!J197</f>
        <v>0</v>
      </c>
      <c r="AF14" s="210">
        <f>轉向量!L197</f>
        <v>0</v>
      </c>
      <c r="AG14" s="211">
        <f>轉向量!M197</f>
        <v>0</v>
      </c>
      <c r="AH14" s="210">
        <f>轉向量!N197</f>
        <v>0</v>
      </c>
      <c r="AI14" s="210">
        <f>轉向量!O197</f>
        <v>0</v>
      </c>
      <c r="AJ14" s="210">
        <f>轉向量!Q197</f>
        <v>0</v>
      </c>
      <c r="AK14" s="211">
        <f>轉向量!R197</f>
        <v>0</v>
      </c>
      <c r="AL14" s="221">
        <f>轉向量!D293</f>
        <v>0</v>
      </c>
      <c r="AM14" s="222">
        <f>轉向量!E293</f>
        <v>0</v>
      </c>
      <c r="AN14" s="222">
        <f>轉向量!F293</f>
        <v>0</v>
      </c>
      <c r="AO14" s="223">
        <f>轉向量!H293</f>
        <v>0</v>
      </c>
      <c r="AP14" s="222">
        <f>轉向量!I293</f>
        <v>0</v>
      </c>
      <c r="AQ14" s="222">
        <f>轉向量!J293</f>
        <v>0</v>
      </c>
      <c r="AR14" s="222">
        <f>轉向量!K293</f>
        <v>0</v>
      </c>
      <c r="AS14" s="223">
        <f>轉向量!M293</f>
        <v>0</v>
      </c>
      <c r="AT14" s="222">
        <f>轉向量!N293</f>
        <v>0</v>
      </c>
      <c r="AU14" s="222">
        <f>轉向量!O293</f>
        <v>0</v>
      </c>
      <c r="AV14" s="222">
        <f>轉向量!P293</f>
        <v>0</v>
      </c>
      <c r="AW14" s="223">
        <f>轉向量!R293</f>
        <v>0</v>
      </c>
      <c r="AX14" s="234">
        <f>轉向量!D389</f>
        <v>0</v>
      </c>
      <c r="AY14" s="235">
        <f>轉向量!E389</f>
        <v>0</v>
      </c>
      <c r="AZ14" s="235">
        <f>轉向量!F389</f>
        <v>0</v>
      </c>
      <c r="BA14" s="236">
        <f>轉向量!G389</f>
        <v>0</v>
      </c>
      <c r="BB14" s="235">
        <f>轉向量!I389</f>
        <v>0</v>
      </c>
      <c r="BC14" s="235">
        <f>轉向量!J389</f>
        <v>0</v>
      </c>
      <c r="BD14" s="235">
        <f>轉向量!K389</f>
        <v>0</v>
      </c>
      <c r="BE14" s="236">
        <f>轉向量!L389</f>
        <v>0</v>
      </c>
      <c r="BF14" s="235">
        <f>轉向量!N389</f>
        <v>0</v>
      </c>
      <c r="BG14" s="235">
        <f>轉向量!O389</f>
        <v>0</v>
      </c>
      <c r="BH14" s="235">
        <f>轉向量!P389</f>
        <v>0</v>
      </c>
      <c r="BI14" s="236">
        <f>轉向量!Q389</f>
        <v>0</v>
      </c>
      <c r="BJ14" s="16"/>
      <c r="BK14" s="15"/>
    </row>
    <row r="15" spans="1:142" s="7" customFormat="1" ht="16.5" customHeight="1">
      <c r="A15" s="28">
        <v>100</v>
      </c>
      <c r="B15" s="184">
        <f>轉向量!E6</f>
        <v>0</v>
      </c>
      <c r="C15" s="184">
        <f>轉向量!F6</f>
        <v>0</v>
      </c>
      <c r="D15" s="184">
        <f>轉向量!G6</f>
        <v>0</v>
      </c>
      <c r="E15" s="185">
        <f>轉向量!H6</f>
        <v>0</v>
      </c>
      <c r="F15" s="186">
        <f>轉向量!J6</f>
        <v>0</v>
      </c>
      <c r="G15" s="184">
        <f>轉向量!K6</f>
        <v>0</v>
      </c>
      <c r="H15" s="184">
        <f>轉向量!L6</f>
        <v>0</v>
      </c>
      <c r="I15" s="185">
        <f>轉向量!M6</f>
        <v>0</v>
      </c>
      <c r="J15" s="186">
        <f>轉向量!O6</f>
        <v>0</v>
      </c>
      <c r="K15" s="184">
        <f>轉向量!P6</f>
        <v>0</v>
      </c>
      <c r="L15" s="184">
        <f>轉向量!Q6</f>
        <v>0</v>
      </c>
      <c r="M15" s="185">
        <f>轉向量!R6</f>
        <v>0</v>
      </c>
      <c r="N15" s="187">
        <f>轉向量!D102</f>
        <v>0</v>
      </c>
      <c r="O15" s="188">
        <f>轉向量!F102</f>
        <v>0</v>
      </c>
      <c r="P15" s="188">
        <f>轉向量!G102</f>
        <v>0</v>
      </c>
      <c r="Q15" s="189">
        <f>轉向量!H102</f>
        <v>0</v>
      </c>
      <c r="R15" s="187">
        <f>轉向量!I102</f>
        <v>0</v>
      </c>
      <c r="S15" s="188">
        <f>轉向量!K102</f>
        <v>0</v>
      </c>
      <c r="T15" s="188">
        <f>轉向量!L102</f>
        <v>0</v>
      </c>
      <c r="U15" s="189">
        <f>轉向量!M102</f>
        <v>0</v>
      </c>
      <c r="V15" s="188">
        <f>轉向量!N102</f>
        <v>0</v>
      </c>
      <c r="W15" s="188">
        <f>轉向量!P102</f>
        <v>0</v>
      </c>
      <c r="X15" s="188">
        <f>轉向量!Q102</f>
        <v>0</v>
      </c>
      <c r="Y15" s="189">
        <f>轉向量!R102</f>
        <v>0</v>
      </c>
      <c r="Z15" s="209">
        <f>轉向量!D198</f>
        <v>0</v>
      </c>
      <c r="AA15" s="210">
        <f>轉向量!E198</f>
        <v>0</v>
      </c>
      <c r="AB15" s="210">
        <f>轉向量!G198</f>
        <v>0</v>
      </c>
      <c r="AC15" s="211">
        <f>轉向量!H198</f>
        <v>0</v>
      </c>
      <c r="AD15" s="210">
        <f>轉向量!I198</f>
        <v>0</v>
      </c>
      <c r="AE15" s="210">
        <f>轉向量!J198</f>
        <v>0</v>
      </c>
      <c r="AF15" s="210">
        <f>轉向量!L198</f>
        <v>0</v>
      </c>
      <c r="AG15" s="211">
        <f>轉向量!M198</f>
        <v>0</v>
      </c>
      <c r="AH15" s="210">
        <f>轉向量!N198</f>
        <v>0</v>
      </c>
      <c r="AI15" s="210">
        <f>轉向量!O198</f>
        <v>0</v>
      </c>
      <c r="AJ15" s="210">
        <f>轉向量!Q198</f>
        <v>0</v>
      </c>
      <c r="AK15" s="211">
        <f>轉向量!R198</f>
        <v>0</v>
      </c>
      <c r="AL15" s="221">
        <f>轉向量!D294</f>
        <v>0</v>
      </c>
      <c r="AM15" s="222">
        <f>轉向量!E294</f>
        <v>0</v>
      </c>
      <c r="AN15" s="222">
        <f>轉向量!F294</f>
        <v>0</v>
      </c>
      <c r="AO15" s="223">
        <f>轉向量!H294</f>
        <v>0</v>
      </c>
      <c r="AP15" s="222">
        <f>轉向量!I294</f>
        <v>0</v>
      </c>
      <c r="AQ15" s="222">
        <f>轉向量!J294</f>
        <v>0</v>
      </c>
      <c r="AR15" s="222">
        <f>轉向量!K294</f>
        <v>0</v>
      </c>
      <c r="AS15" s="223">
        <f>轉向量!M294</f>
        <v>0</v>
      </c>
      <c r="AT15" s="222">
        <f>轉向量!N294</f>
        <v>0</v>
      </c>
      <c r="AU15" s="222">
        <f>轉向量!O294</f>
        <v>0</v>
      </c>
      <c r="AV15" s="222">
        <f>轉向量!P294</f>
        <v>0</v>
      </c>
      <c r="AW15" s="223">
        <f>轉向量!R294</f>
        <v>0</v>
      </c>
      <c r="AX15" s="234">
        <f>轉向量!D390</f>
        <v>0</v>
      </c>
      <c r="AY15" s="235">
        <f>轉向量!E390</f>
        <v>0</v>
      </c>
      <c r="AZ15" s="235">
        <f>轉向量!F390</f>
        <v>0</v>
      </c>
      <c r="BA15" s="236">
        <f>轉向量!G390</f>
        <v>0</v>
      </c>
      <c r="BB15" s="235">
        <f>轉向量!I390</f>
        <v>0</v>
      </c>
      <c r="BC15" s="235">
        <f>轉向量!J390</f>
        <v>0</v>
      </c>
      <c r="BD15" s="235">
        <f>轉向量!K390</f>
        <v>0</v>
      </c>
      <c r="BE15" s="236">
        <f>轉向量!L390</f>
        <v>0</v>
      </c>
      <c r="BF15" s="235">
        <f>轉向量!N390</f>
        <v>0</v>
      </c>
      <c r="BG15" s="235">
        <f>轉向量!O390</f>
        <v>0</v>
      </c>
      <c r="BH15" s="235">
        <f>轉向量!P390</f>
        <v>0</v>
      </c>
      <c r="BI15" s="236">
        <f>轉向量!Q390</f>
        <v>0</v>
      </c>
      <c r="BJ15" s="16"/>
      <c r="BK15" s="15"/>
    </row>
    <row r="16" spans="1:142" s="7" customFormat="1" ht="16.5" customHeight="1">
      <c r="A16" s="28">
        <v>115</v>
      </c>
      <c r="B16" s="184">
        <f>轉向量!E7</f>
        <v>0</v>
      </c>
      <c r="C16" s="184">
        <f>轉向量!F7</f>
        <v>0</v>
      </c>
      <c r="D16" s="184">
        <f>轉向量!G7</f>
        <v>0</v>
      </c>
      <c r="E16" s="185">
        <f>轉向量!H7</f>
        <v>0</v>
      </c>
      <c r="F16" s="186">
        <f>轉向量!J7</f>
        <v>0</v>
      </c>
      <c r="G16" s="184">
        <f>轉向量!K7</f>
        <v>0</v>
      </c>
      <c r="H16" s="184">
        <f>轉向量!L7</f>
        <v>0</v>
      </c>
      <c r="I16" s="185">
        <f>轉向量!M7</f>
        <v>0</v>
      </c>
      <c r="J16" s="186">
        <f>轉向量!O7</f>
        <v>0</v>
      </c>
      <c r="K16" s="184">
        <f>轉向量!P7</f>
        <v>0</v>
      </c>
      <c r="L16" s="184">
        <f>轉向量!Q7</f>
        <v>0</v>
      </c>
      <c r="M16" s="185">
        <f>轉向量!R7</f>
        <v>0</v>
      </c>
      <c r="N16" s="187">
        <f>轉向量!D103</f>
        <v>0</v>
      </c>
      <c r="O16" s="188">
        <f>轉向量!F103</f>
        <v>0</v>
      </c>
      <c r="P16" s="188">
        <f>轉向量!G103</f>
        <v>0</v>
      </c>
      <c r="Q16" s="189">
        <f>轉向量!H103</f>
        <v>0</v>
      </c>
      <c r="R16" s="187">
        <f>轉向量!I103</f>
        <v>0</v>
      </c>
      <c r="S16" s="188">
        <f>轉向量!K103</f>
        <v>0</v>
      </c>
      <c r="T16" s="188">
        <f>轉向量!L103</f>
        <v>0</v>
      </c>
      <c r="U16" s="189">
        <f>轉向量!M103</f>
        <v>0</v>
      </c>
      <c r="V16" s="188">
        <f>轉向量!N103</f>
        <v>0</v>
      </c>
      <c r="W16" s="188">
        <f>轉向量!P103</f>
        <v>0</v>
      </c>
      <c r="X16" s="188">
        <f>轉向量!Q103</f>
        <v>0</v>
      </c>
      <c r="Y16" s="189">
        <f>轉向量!R103</f>
        <v>0</v>
      </c>
      <c r="Z16" s="209">
        <f>轉向量!D199</f>
        <v>0</v>
      </c>
      <c r="AA16" s="210">
        <f>轉向量!E199</f>
        <v>0</v>
      </c>
      <c r="AB16" s="210">
        <f>轉向量!G199</f>
        <v>0</v>
      </c>
      <c r="AC16" s="211">
        <f>轉向量!H199</f>
        <v>0</v>
      </c>
      <c r="AD16" s="210">
        <f>轉向量!I199</f>
        <v>0</v>
      </c>
      <c r="AE16" s="210">
        <f>轉向量!J199</f>
        <v>0</v>
      </c>
      <c r="AF16" s="210">
        <f>轉向量!L199</f>
        <v>0</v>
      </c>
      <c r="AG16" s="211">
        <f>轉向量!M199</f>
        <v>0</v>
      </c>
      <c r="AH16" s="210">
        <f>轉向量!N199</f>
        <v>0</v>
      </c>
      <c r="AI16" s="210">
        <f>轉向量!O199</f>
        <v>0</v>
      </c>
      <c r="AJ16" s="210">
        <f>轉向量!Q199</f>
        <v>0</v>
      </c>
      <c r="AK16" s="211">
        <f>轉向量!R199</f>
        <v>0</v>
      </c>
      <c r="AL16" s="221">
        <f>轉向量!D295</f>
        <v>0</v>
      </c>
      <c r="AM16" s="222">
        <f>轉向量!E295</f>
        <v>0</v>
      </c>
      <c r="AN16" s="222">
        <f>轉向量!F295</f>
        <v>0</v>
      </c>
      <c r="AO16" s="223">
        <f>轉向量!H295</f>
        <v>0</v>
      </c>
      <c r="AP16" s="222">
        <f>轉向量!I295</f>
        <v>0</v>
      </c>
      <c r="AQ16" s="222">
        <f>轉向量!J295</f>
        <v>0</v>
      </c>
      <c r="AR16" s="222">
        <f>轉向量!K295</f>
        <v>0</v>
      </c>
      <c r="AS16" s="223">
        <f>轉向量!M295</f>
        <v>0</v>
      </c>
      <c r="AT16" s="222">
        <f>轉向量!N295</f>
        <v>0</v>
      </c>
      <c r="AU16" s="222">
        <f>轉向量!O295</f>
        <v>0</v>
      </c>
      <c r="AV16" s="222">
        <f>轉向量!P295</f>
        <v>0</v>
      </c>
      <c r="AW16" s="223">
        <f>轉向量!R295</f>
        <v>0</v>
      </c>
      <c r="AX16" s="234">
        <f>轉向量!D391</f>
        <v>0</v>
      </c>
      <c r="AY16" s="235">
        <f>轉向量!E391</f>
        <v>0</v>
      </c>
      <c r="AZ16" s="235">
        <f>轉向量!F391</f>
        <v>0</v>
      </c>
      <c r="BA16" s="236">
        <f>轉向量!G391</f>
        <v>0</v>
      </c>
      <c r="BB16" s="235">
        <f>轉向量!I391</f>
        <v>0</v>
      </c>
      <c r="BC16" s="235">
        <f>轉向量!J391</f>
        <v>0</v>
      </c>
      <c r="BD16" s="235">
        <f>轉向量!K391</f>
        <v>0</v>
      </c>
      <c r="BE16" s="236">
        <f>轉向量!L391</f>
        <v>0</v>
      </c>
      <c r="BF16" s="235">
        <f>轉向量!N391</f>
        <v>0</v>
      </c>
      <c r="BG16" s="235">
        <f>轉向量!O391</f>
        <v>0</v>
      </c>
      <c r="BH16" s="235">
        <f>轉向量!P391</f>
        <v>0</v>
      </c>
      <c r="BI16" s="236">
        <f>轉向量!Q391</f>
        <v>0</v>
      </c>
      <c r="BJ16" s="16"/>
      <c r="BK16" s="15"/>
    </row>
    <row r="17" spans="1:63" s="7" customFormat="1" ht="16.5" customHeight="1">
      <c r="A17" s="28">
        <v>130</v>
      </c>
      <c r="B17" s="184">
        <f>轉向量!E8</f>
        <v>0</v>
      </c>
      <c r="C17" s="184">
        <f>轉向量!F8</f>
        <v>0</v>
      </c>
      <c r="D17" s="184">
        <f>轉向量!G8</f>
        <v>0</v>
      </c>
      <c r="E17" s="185">
        <f>轉向量!H8</f>
        <v>0</v>
      </c>
      <c r="F17" s="186">
        <f>轉向量!J8</f>
        <v>0</v>
      </c>
      <c r="G17" s="184">
        <f>轉向量!K8</f>
        <v>0</v>
      </c>
      <c r="H17" s="184">
        <f>轉向量!L8</f>
        <v>0</v>
      </c>
      <c r="I17" s="185">
        <f>轉向量!M8</f>
        <v>0</v>
      </c>
      <c r="J17" s="186">
        <f>轉向量!O8</f>
        <v>0</v>
      </c>
      <c r="K17" s="184">
        <f>轉向量!P8</f>
        <v>0</v>
      </c>
      <c r="L17" s="184">
        <f>轉向量!Q8</f>
        <v>0</v>
      </c>
      <c r="M17" s="185">
        <f>轉向量!R8</f>
        <v>0</v>
      </c>
      <c r="N17" s="187">
        <f>轉向量!D104</f>
        <v>0</v>
      </c>
      <c r="O17" s="188">
        <f>轉向量!F104</f>
        <v>0</v>
      </c>
      <c r="P17" s="188">
        <f>轉向量!G104</f>
        <v>0</v>
      </c>
      <c r="Q17" s="189">
        <f>轉向量!H104</f>
        <v>0</v>
      </c>
      <c r="R17" s="187">
        <f>轉向量!I104</f>
        <v>0</v>
      </c>
      <c r="S17" s="188">
        <f>轉向量!K104</f>
        <v>0</v>
      </c>
      <c r="T17" s="188">
        <f>轉向量!L104</f>
        <v>0</v>
      </c>
      <c r="U17" s="189">
        <f>轉向量!M104</f>
        <v>0</v>
      </c>
      <c r="V17" s="188">
        <f>轉向量!N104</f>
        <v>0</v>
      </c>
      <c r="W17" s="188">
        <f>轉向量!P104</f>
        <v>0</v>
      </c>
      <c r="X17" s="188">
        <f>轉向量!Q104</f>
        <v>0</v>
      </c>
      <c r="Y17" s="189">
        <f>轉向量!R104</f>
        <v>0</v>
      </c>
      <c r="Z17" s="209">
        <f>轉向量!D200</f>
        <v>0</v>
      </c>
      <c r="AA17" s="210">
        <f>轉向量!E200</f>
        <v>0</v>
      </c>
      <c r="AB17" s="210">
        <f>轉向量!G200</f>
        <v>0</v>
      </c>
      <c r="AC17" s="211">
        <f>轉向量!H200</f>
        <v>0</v>
      </c>
      <c r="AD17" s="210">
        <f>轉向量!I200</f>
        <v>0</v>
      </c>
      <c r="AE17" s="210">
        <f>轉向量!J200</f>
        <v>0</v>
      </c>
      <c r="AF17" s="210">
        <f>轉向量!L200</f>
        <v>0</v>
      </c>
      <c r="AG17" s="211">
        <f>轉向量!M200</f>
        <v>0</v>
      </c>
      <c r="AH17" s="210">
        <f>轉向量!N200</f>
        <v>0</v>
      </c>
      <c r="AI17" s="210">
        <f>轉向量!O200</f>
        <v>0</v>
      </c>
      <c r="AJ17" s="210">
        <f>轉向量!Q200</f>
        <v>0</v>
      </c>
      <c r="AK17" s="211">
        <f>轉向量!R200</f>
        <v>0</v>
      </c>
      <c r="AL17" s="221">
        <f>轉向量!D296</f>
        <v>0</v>
      </c>
      <c r="AM17" s="222">
        <f>轉向量!E296</f>
        <v>0</v>
      </c>
      <c r="AN17" s="222">
        <f>轉向量!F296</f>
        <v>0</v>
      </c>
      <c r="AO17" s="223">
        <f>轉向量!H296</f>
        <v>0</v>
      </c>
      <c r="AP17" s="222">
        <f>轉向量!I296</f>
        <v>0</v>
      </c>
      <c r="AQ17" s="222">
        <f>轉向量!J296</f>
        <v>0</v>
      </c>
      <c r="AR17" s="222">
        <f>轉向量!K296</f>
        <v>0</v>
      </c>
      <c r="AS17" s="223">
        <f>轉向量!M296</f>
        <v>0</v>
      </c>
      <c r="AT17" s="222">
        <f>轉向量!N296</f>
        <v>0</v>
      </c>
      <c r="AU17" s="222">
        <f>轉向量!O296</f>
        <v>0</v>
      </c>
      <c r="AV17" s="222">
        <f>轉向量!P296</f>
        <v>0</v>
      </c>
      <c r="AW17" s="223">
        <f>轉向量!R296</f>
        <v>0</v>
      </c>
      <c r="AX17" s="234">
        <f>轉向量!D392</f>
        <v>0</v>
      </c>
      <c r="AY17" s="235">
        <f>轉向量!E392</f>
        <v>0</v>
      </c>
      <c r="AZ17" s="235">
        <f>轉向量!F392</f>
        <v>0</v>
      </c>
      <c r="BA17" s="236">
        <f>轉向量!G392</f>
        <v>0</v>
      </c>
      <c r="BB17" s="235">
        <f>轉向量!I392</f>
        <v>0</v>
      </c>
      <c r="BC17" s="235">
        <f>轉向量!J392</f>
        <v>0</v>
      </c>
      <c r="BD17" s="235">
        <f>轉向量!K392</f>
        <v>0</v>
      </c>
      <c r="BE17" s="236">
        <f>轉向量!L392</f>
        <v>0</v>
      </c>
      <c r="BF17" s="235">
        <f>轉向量!N392</f>
        <v>0</v>
      </c>
      <c r="BG17" s="235">
        <f>轉向量!O392</f>
        <v>0</v>
      </c>
      <c r="BH17" s="235">
        <f>轉向量!P392</f>
        <v>0</v>
      </c>
      <c r="BI17" s="236">
        <f>轉向量!Q392</f>
        <v>0</v>
      </c>
      <c r="BJ17" s="16"/>
      <c r="BK17" s="15"/>
    </row>
    <row r="18" spans="1:63" s="7" customFormat="1" ht="16.5" customHeight="1">
      <c r="A18" s="28">
        <v>145</v>
      </c>
      <c r="B18" s="184">
        <f>轉向量!E9</f>
        <v>0</v>
      </c>
      <c r="C18" s="184">
        <f>轉向量!F9</f>
        <v>0</v>
      </c>
      <c r="D18" s="184">
        <f>轉向量!G9</f>
        <v>0</v>
      </c>
      <c r="E18" s="185">
        <f>轉向量!H9</f>
        <v>0</v>
      </c>
      <c r="F18" s="186">
        <f>轉向量!J9</f>
        <v>0</v>
      </c>
      <c r="G18" s="184">
        <f>轉向量!K9</f>
        <v>0</v>
      </c>
      <c r="H18" s="184">
        <f>轉向量!L9</f>
        <v>0</v>
      </c>
      <c r="I18" s="185">
        <f>轉向量!M9</f>
        <v>0</v>
      </c>
      <c r="J18" s="186">
        <f>轉向量!O9</f>
        <v>0</v>
      </c>
      <c r="K18" s="184">
        <f>轉向量!P9</f>
        <v>0</v>
      </c>
      <c r="L18" s="184">
        <f>轉向量!Q9</f>
        <v>0</v>
      </c>
      <c r="M18" s="185">
        <f>轉向量!R9</f>
        <v>0</v>
      </c>
      <c r="N18" s="187">
        <f>轉向量!D105</f>
        <v>0</v>
      </c>
      <c r="O18" s="188">
        <f>轉向量!F105</f>
        <v>0</v>
      </c>
      <c r="P18" s="188">
        <f>轉向量!G105</f>
        <v>0</v>
      </c>
      <c r="Q18" s="189">
        <f>轉向量!H105</f>
        <v>0</v>
      </c>
      <c r="R18" s="187">
        <f>轉向量!I105</f>
        <v>0</v>
      </c>
      <c r="S18" s="188">
        <f>轉向量!K105</f>
        <v>0</v>
      </c>
      <c r="T18" s="188">
        <f>轉向量!L105</f>
        <v>0</v>
      </c>
      <c r="U18" s="189">
        <f>轉向量!M105</f>
        <v>0</v>
      </c>
      <c r="V18" s="188">
        <f>轉向量!N105</f>
        <v>0</v>
      </c>
      <c r="W18" s="188">
        <f>轉向量!P105</f>
        <v>0</v>
      </c>
      <c r="X18" s="188">
        <f>轉向量!Q105</f>
        <v>0</v>
      </c>
      <c r="Y18" s="189">
        <f>轉向量!R105</f>
        <v>0</v>
      </c>
      <c r="Z18" s="209">
        <f>轉向量!D201</f>
        <v>0</v>
      </c>
      <c r="AA18" s="210">
        <f>轉向量!E201</f>
        <v>0</v>
      </c>
      <c r="AB18" s="210">
        <f>轉向量!G201</f>
        <v>0</v>
      </c>
      <c r="AC18" s="211">
        <f>轉向量!H201</f>
        <v>0</v>
      </c>
      <c r="AD18" s="210">
        <f>轉向量!I201</f>
        <v>0</v>
      </c>
      <c r="AE18" s="210">
        <f>轉向量!J201</f>
        <v>0</v>
      </c>
      <c r="AF18" s="210">
        <f>轉向量!L201</f>
        <v>0</v>
      </c>
      <c r="AG18" s="211">
        <f>轉向量!M201</f>
        <v>0</v>
      </c>
      <c r="AH18" s="210">
        <f>轉向量!N201</f>
        <v>0</v>
      </c>
      <c r="AI18" s="210">
        <f>轉向量!O201</f>
        <v>0</v>
      </c>
      <c r="AJ18" s="210">
        <f>轉向量!Q201</f>
        <v>0</v>
      </c>
      <c r="AK18" s="211">
        <f>轉向量!R201</f>
        <v>0</v>
      </c>
      <c r="AL18" s="221">
        <f>轉向量!D297</f>
        <v>0</v>
      </c>
      <c r="AM18" s="222">
        <f>轉向量!E297</f>
        <v>0</v>
      </c>
      <c r="AN18" s="222">
        <f>轉向量!F297</f>
        <v>0</v>
      </c>
      <c r="AO18" s="223">
        <f>轉向量!H297</f>
        <v>0</v>
      </c>
      <c r="AP18" s="222">
        <f>轉向量!I297</f>
        <v>0</v>
      </c>
      <c r="AQ18" s="222">
        <f>轉向量!J297</f>
        <v>0</v>
      </c>
      <c r="AR18" s="222">
        <f>轉向量!K297</f>
        <v>0</v>
      </c>
      <c r="AS18" s="223">
        <f>轉向量!M297</f>
        <v>0</v>
      </c>
      <c r="AT18" s="222">
        <f>轉向量!N297</f>
        <v>0</v>
      </c>
      <c r="AU18" s="222">
        <f>轉向量!O297</f>
        <v>0</v>
      </c>
      <c r="AV18" s="222">
        <f>轉向量!P297</f>
        <v>0</v>
      </c>
      <c r="AW18" s="223">
        <f>轉向量!R297</f>
        <v>0</v>
      </c>
      <c r="AX18" s="234">
        <f>轉向量!D393</f>
        <v>0</v>
      </c>
      <c r="AY18" s="235">
        <f>轉向量!E393</f>
        <v>0</v>
      </c>
      <c r="AZ18" s="235">
        <f>轉向量!F393</f>
        <v>0</v>
      </c>
      <c r="BA18" s="236">
        <f>轉向量!G393</f>
        <v>0</v>
      </c>
      <c r="BB18" s="235">
        <f>轉向量!I393</f>
        <v>0</v>
      </c>
      <c r="BC18" s="235">
        <f>轉向量!J393</f>
        <v>0</v>
      </c>
      <c r="BD18" s="235">
        <f>轉向量!K393</f>
        <v>0</v>
      </c>
      <c r="BE18" s="236">
        <f>轉向量!L393</f>
        <v>0</v>
      </c>
      <c r="BF18" s="235">
        <f>轉向量!N393</f>
        <v>0</v>
      </c>
      <c r="BG18" s="235">
        <f>轉向量!O393</f>
        <v>0</v>
      </c>
      <c r="BH18" s="235">
        <f>轉向量!P393</f>
        <v>0</v>
      </c>
      <c r="BI18" s="236">
        <f>轉向量!Q393</f>
        <v>0</v>
      </c>
      <c r="BJ18" s="16"/>
      <c r="BK18" s="15"/>
    </row>
    <row r="19" spans="1:63" s="7" customFormat="1" ht="16.5" customHeight="1">
      <c r="A19" s="28">
        <v>200</v>
      </c>
      <c r="B19" s="184">
        <f>轉向量!E10</f>
        <v>0</v>
      </c>
      <c r="C19" s="184">
        <f>轉向量!F10</f>
        <v>0</v>
      </c>
      <c r="D19" s="184">
        <f>轉向量!G10</f>
        <v>0</v>
      </c>
      <c r="E19" s="185">
        <f>轉向量!H10</f>
        <v>0</v>
      </c>
      <c r="F19" s="186">
        <f>轉向量!J10</f>
        <v>0</v>
      </c>
      <c r="G19" s="184">
        <f>轉向量!K10</f>
        <v>0</v>
      </c>
      <c r="H19" s="184">
        <f>轉向量!L10</f>
        <v>0</v>
      </c>
      <c r="I19" s="185">
        <f>轉向量!M10</f>
        <v>0</v>
      </c>
      <c r="J19" s="186">
        <f>轉向量!O10</f>
        <v>0</v>
      </c>
      <c r="K19" s="184">
        <f>轉向量!P10</f>
        <v>0</v>
      </c>
      <c r="L19" s="184">
        <f>轉向量!Q10</f>
        <v>0</v>
      </c>
      <c r="M19" s="185">
        <f>轉向量!R10</f>
        <v>0</v>
      </c>
      <c r="N19" s="187">
        <f>轉向量!D106</f>
        <v>0</v>
      </c>
      <c r="O19" s="188">
        <f>轉向量!F106</f>
        <v>0</v>
      </c>
      <c r="P19" s="188">
        <f>轉向量!G106</f>
        <v>0</v>
      </c>
      <c r="Q19" s="189">
        <f>轉向量!H106</f>
        <v>0</v>
      </c>
      <c r="R19" s="187">
        <f>轉向量!I106</f>
        <v>0</v>
      </c>
      <c r="S19" s="188">
        <f>轉向量!K106</f>
        <v>0</v>
      </c>
      <c r="T19" s="188">
        <f>轉向量!L106</f>
        <v>0</v>
      </c>
      <c r="U19" s="189">
        <f>轉向量!M106</f>
        <v>0</v>
      </c>
      <c r="V19" s="188">
        <f>轉向量!N106</f>
        <v>0</v>
      </c>
      <c r="W19" s="188">
        <f>轉向量!P106</f>
        <v>0</v>
      </c>
      <c r="X19" s="188">
        <f>轉向量!Q106</f>
        <v>0</v>
      </c>
      <c r="Y19" s="189">
        <f>轉向量!R106</f>
        <v>0</v>
      </c>
      <c r="Z19" s="209">
        <f>轉向量!D202</f>
        <v>0</v>
      </c>
      <c r="AA19" s="210">
        <f>轉向量!E202</f>
        <v>0</v>
      </c>
      <c r="AB19" s="210">
        <f>轉向量!G202</f>
        <v>0</v>
      </c>
      <c r="AC19" s="211">
        <f>轉向量!H202</f>
        <v>0</v>
      </c>
      <c r="AD19" s="210">
        <f>轉向量!I202</f>
        <v>0</v>
      </c>
      <c r="AE19" s="210">
        <f>轉向量!J202</f>
        <v>0</v>
      </c>
      <c r="AF19" s="210">
        <f>轉向量!L202</f>
        <v>0</v>
      </c>
      <c r="AG19" s="211">
        <f>轉向量!M202</f>
        <v>0</v>
      </c>
      <c r="AH19" s="210">
        <f>轉向量!N202</f>
        <v>0</v>
      </c>
      <c r="AI19" s="210">
        <f>轉向量!O202</f>
        <v>0</v>
      </c>
      <c r="AJ19" s="210">
        <f>轉向量!Q202</f>
        <v>0</v>
      </c>
      <c r="AK19" s="211">
        <f>轉向量!R202</f>
        <v>0</v>
      </c>
      <c r="AL19" s="221">
        <f>轉向量!D298</f>
        <v>0</v>
      </c>
      <c r="AM19" s="222">
        <f>轉向量!E298</f>
        <v>0</v>
      </c>
      <c r="AN19" s="222">
        <f>轉向量!F298</f>
        <v>0</v>
      </c>
      <c r="AO19" s="223">
        <f>轉向量!H298</f>
        <v>0</v>
      </c>
      <c r="AP19" s="222">
        <f>轉向量!I298</f>
        <v>0</v>
      </c>
      <c r="AQ19" s="222">
        <f>轉向量!J298</f>
        <v>0</v>
      </c>
      <c r="AR19" s="222">
        <f>轉向量!K298</f>
        <v>0</v>
      </c>
      <c r="AS19" s="223">
        <f>轉向量!M298</f>
        <v>0</v>
      </c>
      <c r="AT19" s="222">
        <f>轉向量!N298</f>
        <v>0</v>
      </c>
      <c r="AU19" s="222">
        <f>轉向量!O298</f>
        <v>0</v>
      </c>
      <c r="AV19" s="222">
        <f>轉向量!P298</f>
        <v>0</v>
      </c>
      <c r="AW19" s="223">
        <f>轉向量!R298</f>
        <v>0</v>
      </c>
      <c r="AX19" s="234">
        <f>轉向量!D394</f>
        <v>0</v>
      </c>
      <c r="AY19" s="235">
        <f>轉向量!E394</f>
        <v>0</v>
      </c>
      <c r="AZ19" s="235">
        <f>轉向量!F394</f>
        <v>0</v>
      </c>
      <c r="BA19" s="236">
        <f>轉向量!G394</f>
        <v>0</v>
      </c>
      <c r="BB19" s="235">
        <f>轉向量!I394</f>
        <v>0</v>
      </c>
      <c r="BC19" s="235">
        <f>轉向量!J394</f>
        <v>0</v>
      </c>
      <c r="BD19" s="235">
        <f>轉向量!K394</f>
        <v>0</v>
      </c>
      <c r="BE19" s="236">
        <f>轉向量!L394</f>
        <v>0</v>
      </c>
      <c r="BF19" s="235">
        <f>轉向量!N394</f>
        <v>0</v>
      </c>
      <c r="BG19" s="235">
        <f>轉向量!O394</f>
        <v>0</v>
      </c>
      <c r="BH19" s="235">
        <f>轉向量!P394</f>
        <v>0</v>
      </c>
      <c r="BI19" s="236">
        <f>轉向量!Q394</f>
        <v>0</v>
      </c>
      <c r="BJ19" s="16"/>
      <c r="BK19" s="15"/>
    </row>
    <row r="20" spans="1:63" s="7" customFormat="1" ht="16.5" customHeight="1">
      <c r="A20" s="28">
        <v>215</v>
      </c>
      <c r="B20" s="184">
        <f>轉向量!E11</f>
        <v>0</v>
      </c>
      <c r="C20" s="184">
        <f>轉向量!F11</f>
        <v>0</v>
      </c>
      <c r="D20" s="184">
        <f>轉向量!G11</f>
        <v>0</v>
      </c>
      <c r="E20" s="185">
        <f>轉向量!H11</f>
        <v>0</v>
      </c>
      <c r="F20" s="186">
        <f>轉向量!J11</f>
        <v>0</v>
      </c>
      <c r="G20" s="184">
        <f>轉向量!K11</f>
        <v>0</v>
      </c>
      <c r="H20" s="184">
        <f>轉向量!L11</f>
        <v>0</v>
      </c>
      <c r="I20" s="185">
        <f>轉向量!M11</f>
        <v>0</v>
      </c>
      <c r="J20" s="186">
        <f>轉向量!O11</f>
        <v>0</v>
      </c>
      <c r="K20" s="184">
        <f>轉向量!P11</f>
        <v>0</v>
      </c>
      <c r="L20" s="184">
        <f>轉向量!Q11</f>
        <v>0</v>
      </c>
      <c r="M20" s="185">
        <f>轉向量!R11</f>
        <v>0</v>
      </c>
      <c r="N20" s="187">
        <f>轉向量!D107</f>
        <v>0</v>
      </c>
      <c r="O20" s="188">
        <f>轉向量!F107</f>
        <v>0</v>
      </c>
      <c r="P20" s="188">
        <f>轉向量!G107</f>
        <v>0</v>
      </c>
      <c r="Q20" s="189">
        <f>轉向量!H107</f>
        <v>0</v>
      </c>
      <c r="R20" s="187">
        <f>轉向量!I107</f>
        <v>0</v>
      </c>
      <c r="S20" s="188">
        <f>轉向量!K107</f>
        <v>0</v>
      </c>
      <c r="T20" s="188">
        <f>轉向量!L107</f>
        <v>0</v>
      </c>
      <c r="U20" s="189">
        <f>轉向量!M107</f>
        <v>0</v>
      </c>
      <c r="V20" s="188">
        <f>轉向量!N107</f>
        <v>0</v>
      </c>
      <c r="W20" s="188">
        <f>轉向量!P107</f>
        <v>0</v>
      </c>
      <c r="X20" s="188">
        <f>轉向量!Q107</f>
        <v>0</v>
      </c>
      <c r="Y20" s="189">
        <f>轉向量!R107</f>
        <v>0</v>
      </c>
      <c r="Z20" s="209">
        <f>轉向量!D203</f>
        <v>0</v>
      </c>
      <c r="AA20" s="210">
        <f>轉向量!E203</f>
        <v>0</v>
      </c>
      <c r="AB20" s="210">
        <f>轉向量!G203</f>
        <v>0</v>
      </c>
      <c r="AC20" s="211">
        <f>轉向量!H203</f>
        <v>0</v>
      </c>
      <c r="AD20" s="210">
        <f>轉向量!I203</f>
        <v>0</v>
      </c>
      <c r="AE20" s="210">
        <f>轉向量!J203</f>
        <v>0</v>
      </c>
      <c r="AF20" s="210">
        <f>轉向量!L203</f>
        <v>0</v>
      </c>
      <c r="AG20" s="211">
        <f>轉向量!M203</f>
        <v>0</v>
      </c>
      <c r="AH20" s="210">
        <f>轉向量!N203</f>
        <v>0</v>
      </c>
      <c r="AI20" s="210">
        <f>轉向量!O203</f>
        <v>0</v>
      </c>
      <c r="AJ20" s="210">
        <f>轉向量!Q203</f>
        <v>0</v>
      </c>
      <c r="AK20" s="211">
        <f>轉向量!R203</f>
        <v>0</v>
      </c>
      <c r="AL20" s="221">
        <f>轉向量!D299</f>
        <v>0</v>
      </c>
      <c r="AM20" s="222">
        <f>轉向量!E299</f>
        <v>0</v>
      </c>
      <c r="AN20" s="222">
        <f>轉向量!F299</f>
        <v>0</v>
      </c>
      <c r="AO20" s="223">
        <f>轉向量!H299</f>
        <v>0</v>
      </c>
      <c r="AP20" s="222">
        <f>轉向量!I299</f>
        <v>0</v>
      </c>
      <c r="AQ20" s="222">
        <f>轉向量!J299</f>
        <v>0</v>
      </c>
      <c r="AR20" s="222">
        <f>轉向量!K299</f>
        <v>0</v>
      </c>
      <c r="AS20" s="223">
        <f>轉向量!M299</f>
        <v>0</v>
      </c>
      <c r="AT20" s="222">
        <f>轉向量!N299</f>
        <v>0</v>
      </c>
      <c r="AU20" s="222">
        <f>轉向量!O299</f>
        <v>0</v>
      </c>
      <c r="AV20" s="222">
        <f>轉向量!P299</f>
        <v>0</v>
      </c>
      <c r="AW20" s="223">
        <f>轉向量!R299</f>
        <v>0</v>
      </c>
      <c r="AX20" s="234">
        <f>轉向量!D395</f>
        <v>0</v>
      </c>
      <c r="AY20" s="235">
        <f>轉向量!E395</f>
        <v>0</v>
      </c>
      <c r="AZ20" s="235">
        <f>轉向量!F395</f>
        <v>0</v>
      </c>
      <c r="BA20" s="236">
        <f>轉向量!G395</f>
        <v>0</v>
      </c>
      <c r="BB20" s="235">
        <f>轉向量!I395</f>
        <v>0</v>
      </c>
      <c r="BC20" s="235">
        <f>轉向量!J395</f>
        <v>0</v>
      </c>
      <c r="BD20" s="235">
        <f>轉向量!K395</f>
        <v>0</v>
      </c>
      <c r="BE20" s="236">
        <f>轉向量!L395</f>
        <v>0</v>
      </c>
      <c r="BF20" s="235">
        <f>轉向量!N395</f>
        <v>0</v>
      </c>
      <c r="BG20" s="235">
        <f>轉向量!O395</f>
        <v>0</v>
      </c>
      <c r="BH20" s="235">
        <f>轉向量!P395</f>
        <v>0</v>
      </c>
      <c r="BI20" s="236">
        <f>轉向量!Q395</f>
        <v>0</v>
      </c>
      <c r="BJ20" s="16"/>
      <c r="BK20" s="15"/>
    </row>
    <row r="21" spans="1:63" s="7" customFormat="1" ht="16.5" customHeight="1">
      <c r="A21" s="28">
        <v>230</v>
      </c>
      <c r="B21" s="184">
        <f>轉向量!E12</f>
        <v>0</v>
      </c>
      <c r="C21" s="184">
        <f>轉向量!F12</f>
        <v>0</v>
      </c>
      <c r="D21" s="184">
        <f>轉向量!G12</f>
        <v>0</v>
      </c>
      <c r="E21" s="185">
        <f>轉向量!H12</f>
        <v>0</v>
      </c>
      <c r="F21" s="186">
        <f>轉向量!J12</f>
        <v>0</v>
      </c>
      <c r="G21" s="184">
        <f>轉向量!K12</f>
        <v>0</v>
      </c>
      <c r="H21" s="184">
        <f>轉向量!L12</f>
        <v>0</v>
      </c>
      <c r="I21" s="185">
        <f>轉向量!M12</f>
        <v>0</v>
      </c>
      <c r="J21" s="186">
        <f>轉向量!O12</f>
        <v>0</v>
      </c>
      <c r="K21" s="184">
        <f>轉向量!P12</f>
        <v>0</v>
      </c>
      <c r="L21" s="184">
        <f>轉向量!Q12</f>
        <v>0</v>
      </c>
      <c r="M21" s="185">
        <f>轉向量!R12</f>
        <v>0</v>
      </c>
      <c r="N21" s="187">
        <f>轉向量!D108</f>
        <v>0</v>
      </c>
      <c r="O21" s="188">
        <f>轉向量!F108</f>
        <v>0</v>
      </c>
      <c r="P21" s="188">
        <f>轉向量!G108</f>
        <v>0</v>
      </c>
      <c r="Q21" s="189">
        <f>轉向量!H108</f>
        <v>0</v>
      </c>
      <c r="R21" s="187">
        <f>轉向量!I108</f>
        <v>0</v>
      </c>
      <c r="S21" s="188">
        <f>轉向量!K108</f>
        <v>0</v>
      </c>
      <c r="T21" s="188">
        <f>轉向量!L108</f>
        <v>0</v>
      </c>
      <c r="U21" s="189">
        <f>轉向量!M108</f>
        <v>0</v>
      </c>
      <c r="V21" s="188">
        <f>轉向量!N108</f>
        <v>0</v>
      </c>
      <c r="W21" s="188">
        <f>轉向量!P108</f>
        <v>0</v>
      </c>
      <c r="X21" s="188">
        <f>轉向量!Q108</f>
        <v>0</v>
      </c>
      <c r="Y21" s="189">
        <f>轉向量!R108</f>
        <v>0</v>
      </c>
      <c r="Z21" s="209">
        <f>轉向量!D204</f>
        <v>0</v>
      </c>
      <c r="AA21" s="210">
        <f>轉向量!E204</f>
        <v>0</v>
      </c>
      <c r="AB21" s="210">
        <f>轉向量!G204</f>
        <v>0</v>
      </c>
      <c r="AC21" s="211">
        <f>轉向量!H204</f>
        <v>0</v>
      </c>
      <c r="AD21" s="210">
        <f>轉向量!I204</f>
        <v>0</v>
      </c>
      <c r="AE21" s="210">
        <f>轉向量!J204</f>
        <v>0</v>
      </c>
      <c r="AF21" s="210">
        <f>轉向量!L204</f>
        <v>0</v>
      </c>
      <c r="AG21" s="211">
        <f>轉向量!M204</f>
        <v>0</v>
      </c>
      <c r="AH21" s="210">
        <f>轉向量!N204</f>
        <v>0</v>
      </c>
      <c r="AI21" s="210">
        <f>轉向量!O204</f>
        <v>0</v>
      </c>
      <c r="AJ21" s="210">
        <f>轉向量!Q204</f>
        <v>0</v>
      </c>
      <c r="AK21" s="211">
        <f>轉向量!R204</f>
        <v>0</v>
      </c>
      <c r="AL21" s="221">
        <f>轉向量!D300</f>
        <v>0</v>
      </c>
      <c r="AM21" s="222">
        <f>轉向量!E300</f>
        <v>0</v>
      </c>
      <c r="AN21" s="222">
        <f>轉向量!F300</f>
        <v>0</v>
      </c>
      <c r="AO21" s="223">
        <f>轉向量!H300</f>
        <v>0</v>
      </c>
      <c r="AP21" s="222">
        <f>轉向量!I300</f>
        <v>0</v>
      </c>
      <c r="AQ21" s="222">
        <f>轉向量!J300</f>
        <v>0</v>
      </c>
      <c r="AR21" s="222">
        <f>轉向量!K300</f>
        <v>0</v>
      </c>
      <c r="AS21" s="223">
        <f>轉向量!M300</f>
        <v>0</v>
      </c>
      <c r="AT21" s="222">
        <f>轉向量!N300</f>
        <v>0</v>
      </c>
      <c r="AU21" s="222">
        <f>轉向量!O300</f>
        <v>0</v>
      </c>
      <c r="AV21" s="222">
        <f>轉向量!P300</f>
        <v>0</v>
      </c>
      <c r="AW21" s="223">
        <f>轉向量!R300</f>
        <v>0</v>
      </c>
      <c r="AX21" s="234">
        <f>轉向量!D396</f>
        <v>0</v>
      </c>
      <c r="AY21" s="235">
        <f>轉向量!E396</f>
        <v>0</v>
      </c>
      <c r="AZ21" s="235">
        <f>轉向量!F396</f>
        <v>0</v>
      </c>
      <c r="BA21" s="236">
        <f>轉向量!G396</f>
        <v>0</v>
      </c>
      <c r="BB21" s="235">
        <f>轉向量!I396</f>
        <v>0</v>
      </c>
      <c r="BC21" s="235">
        <f>轉向量!J396</f>
        <v>0</v>
      </c>
      <c r="BD21" s="235">
        <f>轉向量!K396</f>
        <v>0</v>
      </c>
      <c r="BE21" s="236">
        <f>轉向量!L396</f>
        <v>0</v>
      </c>
      <c r="BF21" s="235">
        <f>轉向量!N396</f>
        <v>0</v>
      </c>
      <c r="BG21" s="235">
        <f>轉向量!O396</f>
        <v>0</v>
      </c>
      <c r="BH21" s="235">
        <f>轉向量!P396</f>
        <v>0</v>
      </c>
      <c r="BI21" s="236">
        <f>轉向量!Q396</f>
        <v>0</v>
      </c>
      <c r="BJ21" s="16"/>
      <c r="BK21" s="15"/>
    </row>
    <row r="22" spans="1:63" s="7" customFormat="1" ht="16.5" customHeight="1">
      <c r="A22" s="28">
        <v>245</v>
      </c>
      <c r="B22" s="184">
        <f>轉向量!E13</f>
        <v>0</v>
      </c>
      <c r="C22" s="184">
        <f>轉向量!F13</f>
        <v>0</v>
      </c>
      <c r="D22" s="184">
        <f>轉向量!G13</f>
        <v>0</v>
      </c>
      <c r="E22" s="185">
        <f>轉向量!H13</f>
        <v>0</v>
      </c>
      <c r="F22" s="186">
        <f>轉向量!J13</f>
        <v>0</v>
      </c>
      <c r="G22" s="184">
        <f>轉向量!K13</f>
        <v>0</v>
      </c>
      <c r="H22" s="184">
        <f>轉向量!L13</f>
        <v>0</v>
      </c>
      <c r="I22" s="185">
        <f>轉向量!M13</f>
        <v>0</v>
      </c>
      <c r="J22" s="186">
        <f>轉向量!O13</f>
        <v>0</v>
      </c>
      <c r="K22" s="184">
        <f>轉向量!P13</f>
        <v>0</v>
      </c>
      <c r="L22" s="184">
        <f>轉向量!Q13</f>
        <v>0</v>
      </c>
      <c r="M22" s="185">
        <f>轉向量!R13</f>
        <v>0</v>
      </c>
      <c r="N22" s="187">
        <f>轉向量!D109</f>
        <v>0</v>
      </c>
      <c r="O22" s="188">
        <f>轉向量!F109</f>
        <v>0</v>
      </c>
      <c r="P22" s="188">
        <f>轉向量!G109</f>
        <v>0</v>
      </c>
      <c r="Q22" s="189">
        <f>轉向量!H109</f>
        <v>0</v>
      </c>
      <c r="R22" s="187">
        <f>轉向量!I109</f>
        <v>0</v>
      </c>
      <c r="S22" s="188">
        <f>轉向量!K109</f>
        <v>0</v>
      </c>
      <c r="T22" s="188">
        <f>轉向量!L109</f>
        <v>0</v>
      </c>
      <c r="U22" s="189">
        <f>轉向量!M109</f>
        <v>0</v>
      </c>
      <c r="V22" s="188">
        <f>轉向量!N109</f>
        <v>0</v>
      </c>
      <c r="W22" s="188">
        <f>轉向量!P109</f>
        <v>0</v>
      </c>
      <c r="X22" s="188">
        <f>轉向量!Q109</f>
        <v>0</v>
      </c>
      <c r="Y22" s="189">
        <f>轉向量!R109</f>
        <v>0</v>
      </c>
      <c r="Z22" s="209">
        <f>轉向量!D205</f>
        <v>0</v>
      </c>
      <c r="AA22" s="210">
        <f>轉向量!E205</f>
        <v>0</v>
      </c>
      <c r="AB22" s="210">
        <f>轉向量!G205</f>
        <v>0</v>
      </c>
      <c r="AC22" s="211">
        <f>轉向量!H205</f>
        <v>0</v>
      </c>
      <c r="AD22" s="210">
        <f>轉向量!I205</f>
        <v>0</v>
      </c>
      <c r="AE22" s="210">
        <f>轉向量!J205</f>
        <v>0</v>
      </c>
      <c r="AF22" s="210">
        <f>轉向量!L205</f>
        <v>0</v>
      </c>
      <c r="AG22" s="211">
        <f>轉向量!M205</f>
        <v>0</v>
      </c>
      <c r="AH22" s="210">
        <f>轉向量!N205</f>
        <v>0</v>
      </c>
      <c r="AI22" s="210">
        <f>轉向量!O205</f>
        <v>0</v>
      </c>
      <c r="AJ22" s="210">
        <f>轉向量!Q205</f>
        <v>0</v>
      </c>
      <c r="AK22" s="211">
        <f>轉向量!R205</f>
        <v>0</v>
      </c>
      <c r="AL22" s="221">
        <f>轉向量!D301</f>
        <v>0</v>
      </c>
      <c r="AM22" s="222">
        <f>轉向量!E301</f>
        <v>0</v>
      </c>
      <c r="AN22" s="222">
        <f>轉向量!F301</f>
        <v>0</v>
      </c>
      <c r="AO22" s="223">
        <f>轉向量!H301</f>
        <v>0</v>
      </c>
      <c r="AP22" s="222">
        <f>轉向量!I301</f>
        <v>0</v>
      </c>
      <c r="AQ22" s="222">
        <f>轉向量!J301</f>
        <v>0</v>
      </c>
      <c r="AR22" s="222">
        <f>轉向量!K301</f>
        <v>0</v>
      </c>
      <c r="AS22" s="223">
        <f>轉向量!M301</f>
        <v>0</v>
      </c>
      <c r="AT22" s="222">
        <f>轉向量!N301</f>
        <v>0</v>
      </c>
      <c r="AU22" s="222">
        <f>轉向量!O301</f>
        <v>0</v>
      </c>
      <c r="AV22" s="222">
        <f>轉向量!P301</f>
        <v>0</v>
      </c>
      <c r="AW22" s="223">
        <f>轉向量!R301</f>
        <v>0</v>
      </c>
      <c r="AX22" s="234">
        <f>轉向量!D397</f>
        <v>0</v>
      </c>
      <c r="AY22" s="235">
        <f>轉向量!E397</f>
        <v>0</v>
      </c>
      <c r="AZ22" s="235">
        <f>轉向量!F397</f>
        <v>0</v>
      </c>
      <c r="BA22" s="236">
        <f>轉向量!G397</f>
        <v>0</v>
      </c>
      <c r="BB22" s="235">
        <f>轉向量!I397</f>
        <v>0</v>
      </c>
      <c r="BC22" s="235">
        <f>轉向量!J397</f>
        <v>0</v>
      </c>
      <c r="BD22" s="235">
        <f>轉向量!K397</f>
        <v>0</v>
      </c>
      <c r="BE22" s="236">
        <f>轉向量!L397</f>
        <v>0</v>
      </c>
      <c r="BF22" s="235">
        <f>轉向量!N397</f>
        <v>0</v>
      </c>
      <c r="BG22" s="235">
        <f>轉向量!O397</f>
        <v>0</v>
      </c>
      <c r="BH22" s="235">
        <f>轉向量!P397</f>
        <v>0</v>
      </c>
      <c r="BI22" s="236">
        <f>轉向量!Q397</f>
        <v>0</v>
      </c>
      <c r="BJ22" s="16"/>
      <c r="BK22" s="15"/>
    </row>
    <row r="23" spans="1:63" s="7" customFormat="1" ht="16.5" customHeight="1">
      <c r="A23" s="28">
        <v>300</v>
      </c>
      <c r="B23" s="184">
        <f>轉向量!E14</f>
        <v>0</v>
      </c>
      <c r="C23" s="184">
        <f>轉向量!F14</f>
        <v>0</v>
      </c>
      <c r="D23" s="184">
        <f>轉向量!G14</f>
        <v>0</v>
      </c>
      <c r="E23" s="185">
        <f>轉向量!H14</f>
        <v>0</v>
      </c>
      <c r="F23" s="186">
        <f>轉向量!J14</f>
        <v>0</v>
      </c>
      <c r="G23" s="184">
        <f>轉向量!K14</f>
        <v>0</v>
      </c>
      <c r="H23" s="184">
        <f>轉向量!L14</f>
        <v>0</v>
      </c>
      <c r="I23" s="185">
        <f>轉向量!M14</f>
        <v>0</v>
      </c>
      <c r="J23" s="186">
        <f>轉向量!O14</f>
        <v>0</v>
      </c>
      <c r="K23" s="184">
        <f>轉向量!P14</f>
        <v>0</v>
      </c>
      <c r="L23" s="184">
        <f>轉向量!Q14</f>
        <v>0</v>
      </c>
      <c r="M23" s="185">
        <f>轉向量!R14</f>
        <v>0</v>
      </c>
      <c r="N23" s="187">
        <f>轉向量!D110</f>
        <v>0</v>
      </c>
      <c r="O23" s="188">
        <f>轉向量!F110</f>
        <v>0</v>
      </c>
      <c r="P23" s="188">
        <f>轉向量!G110</f>
        <v>0</v>
      </c>
      <c r="Q23" s="189">
        <f>轉向量!H110</f>
        <v>0</v>
      </c>
      <c r="R23" s="187">
        <f>轉向量!I110</f>
        <v>0</v>
      </c>
      <c r="S23" s="188">
        <f>轉向量!K110</f>
        <v>0</v>
      </c>
      <c r="T23" s="188">
        <f>轉向量!L110</f>
        <v>0</v>
      </c>
      <c r="U23" s="189">
        <f>轉向量!M110</f>
        <v>0</v>
      </c>
      <c r="V23" s="188">
        <f>轉向量!N110</f>
        <v>0</v>
      </c>
      <c r="W23" s="188">
        <f>轉向量!P110</f>
        <v>0</v>
      </c>
      <c r="X23" s="188">
        <f>轉向量!Q110</f>
        <v>0</v>
      </c>
      <c r="Y23" s="189">
        <f>轉向量!R110</f>
        <v>0</v>
      </c>
      <c r="Z23" s="209">
        <f>轉向量!D206</f>
        <v>0</v>
      </c>
      <c r="AA23" s="210">
        <f>轉向量!E206</f>
        <v>0</v>
      </c>
      <c r="AB23" s="210">
        <f>轉向量!G206</f>
        <v>0</v>
      </c>
      <c r="AC23" s="211">
        <f>轉向量!H206</f>
        <v>0</v>
      </c>
      <c r="AD23" s="210">
        <f>轉向量!I206</f>
        <v>0</v>
      </c>
      <c r="AE23" s="210">
        <f>轉向量!J206</f>
        <v>0</v>
      </c>
      <c r="AF23" s="210">
        <f>轉向量!L206</f>
        <v>0</v>
      </c>
      <c r="AG23" s="211">
        <f>轉向量!M206</f>
        <v>0</v>
      </c>
      <c r="AH23" s="210">
        <f>轉向量!N206</f>
        <v>0</v>
      </c>
      <c r="AI23" s="210">
        <f>轉向量!O206</f>
        <v>0</v>
      </c>
      <c r="AJ23" s="210">
        <f>轉向量!Q206</f>
        <v>0</v>
      </c>
      <c r="AK23" s="211">
        <f>轉向量!R206</f>
        <v>0</v>
      </c>
      <c r="AL23" s="221">
        <f>轉向量!D302</f>
        <v>0</v>
      </c>
      <c r="AM23" s="222">
        <f>轉向量!E302</f>
        <v>0</v>
      </c>
      <c r="AN23" s="222">
        <f>轉向量!F302</f>
        <v>0</v>
      </c>
      <c r="AO23" s="223">
        <f>轉向量!H302</f>
        <v>0</v>
      </c>
      <c r="AP23" s="222">
        <f>轉向量!I302</f>
        <v>0</v>
      </c>
      <c r="AQ23" s="222">
        <f>轉向量!J302</f>
        <v>0</v>
      </c>
      <c r="AR23" s="222">
        <f>轉向量!K302</f>
        <v>0</v>
      </c>
      <c r="AS23" s="223">
        <f>轉向量!M302</f>
        <v>0</v>
      </c>
      <c r="AT23" s="222">
        <f>轉向量!N302</f>
        <v>0</v>
      </c>
      <c r="AU23" s="222">
        <f>轉向量!O302</f>
        <v>0</v>
      </c>
      <c r="AV23" s="222">
        <f>轉向量!P302</f>
        <v>0</v>
      </c>
      <c r="AW23" s="223">
        <f>轉向量!R302</f>
        <v>0</v>
      </c>
      <c r="AX23" s="234">
        <f>轉向量!D398</f>
        <v>0</v>
      </c>
      <c r="AY23" s="235">
        <f>轉向量!E398</f>
        <v>0</v>
      </c>
      <c r="AZ23" s="235">
        <f>轉向量!F398</f>
        <v>0</v>
      </c>
      <c r="BA23" s="236">
        <f>轉向量!G398</f>
        <v>0</v>
      </c>
      <c r="BB23" s="235">
        <f>轉向量!I398</f>
        <v>0</v>
      </c>
      <c r="BC23" s="235">
        <f>轉向量!J398</f>
        <v>0</v>
      </c>
      <c r="BD23" s="235">
        <f>轉向量!K398</f>
        <v>0</v>
      </c>
      <c r="BE23" s="236">
        <f>轉向量!L398</f>
        <v>0</v>
      </c>
      <c r="BF23" s="235">
        <f>轉向量!N398</f>
        <v>0</v>
      </c>
      <c r="BG23" s="235">
        <f>轉向量!O398</f>
        <v>0</v>
      </c>
      <c r="BH23" s="235">
        <f>轉向量!P398</f>
        <v>0</v>
      </c>
      <c r="BI23" s="236">
        <f>轉向量!Q398</f>
        <v>0</v>
      </c>
      <c r="BJ23" s="16"/>
      <c r="BK23" s="15"/>
    </row>
    <row r="24" spans="1:63" s="7" customFormat="1" ht="16.5" customHeight="1">
      <c r="A24" s="28">
        <v>315</v>
      </c>
      <c r="B24" s="184">
        <f>轉向量!E15</f>
        <v>0</v>
      </c>
      <c r="C24" s="184">
        <f>轉向量!F15</f>
        <v>0</v>
      </c>
      <c r="D24" s="184">
        <f>轉向量!G15</f>
        <v>0</v>
      </c>
      <c r="E24" s="185">
        <f>轉向量!H15</f>
        <v>0</v>
      </c>
      <c r="F24" s="186">
        <f>轉向量!J15</f>
        <v>0</v>
      </c>
      <c r="G24" s="184">
        <f>轉向量!K15</f>
        <v>0</v>
      </c>
      <c r="H24" s="184">
        <f>轉向量!L15</f>
        <v>0</v>
      </c>
      <c r="I24" s="185">
        <f>轉向量!M15</f>
        <v>0</v>
      </c>
      <c r="J24" s="186">
        <f>轉向量!O15</f>
        <v>0</v>
      </c>
      <c r="K24" s="184">
        <f>轉向量!P15</f>
        <v>0</v>
      </c>
      <c r="L24" s="184">
        <f>轉向量!Q15</f>
        <v>0</v>
      </c>
      <c r="M24" s="185">
        <f>轉向量!R15</f>
        <v>0</v>
      </c>
      <c r="N24" s="187">
        <f>轉向量!D111</f>
        <v>0</v>
      </c>
      <c r="O24" s="188">
        <f>轉向量!F111</f>
        <v>0</v>
      </c>
      <c r="P24" s="188">
        <f>轉向量!G111</f>
        <v>0</v>
      </c>
      <c r="Q24" s="189">
        <f>轉向量!H111</f>
        <v>0</v>
      </c>
      <c r="R24" s="187">
        <f>轉向量!I111</f>
        <v>0</v>
      </c>
      <c r="S24" s="188">
        <f>轉向量!K111</f>
        <v>0</v>
      </c>
      <c r="T24" s="188">
        <f>轉向量!L111</f>
        <v>0</v>
      </c>
      <c r="U24" s="189">
        <f>轉向量!M111</f>
        <v>0</v>
      </c>
      <c r="V24" s="188">
        <f>轉向量!N111</f>
        <v>0</v>
      </c>
      <c r="W24" s="188">
        <f>轉向量!P111</f>
        <v>0</v>
      </c>
      <c r="X24" s="188">
        <f>轉向量!Q111</f>
        <v>0</v>
      </c>
      <c r="Y24" s="189">
        <f>轉向量!R111</f>
        <v>0</v>
      </c>
      <c r="Z24" s="209">
        <f>轉向量!D207</f>
        <v>0</v>
      </c>
      <c r="AA24" s="210">
        <f>轉向量!E207</f>
        <v>0</v>
      </c>
      <c r="AB24" s="210">
        <f>轉向量!G207</f>
        <v>0</v>
      </c>
      <c r="AC24" s="211">
        <f>轉向量!H207</f>
        <v>0</v>
      </c>
      <c r="AD24" s="210">
        <f>轉向量!I207</f>
        <v>0</v>
      </c>
      <c r="AE24" s="210">
        <f>轉向量!J207</f>
        <v>0</v>
      </c>
      <c r="AF24" s="210">
        <f>轉向量!L207</f>
        <v>0</v>
      </c>
      <c r="AG24" s="211">
        <f>轉向量!M207</f>
        <v>0</v>
      </c>
      <c r="AH24" s="210">
        <f>轉向量!N207</f>
        <v>0</v>
      </c>
      <c r="AI24" s="210">
        <f>轉向量!O207</f>
        <v>0</v>
      </c>
      <c r="AJ24" s="210">
        <f>轉向量!Q207</f>
        <v>0</v>
      </c>
      <c r="AK24" s="211">
        <f>轉向量!R207</f>
        <v>0</v>
      </c>
      <c r="AL24" s="221">
        <f>轉向量!D303</f>
        <v>0</v>
      </c>
      <c r="AM24" s="222">
        <f>轉向量!E303</f>
        <v>0</v>
      </c>
      <c r="AN24" s="222">
        <f>轉向量!F303</f>
        <v>0</v>
      </c>
      <c r="AO24" s="223">
        <f>轉向量!H303</f>
        <v>0</v>
      </c>
      <c r="AP24" s="222">
        <f>轉向量!I303</f>
        <v>0</v>
      </c>
      <c r="AQ24" s="222">
        <f>轉向量!J303</f>
        <v>0</v>
      </c>
      <c r="AR24" s="222">
        <f>轉向量!K303</f>
        <v>0</v>
      </c>
      <c r="AS24" s="223">
        <f>轉向量!M303</f>
        <v>0</v>
      </c>
      <c r="AT24" s="222">
        <f>轉向量!N303</f>
        <v>0</v>
      </c>
      <c r="AU24" s="222">
        <f>轉向量!O303</f>
        <v>0</v>
      </c>
      <c r="AV24" s="222">
        <f>轉向量!P303</f>
        <v>0</v>
      </c>
      <c r="AW24" s="223">
        <f>轉向量!R303</f>
        <v>0</v>
      </c>
      <c r="AX24" s="234">
        <f>轉向量!D399</f>
        <v>0</v>
      </c>
      <c r="AY24" s="235">
        <f>轉向量!E399</f>
        <v>0</v>
      </c>
      <c r="AZ24" s="235">
        <f>轉向量!F399</f>
        <v>0</v>
      </c>
      <c r="BA24" s="236">
        <f>轉向量!G399</f>
        <v>0</v>
      </c>
      <c r="BB24" s="235">
        <f>轉向量!I399</f>
        <v>0</v>
      </c>
      <c r="BC24" s="235">
        <f>轉向量!J399</f>
        <v>0</v>
      </c>
      <c r="BD24" s="235">
        <f>轉向量!K399</f>
        <v>0</v>
      </c>
      <c r="BE24" s="236">
        <f>轉向量!L399</f>
        <v>0</v>
      </c>
      <c r="BF24" s="235">
        <f>轉向量!N399</f>
        <v>0</v>
      </c>
      <c r="BG24" s="235">
        <f>轉向量!O399</f>
        <v>0</v>
      </c>
      <c r="BH24" s="235">
        <f>轉向量!P399</f>
        <v>0</v>
      </c>
      <c r="BI24" s="236">
        <f>轉向量!Q399</f>
        <v>0</v>
      </c>
      <c r="BJ24" s="16"/>
      <c r="BK24" s="15"/>
    </row>
    <row r="25" spans="1:63" s="7" customFormat="1" ht="16.5" customHeight="1">
      <c r="A25" s="28">
        <v>330</v>
      </c>
      <c r="B25" s="184">
        <f>轉向量!E16</f>
        <v>0</v>
      </c>
      <c r="C25" s="184">
        <f>轉向量!F16</f>
        <v>0</v>
      </c>
      <c r="D25" s="184">
        <f>轉向量!G16</f>
        <v>0</v>
      </c>
      <c r="E25" s="185">
        <f>轉向量!H16</f>
        <v>0</v>
      </c>
      <c r="F25" s="186">
        <f>轉向量!J16</f>
        <v>0</v>
      </c>
      <c r="G25" s="184">
        <f>轉向量!K16</f>
        <v>0</v>
      </c>
      <c r="H25" s="184">
        <f>轉向量!L16</f>
        <v>0</v>
      </c>
      <c r="I25" s="185">
        <f>轉向量!M16</f>
        <v>0</v>
      </c>
      <c r="J25" s="186">
        <f>轉向量!O16</f>
        <v>0</v>
      </c>
      <c r="K25" s="184">
        <f>轉向量!P16</f>
        <v>0</v>
      </c>
      <c r="L25" s="184">
        <f>轉向量!Q16</f>
        <v>0</v>
      </c>
      <c r="M25" s="185">
        <f>轉向量!R16</f>
        <v>0</v>
      </c>
      <c r="N25" s="187">
        <f>轉向量!D112</f>
        <v>0</v>
      </c>
      <c r="O25" s="188">
        <f>轉向量!F112</f>
        <v>0</v>
      </c>
      <c r="P25" s="188">
        <f>轉向量!G112</f>
        <v>0</v>
      </c>
      <c r="Q25" s="189">
        <f>轉向量!H112</f>
        <v>0</v>
      </c>
      <c r="R25" s="187">
        <f>轉向量!I112</f>
        <v>0</v>
      </c>
      <c r="S25" s="188">
        <f>轉向量!K112</f>
        <v>0</v>
      </c>
      <c r="T25" s="188">
        <f>轉向量!L112</f>
        <v>0</v>
      </c>
      <c r="U25" s="189">
        <f>轉向量!M112</f>
        <v>0</v>
      </c>
      <c r="V25" s="188">
        <f>轉向量!N112</f>
        <v>0</v>
      </c>
      <c r="W25" s="188">
        <f>轉向量!P112</f>
        <v>0</v>
      </c>
      <c r="X25" s="188">
        <f>轉向量!Q112</f>
        <v>0</v>
      </c>
      <c r="Y25" s="189">
        <f>轉向量!R112</f>
        <v>0</v>
      </c>
      <c r="Z25" s="209">
        <f>轉向量!D208</f>
        <v>0</v>
      </c>
      <c r="AA25" s="210">
        <f>轉向量!E208</f>
        <v>0</v>
      </c>
      <c r="AB25" s="210">
        <f>轉向量!G208</f>
        <v>0</v>
      </c>
      <c r="AC25" s="211">
        <f>轉向量!H208</f>
        <v>0</v>
      </c>
      <c r="AD25" s="210">
        <f>轉向量!I208</f>
        <v>0</v>
      </c>
      <c r="AE25" s="210">
        <f>轉向量!J208</f>
        <v>0</v>
      </c>
      <c r="AF25" s="210">
        <f>轉向量!L208</f>
        <v>0</v>
      </c>
      <c r="AG25" s="211">
        <f>轉向量!M208</f>
        <v>0</v>
      </c>
      <c r="AH25" s="210">
        <f>轉向量!N208</f>
        <v>0</v>
      </c>
      <c r="AI25" s="210">
        <f>轉向量!O208</f>
        <v>0</v>
      </c>
      <c r="AJ25" s="210">
        <f>轉向量!Q208</f>
        <v>0</v>
      </c>
      <c r="AK25" s="211">
        <f>轉向量!R208</f>
        <v>0</v>
      </c>
      <c r="AL25" s="221">
        <f>轉向量!D304</f>
        <v>0</v>
      </c>
      <c r="AM25" s="222">
        <f>轉向量!E304</f>
        <v>0</v>
      </c>
      <c r="AN25" s="222">
        <f>轉向量!F304</f>
        <v>0</v>
      </c>
      <c r="AO25" s="223">
        <f>轉向量!H304</f>
        <v>0</v>
      </c>
      <c r="AP25" s="222">
        <f>轉向量!I304</f>
        <v>0</v>
      </c>
      <c r="AQ25" s="222">
        <f>轉向量!J304</f>
        <v>0</v>
      </c>
      <c r="AR25" s="222">
        <f>轉向量!K304</f>
        <v>0</v>
      </c>
      <c r="AS25" s="223">
        <f>轉向量!M304</f>
        <v>0</v>
      </c>
      <c r="AT25" s="222">
        <f>轉向量!N304</f>
        <v>0</v>
      </c>
      <c r="AU25" s="222">
        <f>轉向量!O304</f>
        <v>0</v>
      </c>
      <c r="AV25" s="222">
        <f>轉向量!P304</f>
        <v>0</v>
      </c>
      <c r="AW25" s="223">
        <f>轉向量!R304</f>
        <v>0</v>
      </c>
      <c r="AX25" s="234">
        <f>轉向量!D400</f>
        <v>0</v>
      </c>
      <c r="AY25" s="235">
        <f>轉向量!E400</f>
        <v>0</v>
      </c>
      <c r="AZ25" s="235">
        <f>轉向量!F400</f>
        <v>0</v>
      </c>
      <c r="BA25" s="236">
        <f>轉向量!G400</f>
        <v>0</v>
      </c>
      <c r="BB25" s="235">
        <f>轉向量!I400</f>
        <v>0</v>
      </c>
      <c r="BC25" s="235">
        <f>轉向量!J400</f>
        <v>0</v>
      </c>
      <c r="BD25" s="235">
        <f>轉向量!K400</f>
        <v>0</v>
      </c>
      <c r="BE25" s="236">
        <f>轉向量!L400</f>
        <v>0</v>
      </c>
      <c r="BF25" s="235">
        <f>轉向量!N400</f>
        <v>0</v>
      </c>
      <c r="BG25" s="235">
        <f>轉向量!O400</f>
        <v>0</v>
      </c>
      <c r="BH25" s="235">
        <f>轉向量!P400</f>
        <v>0</v>
      </c>
      <c r="BI25" s="236">
        <f>轉向量!Q400</f>
        <v>0</v>
      </c>
      <c r="BJ25" s="16"/>
      <c r="BK25" s="15"/>
    </row>
    <row r="26" spans="1:63" s="7" customFormat="1" ht="16.5" customHeight="1">
      <c r="A26" s="28">
        <v>345</v>
      </c>
      <c r="B26" s="184">
        <f>轉向量!E17</f>
        <v>0</v>
      </c>
      <c r="C26" s="184">
        <f>轉向量!F17</f>
        <v>0</v>
      </c>
      <c r="D26" s="184">
        <f>轉向量!G17</f>
        <v>0</v>
      </c>
      <c r="E26" s="185">
        <f>轉向量!H17</f>
        <v>0</v>
      </c>
      <c r="F26" s="186">
        <f>轉向量!J17</f>
        <v>0</v>
      </c>
      <c r="G26" s="184">
        <f>轉向量!K17</f>
        <v>0</v>
      </c>
      <c r="H26" s="184">
        <f>轉向量!L17</f>
        <v>0</v>
      </c>
      <c r="I26" s="185">
        <f>轉向量!M17</f>
        <v>0</v>
      </c>
      <c r="J26" s="186">
        <f>轉向量!O17</f>
        <v>0</v>
      </c>
      <c r="K26" s="184">
        <f>轉向量!P17</f>
        <v>0</v>
      </c>
      <c r="L26" s="184">
        <f>轉向量!Q17</f>
        <v>0</v>
      </c>
      <c r="M26" s="185">
        <f>轉向量!R17</f>
        <v>0</v>
      </c>
      <c r="N26" s="187">
        <f>轉向量!D113</f>
        <v>0</v>
      </c>
      <c r="O26" s="188">
        <f>轉向量!F113</f>
        <v>0</v>
      </c>
      <c r="P26" s="188">
        <f>轉向量!G113</f>
        <v>0</v>
      </c>
      <c r="Q26" s="189">
        <f>轉向量!H113</f>
        <v>0</v>
      </c>
      <c r="R26" s="187">
        <f>轉向量!I113</f>
        <v>0</v>
      </c>
      <c r="S26" s="188">
        <f>轉向量!K113</f>
        <v>0</v>
      </c>
      <c r="T26" s="188">
        <f>轉向量!L113</f>
        <v>0</v>
      </c>
      <c r="U26" s="189">
        <f>轉向量!M113</f>
        <v>0</v>
      </c>
      <c r="V26" s="188">
        <f>轉向量!N113</f>
        <v>0</v>
      </c>
      <c r="W26" s="188">
        <f>轉向量!P113</f>
        <v>0</v>
      </c>
      <c r="X26" s="188">
        <f>轉向量!Q113</f>
        <v>0</v>
      </c>
      <c r="Y26" s="189">
        <f>轉向量!R113</f>
        <v>0</v>
      </c>
      <c r="Z26" s="209">
        <f>轉向量!D209</f>
        <v>0</v>
      </c>
      <c r="AA26" s="210">
        <f>轉向量!E209</f>
        <v>0</v>
      </c>
      <c r="AB26" s="210">
        <f>轉向量!G209</f>
        <v>0</v>
      </c>
      <c r="AC26" s="211">
        <f>轉向量!H209</f>
        <v>0</v>
      </c>
      <c r="AD26" s="210">
        <f>轉向量!I209</f>
        <v>0</v>
      </c>
      <c r="AE26" s="210">
        <f>轉向量!J209</f>
        <v>0</v>
      </c>
      <c r="AF26" s="210">
        <f>轉向量!L209</f>
        <v>0</v>
      </c>
      <c r="AG26" s="211">
        <f>轉向量!M209</f>
        <v>0</v>
      </c>
      <c r="AH26" s="210">
        <f>轉向量!N209</f>
        <v>0</v>
      </c>
      <c r="AI26" s="210">
        <f>轉向量!O209</f>
        <v>0</v>
      </c>
      <c r="AJ26" s="210">
        <f>轉向量!Q209</f>
        <v>0</v>
      </c>
      <c r="AK26" s="211">
        <f>轉向量!R209</f>
        <v>0</v>
      </c>
      <c r="AL26" s="221">
        <f>轉向量!D305</f>
        <v>0</v>
      </c>
      <c r="AM26" s="222">
        <f>轉向量!E305</f>
        <v>0</v>
      </c>
      <c r="AN26" s="222">
        <f>轉向量!F305</f>
        <v>0</v>
      </c>
      <c r="AO26" s="223">
        <f>轉向量!H305</f>
        <v>0</v>
      </c>
      <c r="AP26" s="222">
        <f>轉向量!I305</f>
        <v>0</v>
      </c>
      <c r="AQ26" s="222">
        <f>轉向量!J305</f>
        <v>0</v>
      </c>
      <c r="AR26" s="222">
        <f>轉向量!K305</f>
        <v>0</v>
      </c>
      <c r="AS26" s="223">
        <f>轉向量!M305</f>
        <v>0</v>
      </c>
      <c r="AT26" s="222">
        <f>轉向量!N305</f>
        <v>0</v>
      </c>
      <c r="AU26" s="222">
        <f>轉向量!O305</f>
        <v>0</v>
      </c>
      <c r="AV26" s="222">
        <f>轉向量!P305</f>
        <v>0</v>
      </c>
      <c r="AW26" s="223">
        <f>轉向量!R305</f>
        <v>0</v>
      </c>
      <c r="AX26" s="234">
        <f>轉向量!D401</f>
        <v>0</v>
      </c>
      <c r="AY26" s="235">
        <f>轉向量!E401</f>
        <v>0</v>
      </c>
      <c r="AZ26" s="235">
        <f>轉向量!F401</f>
        <v>0</v>
      </c>
      <c r="BA26" s="236">
        <f>轉向量!G401</f>
        <v>0</v>
      </c>
      <c r="BB26" s="235">
        <f>轉向量!I401</f>
        <v>0</v>
      </c>
      <c r="BC26" s="235">
        <f>轉向量!J401</f>
        <v>0</v>
      </c>
      <c r="BD26" s="235">
        <f>轉向量!K401</f>
        <v>0</v>
      </c>
      <c r="BE26" s="236">
        <f>轉向量!L401</f>
        <v>0</v>
      </c>
      <c r="BF26" s="235">
        <f>轉向量!N401</f>
        <v>0</v>
      </c>
      <c r="BG26" s="235">
        <f>轉向量!O401</f>
        <v>0</v>
      </c>
      <c r="BH26" s="235">
        <f>轉向量!P401</f>
        <v>0</v>
      </c>
      <c r="BI26" s="236">
        <f>轉向量!Q401</f>
        <v>0</v>
      </c>
      <c r="BJ26" s="16"/>
      <c r="BK26" s="15"/>
    </row>
    <row r="27" spans="1:63" s="7" customFormat="1" ht="16.5" customHeight="1">
      <c r="A27" s="28">
        <v>400</v>
      </c>
      <c r="B27" s="184">
        <f>轉向量!E18</f>
        <v>0</v>
      </c>
      <c r="C27" s="184">
        <f>轉向量!F18</f>
        <v>0</v>
      </c>
      <c r="D27" s="184">
        <f>轉向量!G18</f>
        <v>0</v>
      </c>
      <c r="E27" s="185">
        <f>轉向量!H18</f>
        <v>0</v>
      </c>
      <c r="F27" s="186">
        <f>轉向量!J18</f>
        <v>0</v>
      </c>
      <c r="G27" s="184">
        <f>轉向量!K18</f>
        <v>0</v>
      </c>
      <c r="H27" s="184">
        <f>轉向量!L18</f>
        <v>0</v>
      </c>
      <c r="I27" s="185">
        <f>轉向量!M18</f>
        <v>0</v>
      </c>
      <c r="J27" s="186">
        <f>轉向量!O18</f>
        <v>0</v>
      </c>
      <c r="K27" s="184">
        <f>轉向量!P18</f>
        <v>0</v>
      </c>
      <c r="L27" s="184">
        <f>轉向量!Q18</f>
        <v>0</v>
      </c>
      <c r="M27" s="185">
        <f>轉向量!R18</f>
        <v>0</v>
      </c>
      <c r="N27" s="187">
        <f>轉向量!D114</f>
        <v>0</v>
      </c>
      <c r="O27" s="188">
        <f>轉向量!F114</f>
        <v>0</v>
      </c>
      <c r="P27" s="188">
        <f>轉向量!G114</f>
        <v>0</v>
      </c>
      <c r="Q27" s="189">
        <f>轉向量!H114</f>
        <v>0</v>
      </c>
      <c r="R27" s="187">
        <f>轉向量!I114</f>
        <v>0</v>
      </c>
      <c r="S27" s="188">
        <f>轉向量!K114</f>
        <v>0</v>
      </c>
      <c r="T27" s="188">
        <f>轉向量!L114</f>
        <v>0</v>
      </c>
      <c r="U27" s="189">
        <f>轉向量!M114</f>
        <v>0</v>
      </c>
      <c r="V27" s="188">
        <f>轉向量!N114</f>
        <v>0</v>
      </c>
      <c r="W27" s="188">
        <f>轉向量!P114</f>
        <v>0</v>
      </c>
      <c r="X27" s="188">
        <f>轉向量!Q114</f>
        <v>0</v>
      </c>
      <c r="Y27" s="189">
        <f>轉向量!R114</f>
        <v>0</v>
      </c>
      <c r="Z27" s="209">
        <f>轉向量!D210</f>
        <v>0</v>
      </c>
      <c r="AA27" s="210">
        <f>轉向量!E210</f>
        <v>0</v>
      </c>
      <c r="AB27" s="210">
        <f>轉向量!G210</f>
        <v>0</v>
      </c>
      <c r="AC27" s="211">
        <f>轉向量!H210</f>
        <v>0</v>
      </c>
      <c r="AD27" s="210">
        <f>轉向量!I210</f>
        <v>0</v>
      </c>
      <c r="AE27" s="210">
        <f>轉向量!J210</f>
        <v>0</v>
      </c>
      <c r="AF27" s="210">
        <f>轉向量!L210</f>
        <v>0</v>
      </c>
      <c r="AG27" s="211">
        <f>轉向量!M210</f>
        <v>0</v>
      </c>
      <c r="AH27" s="210">
        <f>轉向量!N210</f>
        <v>0</v>
      </c>
      <c r="AI27" s="210">
        <f>轉向量!O210</f>
        <v>0</v>
      </c>
      <c r="AJ27" s="210">
        <f>轉向量!Q210</f>
        <v>0</v>
      </c>
      <c r="AK27" s="211">
        <f>轉向量!R210</f>
        <v>0</v>
      </c>
      <c r="AL27" s="221">
        <f>轉向量!D306</f>
        <v>0</v>
      </c>
      <c r="AM27" s="222">
        <f>轉向量!E306</f>
        <v>0</v>
      </c>
      <c r="AN27" s="222">
        <f>轉向量!F306</f>
        <v>0</v>
      </c>
      <c r="AO27" s="223">
        <f>轉向量!H306</f>
        <v>0</v>
      </c>
      <c r="AP27" s="222">
        <f>轉向量!I306</f>
        <v>0</v>
      </c>
      <c r="AQ27" s="222">
        <f>轉向量!J306</f>
        <v>0</v>
      </c>
      <c r="AR27" s="222">
        <f>轉向量!K306</f>
        <v>0</v>
      </c>
      <c r="AS27" s="223">
        <f>轉向量!M306</f>
        <v>0</v>
      </c>
      <c r="AT27" s="222">
        <f>轉向量!N306</f>
        <v>0</v>
      </c>
      <c r="AU27" s="222">
        <f>轉向量!O306</f>
        <v>0</v>
      </c>
      <c r="AV27" s="222">
        <f>轉向量!P306</f>
        <v>0</v>
      </c>
      <c r="AW27" s="223">
        <f>轉向量!R306</f>
        <v>0</v>
      </c>
      <c r="AX27" s="234">
        <f>轉向量!D402</f>
        <v>0</v>
      </c>
      <c r="AY27" s="235">
        <f>轉向量!E402</f>
        <v>0</v>
      </c>
      <c r="AZ27" s="235">
        <f>轉向量!F402</f>
        <v>0</v>
      </c>
      <c r="BA27" s="236">
        <f>轉向量!G402</f>
        <v>0</v>
      </c>
      <c r="BB27" s="235">
        <f>轉向量!I402</f>
        <v>0</v>
      </c>
      <c r="BC27" s="235">
        <f>轉向量!J402</f>
        <v>0</v>
      </c>
      <c r="BD27" s="235">
        <f>轉向量!K402</f>
        <v>0</v>
      </c>
      <c r="BE27" s="236">
        <f>轉向量!L402</f>
        <v>0</v>
      </c>
      <c r="BF27" s="235">
        <f>轉向量!N402</f>
        <v>0</v>
      </c>
      <c r="BG27" s="235">
        <f>轉向量!O402</f>
        <v>0</v>
      </c>
      <c r="BH27" s="235">
        <f>轉向量!P402</f>
        <v>0</v>
      </c>
      <c r="BI27" s="236">
        <f>轉向量!Q402</f>
        <v>0</v>
      </c>
      <c r="BJ27" s="16"/>
      <c r="BK27" s="15"/>
    </row>
    <row r="28" spans="1:63" s="7" customFormat="1" ht="16.5" customHeight="1">
      <c r="A28" s="28">
        <v>415</v>
      </c>
      <c r="B28" s="184">
        <f>轉向量!E19</f>
        <v>0</v>
      </c>
      <c r="C28" s="184">
        <f>轉向量!F19</f>
        <v>0</v>
      </c>
      <c r="D28" s="184">
        <f>轉向量!G19</f>
        <v>0</v>
      </c>
      <c r="E28" s="185">
        <f>轉向量!H19</f>
        <v>0</v>
      </c>
      <c r="F28" s="186">
        <f>轉向量!J19</f>
        <v>0</v>
      </c>
      <c r="G28" s="184">
        <f>轉向量!K19</f>
        <v>0</v>
      </c>
      <c r="H28" s="184">
        <f>轉向量!L19</f>
        <v>0</v>
      </c>
      <c r="I28" s="185">
        <f>轉向量!M19</f>
        <v>0</v>
      </c>
      <c r="J28" s="186">
        <f>轉向量!O19</f>
        <v>0</v>
      </c>
      <c r="K28" s="184">
        <f>轉向量!P19</f>
        <v>0</v>
      </c>
      <c r="L28" s="184">
        <f>轉向量!Q19</f>
        <v>0</v>
      </c>
      <c r="M28" s="185">
        <f>轉向量!R19</f>
        <v>0</v>
      </c>
      <c r="N28" s="187">
        <f>轉向量!D115</f>
        <v>0</v>
      </c>
      <c r="O28" s="188">
        <f>轉向量!F115</f>
        <v>0</v>
      </c>
      <c r="P28" s="188">
        <f>轉向量!G115</f>
        <v>0</v>
      </c>
      <c r="Q28" s="189">
        <f>轉向量!H115</f>
        <v>0</v>
      </c>
      <c r="R28" s="187">
        <f>轉向量!I115</f>
        <v>0</v>
      </c>
      <c r="S28" s="188">
        <f>轉向量!K115</f>
        <v>0</v>
      </c>
      <c r="T28" s="188">
        <f>轉向量!L115</f>
        <v>0</v>
      </c>
      <c r="U28" s="189">
        <f>轉向量!M115</f>
        <v>0</v>
      </c>
      <c r="V28" s="188">
        <f>轉向量!N115</f>
        <v>0</v>
      </c>
      <c r="W28" s="188">
        <f>轉向量!P115</f>
        <v>0</v>
      </c>
      <c r="X28" s="188">
        <f>轉向量!Q115</f>
        <v>0</v>
      </c>
      <c r="Y28" s="189">
        <f>轉向量!R115</f>
        <v>0</v>
      </c>
      <c r="Z28" s="209">
        <f>轉向量!D211</f>
        <v>0</v>
      </c>
      <c r="AA28" s="210">
        <f>轉向量!E211</f>
        <v>0</v>
      </c>
      <c r="AB28" s="210">
        <f>轉向量!G211</f>
        <v>0</v>
      </c>
      <c r="AC28" s="211">
        <f>轉向量!H211</f>
        <v>0</v>
      </c>
      <c r="AD28" s="210">
        <f>轉向量!I211</f>
        <v>0</v>
      </c>
      <c r="AE28" s="210">
        <f>轉向量!J211</f>
        <v>0</v>
      </c>
      <c r="AF28" s="210">
        <f>轉向量!L211</f>
        <v>0</v>
      </c>
      <c r="AG28" s="211">
        <f>轉向量!M211</f>
        <v>0</v>
      </c>
      <c r="AH28" s="210">
        <f>轉向量!N211</f>
        <v>0</v>
      </c>
      <c r="AI28" s="210">
        <f>轉向量!O211</f>
        <v>0</v>
      </c>
      <c r="AJ28" s="210">
        <f>轉向量!Q211</f>
        <v>0</v>
      </c>
      <c r="AK28" s="211">
        <f>轉向量!R211</f>
        <v>0</v>
      </c>
      <c r="AL28" s="221">
        <f>轉向量!D307</f>
        <v>0</v>
      </c>
      <c r="AM28" s="222">
        <f>轉向量!E307</f>
        <v>0</v>
      </c>
      <c r="AN28" s="222">
        <f>轉向量!F307</f>
        <v>0</v>
      </c>
      <c r="AO28" s="223">
        <f>轉向量!H307</f>
        <v>0</v>
      </c>
      <c r="AP28" s="222">
        <f>轉向量!I307</f>
        <v>0</v>
      </c>
      <c r="AQ28" s="222">
        <f>轉向量!J307</f>
        <v>0</v>
      </c>
      <c r="AR28" s="222">
        <f>轉向量!K307</f>
        <v>0</v>
      </c>
      <c r="AS28" s="223">
        <f>轉向量!M307</f>
        <v>0</v>
      </c>
      <c r="AT28" s="222">
        <f>轉向量!N307</f>
        <v>0</v>
      </c>
      <c r="AU28" s="222">
        <f>轉向量!O307</f>
        <v>0</v>
      </c>
      <c r="AV28" s="222">
        <f>轉向量!P307</f>
        <v>0</v>
      </c>
      <c r="AW28" s="223">
        <f>轉向量!R307</f>
        <v>0</v>
      </c>
      <c r="AX28" s="234">
        <f>轉向量!D403</f>
        <v>0</v>
      </c>
      <c r="AY28" s="235">
        <f>轉向量!E403</f>
        <v>0</v>
      </c>
      <c r="AZ28" s="235">
        <f>轉向量!F403</f>
        <v>0</v>
      </c>
      <c r="BA28" s="236">
        <f>轉向量!G403</f>
        <v>0</v>
      </c>
      <c r="BB28" s="235">
        <f>轉向量!I403</f>
        <v>0</v>
      </c>
      <c r="BC28" s="235">
        <f>轉向量!J403</f>
        <v>0</v>
      </c>
      <c r="BD28" s="235">
        <f>轉向量!K403</f>
        <v>0</v>
      </c>
      <c r="BE28" s="236">
        <f>轉向量!L403</f>
        <v>0</v>
      </c>
      <c r="BF28" s="235">
        <f>轉向量!N403</f>
        <v>0</v>
      </c>
      <c r="BG28" s="235">
        <f>轉向量!O403</f>
        <v>0</v>
      </c>
      <c r="BH28" s="235">
        <f>轉向量!P403</f>
        <v>0</v>
      </c>
      <c r="BI28" s="236">
        <f>轉向量!Q403</f>
        <v>0</v>
      </c>
      <c r="BJ28" s="16"/>
      <c r="BK28" s="15"/>
    </row>
    <row r="29" spans="1:63" s="7" customFormat="1" ht="16.5" customHeight="1">
      <c r="A29" s="28">
        <v>430</v>
      </c>
      <c r="B29" s="184">
        <f>轉向量!E20</f>
        <v>0</v>
      </c>
      <c r="C29" s="184">
        <f>轉向量!F20</f>
        <v>0</v>
      </c>
      <c r="D29" s="184">
        <f>轉向量!G20</f>
        <v>0</v>
      </c>
      <c r="E29" s="185">
        <f>轉向量!H20</f>
        <v>0</v>
      </c>
      <c r="F29" s="186">
        <f>轉向量!J20</f>
        <v>0</v>
      </c>
      <c r="G29" s="184">
        <f>轉向量!K20</f>
        <v>0</v>
      </c>
      <c r="H29" s="184">
        <f>轉向量!L20</f>
        <v>0</v>
      </c>
      <c r="I29" s="185">
        <f>轉向量!M20</f>
        <v>0</v>
      </c>
      <c r="J29" s="186">
        <f>轉向量!O20</f>
        <v>0</v>
      </c>
      <c r="K29" s="184">
        <f>轉向量!P20</f>
        <v>0</v>
      </c>
      <c r="L29" s="184">
        <f>轉向量!Q20</f>
        <v>0</v>
      </c>
      <c r="M29" s="185">
        <f>轉向量!R20</f>
        <v>0</v>
      </c>
      <c r="N29" s="187">
        <f>轉向量!D116</f>
        <v>0</v>
      </c>
      <c r="O29" s="188">
        <f>轉向量!F116</f>
        <v>0</v>
      </c>
      <c r="P29" s="188">
        <f>轉向量!G116</f>
        <v>0</v>
      </c>
      <c r="Q29" s="189">
        <f>轉向量!H116</f>
        <v>0</v>
      </c>
      <c r="R29" s="187">
        <f>轉向量!I116</f>
        <v>0</v>
      </c>
      <c r="S29" s="188">
        <f>轉向量!K116</f>
        <v>0</v>
      </c>
      <c r="T29" s="188">
        <f>轉向量!L116</f>
        <v>0</v>
      </c>
      <c r="U29" s="189">
        <f>轉向量!M116</f>
        <v>0</v>
      </c>
      <c r="V29" s="188">
        <f>轉向量!N116</f>
        <v>0</v>
      </c>
      <c r="W29" s="188">
        <f>轉向量!P116</f>
        <v>0</v>
      </c>
      <c r="X29" s="188">
        <f>轉向量!Q116</f>
        <v>0</v>
      </c>
      <c r="Y29" s="189">
        <f>轉向量!R116</f>
        <v>0</v>
      </c>
      <c r="Z29" s="209">
        <f>轉向量!D212</f>
        <v>0</v>
      </c>
      <c r="AA29" s="210">
        <f>轉向量!E212</f>
        <v>0</v>
      </c>
      <c r="AB29" s="210">
        <f>轉向量!G212</f>
        <v>0</v>
      </c>
      <c r="AC29" s="211">
        <f>轉向量!H212</f>
        <v>0</v>
      </c>
      <c r="AD29" s="210">
        <f>轉向量!I212</f>
        <v>0</v>
      </c>
      <c r="AE29" s="210">
        <f>轉向量!J212</f>
        <v>0</v>
      </c>
      <c r="AF29" s="210">
        <f>轉向量!L212</f>
        <v>0</v>
      </c>
      <c r="AG29" s="211">
        <f>轉向量!M212</f>
        <v>0</v>
      </c>
      <c r="AH29" s="210">
        <f>轉向量!N212</f>
        <v>0</v>
      </c>
      <c r="AI29" s="210">
        <f>轉向量!O212</f>
        <v>0</v>
      </c>
      <c r="AJ29" s="210">
        <f>轉向量!Q212</f>
        <v>0</v>
      </c>
      <c r="AK29" s="211">
        <f>轉向量!R212</f>
        <v>0</v>
      </c>
      <c r="AL29" s="221">
        <f>轉向量!D308</f>
        <v>0</v>
      </c>
      <c r="AM29" s="222">
        <f>轉向量!E308</f>
        <v>0</v>
      </c>
      <c r="AN29" s="222">
        <f>轉向量!F308</f>
        <v>0</v>
      </c>
      <c r="AO29" s="223">
        <f>轉向量!H308</f>
        <v>0</v>
      </c>
      <c r="AP29" s="222">
        <f>轉向量!I308</f>
        <v>0</v>
      </c>
      <c r="AQ29" s="222">
        <f>轉向量!J308</f>
        <v>0</v>
      </c>
      <c r="AR29" s="222">
        <f>轉向量!K308</f>
        <v>0</v>
      </c>
      <c r="AS29" s="223">
        <f>轉向量!M308</f>
        <v>0</v>
      </c>
      <c r="AT29" s="222">
        <f>轉向量!N308</f>
        <v>0</v>
      </c>
      <c r="AU29" s="222">
        <f>轉向量!O308</f>
        <v>0</v>
      </c>
      <c r="AV29" s="222">
        <f>轉向量!P308</f>
        <v>0</v>
      </c>
      <c r="AW29" s="223">
        <f>轉向量!R308</f>
        <v>0</v>
      </c>
      <c r="AX29" s="234">
        <f>轉向量!D404</f>
        <v>0</v>
      </c>
      <c r="AY29" s="235">
        <f>轉向量!E404</f>
        <v>0</v>
      </c>
      <c r="AZ29" s="235">
        <f>轉向量!F404</f>
        <v>0</v>
      </c>
      <c r="BA29" s="236">
        <f>轉向量!G404</f>
        <v>0</v>
      </c>
      <c r="BB29" s="235">
        <f>轉向量!I404</f>
        <v>0</v>
      </c>
      <c r="BC29" s="235">
        <f>轉向量!J404</f>
        <v>0</v>
      </c>
      <c r="BD29" s="235">
        <f>轉向量!K404</f>
        <v>0</v>
      </c>
      <c r="BE29" s="236">
        <f>轉向量!L404</f>
        <v>0</v>
      </c>
      <c r="BF29" s="235">
        <f>轉向量!N404</f>
        <v>0</v>
      </c>
      <c r="BG29" s="235">
        <f>轉向量!O404</f>
        <v>0</v>
      </c>
      <c r="BH29" s="235">
        <f>轉向量!P404</f>
        <v>0</v>
      </c>
      <c r="BI29" s="236">
        <f>轉向量!Q404</f>
        <v>0</v>
      </c>
      <c r="BJ29" s="16"/>
      <c r="BK29" s="15"/>
    </row>
    <row r="30" spans="1:63" s="7" customFormat="1" ht="16.5" customHeight="1">
      <c r="A30" s="28">
        <v>445</v>
      </c>
      <c r="B30" s="184">
        <f>轉向量!E21</f>
        <v>0</v>
      </c>
      <c r="C30" s="184">
        <f>轉向量!F21</f>
        <v>0</v>
      </c>
      <c r="D30" s="184">
        <f>轉向量!G21</f>
        <v>0</v>
      </c>
      <c r="E30" s="185">
        <f>轉向量!H21</f>
        <v>0</v>
      </c>
      <c r="F30" s="186">
        <f>轉向量!J21</f>
        <v>0</v>
      </c>
      <c r="G30" s="184">
        <f>轉向量!K21</f>
        <v>0</v>
      </c>
      <c r="H30" s="184">
        <f>轉向量!L21</f>
        <v>0</v>
      </c>
      <c r="I30" s="185">
        <f>轉向量!M21</f>
        <v>0</v>
      </c>
      <c r="J30" s="186">
        <f>轉向量!O21</f>
        <v>0</v>
      </c>
      <c r="K30" s="184">
        <f>轉向量!P21</f>
        <v>0</v>
      </c>
      <c r="L30" s="184">
        <f>轉向量!Q21</f>
        <v>0</v>
      </c>
      <c r="M30" s="185">
        <f>轉向量!R21</f>
        <v>0</v>
      </c>
      <c r="N30" s="187">
        <f>轉向量!D117</f>
        <v>0</v>
      </c>
      <c r="O30" s="188">
        <f>轉向量!F117</f>
        <v>0</v>
      </c>
      <c r="P30" s="188">
        <f>轉向量!G117</f>
        <v>0</v>
      </c>
      <c r="Q30" s="189">
        <f>轉向量!H117</f>
        <v>0</v>
      </c>
      <c r="R30" s="187">
        <f>轉向量!I117</f>
        <v>0</v>
      </c>
      <c r="S30" s="188">
        <f>轉向量!K117</f>
        <v>0</v>
      </c>
      <c r="T30" s="188">
        <f>轉向量!L117</f>
        <v>0</v>
      </c>
      <c r="U30" s="189">
        <f>轉向量!M117</f>
        <v>0</v>
      </c>
      <c r="V30" s="188">
        <f>轉向量!N117</f>
        <v>0</v>
      </c>
      <c r="W30" s="188">
        <f>轉向量!P117</f>
        <v>0</v>
      </c>
      <c r="X30" s="188">
        <f>轉向量!Q117</f>
        <v>0</v>
      </c>
      <c r="Y30" s="189">
        <f>轉向量!R117</f>
        <v>0</v>
      </c>
      <c r="Z30" s="209">
        <f>轉向量!D213</f>
        <v>0</v>
      </c>
      <c r="AA30" s="210">
        <f>轉向量!E213</f>
        <v>0</v>
      </c>
      <c r="AB30" s="210">
        <f>轉向量!G213</f>
        <v>0</v>
      </c>
      <c r="AC30" s="211">
        <f>轉向量!H213</f>
        <v>0</v>
      </c>
      <c r="AD30" s="210">
        <f>轉向量!I213</f>
        <v>0</v>
      </c>
      <c r="AE30" s="210">
        <f>轉向量!J213</f>
        <v>0</v>
      </c>
      <c r="AF30" s="210">
        <f>轉向量!L213</f>
        <v>0</v>
      </c>
      <c r="AG30" s="211">
        <f>轉向量!M213</f>
        <v>0</v>
      </c>
      <c r="AH30" s="210">
        <f>轉向量!N213</f>
        <v>0</v>
      </c>
      <c r="AI30" s="210">
        <f>轉向量!O213</f>
        <v>0</v>
      </c>
      <c r="AJ30" s="210">
        <f>轉向量!Q213</f>
        <v>0</v>
      </c>
      <c r="AK30" s="211">
        <f>轉向量!R213</f>
        <v>0</v>
      </c>
      <c r="AL30" s="221">
        <f>轉向量!D309</f>
        <v>0</v>
      </c>
      <c r="AM30" s="222">
        <f>轉向量!E309</f>
        <v>0</v>
      </c>
      <c r="AN30" s="222">
        <f>轉向量!F309</f>
        <v>0</v>
      </c>
      <c r="AO30" s="223">
        <f>轉向量!H309</f>
        <v>0</v>
      </c>
      <c r="AP30" s="222">
        <f>轉向量!I309</f>
        <v>0</v>
      </c>
      <c r="AQ30" s="222">
        <f>轉向量!J309</f>
        <v>0</v>
      </c>
      <c r="AR30" s="222">
        <f>轉向量!K309</f>
        <v>0</v>
      </c>
      <c r="AS30" s="223">
        <f>轉向量!M309</f>
        <v>0</v>
      </c>
      <c r="AT30" s="222">
        <f>轉向量!N309</f>
        <v>0</v>
      </c>
      <c r="AU30" s="222">
        <f>轉向量!O309</f>
        <v>0</v>
      </c>
      <c r="AV30" s="222">
        <f>轉向量!P309</f>
        <v>0</v>
      </c>
      <c r="AW30" s="223">
        <f>轉向量!R309</f>
        <v>0</v>
      </c>
      <c r="AX30" s="234">
        <f>轉向量!D405</f>
        <v>0</v>
      </c>
      <c r="AY30" s="235">
        <f>轉向量!E405</f>
        <v>0</v>
      </c>
      <c r="AZ30" s="235">
        <f>轉向量!F405</f>
        <v>0</v>
      </c>
      <c r="BA30" s="236">
        <f>轉向量!G405</f>
        <v>0</v>
      </c>
      <c r="BB30" s="235">
        <f>轉向量!I405</f>
        <v>0</v>
      </c>
      <c r="BC30" s="235">
        <f>轉向量!J405</f>
        <v>0</v>
      </c>
      <c r="BD30" s="235">
        <f>轉向量!K405</f>
        <v>0</v>
      </c>
      <c r="BE30" s="236">
        <f>轉向量!L405</f>
        <v>0</v>
      </c>
      <c r="BF30" s="235">
        <f>轉向量!N405</f>
        <v>0</v>
      </c>
      <c r="BG30" s="235">
        <f>轉向量!O405</f>
        <v>0</v>
      </c>
      <c r="BH30" s="235">
        <f>轉向量!P405</f>
        <v>0</v>
      </c>
      <c r="BI30" s="236">
        <f>轉向量!Q405</f>
        <v>0</v>
      </c>
      <c r="BJ30" s="16"/>
      <c r="BK30" s="15"/>
    </row>
    <row r="31" spans="1:63" s="7" customFormat="1" ht="16.5" customHeight="1">
      <c r="A31" s="28">
        <v>500</v>
      </c>
      <c r="B31" s="184">
        <f>轉向量!E22</f>
        <v>0</v>
      </c>
      <c r="C31" s="184">
        <f>轉向量!F22</f>
        <v>0</v>
      </c>
      <c r="D31" s="184">
        <f>轉向量!G22</f>
        <v>0</v>
      </c>
      <c r="E31" s="185">
        <f>轉向量!H22</f>
        <v>0</v>
      </c>
      <c r="F31" s="186">
        <f>轉向量!J22</f>
        <v>0</v>
      </c>
      <c r="G31" s="184">
        <f>轉向量!K22</f>
        <v>0</v>
      </c>
      <c r="H31" s="184">
        <f>轉向量!L22</f>
        <v>0</v>
      </c>
      <c r="I31" s="185">
        <f>轉向量!M22</f>
        <v>0</v>
      </c>
      <c r="J31" s="186">
        <f>轉向量!O22</f>
        <v>0</v>
      </c>
      <c r="K31" s="184">
        <f>轉向量!P22</f>
        <v>0</v>
      </c>
      <c r="L31" s="184">
        <f>轉向量!Q22</f>
        <v>0</v>
      </c>
      <c r="M31" s="185">
        <f>轉向量!R22</f>
        <v>0</v>
      </c>
      <c r="N31" s="187">
        <f>轉向量!D118</f>
        <v>0</v>
      </c>
      <c r="O31" s="188">
        <f>轉向量!F118</f>
        <v>0</v>
      </c>
      <c r="P31" s="188">
        <f>轉向量!G118</f>
        <v>0</v>
      </c>
      <c r="Q31" s="189">
        <f>轉向量!H118</f>
        <v>0</v>
      </c>
      <c r="R31" s="187">
        <f>轉向量!I118</f>
        <v>0</v>
      </c>
      <c r="S31" s="188">
        <f>轉向量!K118</f>
        <v>0</v>
      </c>
      <c r="T31" s="188">
        <f>轉向量!L118</f>
        <v>0</v>
      </c>
      <c r="U31" s="189">
        <f>轉向量!M118</f>
        <v>0</v>
      </c>
      <c r="V31" s="188">
        <f>轉向量!N118</f>
        <v>0</v>
      </c>
      <c r="W31" s="188">
        <f>轉向量!P118</f>
        <v>0</v>
      </c>
      <c r="X31" s="188">
        <f>轉向量!Q118</f>
        <v>0</v>
      </c>
      <c r="Y31" s="189">
        <f>轉向量!R118</f>
        <v>0</v>
      </c>
      <c r="Z31" s="209">
        <f>轉向量!D214</f>
        <v>0</v>
      </c>
      <c r="AA31" s="210">
        <f>轉向量!E214</f>
        <v>0</v>
      </c>
      <c r="AB31" s="210">
        <f>轉向量!G214</f>
        <v>0</v>
      </c>
      <c r="AC31" s="211">
        <f>轉向量!H214</f>
        <v>0</v>
      </c>
      <c r="AD31" s="210">
        <f>轉向量!I214</f>
        <v>0</v>
      </c>
      <c r="AE31" s="210">
        <f>轉向量!J214</f>
        <v>0</v>
      </c>
      <c r="AF31" s="210">
        <f>轉向量!L214</f>
        <v>0</v>
      </c>
      <c r="AG31" s="211">
        <f>轉向量!M214</f>
        <v>0</v>
      </c>
      <c r="AH31" s="210">
        <f>轉向量!N214</f>
        <v>0</v>
      </c>
      <c r="AI31" s="210">
        <f>轉向量!O214</f>
        <v>0</v>
      </c>
      <c r="AJ31" s="210">
        <f>轉向量!Q214</f>
        <v>0</v>
      </c>
      <c r="AK31" s="211">
        <f>轉向量!R214</f>
        <v>0</v>
      </c>
      <c r="AL31" s="221">
        <f>轉向量!D310</f>
        <v>0</v>
      </c>
      <c r="AM31" s="222">
        <f>轉向量!E310</f>
        <v>0</v>
      </c>
      <c r="AN31" s="222">
        <f>轉向量!F310</f>
        <v>0</v>
      </c>
      <c r="AO31" s="223">
        <f>轉向量!H310</f>
        <v>0</v>
      </c>
      <c r="AP31" s="222">
        <f>轉向量!I310</f>
        <v>0</v>
      </c>
      <c r="AQ31" s="222">
        <f>轉向量!J310</f>
        <v>0</v>
      </c>
      <c r="AR31" s="222">
        <f>轉向量!K310</f>
        <v>0</v>
      </c>
      <c r="AS31" s="223">
        <f>轉向量!M310</f>
        <v>0</v>
      </c>
      <c r="AT31" s="222">
        <f>轉向量!N310</f>
        <v>0</v>
      </c>
      <c r="AU31" s="222">
        <f>轉向量!O310</f>
        <v>0</v>
      </c>
      <c r="AV31" s="222">
        <f>轉向量!P310</f>
        <v>0</v>
      </c>
      <c r="AW31" s="223">
        <f>轉向量!R310</f>
        <v>0</v>
      </c>
      <c r="AX31" s="234">
        <f>轉向量!D406</f>
        <v>0</v>
      </c>
      <c r="AY31" s="235">
        <f>轉向量!E406</f>
        <v>0</v>
      </c>
      <c r="AZ31" s="235">
        <f>轉向量!F406</f>
        <v>0</v>
      </c>
      <c r="BA31" s="236">
        <f>轉向量!G406</f>
        <v>0</v>
      </c>
      <c r="BB31" s="235">
        <f>轉向量!I406</f>
        <v>0</v>
      </c>
      <c r="BC31" s="235">
        <f>轉向量!J406</f>
        <v>0</v>
      </c>
      <c r="BD31" s="235">
        <f>轉向量!K406</f>
        <v>0</v>
      </c>
      <c r="BE31" s="236">
        <f>轉向量!L406</f>
        <v>0</v>
      </c>
      <c r="BF31" s="235">
        <f>轉向量!N406</f>
        <v>0</v>
      </c>
      <c r="BG31" s="235">
        <f>轉向量!O406</f>
        <v>0</v>
      </c>
      <c r="BH31" s="235">
        <f>轉向量!P406</f>
        <v>0</v>
      </c>
      <c r="BI31" s="236">
        <f>轉向量!Q406</f>
        <v>0</v>
      </c>
      <c r="BJ31" s="16"/>
      <c r="BK31" s="15"/>
    </row>
    <row r="32" spans="1:63" s="7" customFormat="1" ht="16.5" customHeight="1">
      <c r="A32" s="28">
        <v>515</v>
      </c>
      <c r="B32" s="184">
        <f>轉向量!E23</f>
        <v>0</v>
      </c>
      <c r="C32" s="184">
        <f>轉向量!F23</f>
        <v>0</v>
      </c>
      <c r="D32" s="184">
        <f>轉向量!G23</f>
        <v>0</v>
      </c>
      <c r="E32" s="185">
        <f>轉向量!H23</f>
        <v>0</v>
      </c>
      <c r="F32" s="186">
        <f>轉向量!J23</f>
        <v>0</v>
      </c>
      <c r="G32" s="184">
        <f>轉向量!K23</f>
        <v>0</v>
      </c>
      <c r="H32" s="184">
        <f>轉向量!L23</f>
        <v>0</v>
      </c>
      <c r="I32" s="185">
        <f>轉向量!M23</f>
        <v>0</v>
      </c>
      <c r="J32" s="186">
        <f>轉向量!O23</f>
        <v>0</v>
      </c>
      <c r="K32" s="184">
        <f>轉向量!P23</f>
        <v>0</v>
      </c>
      <c r="L32" s="184">
        <f>轉向量!Q23</f>
        <v>0</v>
      </c>
      <c r="M32" s="185">
        <f>轉向量!R23</f>
        <v>0</v>
      </c>
      <c r="N32" s="187">
        <f>轉向量!D119</f>
        <v>0</v>
      </c>
      <c r="O32" s="188">
        <f>轉向量!F119</f>
        <v>0</v>
      </c>
      <c r="P32" s="188">
        <f>轉向量!G119</f>
        <v>0</v>
      </c>
      <c r="Q32" s="189">
        <f>轉向量!H119</f>
        <v>0</v>
      </c>
      <c r="R32" s="187">
        <f>轉向量!I119</f>
        <v>0</v>
      </c>
      <c r="S32" s="188">
        <f>轉向量!K119</f>
        <v>0</v>
      </c>
      <c r="T32" s="188">
        <f>轉向量!L119</f>
        <v>0</v>
      </c>
      <c r="U32" s="189">
        <f>轉向量!M119</f>
        <v>0</v>
      </c>
      <c r="V32" s="188">
        <f>轉向量!N119</f>
        <v>0</v>
      </c>
      <c r="W32" s="188">
        <f>轉向量!P119</f>
        <v>0</v>
      </c>
      <c r="X32" s="188">
        <f>轉向量!Q119</f>
        <v>0</v>
      </c>
      <c r="Y32" s="189">
        <f>轉向量!R119</f>
        <v>0</v>
      </c>
      <c r="Z32" s="209">
        <f>轉向量!D215</f>
        <v>0</v>
      </c>
      <c r="AA32" s="210">
        <f>轉向量!E215</f>
        <v>0</v>
      </c>
      <c r="AB32" s="210">
        <f>轉向量!G215</f>
        <v>0</v>
      </c>
      <c r="AC32" s="211">
        <f>轉向量!H215</f>
        <v>0</v>
      </c>
      <c r="AD32" s="210">
        <f>轉向量!I215</f>
        <v>0</v>
      </c>
      <c r="AE32" s="210">
        <f>轉向量!J215</f>
        <v>0</v>
      </c>
      <c r="AF32" s="210">
        <f>轉向量!L215</f>
        <v>0</v>
      </c>
      <c r="AG32" s="211">
        <f>轉向量!M215</f>
        <v>0</v>
      </c>
      <c r="AH32" s="210">
        <f>轉向量!N215</f>
        <v>0</v>
      </c>
      <c r="AI32" s="210">
        <f>轉向量!O215</f>
        <v>0</v>
      </c>
      <c r="AJ32" s="210">
        <f>轉向量!Q215</f>
        <v>0</v>
      </c>
      <c r="AK32" s="211">
        <f>轉向量!R215</f>
        <v>0</v>
      </c>
      <c r="AL32" s="221">
        <f>轉向量!D311</f>
        <v>0</v>
      </c>
      <c r="AM32" s="222">
        <f>轉向量!E311</f>
        <v>0</v>
      </c>
      <c r="AN32" s="222">
        <f>轉向量!F311</f>
        <v>0</v>
      </c>
      <c r="AO32" s="223">
        <f>轉向量!H311</f>
        <v>0</v>
      </c>
      <c r="AP32" s="222">
        <f>轉向量!I311</f>
        <v>0</v>
      </c>
      <c r="AQ32" s="222">
        <f>轉向量!J311</f>
        <v>0</v>
      </c>
      <c r="AR32" s="222">
        <f>轉向量!K311</f>
        <v>0</v>
      </c>
      <c r="AS32" s="223">
        <f>轉向量!M311</f>
        <v>0</v>
      </c>
      <c r="AT32" s="222">
        <f>轉向量!N311</f>
        <v>0</v>
      </c>
      <c r="AU32" s="222">
        <f>轉向量!O311</f>
        <v>0</v>
      </c>
      <c r="AV32" s="222">
        <f>轉向量!P311</f>
        <v>0</v>
      </c>
      <c r="AW32" s="223">
        <f>轉向量!R311</f>
        <v>0</v>
      </c>
      <c r="AX32" s="234">
        <f>轉向量!D407</f>
        <v>0</v>
      </c>
      <c r="AY32" s="235">
        <f>轉向量!E407</f>
        <v>0</v>
      </c>
      <c r="AZ32" s="235">
        <f>轉向量!F407</f>
        <v>0</v>
      </c>
      <c r="BA32" s="236">
        <f>轉向量!G407</f>
        <v>0</v>
      </c>
      <c r="BB32" s="235">
        <f>轉向量!I407</f>
        <v>0</v>
      </c>
      <c r="BC32" s="235">
        <f>轉向量!J407</f>
        <v>0</v>
      </c>
      <c r="BD32" s="235">
        <f>轉向量!K407</f>
        <v>0</v>
      </c>
      <c r="BE32" s="236">
        <f>轉向量!L407</f>
        <v>0</v>
      </c>
      <c r="BF32" s="235">
        <f>轉向量!N407</f>
        <v>0</v>
      </c>
      <c r="BG32" s="235">
        <f>轉向量!O407</f>
        <v>0</v>
      </c>
      <c r="BH32" s="235">
        <f>轉向量!P407</f>
        <v>0</v>
      </c>
      <c r="BI32" s="236">
        <f>轉向量!Q407</f>
        <v>0</v>
      </c>
      <c r="BJ32" s="16"/>
      <c r="BK32" s="15"/>
    </row>
    <row r="33" spans="1:63" s="7" customFormat="1" ht="16.5" customHeight="1">
      <c r="A33" s="28">
        <v>530</v>
      </c>
      <c r="B33" s="184">
        <f>轉向量!E24</f>
        <v>0</v>
      </c>
      <c r="C33" s="184">
        <f>轉向量!F24</f>
        <v>0</v>
      </c>
      <c r="D33" s="184">
        <f>轉向量!G24</f>
        <v>0</v>
      </c>
      <c r="E33" s="185">
        <f>轉向量!H24</f>
        <v>0</v>
      </c>
      <c r="F33" s="186">
        <f>轉向量!J24</f>
        <v>0</v>
      </c>
      <c r="G33" s="184">
        <f>轉向量!K24</f>
        <v>0</v>
      </c>
      <c r="H33" s="184">
        <f>轉向量!L24</f>
        <v>0</v>
      </c>
      <c r="I33" s="185">
        <f>轉向量!M24</f>
        <v>0</v>
      </c>
      <c r="J33" s="186">
        <f>轉向量!O24</f>
        <v>0</v>
      </c>
      <c r="K33" s="184">
        <f>轉向量!P24</f>
        <v>0</v>
      </c>
      <c r="L33" s="184">
        <f>轉向量!Q24</f>
        <v>0</v>
      </c>
      <c r="M33" s="185">
        <f>轉向量!R24</f>
        <v>0</v>
      </c>
      <c r="N33" s="187">
        <f>轉向量!D120</f>
        <v>0</v>
      </c>
      <c r="O33" s="188">
        <f>轉向量!F120</f>
        <v>0</v>
      </c>
      <c r="P33" s="188">
        <f>轉向量!G120</f>
        <v>0</v>
      </c>
      <c r="Q33" s="189">
        <f>轉向量!H120</f>
        <v>0</v>
      </c>
      <c r="R33" s="187">
        <f>轉向量!I120</f>
        <v>0</v>
      </c>
      <c r="S33" s="188">
        <f>轉向量!K120</f>
        <v>0</v>
      </c>
      <c r="T33" s="188">
        <f>轉向量!L120</f>
        <v>0</v>
      </c>
      <c r="U33" s="189">
        <f>轉向量!M120</f>
        <v>0</v>
      </c>
      <c r="V33" s="188">
        <f>轉向量!N120</f>
        <v>0</v>
      </c>
      <c r="W33" s="188">
        <f>轉向量!P120</f>
        <v>0</v>
      </c>
      <c r="X33" s="188">
        <f>轉向量!Q120</f>
        <v>0</v>
      </c>
      <c r="Y33" s="189">
        <f>轉向量!R120</f>
        <v>0</v>
      </c>
      <c r="Z33" s="209">
        <f>轉向量!D216</f>
        <v>0</v>
      </c>
      <c r="AA33" s="210">
        <f>轉向量!E216</f>
        <v>0</v>
      </c>
      <c r="AB33" s="210">
        <f>轉向量!G216</f>
        <v>0</v>
      </c>
      <c r="AC33" s="211">
        <f>轉向量!H216</f>
        <v>0</v>
      </c>
      <c r="AD33" s="210">
        <f>轉向量!I216</f>
        <v>0</v>
      </c>
      <c r="AE33" s="210">
        <f>轉向量!J216</f>
        <v>0</v>
      </c>
      <c r="AF33" s="210">
        <f>轉向量!L216</f>
        <v>0</v>
      </c>
      <c r="AG33" s="211">
        <f>轉向量!M216</f>
        <v>0</v>
      </c>
      <c r="AH33" s="210">
        <f>轉向量!N216</f>
        <v>0</v>
      </c>
      <c r="AI33" s="210">
        <f>轉向量!O216</f>
        <v>0</v>
      </c>
      <c r="AJ33" s="210">
        <f>轉向量!Q216</f>
        <v>0</v>
      </c>
      <c r="AK33" s="211">
        <f>轉向量!R216</f>
        <v>0</v>
      </c>
      <c r="AL33" s="221">
        <f>轉向量!D312</f>
        <v>0</v>
      </c>
      <c r="AM33" s="222">
        <f>轉向量!E312</f>
        <v>0</v>
      </c>
      <c r="AN33" s="222">
        <f>轉向量!F312</f>
        <v>0</v>
      </c>
      <c r="AO33" s="223">
        <f>轉向量!H312</f>
        <v>0</v>
      </c>
      <c r="AP33" s="222">
        <f>轉向量!I312</f>
        <v>0</v>
      </c>
      <c r="AQ33" s="222">
        <f>轉向量!J312</f>
        <v>0</v>
      </c>
      <c r="AR33" s="222">
        <f>轉向量!K312</f>
        <v>0</v>
      </c>
      <c r="AS33" s="223">
        <f>轉向量!M312</f>
        <v>0</v>
      </c>
      <c r="AT33" s="222">
        <f>轉向量!N312</f>
        <v>0</v>
      </c>
      <c r="AU33" s="222">
        <f>轉向量!O312</f>
        <v>0</v>
      </c>
      <c r="AV33" s="222">
        <f>轉向量!P312</f>
        <v>0</v>
      </c>
      <c r="AW33" s="223">
        <f>轉向量!R312</f>
        <v>0</v>
      </c>
      <c r="AX33" s="234">
        <f>轉向量!D408</f>
        <v>0</v>
      </c>
      <c r="AY33" s="235">
        <f>轉向量!E408</f>
        <v>0</v>
      </c>
      <c r="AZ33" s="235">
        <f>轉向量!F408</f>
        <v>0</v>
      </c>
      <c r="BA33" s="236">
        <f>轉向量!G408</f>
        <v>0</v>
      </c>
      <c r="BB33" s="235">
        <f>轉向量!I408</f>
        <v>0</v>
      </c>
      <c r="BC33" s="235">
        <f>轉向量!J408</f>
        <v>0</v>
      </c>
      <c r="BD33" s="235">
        <f>轉向量!K408</f>
        <v>0</v>
      </c>
      <c r="BE33" s="236">
        <f>轉向量!L408</f>
        <v>0</v>
      </c>
      <c r="BF33" s="235">
        <f>轉向量!N408</f>
        <v>0</v>
      </c>
      <c r="BG33" s="235">
        <f>轉向量!O408</f>
        <v>0</v>
      </c>
      <c r="BH33" s="235">
        <f>轉向量!P408</f>
        <v>0</v>
      </c>
      <c r="BI33" s="236">
        <f>轉向量!Q408</f>
        <v>0</v>
      </c>
      <c r="BJ33" s="16"/>
      <c r="BK33" s="15"/>
    </row>
    <row r="34" spans="1:63" s="7" customFormat="1" ht="16.5" customHeight="1">
      <c r="A34" s="28">
        <v>545</v>
      </c>
      <c r="B34" s="184">
        <f>轉向量!E25</f>
        <v>0</v>
      </c>
      <c r="C34" s="184">
        <f>轉向量!F25</f>
        <v>0</v>
      </c>
      <c r="D34" s="184">
        <f>轉向量!G25</f>
        <v>0</v>
      </c>
      <c r="E34" s="185">
        <f>轉向量!H25</f>
        <v>0</v>
      </c>
      <c r="F34" s="186">
        <f>轉向量!J25</f>
        <v>0</v>
      </c>
      <c r="G34" s="184">
        <f>轉向量!K25</f>
        <v>0</v>
      </c>
      <c r="H34" s="184">
        <f>轉向量!L25</f>
        <v>0</v>
      </c>
      <c r="I34" s="185">
        <f>轉向量!M25</f>
        <v>0</v>
      </c>
      <c r="J34" s="186">
        <f>轉向量!O25</f>
        <v>0</v>
      </c>
      <c r="K34" s="184">
        <f>轉向量!P25</f>
        <v>0</v>
      </c>
      <c r="L34" s="184">
        <f>轉向量!Q25</f>
        <v>0</v>
      </c>
      <c r="M34" s="185">
        <f>轉向量!R25</f>
        <v>0</v>
      </c>
      <c r="N34" s="187">
        <f>轉向量!D121</f>
        <v>0</v>
      </c>
      <c r="O34" s="188">
        <f>轉向量!F121</f>
        <v>0</v>
      </c>
      <c r="P34" s="188">
        <f>轉向量!G121</f>
        <v>0</v>
      </c>
      <c r="Q34" s="189">
        <f>轉向量!H121</f>
        <v>0</v>
      </c>
      <c r="R34" s="187">
        <f>轉向量!I121</f>
        <v>0</v>
      </c>
      <c r="S34" s="188">
        <f>轉向量!K121</f>
        <v>0</v>
      </c>
      <c r="T34" s="188">
        <f>轉向量!L121</f>
        <v>0</v>
      </c>
      <c r="U34" s="189">
        <f>轉向量!M121</f>
        <v>0</v>
      </c>
      <c r="V34" s="188">
        <f>轉向量!N121</f>
        <v>0</v>
      </c>
      <c r="W34" s="188">
        <f>轉向量!P121</f>
        <v>0</v>
      </c>
      <c r="X34" s="188">
        <f>轉向量!Q121</f>
        <v>0</v>
      </c>
      <c r="Y34" s="189">
        <f>轉向量!R121</f>
        <v>0</v>
      </c>
      <c r="Z34" s="209">
        <f>轉向量!D217</f>
        <v>0</v>
      </c>
      <c r="AA34" s="210">
        <f>轉向量!E217</f>
        <v>0</v>
      </c>
      <c r="AB34" s="210">
        <f>轉向量!G217</f>
        <v>0</v>
      </c>
      <c r="AC34" s="211">
        <f>轉向量!H217</f>
        <v>0</v>
      </c>
      <c r="AD34" s="210">
        <f>轉向量!I217</f>
        <v>0</v>
      </c>
      <c r="AE34" s="210">
        <f>轉向量!J217</f>
        <v>0</v>
      </c>
      <c r="AF34" s="210">
        <f>轉向量!L217</f>
        <v>0</v>
      </c>
      <c r="AG34" s="211">
        <f>轉向量!M217</f>
        <v>0</v>
      </c>
      <c r="AH34" s="210">
        <f>轉向量!N217</f>
        <v>0</v>
      </c>
      <c r="AI34" s="210">
        <f>轉向量!O217</f>
        <v>0</v>
      </c>
      <c r="AJ34" s="210">
        <f>轉向量!Q217</f>
        <v>0</v>
      </c>
      <c r="AK34" s="211">
        <f>轉向量!R217</f>
        <v>0</v>
      </c>
      <c r="AL34" s="221">
        <f>轉向量!D313</f>
        <v>0</v>
      </c>
      <c r="AM34" s="222">
        <f>轉向量!E313</f>
        <v>0</v>
      </c>
      <c r="AN34" s="222">
        <f>轉向量!F313</f>
        <v>0</v>
      </c>
      <c r="AO34" s="223">
        <f>轉向量!H313</f>
        <v>0</v>
      </c>
      <c r="AP34" s="222">
        <f>轉向量!I313</f>
        <v>0</v>
      </c>
      <c r="AQ34" s="222">
        <f>轉向量!J313</f>
        <v>0</v>
      </c>
      <c r="AR34" s="222">
        <f>轉向量!K313</f>
        <v>0</v>
      </c>
      <c r="AS34" s="223">
        <f>轉向量!M313</f>
        <v>0</v>
      </c>
      <c r="AT34" s="222">
        <f>轉向量!N313</f>
        <v>0</v>
      </c>
      <c r="AU34" s="222">
        <f>轉向量!O313</f>
        <v>0</v>
      </c>
      <c r="AV34" s="222">
        <f>轉向量!P313</f>
        <v>0</v>
      </c>
      <c r="AW34" s="223">
        <f>轉向量!R313</f>
        <v>0</v>
      </c>
      <c r="AX34" s="234">
        <f>轉向量!D409</f>
        <v>0</v>
      </c>
      <c r="AY34" s="235">
        <f>轉向量!E409</f>
        <v>0</v>
      </c>
      <c r="AZ34" s="235">
        <f>轉向量!F409</f>
        <v>0</v>
      </c>
      <c r="BA34" s="236">
        <f>轉向量!G409</f>
        <v>0</v>
      </c>
      <c r="BB34" s="235">
        <f>轉向量!I409</f>
        <v>0</v>
      </c>
      <c r="BC34" s="235">
        <f>轉向量!J409</f>
        <v>0</v>
      </c>
      <c r="BD34" s="235">
        <f>轉向量!K409</f>
        <v>0</v>
      </c>
      <c r="BE34" s="236">
        <f>轉向量!L409</f>
        <v>0</v>
      </c>
      <c r="BF34" s="235">
        <f>轉向量!N409</f>
        <v>0</v>
      </c>
      <c r="BG34" s="235">
        <f>轉向量!O409</f>
        <v>0</v>
      </c>
      <c r="BH34" s="235">
        <f>轉向量!P409</f>
        <v>0</v>
      </c>
      <c r="BI34" s="236">
        <f>轉向量!Q409</f>
        <v>0</v>
      </c>
      <c r="BJ34" s="16"/>
      <c r="BK34" s="15"/>
    </row>
    <row r="35" spans="1:63" s="7" customFormat="1" ht="16.5" customHeight="1">
      <c r="A35" s="28">
        <v>600</v>
      </c>
      <c r="B35" s="184">
        <f>轉向量!E26</f>
        <v>0</v>
      </c>
      <c r="C35" s="184">
        <f>轉向量!F26</f>
        <v>0</v>
      </c>
      <c r="D35" s="184">
        <f>轉向量!G26</f>
        <v>0</v>
      </c>
      <c r="E35" s="185">
        <f>轉向量!H26</f>
        <v>0</v>
      </c>
      <c r="F35" s="186">
        <f>轉向量!J26</f>
        <v>0</v>
      </c>
      <c r="G35" s="184">
        <f>轉向量!K26</f>
        <v>0</v>
      </c>
      <c r="H35" s="184">
        <f>轉向量!L26</f>
        <v>0</v>
      </c>
      <c r="I35" s="185">
        <f>轉向量!M26</f>
        <v>0</v>
      </c>
      <c r="J35" s="186">
        <f>轉向量!O26</f>
        <v>0</v>
      </c>
      <c r="K35" s="184">
        <f>轉向量!P26</f>
        <v>0</v>
      </c>
      <c r="L35" s="184">
        <f>轉向量!Q26</f>
        <v>0</v>
      </c>
      <c r="M35" s="185">
        <f>轉向量!R26</f>
        <v>0</v>
      </c>
      <c r="N35" s="187">
        <f>轉向量!D122</f>
        <v>0</v>
      </c>
      <c r="O35" s="188">
        <f>轉向量!F122</f>
        <v>0</v>
      </c>
      <c r="P35" s="188">
        <f>轉向量!G122</f>
        <v>0</v>
      </c>
      <c r="Q35" s="189">
        <f>轉向量!H122</f>
        <v>0</v>
      </c>
      <c r="R35" s="187">
        <f>轉向量!I122</f>
        <v>0</v>
      </c>
      <c r="S35" s="188">
        <f>轉向量!K122</f>
        <v>0</v>
      </c>
      <c r="T35" s="188">
        <f>轉向量!L122</f>
        <v>0</v>
      </c>
      <c r="U35" s="189">
        <f>轉向量!M122</f>
        <v>0</v>
      </c>
      <c r="V35" s="188">
        <f>轉向量!N122</f>
        <v>0</v>
      </c>
      <c r="W35" s="188">
        <f>轉向量!P122</f>
        <v>0</v>
      </c>
      <c r="X35" s="188">
        <f>轉向量!Q122</f>
        <v>0</v>
      </c>
      <c r="Y35" s="189">
        <f>轉向量!R122</f>
        <v>0</v>
      </c>
      <c r="Z35" s="209">
        <f>轉向量!D218</f>
        <v>0</v>
      </c>
      <c r="AA35" s="210">
        <f>轉向量!E218</f>
        <v>0</v>
      </c>
      <c r="AB35" s="210">
        <f>轉向量!G218</f>
        <v>0</v>
      </c>
      <c r="AC35" s="211">
        <f>轉向量!H218</f>
        <v>0</v>
      </c>
      <c r="AD35" s="210">
        <f>轉向量!I218</f>
        <v>0</v>
      </c>
      <c r="AE35" s="210">
        <f>轉向量!J218</f>
        <v>0</v>
      </c>
      <c r="AF35" s="210">
        <f>轉向量!L218</f>
        <v>0</v>
      </c>
      <c r="AG35" s="211">
        <f>轉向量!M218</f>
        <v>0</v>
      </c>
      <c r="AH35" s="210">
        <f>轉向量!N218</f>
        <v>0</v>
      </c>
      <c r="AI35" s="210">
        <f>轉向量!O218</f>
        <v>0</v>
      </c>
      <c r="AJ35" s="210">
        <f>轉向量!Q218</f>
        <v>0</v>
      </c>
      <c r="AK35" s="211">
        <f>轉向量!R218</f>
        <v>0</v>
      </c>
      <c r="AL35" s="221">
        <f>轉向量!D314</f>
        <v>0</v>
      </c>
      <c r="AM35" s="222">
        <f>轉向量!E314</f>
        <v>0</v>
      </c>
      <c r="AN35" s="222">
        <f>轉向量!F314</f>
        <v>0</v>
      </c>
      <c r="AO35" s="223">
        <f>轉向量!H314</f>
        <v>0</v>
      </c>
      <c r="AP35" s="222">
        <f>轉向量!I314</f>
        <v>0</v>
      </c>
      <c r="AQ35" s="222">
        <f>轉向量!J314</f>
        <v>0</v>
      </c>
      <c r="AR35" s="222">
        <f>轉向量!K314</f>
        <v>0</v>
      </c>
      <c r="AS35" s="223">
        <f>轉向量!M314</f>
        <v>0</v>
      </c>
      <c r="AT35" s="222">
        <f>轉向量!N314</f>
        <v>0</v>
      </c>
      <c r="AU35" s="222">
        <f>轉向量!O314</f>
        <v>0</v>
      </c>
      <c r="AV35" s="222">
        <f>轉向量!P314</f>
        <v>0</v>
      </c>
      <c r="AW35" s="223">
        <f>轉向量!R314</f>
        <v>0</v>
      </c>
      <c r="AX35" s="234">
        <f>轉向量!D410</f>
        <v>0</v>
      </c>
      <c r="AY35" s="235">
        <f>轉向量!E410</f>
        <v>0</v>
      </c>
      <c r="AZ35" s="235">
        <f>轉向量!F410</f>
        <v>0</v>
      </c>
      <c r="BA35" s="236">
        <f>轉向量!G410</f>
        <v>0</v>
      </c>
      <c r="BB35" s="235">
        <f>轉向量!I410</f>
        <v>0</v>
      </c>
      <c r="BC35" s="235">
        <f>轉向量!J410</f>
        <v>0</v>
      </c>
      <c r="BD35" s="235">
        <f>轉向量!K410</f>
        <v>0</v>
      </c>
      <c r="BE35" s="236">
        <f>轉向量!L410</f>
        <v>0</v>
      </c>
      <c r="BF35" s="235">
        <f>轉向量!N410</f>
        <v>0</v>
      </c>
      <c r="BG35" s="235">
        <f>轉向量!O410</f>
        <v>0</v>
      </c>
      <c r="BH35" s="235">
        <f>轉向量!P410</f>
        <v>0</v>
      </c>
      <c r="BI35" s="236">
        <f>轉向量!Q410</f>
        <v>0</v>
      </c>
      <c r="BJ35" s="16"/>
      <c r="BK35" s="15"/>
    </row>
    <row r="36" spans="1:63" s="7" customFormat="1" ht="16.5" customHeight="1">
      <c r="A36" s="28">
        <v>615</v>
      </c>
      <c r="B36" s="184">
        <f>轉向量!E27</f>
        <v>0</v>
      </c>
      <c r="C36" s="184">
        <f>轉向量!F27</f>
        <v>0</v>
      </c>
      <c r="D36" s="184">
        <f>轉向量!G27</f>
        <v>0</v>
      </c>
      <c r="E36" s="185">
        <f>轉向量!H27</f>
        <v>0</v>
      </c>
      <c r="F36" s="186">
        <f>轉向量!J27</f>
        <v>0</v>
      </c>
      <c r="G36" s="184">
        <f>轉向量!K27</f>
        <v>0</v>
      </c>
      <c r="H36" s="184">
        <f>轉向量!L27</f>
        <v>0</v>
      </c>
      <c r="I36" s="185">
        <f>轉向量!M27</f>
        <v>0</v>
      </c>
      <c r="J36" s="186">
        <f>轉向量!O27</f>
        <v>0</v>
      </c>
      <c r="K36" s="184">
        <f>轉向量!P27</f>
        <v>0</v>
      </c>
      <c r="L36" s="184">
        <f>轉向量!Q27</f>
        <v>0</v>
      </c>
      <c r="M36" s="185">
        <f>轉向量!R27</f>
        <v>0</v>
      </c>
      <c r="N36" s="187">
        <f>轉向量!D123</f>
        <v>0</v>
      </c>
      <c r="O36" s="188">
        <f>轉向量!F123</f>
        <v>0</v>
      </c>
      <c r="P36" s="188">
        <f>轉向量!G123</f>
        <v>0</v>
      </c>
      <c r="Q36" s="189">
        <f>轉向量!H123</f>
        <v>0</v>
      </c>
      <c r="R36" s="187">
        <f>轉向量!I123</f>
        <v>0</v>
      </c>
      <c r="S36" s="188">
        <f>轉向量!K123</f>
        <v>0</v>
      </c>
      <c r="T36" s="188">
        <f>轉向量!L123</f>
        <v>0</v>
      </c>
      <c r="U36" s="189">
        <f>轉向量!M123</f>
        <v>0</v>
      </c>
      <c r="V36" s="188">
        <f>轉向量!N123</f>
        <v>0</v>
      </c>
      <c r="W36" s="188">
        <f>轉向量!P123</f>
        <v>0</v>
      </c>
      <c r="X36" s="188">
        <f>轉向量!Q123</f>
        <v>0</v>
      </c>
      <c r="Y36" s="189">
        <f>轉向量!R123</f>
        <v>0</v>
      </c>
      <c r="Z36" s="209">
        <f>轉向量!D219</f>
        <v>0</v>
      </c>
      <c r="AA36" s="210">
        <f>轉向量!E219</f>
        <v>0</v>
      </c>
      <c r="AB36" s="210">
        <f>轉向量!G219</f>
        <v>0</v>
      </c>
      <c r="AC36" s="211">
        <f>轉向量!H219</f>
        <v>0</v>
      </c>
      <c r="AD36" s="210">
        <f>轉向量!I219</f>
        <v>0</v>
      </c>
      <c r="AE36" s="210">
        <f>轉向量!J219</f>
        <v>0</v>
      </c>
      <c r="AF36" s="210">
        <f>轉向量!L219</f>
        <v>0</v>
      </c>
      <c r="AG36" s="211">
        <f>轉向量!M219</f>
        <v>0</v>
      </c>
      <c r="AH36" s="210">
        <f>轉向量!N219</f>
        <v>0</v>
      </c>
      <c r="AI36" s="210">
        <f>轉向量!O219</f>
        <v>0</v>
      </c>
      <c r="AJ36" s="210">
        <f>轉向量!Q219</f>
        <v>0</v>
      </c>
      <c r="AK36" s="211">
        <f>轉向量!R219</f>
        <v>0</v>
      </c>
      <c r="AL36" s="221">
        <f>轉向量!D315</f>
        <v>0</v>
      </c>
      <c r="AM36" s="222">
        <f>轉向量!E315</f>
        <v>0</v>
      </c>
      <c r="AN36" s="222">
        <f>轉向量!F315</f>
        <v>0</v>
      </c>
      <c r="AO36" s="223">
        <f>轉向量!H315</f>
        <v>0</v>
      </c>
      <c r="AP36" s="222">
        <f>轉向量!I315</f>
        <v>0</v>
      </c>
      <c r="AQ36" s="222">
        <f>轉向量!J315</f>
        <v>0</v>
      </c>
      <c r="AR36" s="222">
        <f>轉向量!K315</f>
        <v>0</v>
      </c>
      <c r="AS36" s="223">
        <f>轉向量!M315</f>
        <v>0</v>
      </c>
      <c r="AT36" s="222">
        <f>轉向量!N315</f>
        <v>0</v>
      </c>
      <c r="AU36" s="222">
        <f>轉向量!O315</f>
        <v>0</v>
      </c>
      <c r="AV36" s="222">
        <f>轉向量!P315</f>
        <v>0</v>
      </c>
      <c r="AW36" s="223">
        <f>轉向量!R315</f>
        <v>0</v>
      </c>
      <c r="AX36" s="234">
        <f>轉向量!D411</f>
        <v>0</v>
      </c>
      <c r="AY36" s="235">
        <f>轉向量!E411</f>
        <v>0</v>
      </c>
      <c r="AZ36" s="235">
        <f>轉向量!F411</f>
        <v>0</v>
      </c>
      <c r="BA36" s="236">
        <f>轉向量!G411</f>
        <v>0</v>
      </c>
      <c r="BB36" s="235">
        <f>轉向量!I411</f>
        <v>0</v>
      </c>
      <c r="BC36" s="235">
        <f>轉向量!J411</f>
        <v>0</v>
      </c>
      <c r="BD36" s="235">
        <f>轉向量!K411</f>
        <v>0</v>
      </c>
      <c r="BE36" s="236">
        <f>轉向量!L411</f>
        <v>0</v>
      </c>
      <c r="BF36" s="235">
        <f>轉向量!N411</f>
        <v>0</v>
      </c>
      <c r="BG36" s="235">
        <f>轉向量!O411</f>
        <v>0</v>
      </c>
      <c r="BH36" s="235">
        <f>轉向量!P411</f>
        <v>0</v>
      </c>
      <c r="BI36" s="236">
        <f>轉向量!Q411</f>
        <v>0</v>
      </c>
      <c r="BJ36" s="16"/>
      <c r="BK36" s="15"/>
    </row>
    <row r="37" spans="1:63">
      <c r="A37" s="28">
        <v>630</v>
      </c>
      <c r="B37" s="184">
        <f>轉向量!E28</f>
        <v>0</v>
      </c>
      <c r="C37" s="184">
        <f>轉向量!F28</f>
        <v>0</v>
      </c>
      <c r="D37" s="184">
        <f>轉向量!G28</f>
        <v>0</v>
      </c>
      <c r="E37" s="185">
        <f>轉向量!H28</f>
        <v>0</v>
      </c>
      <c r="F37" s="186">
        <f>轉向量!J28</f>
        <v>0</v>
      </c>
      <c r="G37" s="184">
        <f>轉向量!K28</f>
        <v>0</v>
      </c>
      <c r="H37" s="184">
        <f>轉向量!L28</f>
        <v>0</v>
      </c>
      <c r="I37" s="185">
        <f>轉向量!M28</f>
        <v>0</v>
      </c>
      <c r="J37" s="186">
        <f>轉向量!O28</f>
        <v>0</v>
      </c>
      <c r="K37" s="184">
        <f>轉向量!P28</f>
        <v>0</v>
      </c>
      <c r="L37" s="184">
        <f>轉向量!Q28</f>
        <v>0</v>
      </c>
      <c r="M37" s="185">
        <f>轉向量!R28</f>
        <v>0</v>
      </c>
      <c r="N37" s="187">
        <f>轉向量!D124</f>
        <v>0</v>
      </c>
      <c r="O37" s="188">
        <f>轉向量!F124</f>
        <v>0</v>
      </c>
      <c r="P37" s="188">
        <f>轉向量!G124</f>
        <v>0</v>
      </c>
      <c r="Q37" s="189">
        <f>轉向量!H124</f>
        <v>0</v>
      </c>
      <c r="R37" s="187">
        <f>轉向量!I124</f>
        <v>0</v>
      </c>
      <c r="S37" s="188">
        <f>轉向量!K124</f>
        <v>0</v>
      </c>
      <c r="T37" s="188">
        <f>轉向量!L124</f>
        <v>0</v>
      </c>
      <c r="U37" s="189">
        <f>轉向量!M124</f>
        <v>0</v>
      </c>
      <c r="V37" s="188">
        <f>轉向量!N124</f>
        <v>0</v>
      </c>
      <c r="W37" s="188">
        <f>轉向量!P124</f>
        <v>0</v>
      </c>
      <c r="X37" s="188">
        <f>轉向量!Q124</f>
        <v>0</v>
      </c>
      <c r="Y37" s="189">
        <f>轉向量!R124</f>
        <v>0</v>
      </c>
      <c r="Z37" s="209">
        <f>轉向量!D220</f>
        <v>0</v>
      </c>
      <c r="AA37" s="210">
        <f>轉向量!E220</f>
        <v>0</v>
      </c>
      <c r="AB37" s="210">
        <f>轉向量!G220</f>
        <v>0</v>
      </c>
      <c r="AC37" s="211">
        <f>轉向量!H220</f>
        <v>0</v>
      </c>
      <c r="AD37" s="210">
        <f>轉向量!I220</f>
        <v>0</v>
      </c>
      <c r="AE37" s="210">
        <f>轉向量!J220</f>
        <v>0</v>
      </c>
      <c r="AF37" s="210">
        <f>轉向量!L220</f>
        <v>0</v>
      </c>
      <c r="AG37" s="211">
        <f>轉向量!M220</f>
        <v>0</v>
      </c>
      <c r="AH37" s="210">
        <f>轉向量!N220</f>
        <v>0</v>
      </c>
      <c r="AI37" s="210">
        <f>轉向量!O220</f>
        <v>0</v>
      </c>
      <c r="AJ37" s="210">
        <f>轉向量!Q220</f>
        <v>0</v>
      </c>
      <c r="AK37" s="211">
        <f>轉向量!R220</f>
        <v>0</v>
      </c>
      <c r="AL37" s="221">
        <f>轉向量!D316</f>
        <v>0</v>
      </c>
      <c r="AM37" s="222">
        <f>轉向量!E316</f>
        <v>0</v>
      </c>
      <c r="AN37" s="222">
        <f>轉向量!F316</f>
        <v>0</v>
      </c>
      <c r="AO37" s="223">
        <f>轉向量!H316</f>
        <v>0</v>
      </c>
      <c r="AP37" s="222">
        <f>轉向量!I316</f>
        <v>0</v>
      </c>
      <c r="AQ37" s="222">
        <f>轉向量!J316</f>
        <v>0</v>
      </c>
      <c r="AR37" s="222">
        <f>轉向量!K316</f>
        <v>0</v>
      </c>
      <c r="AS37" s="223">
        <f>轉向量!M316</f>
        <v>0</v>
      </c>
      <c r="AT37" s="222">
        <f>轉向量!N316</f>
        <v>0</v>
      </c>
      <c r="AU37" s="222">
        <f>轉向量!O316</f>
        <v>0</v>
      </c>
      <c r="AV37" s="222">
        <f>轉向量!P316</f>
        <v>0</v>
      </c>
      <c r="AW37" s="223">
        <f>轉向量!R316</f>
        <v>0</v>
      </c>
      <c r="AX37" s="234">
        <f>轉向量!D412</f>
        <v>0</v>
      </c>
      <c r="AY37" s="235">
        <f>轉向量!E412</f>
        <v>0</v>
      </c>
      <c r="AZ37" s="235">
        <f>轉向量!F412</f>
        <v>0</v>
      </c>
      <c r="BA37" s="236">
        <f>轉向量!G412</f>
        <v>0</v>
      </c>
      <c r="BB37" s="235">
        <f>轉向量!I412</f>
        <v>0</v>
      </c>
      <c r="BC37" s="235">
        <f>轉向量!J412</f>
        <v>0</v>
      </c>
      <c r="BD37" s="235">
        <f>轉向量!K412</f>
        <v>0</v>
      </c>
      <c r="BE37" s="236">
        <f>轉向量!L412</f>
        <v>0</v>
      </c>
      <c r="BF37" s="235">
        <f>轉向量!N412</f>
        <v>0</v>
      </c>
      <c r="BG37" s="235">
        <f>轉向量!O412</f>
        <v>0</v>
      </c>
      <c r="BH37" s="235">
        <f>轉向量!P412</f>
        <v>0</v>
      </c>
      <c r="BI37" s="236">
        <f>轉向量!Q412</f>
        <v>0</v>
      </c>
      <c r="BK37" s="2"/>
    </row>
    <row r="38" spans="1:63">
      <c r="A38" s="28">
        <v>645</v>
      </c>
      <c r="B38" s="184">
        <f>轉向量!E29</f>
        <v>0</v>
      </c>
      <c r="C38" s="184">
        <f>轉向量!F29</f>
        <v>0</v>
      </c>
      <c r="D38" s="184">
        <f>轉向量!G29</f>
        <v>0</v>
      </c>
      <c r="E38" s="185">
        <f>轉向量!H29</f>
        <v>0</v>
      </c>
      <c r="F38" s="186">
        <f>轉向量!J29</f>
        <v>0</v>
      </c>
      <c r="G38" s="184">
        <f>轉向量!K29</f>
        <v>0</v>
      </c>
      <c r="H38" s="184">
        <f>轉向量!L29</f>
        <v>0</v>
      </c>
      <c r="I38" s="185">
        <f>轉向量!M29</f>
        <v>0</v>
      </c>
      <c r="J38" s="186">
        <f>轉向量!O29</f>
        <v>0</v>
      </c>
      <c r="K38" s="184">
        <f>轉向量!P29</f>
        <v>0</v>
      </c>
      <c r="L38" s="184">
        <f>轉向量!Q29</f>
        <v>0</v>
      </c>
      <c r="M38" s="185">
        <f>轉向量!R29</f>
        <v>0</v>
      </c>
      <c r="N38" s="187">
        <f>轉向量!D125</f>
        <v>0</v>
      </c>
      <c r="O38" s="188">
        <f>轉向量!F125</f>
        <v>0</v>
      </c>
      <c r="P38" s="188">
        <f>轉向量!G125</f>
        <v>0</v>
      </c>
      <c r="Q38" s="189">
        <f>轉向量!H125</f>
        <v>0</v>
      </c>
      <c r="R38" s="187">
        <f>轉向量!I125</f>
        <v>0</v>
      </c>
      <c r="S38" s="188">
        <f>轉向量!K125</f>
        <v>0</v>
      </c>
      <c r="T38" s="188">
        <f>轉向量!L125</f>
        <v>0</v>
      </c>
      <c r="U38" s="189">
        <f>轉向量!M125</f>
        <v>0</v>
      </c>
      <c r="V38" s="188">
        <f>轉向量!N125</f>
        <v>0</v>
      </c>
      <c r="W38" s="188">
        <f>轉向量!P125</f>
        <v>0</v>
      </c>
      <c r="X38" s="188">
        <f>轉向量!Q125</f>
        <v>0</v>
      </c>
      <c r="Y38" s="189">
        <f>轉向量!R125</f>
        <v>0</v>
      </c>
      <c r="Z38" s="209">
        <f>轉向量!D221</f>
        <v>0</v>
      </c>
      <c r="AA38" s="210">
        <f>轉向量!E221</f>
        <v>0</v>
      </c>
      <c r="AB38" s="210">
        <f>轉向量!G221</f>
        <v>0</v>
      </c>
      <c r="AC38" s="211">
        <f>轉向量!H221</f>
        <v>0</v>
      </c>
      <c r="AD38" s="210">
        <f>轉向量!I221</f>
        <v>0</v>
      </c>
      <c r="AE38" s="210">
        <f>轉向量!J221</f>
        <v>0</v>
      </c>
      <c r="AF38" s="210">
        <f>轉向量!L221</f>
        <v>0</v>
      </c>
      <c r="AG38" s="211">
        <f>轉向量!M221</f>
        <v>0</v>
      </c>
      <c r="AH38" s="210">
        <f>轉向量!N221</f>
        <v>0</v>
      </c>
      <c r="AI38" s="210">
        <f>轉向量!O221</f>
        <v>0</v>
      </c>
      <c r="AJ38" s="210">
        <f>轉向量!Q221</f>
        <v>0</v>
      </c>
      <c r="AK38" s="211">
        <f>轉向量!R221</f>
        <v>0</v>
      </c>
      <c r="AL38" s="221">
        <f>轉向量!D317</f>
        <v>0</v>
      </c>
      <c r="AM38" s="222">
        <f>轉向量!E317</f>
        <v>0</v>
      </c>
      <c r="AN38" s="222">
        <f>轉向量!F317</f>
        <v>0</v>
      </c>
      <c r="AO38" s="223">
        <f>轉向量!H317</f>
        <v>0</v>
      </c>
      <c r="AP38" s="222">
        <f>轉向量!I317</f>
        <v>0</v>
      </c>
      <c r="AQ38" s="222">
        <f>轉向量!J317</f>
        <v>0</v>
      </c>
      <c r="AR38" s="222">
        <f>轉向量!K317</f>
        <v>0</v>
      </c>
      <c r="AS38" s="223">
        <f>轉向量!M317</f>
        <v>0</v>
      </c>
      <c r="AT38" s="222">
        <f>轉向量!N317</f>
        <v>0</v>
      </c>
      <c r="AU38" s="222">
        <f>轉向量!O317</f>
        <v>0</v>
      </c>
      <c r="AV38" s="222">
        <f>轉向量!P317</f>
        <v>0</v>
      </c>
      <c r="AW38" s="223">
        <f>轉向量!R317</f>
        <v>0</v>
      </c>
      <c r="AX38" s="234">
        <f>轉向量!D413</f>
        <v>0</v>
      </c>
      <c r="AY38" s="235">
        <f>轉向量!E413</f>
        <v>0</v>
      </c>
      <c r="AZ38" s="235">
        <f>轉向量!F413</f>
        <v>0</v>
      </c>
      <c r="BA38" s="236">
        <f>轉向量!G413</f>
        <v>0</v>
      </c>
      <c r="BB38" s="235">
        <f>轉向量!I413</f>
        <v>0</v>
      </c>
      <c r="BC38" s="235">
        <f>轉向量!J413</f>
        <v>0</v>
      </c>
      <c r="BD38" s="235">
        <f>轉向量!K413</f>
        <v>0</v>
      </c>
      <c r="BE38" s="236">
        <f>轉向量!L413</f>
        <v>0</v>
      </c>
      <c r="BF38" s="235">
        <f>轉向量!N413</f>
        <v>0</v>
      </c>
      <c r="BG38" s="235">
        <f>轉向量!O413</f>
        <v>0</v>
      </c>
      <c r="BH38" s="235">
        <f>轉向量!P413</f>
        <v>0</v>
      </c>
      <c r="BI38" s="236">
        <f>轉向量!Q413</f>
        <v>0</v>
      </c>
      <c r="BK38" s="2"/>
    </row>
    <row r="39" spans="1:63">
      <c r="A39" s="28">
        <v>700</v>
      </c>
      <c r="B39" s="184">
        <f>轉向量!E30</f>
        <v>0</v>
      </c>
      <c r="C39" s="184">
        <f>轉向量!F30</f>
        <v>0</v>
      </c>
      <c r="D39" s="184">
        <f>轉向量!G30</f>
        <v>0</v>
      </c>
      <c r="E39" s="185">
        <f>轉向量!H30</f>
        <v>0</v>
      </c>
      <c r="F39" s="186">
        <f>轉向量!J30</f>
        <v>0</v>
      </c>
      <c r="G39" s="184">
        <f>轉向量!K30</f>
        <v>0</v>
      </c>
      <c r="H39" s="184">
        <f>轉向量!L30</f>
        <v>0</v>
      </c>
      <c r="I39" s="185">
        <f>轉向量!M30</f>
        <v>0</v>
      </c>
      <c r="J39" s="186">
        <f>轉向量!O30</f>
        <v>0</v>
      </c>
      <c r="K39" s="184">
        <f>轉向量!P30</f>
        <v>0</v>
      </c>
      <c r="L39" s="184">
        <f>轉向量!Q30</f>
        <v>0</v>
      </c>
      <c r="M39" s="185">
        <f>轉向量!R30</f>
        <v>0</v>
      </c>
      <c r="N39" s="187">
        <f>轉向量!D126</f>
        <v>0</v>
      </c>
      <c r="O39" s="188">
        <f>轉向量!F126</f>
        <v>0</v>
      </c>
      <c r="P39" s="188">
        <f>轉向量!G126</f>
        <v>0</v>
      </c>
      <c r="Q39" s="189">
        <f>轉向量!H126</f>
        <v>0</v>
      </c>
      <c r="R39" s="187">
        <f>轉向量!I126</f>
        <v>0</v>
      </c>
      <c r="S39" s="188">
        <f>轉向量!K126</f>
        <v>0</v>
      </c>
      <c r="T39" s="188">
        <f>轉向量!L126</f>
        <v>0</v>
      </c>
      <c r="U39" s="189">
        <f>轉向量!M126</f>
        <v>0</v>
      </c>
      <c r="V39" s="188">
        <f>轉向量!N126</f>
        <v>0</v>
      </c>
      <c r="W39" s="188">
        <f>轉向量!P126</f>
        <v>0</v>
      </c>
      <c r="X39" s="188">
        <f>轉向量!Q126</f>
        <v>0</v>
      </c>
      <c r="Y39" s="189">
        <f>轉向量!R126</f>
        <v>0</v>
      </c>
      <c r="Z39" s="209">
        <f>轉向量!D222</f>
        <v>0</v>
      </c>
      <c r="AA39" s="210">
        <f>轉向量!E222</f>
        <v>0</v>
      </c>
      <c r="AB39" s="210">
        <f>轉向量!G222</f>
        <v>0</v>
      </c>
      <c r="AC39" s="211">
        <f>轉向量!H222</f>
        <v>0</v>
      </c>
      <c r="AD39" s="210">
        <f>轉向量!I222</f>
        <v>0</v>
      </c>
      <c r="AE39" s="210">
        <f>轉向量!J222</f>
        <v>0</v>
      </c>
      <c r="AF39" s="210">
        <f>轉向量!L222</f>
        <v>0</v>
      </c>
      <c r="AG39" s="211">
        <f>轉向量!M222</f>
        <v>0</v>
      </c>
      <c r="AH39" s="210">
        <f>轉向量!N222</f>
        <v>0</v>
      </c>
      <c r="AI39" s="210">
        <f>轉向量!O222</f>
        <v>0</v>
      </c>
      <c r="AJ39" s="210">
        <f>轉向量!Q222</f>
        <v>0</v>
      </c>
      <c r="AK39" s="211">
        <f>轉向量!R222</f>
        <v>0</v>
      </c>
      <c r="AL39" s="221">
        <f>轉向量!D318</f>
        <v>0</v>
      </c>
      <c r="AM39" s="222">
        <f>轉向量!E318</f>
        <v>0</v>
      </c>
      <c r="AN39" s="222">
        <f>轉向量!F318</f>
        <v>0</v>
      </c>
      <c r="AO39" s="223">
        <f>轉向量!H318</f>
        <v>0</v>
      </c>
      <c r="AP39" s="222">
        <f>轉向量!I318</f>
        <v>0</v>
      </c>
      <c r="AQ39" s="222">
        <f>轉向量!J318</f>
        <v>0</v>
      </c>
      <c r="AR39" s="222">
        <f>轉向量!K318</f>
        <v>0</v>
      </c>
      <c r="AS39" s="223">
        <f>轉向量!M318</f>
        <v>0</v>
      </c>
      <c r="AT39" s="222">
        <f>轉向量!N318</f>
        <v>0</v>
      </c>
      <c r="AU39" s="222">
        <f>轉向量!O318</f>
        <v>0</v>
      </c>
      <c r="AV39" s="222">
        <f>轉向量!P318</f>
        <v>0</v>
      </c>
      <c r="AW39" s="223">
        <f>轉向量!R318</f>
        <v>0</v>
      </c>
      <c r="AX39" s="234">
        <f>轉向量!D414</f>
        <v>0</v>
      </c>
      <c r="AY39" s="235">
        <f>轉向量!E414</f>
        <v>0</v>
      </c>
      <c r="AZ39" s="235">
        <f>轉向量!F414</f>
        <v>0</v>
      </c>
      <c r="BA39" s="236">
        <f>轉向量!G414</f>
        <v>0</v>
      </c>
      <c r="BB39" s="235">
        <f>轉向量!I414</f>
        <v>0</v>
      </c>
      <c r="BC39" s="235">
        <f>轉向量!J414</f>
        <v>0</v>
      </c>
      <c r="BD39" s="235">
        <f>轉向量!K414</f>
        <v>0</v>
      </c>
      <c r="BE39" s="236">
        <f>轉向量!L414</f>
        <v>0</v>
      </c>
      <c r="BF39" s="235">
        <f>轉向量!N414</f>
        <v>0</v>
      </c>
      <c r="BG39" s="235">
        <f>轉向量!O414</f>
        <v>0</v>
      </c>
      <c r="BH39" s="235">
        <f>轉向量!P414</f>
        <v>0</v>
      </c>
      <c r="BI39" s="236">
        <f>轉向量!Q414</f>
        <v>0</v>
      </c>
      <c r="BK39" s="2"/>
    </row>
    <row r="40" spans="1:63">
      <c r="A40" s="28">
        <v>715</v>
      </c>
      <c r="B40" s="184">
        <f>轉向量!E31</f>
        <v>0</v>
      </c>
      <c r="C40" s="184">
        <f>轉向量!F31</f>
        <v>0</v>
      </c>
      <c r="D40" s="184">
        <f>轉向量!G31</f>
        <v>0</v>
      </c>
      <c r="E40" s="185">
        <f>轉向量!H31</f>
        <v>0</v>
      </c>
      <c r="F40" s="186">
        <f>轉向量!J31</f>
        <v>0</v>
      </c>
      <c r="G40" s="184">
        <f>轉向量!K31</f>
        <v>0</v>
      </c>
      <c r="H40" s="184">
        <f>轉向量!L31</f>
        <v>0</v>
      </c>
      <c r="I40" s="185">
        <f>轉向量!M31</f>
        <v>0</v>
      </c>
      <c r="J40" s="186">
        <f>轉向量!O31</f>
        <v>0</v>
      </c>
      <c r="K40" s="184">
        <f>轉向量!P31</f>
        <v>0</v>
      </c>
      <c r="L40" s="184">
        <f>轉向量!Q31</f>
        <v>0</v>
      </c>
      <c r="M40" s="185">
        <f>轉向量!R31</f>
        <v>0</v>
      </c>
      <c r="N40" s="187">
        <f>轉向量!D127</f>
        <v>0</v>
      </c>
      <c r="O40" s="188">
        <f>轉向量!F127</f>
        <v>0</v>
      </c>
      <c r="P40" s="188">
        <f>轉向量!G127</f>
        <v>0</v>
      </c>
      <c r="Q40" s="189">
        <f>轉向量!H127</f>
        <v>0</v>
      </c>
      <c r="R40" s="187">
        <f>轉向量!I127</f>
        <v>0</v>
      </c>
      <c r="S40" s="188">
        <f>轉向量!K127</f>
        <v>0</v>
      </c>
      <c r="T40" s="188">
        <f>轉向量!L127</f>
        <v>0</v>
      </c>
      <c r="U40" s="189">
        <f>轉向量!M127</f>
        <v>0</v>
      </c>
      <c r="V40" s="188">
        <f>轉向量!N127</f>
        <v>0</v>
      </c>
      <c r="W40" s="188">
        <f>轉向量!P127</f>
        <v>0</v>
      </c>
      <c r="X40" s="188">
        <f>轉向量!Q127</f>
        <v>0</v>
      </c>
      <c r="Y40" s="189">
        <f>轉向量!R127</f>
        <v>0</v>
      </c>
      <c r="Z40" s="209">
        <f>轉向量!D223</f>
        <v>0</v>
      </c>
      <c r="AA40" s="210">
        <f>轉向量!E223</f>
        <v>0</v>
      </c>
      <c r="AB40" s="210">
        <f>轉向量!G223</f>
        <v>0</v>
      </c>
      <c r="AC40" s="211">
        <f>轉向量!H223</f>
        <v>0</v>
      </c>
      <c r="AD40" s="210">
        <f>轉向量!I223</f>
        <v>0</v>
      </c>
      <c r="AE40" s="210">
        <f>轉向量!J223</f>
        <v>0</v>
      </c>
      <c r="AF40" s="210">
        <f>轉向量!L223</f>
        <v>0</v>
      </c>
      <c r="AG40" s="211">
        <f>轉向量!M223</f>
        <v>0</v>
      </c>
      <c r="AH40" s="210">
        <f>轉向量!N223</f>
        <v>0</v>
      </c>
      <c r="AI40" s="210">
        <f>轉向量!O223</f>
        <v>0</v>
      </c>
      <c r="AJ40" s="210">
        <f>轉向量!Q223</f>
        <v>0</v>
      </c>
      <c r="AK40" s="211">
        <f>轉向量!R223</f>
        <v>0</v>
      </c>
      <c r="AL40" s="221">
        <f>轉向量!D319</f>
        <v>0</v>
      </c>
      <c r="AM40" s="222">
        <f>轉向量!E319</f>
        <v>0</v>
      </c>
      <c r="AN40" s="222">
        <f>轉向量!F319</f>
        <v>0</v>
      </c>
      <c r="AO40" s="223">
        <f>轉向量!H319</f>
        <v>0</v>
      </c>
      <c r="AP40" s="222">
        <f>轉向量!I319</f>
        <v>0</v>
      </c>
      <c r="AQ40" s="222">
        <f>轉向量!J319</f>
        <v>0</v>
      </c>
      <c r="AR40" s="222">
        <f>轉向量!K319</f>
        <v>0</v>
      </c>
      <c r="AS40" s="223">
        <f>轉向量!M319</f>
        <v>0</v>
      </c>
      <c r="AT40" s="222">
        <f>轉向量!N319</f>
        <v>0</v>
      </c>
      <c r="AU40" s="222">
        <f>轉向量!O319</f>
        <v>0</v>
      </c>
      <c r="AV40" s="222">
        <f>轉向量!P319</f>
        <v>0</v>
      </c>
      <c r="AW40" s="223">
        <f>轉向量!R319</f>
        <v>0</v>
      </c>
      <c r="AX40" s="234">
        <f>轉向量!D415</f>
        <v>0</v>
      </c>
      <c r="AY40" s="235">
        <f>轉向量!E415</f>
        <v>0</v>
      </c>
      <c r="AZ40" s="235">
        <f>轉向量!F415</f>
        <v>0</v>
      </c>
      <c r="BA40" s="236">
        <f>轉向量!G415</f>
        <v>0</v>
      </c>
      <c r="BB40" s="235">
        <f>轉向量!I415</f>
        <v>0</v>
      </c>
      <c r="BC40" s="235">
        <f>轉向量!J415</f>
        <v>0</v>
      </c>
      <c r="BD40" s="235">
        <f>轉向量!K415</f>
        <v>0</v>
      </c>
      <c r="BE40" s="236">
        <f>轉向量!L415</f>
        <v>0</v>
      </c>
      <c r="BF40" s="235">
        <f>轉向量!N415</f>
        <v>0</v>
      </c>
      <c r="BG40" s="235">
        <f>轉向量!O415</f>
        <v>0</v>
      </c>
      <c r="BH40" s="235">
        <f>轉向量!P415</f>
        <v>0</v>
      </c>
      <c r="BI40" s="236">
        <f>轉向量!Q415</f>
        <v>0</v>
      </c>
      <c r="BK40" s="2"/>
    </row>
    <row r="41" spans="1:63">
      <c r="A41" s="28">
        <v>730</v>
      </c>
      <c r="B41" s="184">
        <f>轉向量!E32</f>
        <v>0</v>
      </c>
      <c r="C41" s="184">
        <f>轉向量!F32</f>
        <v>0</v>
      </c>
      <c r="D41" s="184">
        <f>轉向量!G32</f>
        <v>0</v>
      </c>
      <c r="E41" s="185">
        <f>轉向量!H32</f>
        <v>0</v>
      </c>
      <c r="F41" s="186">
        <f>轉向量!J32</f>
        <v>0</v>
      </c>
      <c r="G41" s="184">
        <f>轉向量!K32</f>
        <v>0</v>
      </c>
      <c r="H41" s="184">
        <f>轉向量!L32</f>
        <v>0</v>
      </c>
      <c r="I41" s="185">
        <f>轉向量!M32</f>
        <v>0</v>
      </c>
      <c r="J41" s="186">
        <f>轉向量!O32</f>
        <v>0</v>
      </c>
      <c r="K41" s="184">
        <f>轉向量!P32</f>
        <v>0</v>
      </c>
      <c r="L41" s="184">
        <f>轉向量!Q32</f>
        <v>0</v>
      </c>
      <c r="M41" s="185">
        <f>轉向量!R32</f>
        <v>0</v>
      </c>
      <c r="N41" s="187">
        <f>轉向量!D128</f>
        <v>0</v>
      </c>
      <c r="O41" s="188">
        <f>轉向量!F128</f>
        <v>0</v>
      </c>
      <c r="P41" s="188">
        <f>轉向量!G128</f>
        <v>0</v>
      </c>
      <c r="Q41" s="189">
        <f>轉向量!H128</f>
        <v>0</v>
      </c>
      <c r="R41" s="187">
        <f>轉向量!I128</f>
        <v>0</v>
      </c>
      <c r="S41" s="188">
        <f>轉向量!K128</f>
        <v>0</v>
      </c>
      <c r="T41" s="188">
        <f>轉向量!L128</f>
        <v>0</v>
      </c>
      <c r="U41" s="189">
        <f>轉向量!M128</f>
        <v>0</v>
      </c>
      <c r="V41" s="188">
        <f>轉向量!N128</f>
        <v>0</v>
      </c>
      <c r="W41" s="188">
        <f>轉向量!P128</f>
        <v>0</v>
      </c>
      <c r="X41" s="188">
        <f>轉向量!Q128</f>
        <v>0</v>
      </c>
      <c r="Y41" s="189">
        <f>轉向量!R128</f>
        <v>0</v>
      </c>
      <c r="Z41" s="209">
        <f>轉向量!D224</f>
        <v>0</v>
      </c>
      <c r="AA41" s="210">
        <f>轉向量!E224</f>
        <v>0</v>
      </c>
      <c r="AB41" s="210">
        <f>轉向量!G224</f>
        <v>0</v>
      </c>
      <c r="AC41" s="211">
        <f>轉向量!H224</f>
        <v>0</v>
      </c>
      <c r="AD41" s="210">
        <f>轉向量!I224</f>
        <v>0</v>
      </c>
      <c r="AE41" s="210">
        <f>轉向量!J224</f>
        <v>0</v>
      </c>
      <c r="AF41" s="210">
        <f>轉向量!L224</f>
        <v>0</v>
      </c>
      <c r="AG41" s="211">
        <f>轉向量!M224</f>
        <v>0</v>
      </c>
      <c r="AH41" s="210">
        <f>轉向量!N224</f>
        <v>0</v>
      </c>
      <c r="AI41" s="210">
        <f>轉向量!O224</f>
        <v>0</v>
      </c>
      <c r="AJ41" s="210">
        <f>轉向量!Q224</f>
        <v>0</v>
      </c>
      <c r="AK41" s="211">
        <f>轉向量!R224</f>
        <v>0</v>
      </c>
      <c r="AL41" s="221">
        <f>轉向量!D320</f>
        <v>0</v>
      </c>
      <c r="AM41" s="222">
        <f>轉向量!E320</f>
        <v>0</v>
      </c>
      <c r="AN41" s="222">
        <f>轉向量!F320</f>
        <v>0</v>
      </c>
      <c r="AO41" s="223">
        <f>轉向量!H320</f>
        <v>0</v>
      </c>
      <c r="AP41" s="222">
        <f>轉向量!I320</f>
        <v>0</v>
      </c>
      <c r="AQ41" s="222">
        <f>轉向量!J320</f>
        <v>0</v>
      </c>
      <c r="AR41" s="222">
        <f>轉向量!K320</f>
        <v>0</v>
      </c>
      <c r="AS41" s="223">
        <f>轉向量!M320</f>
        <v>0</v>
      </c>
      <c r="AT41" s="222">
        <f>轉向量!N320</f>
        <v>0</v>
      </c>
      <c r="AU41" s="222">
        <f>轉向量!O320</f>
        <v>0</v>
      </c>
      <c r="AV41" s="222">
        <f>轉向量!P320</f>
        <v>0</v>
      </c>
      <c r="AW41" s="223">
        <f>轉向量!R320</f>
        <v>0</v>
      </c>
      <c r="AX41" s="234">
        <f>轉向量!D416</f>
        <v>0</v>
      </c>
      <c r="AY41" s="235">
        <f>轉向量!E416</f>
        <v>0</v>
      </c>
      <c r="AZ41" s="235">
        <f>轉向量!F416</f>
        <v>0</v>
      </c>
      <c r="BA41" s="236">
        <f>轉向量!G416</f>
        <v>0</v>
      </c>
      <c r="BB41" s="235">
        <f>轉向量!I416</f>
        <v>0</v>
      </c>
      <c r="BC41" s="235">
        <f>轉向量!J416</f>
        <v>0</v>
      </c>
      <c r="BD41" s="235">
        <f>轉向量!K416</f>
        <v>0</v>
      </c>
      <c r="BE41" s="236">
        <f>轉向量!L416</f>
        <v>0</v>
      </c>
      <c r="BF41" s="235">
        <f>轉向量!N416</f>
        <v>0</v>
      </c>
      <c r="BG41" s="235">
        <f>轉向量!O416</f>
        <v>0</v>
      </c>
      <c r="BH41" s="235">
        <f>轉向量!P416</f>
        <v>0</v>
      </c>
      <c r="BI41" s="236">
        <f>轉向量!Q416</f>
        <v>0</v>
      </c>
      <c r="BK41" s="2"/>
    </row>
    <row r="42" spans="1:63">
      <c r="A42" s="28">
        <v>745</v>
      </c>
      <c r="B42" s="184">
        <f>轉向量!E33</f>
        <v>0</v>
      </c>
      <c r="C42" s="184">
        <f>轉向量!F33</f>
        <v>0</v>
      </c>
      <c r="D42" s="184">
        <f>轉向量!G33</f>
        <v>0</v>
      </c>
      <c r="E42" s="185">
        <f>轉向量!H33</f>
        <v>0</v>
      </c>
      <c r="F42" s="186">
        <f>轉向量!J33</f>
        <v>0</v>
      </c>
      <c r="G42" s="184">
        <f>轉向量!K33</f>
        <v>0</v>
      </c>
      <c r="H42" s="184">
        <f>轉向量!L33</f>
        <v>0</v>
      </c>
      <c r="I42" s="185">
        <f>轉向量!M33</f>
        <v>0</v>
      </c>
      <c r="J42" s="186">
        <f>轉向量!O33</f>
        <v>0</v>
      </c>
      <c r="K42" s="184">
        <f>轉向量!P33</f>
        <v>0</v>
      </c>
      <c r="L42" s="184">
        <f>轉向量!Q33</f>
        <v>0</v>
      </c>
      <c r="M42" s="185">
        <f>轉向量!R33</f>
        <v>0</v>
      </c>
      <c r="N42" s="187">
        <f>轉向量!D129</f>
        <v>0</v>
      </c>
      <c r="O42" s="188">
        <f>轉向量!F129</f>
        <v>0</v>
      </c>
      <c r="P42" s="188">
        <f>轉向量!G129</f>
        <v>0</v>
      </c>
      <c r="Q42" s="189">
        <f>轉向量!H129</f>
        <v>0</v>
      </c>
      <c r="R42" s="187">
        <f>轉向量!I129</f>
        <v>0</v>
      </c>
      <c r="S42" s="188">
        <f>轉向量!K129</f>
        <v>0</v>
      </c>
      <c r="T42" s="188">
        <f>轉向量!L129</f>
        <v>0</v>
      </c>
      <c r="U42" s="189">
        <f>轉向量!M129</f>
        <v>0</v>
      </c>
      <c r="V42" s="188">
        <f>轉向量!N129</f>
        <v>0</v>
      </c>
      <c r="W42" s="188">
        <f>轉向量!P129</f>
        <v>0</v>
      </c>
      <c r="X42" s="188">
        <f>轉向量!Q129</f>
        <v>0</v>
      </c>
      <c r="Y42" s="189">
        <f>轉向量!R129</f>
        <v>0</v>
      </c>
      <c r="Z42" s="209">
        <f>轉向量!D225</f>
        <v>0</v>
      </c>
      <c r="AA42" s="210">
        <f>轉向量!E225</f>
        <v>0</v>
      </c>
      <c r="AB42" s="210">
        <f>轉向量!G225</f>
        <v>0</v>
      </c>
      <c r="AC42" s="211">
        <f>轉向量!H225</f>
        <v>0</v>
      </c>
      <c r="AD42" s="210">
        <f>轉向量!I225</f>
        <v>0</v>
      </c>
      <c r="AE42" s="210">
        <f>轉向量!J225</f>
        <v>0</v>
      </c>
      <c r="AF42" s="210">
        <f>轉向量!L225</f>
        <v>0</v>
      </c>
      <c r="AG42" s="211">
        <f>轉向量!M225</f>
        <v>0</v>
      </c>
      <c r="AH42" s="210">
        <f>轉向量!N225</f>
        <v>0</v>
      </c>
      <c r="AI42" s="210">
        <f>轉向量!O225</f>
        <v>0</v>
      </c>
      <c r="AJ42" s="210">
        <f>轉向量!Q225</f>
        <v>0</v>
      </c>
      <c r="AK42" s="211">
        <f>轉向量!R225</f>
        <v>0</v>
      </c>
      <c r="AL42" s="221">
        <f>轉向量!D321</f>
        <v>0</v>
      </c>
      <c r="AM42" s="222">
        <f>轉向量!E321</f>
        <v>0</v>
      </c>
      <c r="AN42" s="222">
        <f>轉向量!F321</f>
        <v>0</v>
      </c>
      <c r="AO42" s="223">
        <f>轉向量!H321</f>
        <v>0</v>
      </c>
      <c r="AP42" s="222">
        <f>轉向量!I321</f>
        <v>0</v>
      </c>
      <c r="AQ42" s="222">
        <f>轉向量!J321</f>
        <v>0</v>
      </c>
      <c r="AR42" s="222">
        <f>轉向量!K321</f>
        <v>0</v>
      </c>
      <c r="AS42" s="223">
        <f>轉向量!M321</f>
        <v>0</v>
      </c>
      <c r="AT42" s="222">
        <f>轉向量!N321</f>
        <v>0</v>
      </c>
      <c r="AU42" s="222">
        <f>轉向量!O321</f>
        <v>0</v>
      </c>
      <c r="AV42" s="222">
        <f>轉向量!P321</f>
        <v>0</v>
      </c>
      <c r="AW42" s="223">
        <f>轉向量!R321</f>
        <v>0</v>
      </c>
      <c r="AX42" s="234">
        <f>轉向量!D417</f>
        <v>0</v>
      </c>
      <c r="AY42" s="235">
        <f>轉向量!E417</f>
        <v>0</v>
      </c>
      <c r="AZ42" s="235">
        <f>轉向量!F417</f>
        <v>0</v>
      </c>
      <c r="BA42" s="236">
        <f>轉向量!G417</f>
        <v>0</v>
      </c>
      <c r="BB42" s="235">
        <f>轉向量!I417</f>
        <v>0</v>
      </c>
      <c r="BC42" s="235">
        <f>轉向量!J417</f>
        <v>0</v>
      </c>
      <c r="BD42" s="235">
        <f>轉向量!K417</f>
        <v>0</v>
      </c>
      <c r="BE42" s="236">
        <f>轉向量!L417</f>
        <v>0</v>
      </c>
      <c r="BF42" s="235">
        <f>轉向量!N417</f>
        <v>0</v>
      </c>
      <c r="BG42" s="235">
        <f>轉向量!O417</f>
        <v>0</v>
      </c>
      <c r="BH42" s="235">
        <f>轉向量!P417</f>
        <v>0</v>
      </c>
      <c r="BI42" s="236">
        <f>轉向量!Q417</f>
        <v>0</v>
      </c>
      <c r="BK42" s="2"/>
    </row>
    <row r="43" spans="1:63">
      <c r="A43" s="28">
        <v>800</v>
      </c>
      <c r="B43" s="184">
        <f>轉向量!E34</f>
        <v>0</v>
      </c>
      <c r="C43" s="184">
        <f>轉向量!F34</f>
        <v>0</v>
      </c>
      <c r="D43" s="184">
        <f>轉向量!G34</f>
        <v>0</v>
      </c>
      <c r="E43" s="185">
        <f>轉向量!H34</f>
        <v>0</v>
      </c>
      <c r="F43" s="186">
        <f>轉向量!J34</f>
        <v>0</v>
      </c>
      <c r="G43" s="184">
        <f>轉向量!K34</f>
        <v>0</v>
      </c>
      <c r="H43" s="184">
        <f>轉向量!L34</f>
        <v>0</v>
      </c>
      <c r="I43" s="185">
        <f>轉向量!M34</f>
        <v>0</v>
      </c>
      <c r="J43" s="186">
        <f>轉向量!O34</f>
        <v>0</v>
      </c>
      <c r="K43" s="184">
        <f>轉向量!P34</f>
        <v>0</v>
      </c>
      <c r="L43" s="184">
        <f>轉向量!Q34</f>
        <v>0</v>
      </c>
      <c r="M43" s="185">
        <f>轉向量!R34</f>
        <v>0</v>
      </c>
      <c r="N43" s="187">
        <f>轉向量!D130</f>
        <v>0</v>
      </c>
      <c r="O43" s="188">
        <f>轉向量!F130</f>
        <v>0</v>
      </c>
      <c r="P43" s="188">
        <f>轉向量!G130</f>
        <v>0</v>
      </c>
      <c r="Q43" s="189">
        <f>轉向量!H130</f>
        <v>0</v>
      </c>
      <c r="R43" s="187">
        <f>轉向量!I130</f>
        <v>0</v>
      </c>
      <c r="S43" s="188">
        <f>轉向量!K130</f>
        <v>0</v>
      </c>
      <c r="T43" s="188">
        <f>轉向量!L130</f>
        <v>0</v>
      </c>
      <c r="U43" s="189">
        <f>轉向量!M130</f>
        <v>0</v>
      </c>
      <c r="V43" s="188">
        <f>轉向量!N130</f>
        <v>0</v>
      </c>
      <c r="W43" s="188">
        <f>轉向量!P130</f>
        <v>0</v>
      </c>
      <c r="X43" s="188">
        <f>轉向量!Q130</f>
        <v>0</v>
      </c>
      <c r="Y43" s="189">
        <f>轉向量!R130</f>
        <v>0</v>
      </c>
      <c r="Z43" s="209">
        <f>轉向量!D226</f>
        <v>0</v>
      </c>
      <c r="AA43" s="210">
        <f>轉向量!E226</f>
        <v>0</v>
      </c>
      <c r="AB43" s="210">
        <f>轉向量!G226</f>
        <v>0</v>
      </c>
      <c r="AC43" s="211">
        <f>轉向量!H226</f>
        <v>0</v>
      </c>
      <c r="AD43" s="210">
        <f>轉向量!I226</f>
        <v>0</v>
      </c>
      <c r="AE43" s="210">
        <f>轉向量!J226</f>
        <v>0</v>
      </c>
      <c r="AF43" s="210">
        <f>轉向量!L226</f>
        <v>0</v>
      </c>
      <c r="AG43" s="211">
        <f>轉向量!M226</f>
        <v>0</v>
      </c>
      <c r="AH43" s="210">
        <f>轉向量!N226</f>
        <v>0</v>
      </c>
      <c r="AI43" s="210">
        <f>轉向量!O226</f>
        <v>0</v>
      </c>
      <c r="AJ43" s="210">
        <f>轉向量!Q226</f>
        <v>0</v>
      </c>
      <c r="AK43" s="211">
        <f>轉向量!R226</f>
        <v>0</v>
      </c>
      <c r="AL43" s="221">
        <f>轉向量!D322</f>
        <v>0</v>
      </c>
      <c r="AM43" s="222">
        <f>轉向量!E322</f>
        <v>0</v>
      </c>
      <c r="AN43" s="222">
        <f>轉向量!F322</f>
        <v>0</v>
      </c>
      <c r="AO43" s="223">
        <f>轉向量!H322</f>
        <v>0</v>
      </c>
      <c r="AP43" s="222">
        <f>轉向量!I322</f>
        <v>0</v>
      </c>
      <c r="AQ43" s="222">
        <f>轉向量!J322</f>
        <v>0</v>
      </c>
      <c r="AR43" s="222">
        <f>轉向量!K322</f>
        <v>0</v>
      </c>
      <c r="AS43" s="223">
        <f>轉向量!M322</f>
        <v>0</v>
      </c>
      <c r="AT43" s="222">
        <f>轉向量!N322</f>
        <v>0</v>
      </c>
      <c r="AU43" s="222">
        <f>轉向量!O322</f>
        <v>0</v>
      </c>
      <c r="AV43" s="222">
        <f>轉向量!P322</f>
        <v>0</v>
      </c>
      <c r="AW43" s="223">
        <f>轉向量!R322</f>
        <v>0</v>
      </c>
      <c r="AX43" s="234">
        <f>轉向量!D418</f>
        <v>0</v>
      </c>
      <c r="AY43" s="235">
        <f>轉向量!E418</f>
        <v>0</v>
      </c>
      <c r="AZ43" s="235">
        <f>轉向量!F418</f>
        <v>0</v>
      </c>
      <c r="BA43" s="236">
        <f>轉向量!G418</f>
        <v>0</v>
      </c>
      <c r="BB43" s="235">
        <f>轉向量!I418</f>
        <v>0</v>
      </c>
      <c r="BC43" s="235">
        <f>轉向量!J418</f>
        <v>0</v>
      </c>
      <c r="BD43" s="235">
        <f>轉向量!K418</f>
        <v>0</v>
      </c>
      <c r="BE43" s="236">
        <f>轉向量!L418</f>
        <v>0</v>
      </c>
      <c r="BF43" s="235">
        <f>轉向量!N418</f>
        <v>0</v>
      </c>
      <c r="BG43" s="235">
        <f>轉向量!O418</f>
        <v>0</v>
      </c>
      <c r="BH43" s="235">
        <f>轉向量!P418</f>
        <v>0</v>
      </c>
      <c r="BI43" s="236">
        <f>轉向量!Q418</f>
        <v>0</v>
      </c>
      <c r="BK43" s="2"/>
    </row>
    <row r="44" spans="1:63">
      <c r="A44" s="28">
        <v>815</v>
      </c>
      <c r="B44" s="184">
        <f>轉向量!E35</f>
        <v>0</v>
      </c>
      <c r="C44" s="184">
        <f>轉向量!F35</f>
        <v>0</v>
      </c>
      <c r="D44" s="184">
        <f>轉向量!G35</f>
        <v>0</v>
      </c>
      <c r="E44" s="185">
        <f>轉向量!H35</f>
        <v>0</v>
      </c>
      <c r="F44" s="186">
        <f>轉向量!J35</f>
        <v>0</v>
      </c>
      <c r="G44" s="184">
        <f>轉向量!K35</f>
        <v>0</v>
      </c>
      <c r="H44" s="184">
        <f>轉向量!L35</f>
        <v>0</v>
      </c>
      <c r="I44" s="185">
        <f>轉向量!M35</f>
        <v>0</v>
      </c>
      <c r="J44" s="186">
        <f>轉向量!O35</f>
        <v>0</v>
      </c>
      <c r="K44" s="184">
        <f>轉向量!P35</f>
        <v>0</v>
      </c>
      <c r="L44" s="184">
        <f>轉向量!Q35</f>
        <v>0</v>
      </c>
      <c r="M44" s="185">
        <f>轉向量!R35</f>
        <v>0</v>
      </c>
      <c r="N44" s="187">
        <f>轉向量!D131</f>
        <v>0</v>
      </c>
      <c r="O44" s="188">
        <f>轉向量!F131</f>
        <v>0</v>
      </c>
      <c r="P44" s="188">
        <f>轉向量!G131</f>
        <v>0</v>
      </c>
      <c r="Q44" s="189">
        <f>轉向量!H131</f>
        <v>0</v>
      </c>
      <c r="R44" s="187">
        <f>轉向量!I131</f>
        <v>0</v>
      </c>
      <c r="S44" s="188">
        <f>轉向量!K131</f>
        <v>0</v>
      </c>
      <c r="T44" s="188">
        <f>轉向量!L131</f>
        <v>0</v>
      </c>
      <c r="U44" s="189">
        <f>轉向量!M131</f>
        <v>0</v>
      </c>
      <c r="V44" s="188">
        <f>轉向量!N131</f>
        <v>0</v>
      </c>
      <c r="W44" s="188">
        <f>轉向量!P131</f>
        <v>0</v>
      </c>
      <c r="X44" s="188">
        <f>轉向量!Q131</f>
        <v>0</v>
      </c>
      <c r="Y44" s="189">
        <f>轉向量!R131</f>
        <v>0</v>
      </c>
      <c r="Z44" s="209">
        <f>轉向量!D227</f>
        <v>0</v>
      </c>
      <c r="AA44" s="210">
        <f>轉向量!E227</f>
        <v>0</v>
      </c>
      <c r="AB44" s="210">
        <f>轉向量!G227</f>
        <v>0</v>
      </c>
      <c r="AC44" s="211">
        <f>轉向量!H227</f>
        <v>0</v>
      </c>
      <c r="AD44" s="210">
        <f>轉向量!I227</f>
        <v>0</v>
      </c>
      <c r="AE44" s="210">
        <f>轉向量!J227</f>
        <v>0</v>
      </c>
      <c r="AF44" s="210">
        <f>轉向量!L227</f>
        <v>0</v>
      </c>
      <c r="AG44" s="211">
        <f>轉向量!M227</f>
        <v>0</v>
      </c>
      <c r="AH44" s="210">
        <f>轉向量!N227</f>
        <v>0</v>
      </c>
      <c r="AI44" s="210">
        <f>轉向量!O227</f>
        <v>0</v>
      </c>
      <c r="AJ44" s="210">
        <f>轉向量!Q227</f>
        <v>0</v>
      </c>
      <c r="AK44" s="211">
        <f>轉向量!R227</f>
        <v>0</v>
      </c>
      <c r="AL44" s="221">
        <f>轉向量!D323</f>
        <v>0</v>
      </c>
      <c r="AM44" s="222">
        <f>轉向量!E323</f>
        <v>0</v>
      </c>
      <c r="AN44" s="222">
        <f>轉向量!F323</f>
        <v>0</v>
      </c>
      <c r="AO44" s="223">
        <f>轉向量!H323</f>
        <v>0</v>
      </c>
      <c r="AP44" s="222">
        <f>轉向量!I323</f>
        <v>0</v>
      </c>
      <c r="AQ44" s="222">
        <f>轉向量!J323</f>
        <v>0</v>
      </c>
      <c r="AR44" s="222">
        <f>轉向量!K323</f>
        <v>0</v>
      </c>
      <c r="AS44" s="223">
        <f>轉向量!M323</f>
        <v>0</v>
      </c>
      <c r="AT44" s="222">
        <f>轉向量!N323</f>
        <v>0</v>
      </c>
      <c r="AU44" s="222">
        <f>轉向量!O323</f>
        <v>0</v>
      </c>
      <c r="AV44" s="222">
        <f>轉向量!P323</f>
        <v>0</v>
      </c>
      <c r="AW44" s="223">
        <f>轉向量!R323</f>
        <v>0</v>
      </c>
      <c r="AX44" s="234">
        <f>轉向量!D419</f>
        <v>0</v>
      </c>
      <c r="AY44" s="235">
        <f>轉向量!E419</f>
        <v>0</v>
      </c>
      <c r="AZ44" s="235">
        <f>轉向量!F419</f>
        <v>0</v>
      </c>
      <c r="BA44" s="236">
        <f>轉向量!G419</f>
        <v>0</v>
      </c>
      <c r="BB44" s="235">
        <f>轉向量!I419</f>
        <v>0</v>
      </c>
      <c r="BC44" s="235">
        <f>轉向量!J419</f>
        <v>0</v>
      </c>
      <c r="BD44" s="235">
        <f>轉向量!K419</f>
        <v>0</v>
      </c>
      <c r="BE44" s="236">
        <f>轉向量!L419</f>
        <v>0</v>
      </c>
      <c r="BF44" s="235">
        <f>轉向量!N419</f>
        <v>0</v>
      </c>
      <c r="BG44" s="235">
        <f>轉向量!O419</f>
        <v>0</v>
      </c>
      <c r="BH44" s="235">
        <f>轉向量!P419</f>
        <v>0</v>
      </c>
      <c r="BI44" s="236">
        <f>轉向量!Q419</f>
        <v>0</v>
      </c>
      <c r="BK44" s="2"/>
    </row>
    <row r="45" spans="1:63">
      <c r="A45" s="28">
        <v>830</v>
      </c>
      <c r="B45" s="184">
        <f>轉向量!E36</f>
        <v>0</v>
      </c>
      <c r="C45" s="184">
        <f>轉向量!F36</f>
        <v>0</v>
      </c>
      <c r="D45" s="184">
        <f>轉向量!G36</f>
        <v>0</v>
      </c>
      <c r="E45" s="185">
        <f>轉向量!H36</f>
        <v>0</v>
      </c>
      <c r="F45" s="186">
        <f>轉向量!J36</f>
        <v>0</v>
      </c>
      <c r="G45" s="184">
        <f>轉向量!K36</f>
        <v>0</v>
      </c>
      <c r="H45" s="184">
        <f>轉向量!L36</f>
        <v>0</v>
      </c>
      <c r="I45" s="185">
        <f>轉向量!M36</f>
        <v>0</v>
      </c>
      <c r="J45" s="186">
        <f>轉向量!O36</f>
        <v>0</v>
      </c>
      <c r="K45" s="184">
        <f>轉向量!P36</f>
        <v>0</v>
      </c>
      <c r="L45" s="184">
        <f>轉向量!Q36</f>
        <v>0</v>
      </c>
      <c r="M45" s="185">
        <f>轉向量!R36</f>
        <v>0</v>
      </c>
      <c r="N45" s="187">
        <f>轉向量!D132</f>
        <v>0</v>
      </c>
      <c r="O45" s="188">
        <f>轉向量!F132</f>
        <v>0</v>
      </c>
      <c r="P45" s="188">
        <f>轉向量!G132</f>
        <v>0</v>
      </c>
      <c r="Q45" s="189">
        <f>轉向量!H132</f>
        <v>0</v>
      </c>
      <c r="R45" s="187">
        <f>轉向量!I132</f>
        <v>0</v>
      </c>
      <c r="S45" s="188">
        <f>轉向量!K132</f>
        <v>0</v>
      </c>
      <c r="T45" s="188">
        <f>轉向量!L132</f>
        <v>0</v>
      </c>
      <c r="U45" s="189">
        <f>轉向量!M132</f>
        <v>0</v>
      </c>
      <c r="V45" s="188">
        <f>轉向量!N132</f>
        <v>0</v>
      </c>
      <c r="W45" s="188">
        <f>轉向量!P132</f>
        <v>0</v>
      </c>
      <c r="X45" s="188">
        <f>轉向量!Q132</f>
        <v>0</v>
      </c>
      <c r="Y45" s="189">
        <f>轉向量!R132</f>
        <v>0</v>
      </c>
      <c r="Z45" s="209">
        <f>轉向量!D228</f>
        <v>0</v>
      </c>
      <c r="AA45" s="210">
        <f>轉向量!E228</f>
        <v>0</v>
      </c>
      <c r="AB45" s="210">
        <f>轉向量!G228</f>
        <v>0</v>
      </c>
      <c r="AC45" s="211">
        <f>轉向量!H228</f>
        <v>0</v>
      </c>
      <c r="AD45" s="210">
        <f>轉向量!I228</f>
        <v>0</v>
      </c>
      <c r="AE45" s="210">
        <f>轉向量!J228</f>
        <v>0</v>
      </c>
      <c r="AF45" s="210">
        <f>轉向量!L228</f>
        <v>0</v>
      </c>
      <c r="AG45" s="211">
        <f>轉向量!M228</f>
        <v>0</v>
      </c>
      <c r="AH45" s="210">
        <f>轉向量!N228</f>
        <v>0</v>
      </c>
      <c r="AI45" s="210">
        <f>轉向量!O228</f>
        <v>0</v>
      </c>
      <c r="AJ45" s="210">
        <f>轉向量!Q228</f>
        <v>0</v>
      </c>
      <c r="AK45" s="211">
        <f>轉向量!R228</f>
        <v>0</v>
      </c>
      <c r="AL45" s="221">
        <f>轉向量!D324</f>
        <v>0</v>
      </c>
      <c r="AM45" s="222">
        <f>轉向量!E324</f>
        <v>0</v>
      </c>
      <c r="AN45" s="222">
        <f>轉向量!F324</f>
        <v>0</v>
      </c>
      <c r="AO45" s="223">
        <f>轉向量!H324</f>
        <v>0</v>
      </c>
      <c r="AP45" s="222">
        <f>轉向量!I324</f>
        <v>0</v>
      </c>
      <c r="AQ45" s="222">
        <f>轉向量!J324</f>
        <v>0</v>
      </c>
      <c r="AR45" s="222">
        <f>轉向量!K324</f>
        <v>0</v>
      </c>
      <c r="AS45" s="223">
        <f>轉向量!M324</f>
        <v>0</v>
      </c>
      <c r="AT45" s="222">
        <f>轉向量!N324</f>
        <v>0</v>
      </c>
      <c r="AU45" s="222">
        <f>轉向量!O324</f>
        <v>0</v>
      </c>
      <c r="AV45" s="222">
        <f>轉向量!P324</f>
        <v>0</v>
      </c>
      <c r="AW45" s="223">
        <f>轉向量!R324</f>
        <v>0</v>
      </c>
      <c r="AX45" s="234">
        <f>轉向量!D420</f>
        <v>0</v>
      </c>
      <c r="AY45" s="235">
        <f>轉向量!E420</f>
        <v>0</v>
      </c>
      <c r="AZ45" s="235">
        <f>轉向量!F420</f>
        <v>0</v>
      </c>
      <c r="BA45" s="236">
        <f>轉向量!G420</f>
        <v>0</v>
      </c>
      <c r="BB45" s="235">
        <f>轉向量!I420</f>
        <v>0</v>
      </c>
      <c r="BC45" s="235">
        <f>轉向量!J420</f>
        <v>0</v>
      </c>
      <c r="BD45" s="235">
        <f>轉向量!K420</f>
        <v>0</v>
      </c>
      <c r="BE45" s="236">
        <f>轉向量!L420</f>
        <v>0</v>
      </c>
      <c r="BF45" s="235">
        <f>轉向量!N420</f>
        <v>0</v>
      </c>
      <c r="BG45" s="235">
        <f>轉向量!O420</f>
        <v>0</v>
      </c>
      <c r="BH45" s="235">
        <f>轉向量!P420</f>
        <v>0</v>
      </c>
      <c r="BI45" s="236">
        <f>轉向量!Q420</f>
        <v>0</v>
      </c>
      <c r="BK45" s="2"/>
    </row>
    <row r="46" spans="1:63">
      <c r="A46" s="28">
        <v>845</v>
      </c>
      <c r="B46" s="184">
        <f>轉向量!E37</f>
        <v>0</v>
      </c>
      <c r="C46" s="184">
        <f>轉向量!F37</f>
        <v>0</v>
      </c>
      <c r="D46" s="184">
        <f>轉向量!G37</f>
        <v>0</v>
      </c>
      <c r="E46" s="185">
        <f>轉向量!H37</f>
        <v>0</v>
      </c>
      <c r="F46" s="186">
        <f>轉向量!J37</f>
        <v>0</v>
      </c>
      <c r="G46" s="184">
        <f>轉向量!K37</f>
        <v>0</v>
      </c>
      <c r="H46" s="184">
        <f>轉向量!L37</f>
        <v>0</v>
      </c>
      <c r="I46" s="185">
        <f>轉向量!M37</f>
        <v>0</v>
      </c>
      <c r="J46" s="186">
        <f>轉向量!O37</f>
        <v>0</v>
      </c>
      <c r="K46" s="184">
        <f>轉向量!P37</f>
        <v>0</v>
      </c>
      <c r="L46" s="184">
        <f>轉向量!Q37</f>
        <v>0</v>
      </c>
      <c r="M46" s="185">
        <f>轉向量!R37</f>
        <v>0</v>
      </c>
      <c r="N46" s="187">
        <f>轉向量!D133</f>
        <v>0</v>
      </c>
      <c r="O46" s="188">
        <f>轉向量!F133</f>
        <v>0</v>
      </c>
      <c r="P46" s="188">
        <f>轉向量!G133</f>
        <v>0</v>
      </c>
      <c r="Q46" s="189">
        <f>轉向量!H133</f>
        <v>0</v>
      </c>
      <c r="R46" s="187">
        <f>轉向量!I133</f>
        <v>0</v>
      </c>
      <c r="S46" s="188">
        <f>轉向量!K133</f>
        <v>0</v>
      </c>
      <c r="T46" s="188">
        <f>轉向量!L133</f>
        <v>0</v>
      </c>
      <c r="U46" s="189">
        <f>轉向量!M133</f>
        <v>0</v>
      </c>
      <c r="V46" s="188">
        <f>轉向量!N133</f>
        <v>0</v>
      </c>
      <c r="W46" s="188">
        <f>轉向量!P133</f>
        <v>0</v>
      </c>
      <c r="X46" s="188">
        <f>轉向量!Q133</f>
        <v>0</v>
      </c>
      <c r="Y46" s="189">
        <f>轉向量!R133</f>
        <v>0</v>
      </c>
      <c r="Z46" s="209">
        <f>轉向量!D229</f>
        <v>0</v>
      </c>
      <c r="AA46" s="210">
        <f>轉向量!E229</f>
        <v>0</v>
      </c>
      <c r="AB46" s="210">
        <f>轉向量!G229</f>
        <v>0</v>
      </c>
      <c r="AC46" s="211">
        <f>轉向量!H229</f>
        <v>0</v>
      </c>
      <c r="AD46" s="210">
        <f>轉向量!I229</f>
        <v>0</v>
      </c>
      <c r="AE46" s="210">
        <f>轉向量!J229</f>
        <v>0</v>
      </c>
      <c r="AF46" s="210">
        <f>轉向量!L229</f>
        <v>0</v>
      </c>
      <c r="AG46" s="211">
        <f>轉向量!M229</f>
        <v>0</v>
      </c>
      <c r="AH46" s="210">
        <f>轉向量!N229</f>
        <v>0</v>
      </c>
      <c r="AI46" s="210">
        <f>轉向量!O229</f>
        <v>0</v>
      </c>
      <c r="AJ46" s="210">
        <f>轉向量!Q229</f>
        <v>0</v>
      </c>
      <c r="AK46" s="211">
        <f>轉向量!R229</f>
        <v>0</v>
      </c>
      <c r="AL46" s="221">
        <f>轉向量!D325</f>
        <v>0</v>
      </c>
      <c r="AM46" s="222">
        <f>轉向量!E325</f>
        <v>0</v>
      </c>
      <c r="AN46" s="222">
        <f>轉向量!F325</f>
        <v>0</v>
      </c>
      <c r="AO46" s="223">
        <f>轉向量!H325</f>
        <v>0</v>
      </c>
      <c r="AP46" s="222">
        <f>轉向量!I325</f>
        <v>0</v>
      </c>
      <c r="AQ46" s="222">
        <f>轉向量!J325</f>
        <v>0</v>
      </c>
      <c r="AR46" s="222">
        <f>轉向量!K325</f>
        <v>0</v>
      </c>
      <c r="AS46" s="223">
        <f>轉向量!M325</f>
        <v>0</v>
      </c>
      <c r="AT46" s="222">
        <f>轉向量!N325</f>
        <v>0</v>
      </c>
      <c r="AU46" s="222">
        <f>轉向量!O325</f>
        <v>0</v>
      </c>
      <c r="AV46" s="222">
        <f>轉向量!P325</f>
        <v>0</v>
      </c>
      <c r="AW46" s="223">
        <f>轉向量!R325</f>
        <v>0</v>
      </c>
      <c r="AX46" s="234">
        <f>轉向量!D421</f>
        <v>0</v>
      </c>
      <c r="AY46" s="235">
        <f>轉向量!E421</f>
        <v>0</v>
      </c>
      <c r="AZ46" s="235">
        <f>轉向量!F421</f>
        <v>0</v>
      </c>
      <c r="BA46" s="236">
        <f>轉向量!G421</f>
        <v>0</v>
      </c>
      <c r="BB46" s="235">
        <f>轉向量!I421</f>
        <v>0</v>
      </c>
      <c r="BC46" s="235">
        <f>轉向量!J421</f>
        <v>0</v>
      </c>
      <c r="BD46" s="235">
        <f>轉向量!K421</f>
        <v>0</v>
      </c>
      <c r="BE46" s="236">
        <f>轉向量!L421</f>
        <v>0</v>
      </c>
      <c r="BF46" s="235">
        <f>轉向量!N421</f>
        <v>0</v>
      </c>
      <c r="BG46" s="235">
        <f>轉向量!O421</f>
        <v>0</v>
      </c>
      <c r="BH46" s="235">
        <f>轉向量!P421</f>
        <v>0</v>
      </c>
      <c r="BI46" s="236">
        <f>轉向量!Q421</f>
        <v>0</v>
      </c>
      <c r="BK46" s="2"/>
    </row>
    <row r="47" spans="1:63">
      <c r="A47" s="28">
        <v>900</v>
      </c>
      <c r="B47" s="184">
        <f>轉向量!E38</f>
        <v>0</v>
      </c>
      <c r="C47" s="184">
        <f>轉向量!F38</f>
        <v>0</v>
      </c>
      <c r="D47" s="184">
        <f>轉向量!G38</f>
        <v>0</v>
      </c>
      <c r="E47" s="185">
        <f>轉向量!H38</f>
        <v>0</v>
      </c>
      <c r="F47" s="186">
        <f>轉向量!J38</f>
        <v>0</v>
      </c>
      <c r="G47" s="184">
        <f>轉向量!K38</f>
        <v>0</v>
      </c>
      <c r="H47" s="184">
        <f>轉向量!L38</f>
        <v>0</v>
      </c>
      <c r="I47" s="185">
        <f>轉向量!M38</f>
        <v>0</v>
      </c>
      <c r="J47" s="186">
        <f>轉向量!O38</f>
        <v>0</v>
      </c>
      <c r="K47" s="184">
        <f>轉向量!P38</f>
        <v>0</v>
      </c>
      <c r="L47" s="184">
        <f>轉向量!Q38</f>
        <v>0</v>
      </c>
      <c r="M47" s="185">
        <f>轉向量!R38</f>
        <v>0</v>
      </c>
      <c r="N47" s="187">
        <f>轉向量!D134</f>
        <v>0</v>
      </c>
      <c r="O47" s="188">
        <f>轉向量!F134</f>
        <v>0</v>
      </c>
      <c r="P47" s="188">
        <f>轉向量!G134</f>
        <v>0</v>
      </c>
      <c r="Q47" s="189">
        <f>轉向量!H134</f>
        <v>0</v>
      </c>
      <c r="R47" s="187">
        <f>轉向量!I134</f>
        <v>0</v>
      </c>
      <c r="S47" s="188">
        <f>轉向量!K134</f>
        <v>0</v>
      </c>
      <c r="T47" s="188">
        <f>轉向量!L134</f>
        <v>0</v>
      </c>
      <c r="U47" s="189">
        <f>轉向量!M134</f>
        <v>0</v>
      </c>
      <c r="V47" s="188">
        <f>轉向量!N134</f>
        <v>0</v>
      </c>
      <c r="W47" s="188">
        <f>轉向量!P134</f>
        <v>0</v>
      </c>
      <c r="X47" s="188">
        <f>轉向量!Q134</f>
        <v>0</v>
      </c>
      <c r="Y47" s="189">
        <f>轉向量!R134</f>
        <v>0</v>
      </c>
      <c r="Z47" s="209">
        <f>轉向量!D230</f>
        <v>0</v>
      </c>
      <c r="AA47" s="210">
        <f>轉向量!E230</f>
        <v>0</v>
      </c>
      <c r="AB47" s="210">
        <f>轉向量!G230</f>
        <v>0</v>
      </c>
      <c r="AC47" s="211">
        <f>轉向量!H230</f>
        <v>0</v>
      </c>
      <c r="AD47" s="210">
        <f>轉向量!I230</f>
        <v>0</v>
      </c>
      <c r="AE47" s="210">
        <f>轉向量!J230</f>
        <v>0</v>
      </c>
      <c r="AF47" s="210">
        <f>轉向量!L230</f>
        <v>0</v>
      </c>
      <c r="AG47" s="211">
        <f>轉向量!M230</f>
        <v>0</v>
      </c>
      <c r="AH47" s="210">
        <f>轉向量!N230</f>
        <v>0</v>
      </c>
      <c r="AI47" s="210">
        <f>轉向量!O230</f>
        <v>0</v>
      </c>
      <c r="AJ47" s="210">
        <f>轉向量!Q230</f>
        <v>0</v>
      </c>
      <c r="AK47" s="211">
        <f>轉向量!R230</f>
        <v>0</v>
      </c>
      <c r="AL47" s="221">
        <f>轉向量!D326</f>
        <v>0</v>
      </c>
      <c r="AM47" s="222">
        <f>轉向量!E326</f>
        <v>0</v>
      </c>
      <c r="AN47" s="222">
        <f>轉向量!F326</f>
        <v>0</v>
      </c>
      <c r="AO47" s="223">
        <f>轉向量!H326</f>
        <v>0</v>
      </c>
      <c r="AP47" s="222">
        <f>轉向量!I326</f>
        <v>0</v>
      </c>
      <c r="AQ47" s="222">
        <f>轉向量!J326</f>
        <v>0</v>
      </c>
      <c r="AR47" s="222">
        <f>轉向量!K326</f>
        <v>0</v>
      </c>
      <c r="AS47" s="223">
        <f>轉向量!M326</f>
        <v>0</v>
      </c>
      <c r="AT47" s="222">
        <f>轉向量!N326</f>
        <v>0</v>
      </c>
      <c r="AU47" s="222">
        <f>轉向量!O326</f>
        <v>0</v>
      </c>
      <c r="AV47" s="222">
        <f>轉向量!P326</f>
        <v>0</v>
      </c>
      <c r="AW47" s="223">
        <f>轉向量!R326</f>
        <v>0</v>
      </c>
      <c r="AX47" s="234">
        <f>轉向量!D422</f>
        <v>0</v>
      </c>
      <c r="AY47" s="235">
        <f>轉向量!E422</f>
        <v>0</v>
      </c>
      <c r="AZ47" s="235">
        <f>轉向量!F422</f>
        <v>0</v>
      </c>
      <c r="BA47" s="236">
        <f>轉向量!G422</f>
        <v>0</v>
      </c>
      <c r="BB47" s="235">
        <f>轉向量!I422</f>
        <v>0</v>
      </c>
      <c r="BC47" s="235">
        <f>轉向量!J422</f>
        <v>0</v>
      </c>
      <c r="BD47" s="235">
        <f>轉向量!K422</f>
        <v>0</v>
      </c>
      <c r="BE47" s="236">
        <f>轉向量!L422</f>
        <v>0</v>
      </c>
      <c r="BF47" s="235">
        <f>轉向量!N422</f>
        <v>0</v>
      </c>
      <c r="BG47" s="235">
        <f>轉向量!O422</f>
        <v>0</v>
      </c>
      <c r="BH47" s="235">
        <f>轉向量!P422</f>
        <v>0</v>
      </c>
      <c r="BI47" s="236">
        <f>轉向量!Q422</f>
        <v>0</v>
      </c>
      <c r="BK47" s="2"/>
    </row>
    <row r="48" spans="1:63">
      <c r="A48" s="28">
        <v>915</v>
      </c>
      <c r="B48" s="184">
        <f>轉向量!E39</f>
        <v>0</v>
      </c>
      <c r="C48" s="184">
        <f>轉向量!F39</f>
        <v>0</v>
      </c>
      <c r="D48" s="184">
        <f>轉向量!G39</f>
        <v>0</v>
      </c>
      <c r="E48" s="185">
        <f>轉向量!H39</f>
        <v>0</v>
      </c>
      <c r="F48" s="186">
        <f>轉向量!J39</f>
        <v>0</v>
      </c>
      <c r="G48" s="184">
        <f>轉向量!K39</f>
        <v>0</v>
      </c>
      <c r="H48" s="184">
        <f>轉向量!L39</f>
        <v>0</v>
      </c>
      <c r="I48" s="185">
        <f>轉向量!M39</f>
        <v>0</v>
      </c>
      <c r="J48" s="186">
        <f>轉向量!O39</f>
        <v>0</v>
      </c>
      <c r="K48" s="184">
        <f>轉向量!P39</f>
        <v>0</v>
      </c>
      <c r="L48" s="184">
        <f>轉向量!Q39</f>
        <v>0</v>
      </c>
      <c r="M48" s="185">
        <f>轉向量!R39</f>
        <v>0</v>
      </c>
      <c r="N48" s="187">
        <f>轉向量!D135</f>
        <v>0</v>
      </c>
      <c r="O48" s="188">
        <f>轉向量!F135</f>
        <v>0</v>
      </c>
      <c r="P48" s="188">
        <f>轉向量!G135</f>
        <v>0</v>
      </c>
      <c r="Q48" s="189">
        <f>轉向量!H135</f>
        <v>0</v>
      </c>
      <c r="R48" s="187">
        <f>轉向量!I135</f>
        <v>0</v>
      </c>
      <c r="S48" s="188">
        <f>轉向量!K135</f>
        <v>0</v>
      </c>
      <c r="T48" s="188">
        <f>轉向量!L135</f>
        <v>0</v>
      </c>
      <c r="U48" s="189">
        <f>轉向量!M135</f>
        <v>0</v>
      </c>
      <c r="V48" s="188">
        <f>轉向量!N135</f>
        <v>0</v>
      </c>
      <c r="W48" s="188">
        <f>轉向量!P135</f>
        <v>0</v>
      </c>
      <c r="X48" s="188">
        <f>轉向量!Q135</f>
        <v>0</v>
      </c>
      <c r="Y48" s="189">
        <f>轉向量!R135</f>
        <v>0</v>
      </c>
      <c r="Z48" s="209">
        <f>轉向量!D231</f>
        <v>0</v>
      </c>
      <c r="AA48" s="210">
        <f>轉向量!E231</f>
        <v>0</v>
      </c>
      <c r="AB48" s="210">
        <f>轉向量!G231</f>
        <v>0</v>
      </c>
      <c r="AC48" s="211">
        <f>轉向量!H231</f>
        <v>0</v>
      </c>
      <c r="AD48" s="210">
        <f>轉向量!I231</f>
        <v>0</v>
      </c>
      <c r="AE48" s="210">
        <f>轉向量!J231</f>
        <v>0</v>
      </c>
      <c r="AF48" s="210">
        <f>轉向量!L231</f>
        <v>0</v>
      </c>
      <c r="AG48" s="211">
        <f>轉向量!M231</f>
        <v>0</v>
      </c>
      <c r="AH48" s="210">
        <f>轉向量!N231</f>
        <v>0</v>
      </c>
      <c r="AI48" s="210">
        <f>轉向量!O231</f>
        <v>0</v>
      </c>
      <c r="AJ48" s="210">
        <f>轉向量!Q231</f>
        <v>0</v>
      </c>
      <c r="AK48" s="211">
        <f>轉向量!R231</f>
        <v>0</v>
      </c>
      <c r="AL48" s="221">
        <f>轉向量!D327</f>
        <v>0</v>
      </c>
      <c r="AM48" s="222">
        <f>轉向量!E327</f>
        <v>0</v>
      </c>
      <c r="AN48" s="222">
        <f>轉向量!F327</f>
        <v>0</v>
      </c>
      <c r="AO48" s="223">
        <f>轉向量!H327</f>
        <v>0</v>
      </c>
      <c r="AP48" s="222">
        <f>轉向量!I327</f>
        <v>0</v>
      </c>
      <c r="AQ48" s="222">
        <f>轉向量!J327</f>
        <v>0</v>
      </c>
      <c r="AR48" s="222">
        <f>轉向量!K327</f>
        <v>0</v>
      </c>
      <c r="AS48" s="223">
        <f>轉向量!M327</f>
        <v>0</v>
      </c>
      <c r="AT48" s="222">
        <f>轉向量!N327</f>
        <v>0</v>
      </c>
      <c r="AU48" s="222">
        <f>轉向量!O327</f>
        <v>0</v>
      </c>
      <c r="AV48" s="222">
        <f>轉向量!P327</f>
        <v>0</v>
      </c>
      <c r="AW48" s="223">
        <f>轉向量!R327</f>
        <v>0</v>
      </c>
      <c r="AX48" s="234">
        <f>轉向量!D423</f>
        <v>0</v>
      </c>
      <c r="AY48" s="235">
        <f>轉向量!E423</f>
        <v>0</v>
      </c>
      <c r="AZ48" s="235">
        <f>轉向量!F423</f>
        <v>0</v>
      </c>
      <c r="BA48" s="236">
        <f>轉向量!G423</f>
        <v>0</v>
      </c>
      <c r="BB48" s="235">
        <f>轉向量!I423</f>
        <v>0</v>
      </c>
      <c r="BC48" s="235">
        <f>轉向量!J423</f>
        <v>0</v>
      </c>
      <c r="BD48" s="235">
        <f>轉向量!K423</f>
        <v>0</v>
      </c>
      <c r="BE48" s="236">
        <f>轉向量!L423</f>
        <v>0</v>
      </c>
      <c r="BF48" s="235">
        <f>轉向量!N423</f>
        <v>0</v>
      </c>
      <c r="BG48" s="235">
        <f>轉向量!O423</f>
        <v>0</v>
      </c>
      <c r="BH48" s="235">
        <f>轉向量!P423</f>
        <v>0</v>
      </c>
      <c r="BI48" s="236">
        <f>轉向量!Q423</f>
        <v>0</v>
      </c>
      <c r="BK48" s="2"/>
    </row>
    <row r="49" spans="1:63">
      <c r="A49" s="28">
        <v>930</v>
      </c>
      <c r="B49" s="184">
        <f>轉向量!E40</f>
        <v>0</v>
      </c>
      <c r="C49" s="184">
        <f>轉向量!F40</f>
        <v>0</v>
      </c>
      <c r="D49" s="184">
        <f>轉向量!G40</f>
        <v>0</v>
      </c>
      <c r="E49" s="185">
        <f>轉向量!H40</f>
        <v>0</v>
      </c>
      <c r="F49" s="186">
        <f>轉向量!J40</f>
        <v>0</v>
      </c>
      <c r="G49" s="184">
        <f>轉向量!K40</f>
        <v>0</v>
      </c>
      <c r="H49" s="184">
        <f>轉向量!L40</f>
        <v>0</v>
      </c>
      <c r="I49" s="185">
        <f>轉向量!M40</f>
        <v>0</v>
      </c>
      <c r="J49" s="186">
        <f>轉向量!O40</f>
        <v>0</v>
      </c>
      <c r="K49" s="184">
        <f>轉向量!P40</f>
        <v>0</v>
      </c>
      <c r="L49" s="184">
        <f>轉向量!Q40</f>
        <v>0</v>
      </c>
      <c r="M49" s="185">
        <f>轉向量!R40</f>
        <v>0</v>
      </c>
      <c r="N49" s="187">
        <f>轉向量!D136</f>
        <v>0</v>
      </c>
      <c r="O49" s="188">
        <f>轉向量!F136</f>
        <v>0</v>
      </c>
      <c r="P49" s="188">
        <f>轉向量!G136</f>
        <v>0</v>
      </c>
      <c r="Q49" s="189">
        <f>轉向量!H136</f>
        <v>0</v>
      </c>
      <c r="R49" s="187">
        <f>轉向量!I136</f>
        <v>0</v>
      </c>
      <c r="S49" s="188">
        <f>轉向量!K136</f>
        <v>0</v>
      </c>
      <c r="T49" s="188">
        <f>轉向量!L136</f>
        <v>0</v>
      </c>
      <c r="U49" s="189">
        <f>轉向量!M136</f>
        <v>0</v>
      </c>
      <c r="V49" s="188">
        <f>轉向量!N136</f>
        <v>0</v>
      </c>
      <c r="W49" s="188">
        <f>轉向量!P136</f>
        <v>0</v>
      </c>
      <c r="X49" s="188">
        <f>轉向量!Q136</f>
        <v>0</v>
      </c>
      <c r="Y49" s="189">
        <f>轉向量!R136</f>
        <v>0</v>
      </c>
      <c r="Z49" s="209">
        <f>轉向量!D232</f>
        <v>0</v>
      </c>
      <c r="AA49" s="210">
        <f>轉向量!E232</f>
        <v>0</v>
      </c>
      <c r="AB49" s="210">
        <f>轉向量!G232</f>
        <v>0</v>
      </c>
      <c r="AC49" s="211">
        <f>轉向量!H232</f>
        <v>0</v>
      </c>
      <c r="AD49" s="210">
        <f>轉向量!I232</f>
        <v>0</v>
      </c>
      <c r="AE49" s="210">
        <f>轉向量!J232</f>
        <v>0</v>
      </c>
      <c r="AF49" s="210">
        <f>轉向量!L232</f>
        <v>0</v>
      </c>
      <c r="AG49" s="211">
        <f>轉向量!M232</f>
        <v>0</v>
      </c>
      <c r="AH49" s="210">
        <f>轉向量!N232</f>
        <v>0</v>
      </c>
      <c r="AI49" s="210">
        <f>轉向量!O232</f>
        <v>0</v>
      </c>
      <c r="AJ49" s="210">
        <f>轉向量!Q232</f>
        <v>0</v>
      </c>
      <c r="AK49" s="211">
        <f>轉向量!R232</f>
        <v>0</v>
      </c>
      <c r="AL49" s="221">
        <f>轉向量!D328</f>
        <v>0</v>
      </c>
      <c r="AM49" s="222">
        <f>轉向量!E328</f>
        <v>0</v>
      </c>
      <c r="AN49" s="222">
        <f>轉向量!F328</f>
        <v>0</v>
      </c>
      <c r="AO49" s="223">
        <f>轉向量!H328</f>
        <v>0</v>
      </c>
      <c r="AP49" s="222">
        <f>轉向量!I328</f>
        <v>0</v>
      </c>
      <c r="AQ49" s="222">
        <f>轉向量!J328</f>
        <v>0</v>
      </c>
      <c r="AR49" s="222">
        <f>轉向量!K328</f>
        <v>0</v>
      </c>
      <c r="AS49" s="223">
        <f>轉向量!M328</f>
        <v>0</v>
      </c>
      <c r="AT49" s="222">
        <f>轉向量!N328</f>
        <v>0</v>
      </c>
      <c r="AU49" s="222">
        <f>轉向量!O328</f>
        <v>0</v>
      </c>
      <c r="AV49" s="222">
        <f>轉向量!P328</f>
        <v>0</v>
      </c>
      <c r="AW49" s="223">
        <f>轉向量!R328</f>
        <v>0</v>
      </c>
      <c r="AX49" s="234">
        <f>轉向量!D424</f>
        <v>0</v>
      </c>
      <c r="AY49" s="235">
        <f>轉向量!E424</f>
        <v>0</v>
      </c>
      <c r="AZ49" s="235">
        <f>轉向量!F424</f>
        <v>0</v>
      </c>
      <c r="BA49" s="236">
        <f>轉向量!G424</f>
        <v>0</v>
      </c>
      <c r="BB49" s="235">
        <f>轉向量!I424</f>
        <v>0</v>
      </c>
      <c r="BC49" s="235">
        <f>轉向量!J424</f>
        <v>0</v>
      </c>
      <c r="BD49" s="235">
        <f>轉向量!K424</f>
        <v>0</v>
      </c>
      <c r="BE49" s="236">
        <f>轉向量!L424</f>
        <v>0</v>
      </c>
      <c r="BF49" s="235">
        <f>轉向量!N424</f>
        <v>0</v>
      </c>
      <c r="BG49" s="235">
        <f>轉向量!O424</f>
        <v>0</v>
      </c>
      <c r="BH49" s="235">
        <f>轉向量!P424</f>
        <v>0</v>
      </c>
      <c r="BI49" s="236">
        <f>轉向量!Q424</f>
        <v>0</v>
      </c>
      <c r="BK49" s="2"/>
    </row>
    <row r="50" spans="1:63">
      <c r="A50" s="28">
        <v>945</v>
      </c>
      <c r="B50" s="184">
        <f>轉向量!E41</f>
        <v>0</v>
      </c>
      <c r="C50" s="184">
        <f>轉向量!F41</f>
        <v>0</v>
      </c>
      <c r="D50" s="184">
        <f>轉向量!G41</f>
        <v>0</v>
      </c>
      <c r="E50" s="185">
        <f>轉向量!H41</f>
        <v>0</v>
      </c>
      <c r="F50" s="186">
        <f>轉向量!J41</f>
        <v>0</v>
      </c>
      <c r="G50" s="184">
        <f>轉向量!K41</f>
        <v>0</v>
      </c>
      <c r="H50" s="184">
        <f>轉向量!L41</f>
        <v>0</v>
      </c>
      <c r="I50" s="185">
        <f>轉向量!M41</f>
        <v>0</v>
      </c>
      <c r="J50" s="186">
        <f>轉向量!O41</f>
        <v>0</v>
      </c>
      <c r="K50" s="184">
        <f>轉向量!P41</f>
        <v>0</v>
      </c>
      <c r="L50" s="184">
        <f>轉向量!Q41</f>
        <v>0</v>
      </c>
      <c r="M50" s="185">
        <f>轉向量!R41</f>
        <v>0</v>
      </c>
      <c r="N50" s="187">
        <f>轉向量!D137</f>
        <v>0</v>
      </c>
      <c r="O50" s="188">
        <f>轉向量!F137</f>
        <v>0</v>
      </c>
      <c r="P50" s="188">
        <f>轉向量!G137</f>
        <v>0</v>
      </c>
      <c r="Q50" s="189">
        <f>轉向量!H137</f>
        <v>0</v>
      </c>
      <c r="R50" s="187">
        <f>轉向量!I137</f>
        <v>0</v>
      </c>
      <c r="S50" s="188">
        <f>轉向量!K137</f>
        <v>0</v>
      </c>
      <c r="T50" s="188">
        <f>轉向量!L137</f>
        <v>0</v>
      </c>
      <c r="U50" s="189">
        <f>轉向量!M137</f>
        <v>0</v>
      </c>
      <c r="V50" s="188">
        <f>轉向量!N137</f>
        <v>0</v>
      </c>
      <c r="W50" s="188">
        <f>轉向量!P137</f>
        <v>0</v>
      </c>
      <c r="X50" s="188">
        <f>轉向量!Q137</f>
        <v>0</v>
      </c>
      <c r="Y50" s="189">
        <f>轉向量!R137</f>
        <v>0</v>
      </c>
      <c r="Z50" s="209">
        <f>轉向量!D233</f>
        <v>0</v>
      </c>
      <c r="AA50" s="210">
        <f>轉向量!E233</f>
        <v>0</v>
      </c>
      <c r="AB50" s="210">
        <f>轉向量!G233</f>
        <v>0</v>
      </c>
      <c r="AC50" s="211">
        <f>轉向量!H233</f>
        <v>0</v>
      </c>
      <c r="AD50" s="210">
        <f>轉向量!I233</f>
        <v>0</v>
      </c>
      <c r="AE50" s="210">
        <f>轉向量!J233</f>
        <v>0</v>
      </c>
      <c r="AF50" s="210">
        <f>轉向量!L233</f>
        <v>0</v>
      </c>
      <c r="AG50" s="211">
        <f>轉向量!M233</f>
        <v>0</v>
      </c>
      <c r="AH50" s="210">
        <f>轉向量!N233</f>
        <v>0</v>
      </c>
      <c r="AI50" s="210">
        <f>轉向量!O233</f>
        <v>0</v>
      </c>
      <c r="AJ50" s="210">
        <f>轉向量!Q233</f>
        <v>0</v>
      </c>
      <c r="AK50" s="211">
        <f>轉向量!R233</f>
        <v>0</v>
      </c>
      <c r="AL50" s="221">
        <f>轉向量!D329</f>
        <v>0</v>
      </c>
      <c r="AM50" s="222">
        <f>轉向量!E329</f>
        <v>0</v>
      </c>
      <c r="AN50" s="222">
        <f>轉向量!F329</f>
        <v>0</v>
      </c>
      <c r="AO50" s="223">
        <f>轉向量!H329</f>
        <v>0</v>
      </c>
      <c r="AP50" s="222">
        <f>轉向量!I329</f>
        <v>0</v>
      </c>
      <c r="AQ50" s="222">
        <f>轉向量!J329</f>
        <v>0</v>
      </c>
      <c r="AR50" s="222">
        <f>轉向量!K329</f>
        <v>0</v>
      </c>
      <c r="AS50" s="223">
        <f>轉向量!M329</f>
        <v>0</v>
      </c>
      <c r="AT50" s="222">
        <f>轉向量!N329</f>
        <v>0</v>
      </c>
      <c r="AU50" s="222">
        <f>轉向量!O329</f>
        <v>0</v>
      </c>
      <c r="AV50" s="222">
        <f>轉向量!P329</f>
        <v>0</v>
      </c>
      <c r="AW50" s="223">
        <f>轉向量!R329</f>
        <v>0</v>
      </c>
      <c r="AX50" s="234">
        <f>轉向量!D425</f>
        <v>0</v>
      </c>
      <c r="AY50" s="235">
        <f>轉向量!E425</f>
        <v>0</v>
      </c>
      <c r="AZ50" s="235">
        <f>轉向量!F425</f>
        <v>0</v>
      </c>
      <c r="BA50" s="236">
        <f>轉向量!G425</f>
        <v>0</v>
      </c>
      <c r="BB50" s="235">
        <f>轉向量!I425</f>
        <v>0</v>
      </c>
      <c r="BC50" s="235">
        <f>轉向量!J425</f>
        <v>0</v>
      </c>
      <c r="BD50" s="235">
        <f>轉向量!K425</f>
        <v>0</v>
      </c>
      <c r="BE50" s="236">
        <f>轉向量!L425</f>
        <v>0</v>
      </c>
      <c r="BF50" s="235">
        <f>轉向量!N425</f>
        <v>0</v>
      </c>
      <c r="BG50" s="235">
        <f>轉向量!O425</f>
        <v>0</v>
      </c>
      <c r="BH50" s="235">
        <f>轉向量!P425</f>
        <v>0</v>
      </c>
      <c r="BI50" s="236">
        <f>轉向量!Q425</f>
        <v>0</v>
      </c>
      <c r="BK50" s="2"/>
    </row>
    <row r="51" spans="1:63">
      <c r="A51" s="28">
        <v>1000</v>
      </c>
      <c r="B51" s="184">
        <f>轉向量!E42</f>
        <v>0</v>
      </c>
      <c r="C51" s="184">
        <f>轉向量!F42</f>
        <v>0</v>
      </c>
      <c r="D51" s="184">
        <f>轉向量!G42</f>
        <v>0</v>
      </c>
      <c r="E51" s="185">
        <f>轉向量!H42</f>
        <v>0</v>
      </c>
      <c r="F51" s="186">
        <f>轉向量!J42</f>
        <v>0</v>
      </c>
      <c r="G51" s="184">
        <f>轉向量!K42</f>
        <v>0</v>
      </c>
      <c r="H51" s="184">
        <f>轉向量!L42</f>
        <v>0</v>
      </c>
      <c r="I51" s="185">
        <f>轉向量!M42</f>
        <v>0</v>
      </c>
      <c r="J51" s="186">
        <f>轉向量!O42</f>
        <v>0</v>
      </c>
      <c r="K51" s="184">
        <f>轉向量!P42</f>
        <v>0</v>
      </c>
      <c r="L51" s="184">
        <f>轉向量!Q42</f>
        <v>0</v>
      </c>
      <c r="M51" s="185">
        <f>轉向量!R42</f>
        <v>0</v>
      </c>
      <c r="N51" s="187">
        <f>轉向量!D138</f>
        <v>0</v>
      </c>
      <c r="O51" s="188">
        <f>轉向量!F138</f>
        <v>0</v>
      </c>
      <c r="P51" s="188">
        <f>轉向量!G138</f>
        <v>0</v>
      </c>
      <c r="Q51" s="189">
        <f>轉向量!H138</f>
        <v>0</v>
      </c>
      <c r="R51" s="187">
        <f>轉向量!I138</f>
        <v>0</v>
      </c>
      <c r="S51" s="188">
        <f>轉向量!K138</f>
        <v>0</v>
      </c>
      <c r="T51" s="188">
        <f>轉向量!L138</f>
        <v>0</v>
      </c>
      <c r="U51" s="189">
        <f>轉向量!M138</f>
        <v>0</v>
      </c>
      <c r="V51" s="188">
        <f>轉向量!N138</f>
        <v>0</v>
      </c>
      <c r="W51" s="188">
        <f>轉向量!P138</f>
        <v>0</v>
      </c>
      <c r="X51" s="188">
        <f>轉向量!Q138</f>
        <v>0</v>
      </c>
      <c r="Y51" s="189">
        <f>轉向量!R138</f>
        <v>0</v>
      </c>
      <c r="Z51" s="209">
        <f>轉向量!D234</f>
        <v>0</v>
      </c>
      <c r="AA51" s="210">
        <f>轉向量!E234</f>
        <v>0</v>
      </c>
      <c r="AB51" s="210">
        <f>轉向量!G234</f>
        <v>0</v>
      </c>
      <c r="AC51" s="211">
        <f>轉向量!H234</f>
        <v>0</v>
      </c>
      <c r="AD51" s="210">
        <f>轉向量!I234</f>
        <v>0</v>
      </c>
      <c r="AE51" s="210">
        <f>轉向量!J234</f>
        <v>0</v>
      </c>
      <c r="AF51" s="210">
        <f>轉向量!L234</f>
        <v>0</v>
      </c>
      <c r="AG51" s="211">
        <f>轉向量!M234</f>
        <v>0</v>
      </c>
      <c r="AH51" s="210">
        <f>轉向量!N234</f>
        <v>0</v>
      </c>
      <c r="AI51" s="210">
        <f>轉向量!O234</f>
        <v>0</v>
      </c>
      <c r="AJ51" s="210">
        <f>轉向量!Q234</f>
        <v>0</v>
      </c>
      <c r="AK51" s="211">
        <f>轉向量!R234</f>
        <v>0</v>
      </c>
      <c r="AL51" s="221">
        <f>轉向量!D330</f>
        <v>0</v>
      </c>
      <c r="AM51" s="222">
        <f>轉向量!E330</f>
        <v>0</v>
      </c>
      <c r="AN51" s="222">
        <f>轉向量!F330</f>
        <v>0</v>
      </c>
      <c r="AO51" s="223">
        <f>轉向量!H330</f>
        <v>0</v>
      </c>
      <c r="AP51" s="222">
        <f>轉向量!I330</f>
        <v>0</v>
      </c>
      <c r="AQ51" s="222">
        <f>轉向量!J330</f>
        <v>0</v>
      </c>
      <c r="AR51" s="222">
        <f>轉向量!K330</f>
        <v>0</v>
      </c>
      <c r="AS51" s="223">
        <f>轉向量!M330</f>
        <v>0</v>
      </c>
      <c r="AT51" s="222">
        <f>轉向量!N330</f>
        <v>0</v>
      </c>
      <c r="AU51" s="222">
        <f>轉向量!O330</f>
        <v>0</v>
      </c>
      <c r="AV51" s="222">
        <f>轉向量!P330</f>
        <v>0</v>
      </c>
      <c r="AW51" s="223">
        <f>轉向量!R330</f>
        <v>0</v>
      </c>
      <c r="AX51" s="234">
        <f>轉向量!D426</f>
        <v>0</v>
      </c>
      <c r="AY51" s="235">
        <f>轉向量!E426</f>
        <v>0</v>
      </c>
      <c r="AZ51" s="235">
        <f>轉向量!F426</f>
        <v>0</v>
      </c>
      <c r="BA51" s="236">
        <f>轉向量!G426</f>
        <v>0</v>
      </c>
      <c r="BB51" s="235">
        <f>轉向量!I426</f>
        <v>0</v>
      </c>
      <c r="BC51" s="235">
        <f>轉向量!J426</f>
        <v>0</v>
      </c>
      <c r="BD51" s="235">
        <f>轉向量!K426</f>
        <v>0</v>
      </c>
      <c r="BE51" s="236">
        <f>轉向量!L426</f>
        <v>0</v>
      </c>
      <c r="BF51" s="235">
        <f>轉向量!N426</f>
        <v>0</v>
      </c>
      <c r="BG51" s="235">
        <f>轉向量!O426</f>
        <v>0</v>
      </c>
      <c r="BH51" s="235">
        <f>轉向量!P426</f>
        <v>0</v>
      </c>
      <c r="BI51" s="236">
        <f>轉向量!Q426</f>
        <v>0</v>
      </c>
      <c r="BK51" s="2"/>
    </row>
    <row r="52" spans="1:63">
      <c r="A52" s="28">
        <v>1015</v>
      </c>
      <c r="B52" s="184">
        <f>轉向量!E43</f>
        <v>0</v>
      </c>
      <c r="C52" s="184">
        <f>轉向量!F43</f>
        <v>0</v>
      </c>
      <c r="D52" s="184">
        <f>轉向量!G43</f>
        <v>0</v>
      </c>
      <c r="E52" s="185">
        <f>轉向量!H43</f>
        <v>0</v>
      </c>
      <c r="F52" s="186">
        <f>轉向量!J43</f>
        <v>0</v>
      </c>
      <c r="G52" s="184">
        <f>轉向量!K43</f>
        <v>0</v>
      </c>
      <c r="H52" s="184">
        <f>轉向量!L43</f>
        <v>0</v>
      </c>
      <c r="I52" s="185">
        <f>轉向量!M43</f>
        <v>0</v>
      </c>
      <c r="J52" s="186">
        <f>轉向量!O43</f>
        <v>0</v>
      </c>
      <c r="K52" s="184">
        <f>轉向量!P43</f>
        <v>0</v>
      </c>
      <c r="L52" s="184">
        <f>轉向量!Q43</f>
        <v>0</v>
      </c>
      <c r="M52" s="185">
        <f>轉向量!R43</f>
        <v>0</v>
      </c>
      <c r="N52" s="187">
        <f>轉向量!D139</f>
        <v>0</v>
      </c>
      <c r="O52" s="188">
        <f>轉向量!F139</f>
        <v>0</v>
      </c>
      <c r="P52" s="188">
        <f>轉向量!G139</f>
        <v>0</v>
      </c>
      <c r="Q52" s="189">
        <f>轉向量!H139</f>
        <v>0</v>
      </c>
      <c r="R52" s="187">
        <f>轉向量!I139</f>
        <v>0</v>
      </c>
      <c r="S52" s="188">
        <f>轉向量!K139</f>
        <v>0</v>
      </c>
      <c r="T52" s="188">
        <f>轉向量!L139</f>
        <v>0</v>
      </c>
      <c r="U52" s="189">
        <f>轉向量!M139</f>
        <v>0</v>
      </c>
      <c r="V52" s="188">
        <f>轉向量!N139</f>
        <v>0</v>
      </c>
      <c r="W52" s="188">
        <f>轉向量!P139</f>
        <v>0</v>
      </c>
      <c r="X52" s="188">
        <f>轉向量!Q139</f>
        <v>0</v>
      </c>
      <c r="Y52" s="189">
        <f>轉向量!R139</f>
        <v>0</v>
      </c>
      <c r="Z52" s="209">
        <f>轉向量!D235</f>
        <v>0</v>
      </c>
      <c r="AA52" s="210">
        <f>轉向量!E235</f>
        <v>0</v>
      </c>
      <c r="AB52" s="210">
        <f>轉向量!G235</f>
        <v>0</v>
      </c>
      <c r="AC52" s="211">
        <f>轉向量!H235</f>
        <v>0</v>
      </c>
      <c r="AD52" s="210">
        <f>轉向量!I235</f>
        <v>0</v>
      </c>
      <c r="AE52" s="210">
        <f>轉向量!J235</f>
        <v>0</v>
      </c>
      <c r="AF52" s="210">
        <f>轉向量!L235</f>
        <v>0</v>
      </c>
      <c r="AG52" s="211">
        <f>轉向量!M235</f>
        <v>0</v>
      </c>
      <c r="AH52" s="210">
        <f>轉向量!N235</f>
        <v>0</v>
      </c>
      <c r="AI52" s="210">
        <f>轉向量!O235</f>
        <v>0</v>
      </c>
      <c r="AJ52" s="210">
        <f>轉向量!Q235</f>
        <v>0</v>
      </c>
      <c r="AK52" s="211">
        <f>轉向量!R235</f>
        <v>0</v>
      </c>
      <c r="AL52" s="221">
        <f>轉向量!D331</f>
        <v>0</v>
      </c>
      <c r="AM52" s="222">
        <f>轉向量!E331</f>
        <v>0</v>
      </c>
      <c r="AN52" s="222">
        <f>轉向量!F331</f>
        <v>0</v>
      </c>
      <c r="AO52" s="223">
        <f>轉向量!H331</f>
        <v>0</v>
      </c>
      <c r="AP52" s="222">
        <f>轉向量!I331</f>
        <v>0</v>
      </c>
      <c r="AQ52" s="222">
        <f>轉向量!J331</f>
        <v>0</v>
      </c>
      <c r="AR52" s="222">
        <f>轉向量!K331</f>
        <v>0</v>
      </c>
      <c r="AS52" s="223">
        <f>轉向量!M331</f>
        <v>0</v>
      </c>
      <c r="AT52" s="222">
        <f>轉向量!N331</f>
        <v>0</v>
      </c>
      <c r="AU52" s="222">
        <f>轉向量!O331</f>
        <v>0</v>
      </c>
      <c r="AV52" s="222">
        <f>轉向量!P331</f>
        <v>0</v>
      </c>
      <c r="AW52" s="223">
        <f>轉向量!R331</f>
        <v>0</v>
      </c>
      <c r="AX52" s="234">
        <f>轉向量!D427</f>
        <v>0</v>
      </c>
      <c r="AY52" s="235">
        <f>轉向量!E427</f>
        <v>0</v>
      </c>
      <c r="AZ52" s="235">
        <f>轉向量!F427</f>
        <v>0</v>
      </c>
      <c r="BA52" s="236">
        <f>轉向量!G427</f>
        <v>0</v>
      </c>
      <c r="BB52" s="235">
        <f>轉向量!I427</f>
        <v>0</v>
      </c>
      <c r="BC52" s="235">
        <f>轉向量!J427</f>
        <v>0</v>
      </c>
      <c r="BD52" s="235">
        <f>轉向量!K427</f>
        <v>0</v>
      </c>
      <c r="BE52" s="236">
        <f>轉向量!L427</f>
        <v>0</v>
      </c>
      <c r="BF52" s="235">
        <f>轉向量!N427</f>
        <v>0</v>
      </c>
      <c r="BG52" s="235">
        <f>轉向量!O427</f>
        <v>0</v>
      </c>
      <c r="BH52" s="235">
        <f>轉向量!P427</f>
        <v>0</v>
      </c>
      <c r="BI52" s="236">
        <f>轉向量!Q427</f>
        <v>0</v>
      </c>
      <c r="BK52" s="2"/>
    </row>
    <row r="53" spans="1:63">
      <c r="A53" s="28">
        <v>1030</v>
      </c>
      <c r="B53" s="184">
        <f>轉向量!E44</f>
        <v>0</v>
      </c>
      <c r="C53" s="184">
        <f>轉向量!F44</f>
        <v>0</v>
      </c>
      <c r="D53" s="184">
        <f>轉向量!G44</f>
        <v>0</v>
      </c>
      <c r="E53" s="185">
        <f>轉向量!H44</f>
        <v>0</v>
      </c>
      <c r="F53" s="186">
        <f>轉向量!J44</f>
        <v>0</v>
      </c>
      <c r="G53" s="184">
        <f>轉向量!K44</f>
        <v>0</v>
      </c>
      <c r="H53" s="184">
        <f>轉向量!L44</f>
        <v>0</v>
      </c>
      <c r="I53" s="185">
        <f>轉向量!M44</f>
        <v>0</v>
      </c>
      <c r="J53" s="186">
        <f>轉向量!O44</f>
        <v>0</v>
      </c>
      <c r="K53" s="184">
        <f>轉向量!P44</f>
        <v>0</v>
      </c>
      <c r="L53" s="184">
        <f>轉向量!Q44</f>
        <v>0</v>
      </c>
      <c r="M53" s="185">
        <f>轉向量!R44</f>
        <v>0</v>
      </c>
      <c r="N53" s="187">
        <f>轉向量!D140</f>
        <v>0</v>
      </c>
      <c r="O53" s="188">
        <f>轉向量!F140</f>
        <v>0</v>
      </c>
      <c r="P53" s="188">
        <f>轉向量!G140</f>
        <v>0</v>
      </c>
      <c r="Q53" s="189">
        <f>轉向量!H140</f>
        <v>0</v>
      </c>
      <c r="R53" s="187">
        <f>轉向量!I140</f>
        <v>0</v>
      </c>
      <c r="S53" s="188">
        <f>轉向量!K140</f>
        <v>0</v>
      </c>
      <c r="T53" s="188">
        <f>轉向量!L140</f>
        <v>0</v>
      </c>
      <c r="U53" s="189">
        <f>轉向量!M140</f>
        <v>0</v>
      </c>
      <c r="V53" s="188">
        <f>轉向量!N140</f>
        <v>0</v>
      </c>
      <c r="W53" s="188">
        <f>轉向量!P140</f>
        <v>0</v>
      </c>
      <c r="X53" s="188">
        <f>轉向量!Q140</f>
        <v>0</v>
      </c>
      <c r="Y53" s="189">
        <f>轉向量!R140</f>
        <v>0</v>
      </c>
      <c r="Z53" s="209">
        <f>轉向量!D236</f>
        <v>0</v>
      </c>
      <c r="AA53" s="210">
        <f>轉向量!E236</f>
        <v>0</v>
      </c>
      <c r="AB53" s="210">
        <f>轉向量!G236</f>
        <v>0</v>
      </c>
      <c r="AC53" s="211">
        <f>轉向量!H236</f>
        <v>0</v>
      </c>
      <c r="AD53" s="210">
        <f>轉向量!I236</f>
        <v>0</v>
      </c>
      <c r="AE53" s="210">
        <f>轉向量!J236</f>
        <v>0</v>
      </c>
      <c r="AF53" s="210">
        <f>轉向量!L236</f>
        <v>0</v>
      </c>
      <c r="AG53" s="211">
        <f>轉向量!M236</f>
        <v>0</v>
      </c>
      <c r="AH53" s="210">
        <f>轉向量!N236</f>
        <v>0</v>
      </c>
      <c r="AI53" s="210">
        <f>轉向量!O236</f>
        <v>0</v>
      </c>
      <c r="AJ53" s="210">
        <f>轉向量!Q236</f>
        <v>0</v>
      </c>
      <c r="AK53" s="211">
        <f>轉向量!R236</f>
        <v>0</v>
      </c>
      <c r="AL53" s="221">
        <f>轉向量!D332</f>
        <v>0</v>
      </c>
      <c r="AM53" s="222">
        <f>轉向量!E332</f>
        <v>0</v>
      </c>
      <c r="AN53" s="222">
        <f>轉向量!F332</f>
        <v>0</v>
      </c>
      <c r="AO53" s="223">
        <f>轉向量!H332</f>
        <v>0</v>
      </c>
      <c r="AP53" s="222">
        <f>轉向量!I332</f>
        <v>0</v>
      </c>
      <c r="AQ53" s="222">
        <f>轉向量!J332</f>
        <v>0</v>
      </c>
      <c r="AR53" s="222">
        <f>轉向量!K332</f>
        <v>0</v>
      </c>
      <c r="AS53" s="223">
        <f>轉向量!M332</f>
        <v>0</v>
      </c>
      <c r="AT53" s="222">
        <f>轉向量!N332</f>
        <v>0</v>
      </c>
      <c r="AU53" s="222">
        <f>轉向量!O332</f>
        <v>0</v>
      </c>
      <c r="AV53" s="222">
        <f>轉向量!P332</f>
        <v>0</v>
      </c>
      <c r="AW53" s="223">
        <f>轉向量!R332</f>
        <v>0</v>
      </c>
      <c r="AX53" s="234">
        <f>轉向量!D428</f>
        <v>0</v>
      </c>
      <c r="AY53" s="235">
        <f>轉向量!E428</f>
        <v>0</v>
      </c>
      <c r="AZ53" s="235">
        <f>轉向量!F428</f>
        <v>0</v>
      </c>
      <c r="BA53" s="236">
        <f>轉向量!G428</f>
        <v>0</v>
      </c>
      <c r="BB53" s="235">
        <f>轉向量!I428</f>
        <v>0</v>
      </c>
      <c r="BC53" s="235">
        <f>轉向量!J428</f>
        <v>0</v>
      </c>
      <c r="BD53" s="235">
        <f>轉向量!K428</f>
        <v>0</v>
      </c>
      <c r="BE53" s="236">
        <f>轉向量!L428</f>
        <v>0</v>
      </c>
      <c r="BF53" s="235">
        <f>轉向量!N428</f>
        <v>0</v>
      </c>
      <c r="BG53" s="235">
        <f>轉向量!O428</f>
        <v>0</v>
      </c>
      <c r="BH53" s="235">
        <f>轉向量!P428</f>
        <v>0</v>
      </c>
      <c r="BI53" s="236">
        <f>轉向量!Q428</f>
        <v>0</v>
      </c>
      <c r="BK53" s="2"/>
    </row>
    <row r="54" spans="1:63">
      <c r="A54" s="28">
        <v>1045</v>
      </c>
      <c r="B54" s="184">
        <f>轉向量!E45</f>
        <v>0</v>
      </c>
      <c r="C54" s="184">
        <f>轉向量!F45</f>
        <v>0</v>
      </c>
      <c r="D54" s="184">
        <f>轉向量!G45</f>
        <v>0</v>
      </c>
      <c r="E54" s="185">
        <f>轉向量!H45</f>
        <v>0</v>
      </c>
      <c r="F54" s="186">
        <f>轉向量!J45</f>
        <v>0</v>
      </c>
      <c r="G54" s="184">
        <f>轉向量!K45</f>
        <v>0</v>
      </c>
      <c r="H54" s="184">
        <f>轉向量!L45</f>
        <v>0</v>
      </c>
      <c r="I54" s="185">
        <f>轉向量!M45</f>
        <v>0</v>
      </c>
      <c r="J54" s="186">
        <f>轉向量!O45</f>
        <v>0</v>
      </c>
      <c r="K54" s="184">
        <f>轉向量!P45</f>
        <v>0</v>
      </c>
      <c r="L54" s="184">
        <f>轉向量!Q45</f>
        <v>0</v>
      </c>
      <c r="M54" s="185">
        <f>轉向量!R45</f>
        <v>0</v>
      </c>
      <c r="N54" s="187">
        <f>轉向量!D141</f>
        <v>0</v>
      </c>
      <c r="O54" s="188">
        <f>轉向量!F141</f>
        <v>0</v>
      </c>
      <c r="P54" s="188">
        <f>轉向量!G141</f>
        <v>0</v>
      </c>
      <c r="Q54" s="189">
        <f>轉向量!H141</f>
        <v>0</v>
      </c>
      <c r="R54" s="187">
        <f>轉向量!I141</f>
        <v>0</v>
      </c>
      <c r="S54" s="188">
        <f>轉向量!K141</f>
        <v>0</v>
      </c>
      <c r="T54" s="188">
        <f>轉向量!L141</f>
        <v>0</v>
      </c>
      <c r="U54" s="189">
        <f>轉向量!M141</f>
        <v>0</v>
      </c>
      <c r="V54" s="188">
        <f>轉向量!N141</f>
        <v>0</v>
      </c>
      <c r="W54" s="188">
        <f>轉向量!P141</f>
        <v>0</v>
      </c>
      <c r="X54" s="188">
        <f>轉向量!Q141</f>
        <v>0</v>
      </c>
      <c r="Y54" s="189">
        <f>轉向量!R141</f>
        <v>0</v>
      </c>
      <c r="Z54" s="209">
        <f>轉向量!D237</f>
        <v>0</v>
      </c>
      <c r="AA54" s="210">
        <f>轉向量!E237</f>
        <v>0</v>
      </c>
      <c r="AB54" s="210">
        <f>轉向量!G237</f>
        <v>0</v>
      </c>
      <c r="AC54" s="211">
        <f>轉向量!H237</f>
        <v>0</v>
      </c>
      <c r="AD54" s="210">
        <f>轉向量!I237</f>
        <v>0</v>
      </c>
      <c r="AE54" s="210">
        <f>轉向量!J237</f>
        <v>0</v>
      </c>
      <c r="AF54" s="210">
        <f>轉向量!L237</f>
        <v>0</v>
      </c>
      <c r="AG54" s="211">
        <f>轉向量!M237</f>
        <v>0</v>
      </c>
      <c r="AH54" s="210">
        <f>轉向量!N237</f>
        <v>0</v>
      </c>
      <c r="AI54" s="210">
        <f>轉向量!O237</f>
        <v>0</v>
      </c>
      <c r="AJ54" s="210">
        <f>轉向量!Q237</f>
        <v>0</v>
      </c>
      <c r="AK54" s="211">
        <f>轉向量!R237</f>
        <v>0</v>
      </c>
      <c r="AL54" s="221">
        <f>轉向量!D333</f>
        <v>0</v>
      </c>
      <c r="AM54" s="222">
        <f>轉向量!E333</f>
        <v>0</v>
      </c>
      <c r="AN54" s="222">
        <f>轉向量!F333</f>
        <v>0</v>
      </c>
      <c r="AO54" s="223">
        <f>轉向量!H333</f>
        <v>0</v>
      </c>
      <c r="AP54" s="222">
        <f>轉向量!I333</f>
        <v>0</v>
      </c>
      <c r="AQ54" s="222">
        <f>轉向量!J333</f>
        <v>0</v>
      </c>
      <c r="AR54" s="222">
        <f>轉向量!K333</f>
        <v>0</v>
      </c>
      <c r="AS54" s="223">
        <f>轉向量!M333</f>
        <v>0</v>
      </c>
      <c r="AT54" s="222">
        <f>轉向量!N333</f>
        <v>0</v>
      </c>
      <c r="AU54" s="222">
        <f>轉向量!O333</f>
        <v>0</v>
      </c>
      <c r="AV54" s="222">
        <f>轉向量!P333</f>
        <v>0</v>
      </c>
      <c r="AW54" s="223">
        <f>轉向量!R333</f>
        <v>0</v>
      </c>
      <c r="AX54" s="234">
        <f>轉向量!D429</f>
        <v>0</v>
      </c>
      <c r="AY54" s="235">
        <f>轉向量!E429</f>
        <v>0</v>
      </c>
      <c r="AZ54" s="235">
        <f>轉向量!F429</f>
        <v>0</v>
      </c>
      <c r="BA54" s="236">
        <f>轉向量!G429</f>
        <v>0</v>
      </c>
      <c r="BB54" s="235">
        <f>轉向量!I429</f>
        <v>0</v>
      </c>
      <c r="BC54" s="235">
        <f>轉向量!J429</f>
        <v>0</v>
      </c>
      <c r="BD54" s="235">
        <f>轉向量!K429</f>
        <v>0</v>
      </c>
      <c r="BE54" s="236">
        <f>轉向量!L429</f>
        <v>0</v>
      </c>
      <c r="BF54" s="235">
        <f>轉向量!N429</f>
        <v>0</v>
      </c>
      <c r="BG54" s="235">
        <f>轉向量!O429</f>
        <v>0</v>
      </c>
      <c r="BH54" s="235">
        <f>轉向量!P429</f>
        <v>0</v>
      </c>
      <c r="BI54" s="236">
        <f>轉向量!Q429</f>
        <v>0</v>
      </c>
      <c r="BK54" s="2"/>
    </row>
    <row r="55" spans="1:63">
      <c r="A55" s="28">
        <v>1100</v>
      </c>
      <c r="B55" s="184">
        <f>轉向量!E46</f>
        <v>0</v>
      </c>
      <c r="C55" s="184">
        <f>轉向量!F46</f>
        <v>0</v>
      </c>
      <c r="D55" s="184">
        <f>轉向量!G46</f>
        <v>0</v>
      </c>
      <c r="E55" s="185">
        <f>轉向量!H46</f>
        <v>0</v>
      </c>
      <c r="F55" s="186">
        <f>轉向量!J46</f>
        <v>0</v>
      </c>
      <c r="G55" s="184">
        <f>轉向量!K46</f>
        <v>0</v>
      </c>
      <c r="H55" s="184">
        <f>轉向量!L46</f>
        <v>0</v>
      </c>
      <c r="I55" s="185">
        <f>轉向量!M46</f>
        <v>0</v>
      </c>
      <c r="J55" s="186">
        <f>轉向量!O46</f>
        <v>0</v>
      </c>
      <c r="K55" s="184">
        <f>轉向量!P46</f>
        <v>0</v>
      </c>
      <c r="L55" s="184">
        <f>轉向量!Q46</f>
        <v>0</v>
      </c>
      <c r="M55" s="185">
        <f>轉向量!R46</f>
        <v>0</v>
      </c>
      <c r="N55" s="187">
        <f>轉向量!D142</f>
        <v>0</v>
      </c>
      <c r="O55" s="188">
        <f>轉向量!F142</f>
        <v>0</v>
      </c>
      <c r="P55" s="188">
        <f>轉向量!G142</f>
        <v>0</v>
      </c>
      <c r="Q55" s="189">
        <f>轉向量!H142</f>
        <v>0</v>
      </c>
      <c r="R55" s="187">
        <f>轉向量!I142</f>
        <v>0</v>
      </c>
      <c r="S55" s="188">
        <f>轉向量!K142</f>
        <v>0</v>
      </c>
      <c r="T55" s="188">
        <f>轉向量!L142</f>
        <v>0</v>
      </c>
      <c r="U55" s="189">
        <f>轉向量!M142</f>
        <v>0</v>
      </c>
      <c r="V55" s="188">
        <f>轉向量!N142</f>
        <v>0</v>
      </c>
      <c r="W55" s="188">
        <f>轉向量!P142</f>
        <v>0</v>
      </c>
      <c r="X55" s="188">
        <f>轉向量!Q142</f>
        <v>0</v>
      </c>
      <c r="Y55" s="189">
        <f>轉向量!R142</f>
        <v>0</v>
      </c>
      <c r="Z55" s="209">
        <f>轉向量!D238</f>
        <v>0</v>
      </c>
      <c r="AA55" s="210">
        <f>轉向量!E238</f>
        <v>0</v>
      </c>
      <c r="AB55" s="210">
        <f>轉向量!G238</f>
        <v>0</v>
      </c>
      <c r="AC55" s="211">
        <f>轉向量!H238</f>
        <v>0</v>
      </c>
      <c r="AD55" s="210">
        <f>轉向量!I238</f>
        <v>0</v>
      </c>
      <c r="AE55" s="210">
        <f>轉向量!J238</f>
        <v>0</v>
      </c>
      <c r="AF55" s="210">
        <f>轉向量!L238</f>
        <v>0</v>
      </c>
      <c r="AG55" s="211">
        <f>轉向量!M238</f>
        <v>0</v>
      </c>
      <c r="AH55" s="210">
        <f>轉向量!N238</f>
        <v>0</v>
      </c>
      <c r="AI55" s="210">
        <f>轉向量!O238</f>
        <v>0</v>
      </c>
      <c r="AJ55" s="210">
        <f>轉向量!Q238</f>
        <v>0</v>
      </c>
      <c r="AK55" s="211">
        <f>轉向量!R238</f>
        <v>0</v>
      </c>
      <c r="AL55" s="221">
        <f>轉向量!D334</f>
        <v>0</v>
      </c>
      <c r="AM55" s="222">
        <f>轉向量!E334</f>
        <v>0</v>
      </c>
      <c r="AN55" s="222">
        <f>轉向量!F334</f>
        <v>0</v>
      </c>
      <c r="AO55" s="223">
        <f>轉向量!H334</f>
        <v>0</v>
      </c>
      <c r="AP55" s="222">
        <f>轉向量!I334</f>
        <v>0</v>
      </c>
      <c r="AQ55" s="222">
        <f>轉向量!J334</f>
        <v>0</v>
      </c>
      <c r="AR55" s="222">
        <f>轉向量!K334</f>
        <v>0</v>
      </c>
      <c r="AS55" s="223">
        <f>轉向量!M334</f>
        <v>0</v>
      </c>
      <c r="AT55" s="222">
        <f>轉向量!N334</f>
        <v>0</v>
      </c>
      <c r="AU55" s="222">
        <f>轉向量!O334</f>
        <v>0</v>
      </c>
      <c r="AV55" s="222">
        <f>轉向量!P334</f>
        <v>0</v>
      </c>
      <c r="AW55" s="223">
        <f>轉向量!R334</f>
        <v>0</v>
      </c>
      <c r="AX55" s="234">
        <f>轉向量!D430</f>
        <v>0</v>
      </c>
      <c r="AY55" s="235">
        <f>轉向量!E430</f>
        <v>0</v>
      </c>
      <c r="AZ55" s="235">
        <f>轉向量!F430</f>
        <v>0</v>
      </c>
      <c r="BA55" s="236">
        <f>轉向量!G430</f>
        <v>0</v>
      </c>
      <c r="BB55" s="235">
        <f>轉向量!I430</f>
        <v>0</v>
      </c>
      <c r="BC55" s="235">
        <f>轉向量!J430</f>
        <v>0</v>
      </c>
      <c r="BD55" s="235">
        <f>轉向量!K430</f>
        <v>0</v>
      </c>
      <c r="BE55" s="236">
        <f>轉向量!L430</f>
        <v>0</v>
      </c>
      <c r="BF55" s="235">
        <f>轉向量!N430</f>
        <v>0</v>
      </c>
      <c r="BG55" s="235">
        <f>轉向量!O430</f>
        <v>0</v>
      </c>
      <c r="BH55" s="235">
        <f>轉向量!P430</f>
        <v>0</v>
      </c>
      <c r="BI55" s="236">
        <f>轉向量!Q430</f>
        <v>0</v>
      </c>
      <c r="BK55" s="2"/>
    </row>
    <row r="56" spans="1:63">
      <c r="A56" s="28">
        <v>1115</v>
      </c>
      <c r="B56" s="184">
        <f>轉向量!E47</f>
        <v>0</v>
      </c>
      <c r="C56" s="184">
        <f>轉向量!F47</f>
        <v>0</v>
      </c>
      <c r="D56" s="184">
        <f>轉向量!G47</f>
        <v>0</v>
      </c>
      <c r="E56" s="185">
        <f>轉向量!H47</f>
        <v>0</v>
      </c>
      <c r="F56" s="186">
        <f>轉向量!J47</f>
        <v>0</v>
      </c>
      <c r="G56" s="184">
        <f>轉向量!K47</f>
        <v>0</v>
      </c>
      <c r="H56" s="184">
        <f>轉向量!L47</f>
        <v>0</v>
      </c>
      <c r="I56" s="185">
        <f>轉向量!M47</f>
        <v>0</v>
      </c>
      <c r="J56" s="186">
        <f>轉向量!O47</f>
        <v>0</v>
      </c>
      <c r="K56" s="184">
        <f>轉向量!P47</f>
        <v>0</v>
      </c>
      <c r="L56" s="184">
        <f>轉向量!Q47</f>
        <v>0</v>
      </c>
      <c r="M56" s="185">
        <f>轉向量!R47</f>
        <v>0</v>
      </c>
      <c r="N56" s="187">
        <f>轉向量!D143</f>
        <v>0</v>
      </c>
      <c r="O56" s="188">
        <f>轉向量!F143</f>
        <v>0</v>
      </c>
      <c r="P56" s="188">
        <f>轉向量!G143</f>
        <v>0</v>
      </c>
      <c r="Q56" s="189">
        <f>轉向量!H143</f>
        <v>0</v>
      </c>
      <c r="R56" s="187">
        <f>轉向量!I143</f>
        <v>0</v>
      </c>
      <c r="S56" s="188">
        <f>轉向量!K143</f>
        <v>0</v>
      </c>
      <c r="T56" s="188">
        <f>轉向量!L143</f>
        <v>0</v>
      </c>
      <c r="U56" s="189">
        <f>轉向量!M143</f>
        <v>0</v>
      </c>
      <c r="V56" s="188">
        <f>轉向量!N143</f>
        <v>0</v>
      </c>
      <c r="W56" s="188">
        <f>轉向量!P143</f>
        <v>0</v>
      </c>
      <c r="X56" s="188">
        <f>轉向量!Q143</f>
        <v>0</v>
      </c>
      <c r="Y56" s="189">
        <f>轉向量!R143</f>
        <v>0</v>
      </c>
      <c r="Z56" s="209">
        <f>轉向量!D239</f>
        <v>0</v>
      </c>
      <c r="AA56" s="210">
        <f>轉向量!E239</f>
        <v>0</v>
      </c>
      <c r="AB56" s="210">
        <f>轉向量!G239</f>
        <v>0</v>
      </c>
      <c r="AC56" s="211">
        <f>轉向量!H239</f>
        <v>0</v>
      </c>
      <c r="AD56" s="210">
        <f>轉向量!I239</f>
        <v>0</v>
      </c>
      <c r="AE56" s="210">
        <f>轉向量!J239</f>
        <v>0</v>
      </c>
      <c r="AF56" s="210">
        <f>轉向量!L239</f>
        <v>0</v>
      </c>
      <c r="AG56" s="211">
        <f>轉向量!M239</f>
        <v>0</v>
      </c>
      <c r="AH56" s="210">
        <f>轉向量!N239</f>
        <v>0</v>
      </c>
      <c r="AI56" s="210">
        <f>轉向量!O239</f>
        <v>0</v>
      </c>
      <c r="AJ56" s="210">
        <f>轉向量!Q239</f>
        <v>0</v>
      </c>
      <c r="AK56" s="211">
        <f>轉向量!R239</f>
        <v>0</v>
      </c>
      <c r="AL56" s="221">
        <f>轉向量!D335</f>
        <v>0</v>
      </c>
      <c r="AM56" s="222">
        <f>轉向量!E335</f>
        <v>0</v>
      </c>
      <c r="AN56" s="222">
        <f>轉向量!F335</f>
        <v>0</v>
      </c>
      <c r="AO56" s="223">
        <f>轉向量!H335</f>
        <v>0</v>
      </c>
      <c r="AP56" s="222">
        <f>轉向量!I335</f>
        <v>0</v>
      </c>
      <c r="AQ56" s="222">
        <f>轉向量!J335</f>
        <v>0</v>
      </c>
      <c r="AR56" s="222">
        <f>轉向量!K335</f>
        <v>0</v>
      </c>
      <c r="AS56" s="223">
        <f>轉向量!M335</f>
        <v>0</v>
      </c>
      <c r="AT56" s="222">
        <f>轉向量!N335</f>
        <v>0</v>
      </c>
      <c r="AU56" s="222">
        <f>轉向量!O335</f>
        <v>0</v>
      </c>
      <c r="AV56" s="222">
        <f>轉向量!P335</f>
        <v>0</v>
      </c>
      <c r="AW56" s="223">
        <f>轉向量!R335</f>
        <v>0</v>
      </c>
      <c r="AX56" s="234">
        <f>轉向量!D431</f>
        <v>0</v>
      </c>
      <c r="AY56" s="235">
        <f>轉向量!E431</f>
        <v>0</v>
      </c>
      <c r="AZ56" s="235">
        <f>轉向量!F431</f>
        <v>0</v>
      </c>
      <c r="BA56" s="236">
        <f>轉向量!G431</f>
        <v>0</v>
      </c>
      <c r="BB56" s="235">
        <f>轉向量!I431</f>
        <v>0</v>
      </c>
      <c r="BC56" s="235">
        <f>轉向量!J431</f>
        <v>0</v>
      </c>
      <c r="BD56" s="235">
        <f>轉向量!K431</f>
        <v>0</v>
      </c>
      <c r="BE56" s="236">
        <f>轉向量!L431</f>
        <v>0</v>
      </c>
      <c r="BF56" s="235">
        <f>轉向量!N431</f>
        <v>0</v>
      </c>
      <c r="BG56" s="235">
        <f>轉向量!O431</f>
        <v>0</v>
      </c>
      <c r="BH56" s="235">
        <f>轉向量!P431</f>
        <v>0</v>
      </c>
      <c r="BI56" s="236">
        <f>轉向量!Q431</f>
        <v>0</v>
      </c>
      <c r="BK56" s="2"/>
    </row>
    <row r="57" spans="1:63">
      <c r="A57" s="28">
        <v>1130</v>
      </c>
      <c r="B57" s="184">
        <f>轉向量!E48</f>
        <v>0</v>
      </c>
      <c r="C57" s="184">
        <f>轉向量!F48</f>
        <v>0</v>
      </c>
      <c r="D57" s="184">
        <f>轉向量!G48</f>
        <v>0</v>
      </c>
      <c r="E57" s="185">
        <f>轉向量!H48</f>
        <v>0</v>
      </c>
      <c r="F57" s="186">
        <f>轉向量!J48</f>
        <v>0</v>
      </c>
      <c r="G57" s="184">
        <f>轉向量!K48</f>
        <v>0</v>
      </c>
      <c r="H57" s="184">
        <f>轉向量!L48</f>
        <v>0</v>
      </c>
      <c r="I57" s="185">
        <f>轉向量!M48</f>
        <v>0</v>
      </c>
      <c r="J57" s="186">
        <f>轉向量!O48</f>
        <v>0</v>
      </c>
      <c r="K57" s="184">
        <f>轉向量!P48</f>
        <v>0</v>
      </c>
      <c r="L57" s="184">
        <f>轉向量!Q48</f>
        <v>0</v>
      </c>
      <c r="M57" s="185">
        <f>轉向量!R48</f>
        <v>0</v>
      </c>
      <c r="N57" s="187">
        <f>轉向量!D144</f>
        <v>0</v>
      </c>
      <c r="O57" s="188">
        <f>轉向量!F144</f>
        <v>0</v>
      </c>
      <c r="P57" s="188">
        <f>轉向量!G144</f>
        <v>0</v>
      </c>
      <c r="Q57" s="189">
        <f>轉向量!H144</f>
        <v>0</v>
      </c>
      <c r="R57" s="187">
        <f>轉向量!I144</f>
        <v>0</v>
      </c>
      <c r="S57" s="188">
        <f>轉向量!K144</f>
        <v>0</v>
      </c>
      <c r="T57" s="188">
        <f>轉向量!L144</f>
        <v>0</v>
      </c>
      <c r="U57" s="189">
        <f>轉向量!M144</f>
        <v>0</v>
      </c>
      <c r="V57" s="188">
        <f>轉向量!N144</f>
        <v>0</v>
      </c>
      <c r="W57" s="188">
        <f>轉向量!P144</f>
        <v>0</v>
      </c>
      <c r="X57" s="188">
        <f>轉向量!Q144</f>
        <v>0</v>
      </c>
      <c r="Y57" s="189">
        <f>轉向量!R144</f>
        <v>0</v>
      </c>
      <c r="Z57" s="209">
        <f>轉向量!D240</f>
        <v>0</v>
      </c>
      <c r="AA57" s="210">
        <f>轉向量!E240</f>
        <v>0</v>
      </c>
      <c r="AB57" s="210">
        <f>轉向量!G240</f>
        <v>0</v>
      </c>
      <c r="AC57" s="211">
        <f>轉向量!H240</f>
        <v>0</v>
      </c>
      <c r="AD57" s="210">
        <f>轉向量!I240</f>
        <v>0</v>
      </c>
      <c r="AE57" s="210">
        <f>轉向量!J240</f>
        <v>0</v>
      </c>
      <c r="AF57" s="210">
        <f>轉向量!L240</f>
        <v>0</v>
      </c>
      <c r="AG57" s="211">
        <f>轉向量!M240</f>
        <v>0</v>
      </c>
      <c r="AH57" s="210">
        <f>轉向量!N240</f>
        <v>0</v>
      </c>
      <c r="AI57" s="210">
        <f>轉向量!O240</f>
        <v>0</v>
      </c>
      <c r="AJ57" s="210">
        <f>轉向量!Q240</f>
        <v>0</v>
      </c>
      <c r="AK57" s="211">
        <f>轉向量!R240</f>
        <v>0</v>
      </c>
      <c r="AL57" s="221">
        <f>轉向量!D336</f>
        <v>0</v>
      </c>
      <c r="AM57" s="222">
        <f>轉向量!E336</f>
        <v>0</v>
      </c>
      <c r="AN57" s="222">
        <f>轉向量!F336</f>
        <v>0</v>
      </c>
      <c r="AO57" s="223">
        <f>轉向量!H336</f>
        <v>0</v>
      </c>
      <c r="AP57" s="222">
        <f>轉向量!I336</f>
        <v>0</v>
      </c>
      <c r="AQ57" s="222">
        <f>轉向量!J336</f>
        <v>0</v>
      </c>
      <c r="AR57" s="222">
        <f>轉向量!K336</f>
        <v>0</v>
      </c>
      <c r="AS57" s="223">
        <f>轉向量!M336</f>
        <v>0</v>
      </c>
      <c r="AT57" s="222">
        <f>轉向量!N336</f>
        <v>0</v>
      </c>
      <c r="AU57" s="222">
        <f>轉向量!O336</f>
        <v>0</v>
      </c>
      <c r="AV57" s="222">
        <f>轉向量!P336</f>
        <v>0</v>
      </c>
      <c r="AW57" s="223">
        <f>轉向量!R336</f>
        <v>0</v>
      </c>
      <c r="AX57" s="234">
        <f>轉向量!D432</f>
        <v>0</v>
      </c>
      <c r="AY57" s="235">
        <f>轉向量!E432</f>
        <v>0</v>
      </c>
      <c r="AZ57" s="235">
        <f>轉向量!F432</f>
        <v>0</v>
      </c>
      <c r="BA57" s="236">
        <f>轉向量!G432</f>
        <v>0</v>
      </c>
      <c r="BB57" s="235">
        <f>轉向量!I432</f>
        <v>0</v>
      </c>
      <c r="BC57" s="235">
        <f>轉向量!J432</f>
        <v>0</v>
      </c>
      <c r="BD57" s="235">
        <f>轉向量!K432</f>
        <v>0</v>
      </c>
      <c r="BE57" s="236">
        <f>轉向量!L432</f>
        <v>0</v>
      </c>
      <c r="BF57" s="235">
        <f>轉向量!N432</f>
        <v>0</v>
      </c>
      <c r="BG57" s="235">
        <f>轉向量!O432</f>
        <v>0</v>
      </c>
      <c r="BH57" s="235">
        <f>轉向量!P432</f>
        <v>0</v>
      </c>
      <c r="BI57" s="236">
        <f>轉向量!Q432</f>
        <v>0</v>
      </c>
      <c r="BK57" s="2"/>
    </row>
    <row r="58" spans="1:63">
      <c r="A58" s="28">
        <v>1145</v>
      </c>
      <c r="B58" s="184">
        <f>轉向量!E49</f>
        <v>0</v>
      </c>
      <c r="C58" s="184">
        <f>轉向量!F49</f>
        <v>0</v>
      </c>
      <c r="D58" s="184">
        <f>轉向量!G49</f>
        <v>0</v>
      </c>
      <c r="E58" s="185">
        <f>轉向量!H49</f>
        <v>0</v>
      </c>
      <c r="F58" s="186">
        <f>轉向量!J49</f>
        <v>0</v>
      </c>
      <c r="G58" s="184">
        <f>轉向量!K49</f>
        <v>0</v>
      </c>
      <c r="H58" s="184">
        <f>轉向量!L49</f>
        <v>0</v>
      </c>
      <c r="I58" s="185">
        <f>轉向量!M49</f>
        <v>0</v>
      </c>
      <c r="J58" s="186">
        <f>轉向量!O49</f>
        <v>0</v>
      </c>
      <c r="K58" s="184">
        <f>轉向量!P49</f>
        <v>0</v>
      </c>
      <c r="L58" s="184">
        <f>轉向量!Q49</f>
        <v>0</v>
      </c>
      <c r="M58" s="185">
        <f>轉向量!R49</f>
        <v>0</v>
      </c>
      <c r="N58" s="187">
        <f>轉向量!D145</f>
        <v>0</v>
      </c>
      <c r="O58" s="188">
        <f>轉向量!F145</f>
        <v>0</v>
      </c>
      <c r="P58" s="188">
        <f>轉向量!G145</f>
        <v>0</v>
      </c>
      <c r="Q58" s="189">
        <f>轉向量!H145</f>
        <v>0</v>
      </c>
      <c r="R58" s="187">
        <f>轉向量!I145</f>
        <v>0</v>
      </c>
      <c r="S58" s="188">
        <f>轉向量!K145</f>
        <v>0</v>
      </c>
      <c r="T58" s="188">
        <f>轉向量!L145</f>
        <v>0</v>
      </c>
      <c r="U58" s="189">
        <f>轉向量!M145</f>
        <v>0</v>
      </c>
      <c r="V58" s="188">
        <f>轉向量!N145</f>
        <v>0</v>
      </c>
      <c r="W58" s="188">
        <f>轉向量!P145</f>
        <v>0</v>
      </c>
      <c r="X58" s="188">
        <f>轉向量!Q145</f>
        <v>0</v>
      </c>
      <c r="Y58" s="189">
        <f>轉向量!R145</f>
        <v>0</v>
      </c>
      <c r="Z58" s="209">
        <f>轉向量!D241</f>
        <v>0</v>
      </c>
      <c r="AA58" s="210">
        <f>轉向量!E241</f>
        <v>0</v>
      </c>
      <c r="AB58" s="210">
        <f>轉向量!G241</f>
        <v>0</v>
      </c>
      <c r="AC58" s="211">
        <f>轉向量!H241</f>
        <v>0</v>
      </c>
      <c r="AD58" s="210">
        <f>轉向量!I241</f>
        <v>0</v>
      </c>
      <c r="AE58" s="210">
        <f>轉向量!J241</f>
        <v>0</v>
      </c>
      <c r="AF58" s="210">
        <f>轉向量!L241</f>
        <v>0</v>
      </c>
      <c r="AG58" s="211">
        <f>轉向量!M241</f>
        <v>0</v>
      </c>
      <c r="AH58" s="210">
        <f>轉向量!N241</f>
        <v>0</v>
      </c>
      <c r="AI58" s="210">
        <f>轉向量!O241</f>
        <v>0</v>
      </c>
      <c r="AJ58" s="210">
        <f>轉向量!Q241</f>
        <v>0</v>
      </c>
      <c r="AK58" s="211">
        <f>轉向量!R241</f>
        <v>0</v>
      </c>
      <c r="AL58" s="221">
        <f>轉向量!D337</f>
        <v>0</v>
      </c>
      <c r="AM58" s="222">
        <f>轉向量!E337</f>
        <v>0</v>
      </c>
      <c r="AN58" s="222">
        <f>轉向量!F337</f>
        <v>0</v>
      </c>
      <c r="AO58" s="223">
        <f>轉向量!H337</f>
        <v>0</v>
      </c>
      <c r="AP58" s="222">
        <f>轉向量!I337</f>
        <v>0</v>
      </c>
      <c r="AQ58" s="222">
        <f>轉向量!J337</f>
        <v>0</v>
      </c>
      <c r="AR58" s="222">
        <f>轉向量!K337</f>
        <v>0</v>
      </c>
      <c r="AS58" s="223">
        <f>轉向量!M337</f>
        <v>0</v>
      </c>
      <c r="AT58" s="222">
        <f>轉向量!N337</f>
        <v>0</v>
      </c>
      <c r="AU58" s="222">
        <f>轉向量!O337</f>
        <v>0</v>
      </c>
      <c r="AV58" s="222">
        <f>轉向量!P337</f>
        <v>0</v>
      </c>
      <c r="AW58" s="223">
        <f>轉向量!R337</f>
        <v>0</v>
      </c>
      <c r="AX58" s="234">
        <f>轉向量!D433</f>
        <v>0</v>
      </c>
      <c r="AY58" s="235">
        <f>轉向量!E433</f>
        <v>0</v>
      </c>
      <c r="AZ58" s="235">
        <f>轉向量!F433</f>
        <v>0</v>
      </c>
      <c r="BA58" s="236">
        <f>轉向量!G433</f>
        <v>0</v>
      </c>
      <c r="BB58" s="235">
        <f>轉向量!I433</f>
        <v>0</v>
      </c>
      <c r="BC58" s="235">
        <f>轉向量!J433</f>
        <v>0</v>
      </c>
      <c r="BD58" s="235">
        <f>轉向量!K433</f>
        <v>0</v>
      </c>
      <c r="BE58" s="236">
        <f>轉向量!L433</f>
        <v>0</v>
      </c>
      <c r="BF58" s="235">
        <f>轉向量!N433</f>
        <v>0</v>
      </c>
      <c r="BG58" s="235">
        <f>轉向量!O433</f>
        <v>0</v>
      </c>
      <c r="BH58" s="235">
        <f>轉向量!P433</f>
        <v>0</v>
      </c>
      <c r="BI58" s="236">
        <f>轉向量!Q433</f>
        <v>0</v>
      </c>
      <c r="BK58" s="2"/>
    </row>
    <row r="59" spans="1:63">
      <c r="A59" s="28">
        <v>1200</v>
      </c>
      <c r="B59" s="184">
        <f>轉向量!E50</f>
        <v>0</v>
      </c>
      <c r="C59" s="184">
        <f>轉向量!F50</f>
        <v>0</v>
      </c>
      <c r="D59" s="184">
        <f>轉向量!G50</f>
        <v>0</v>
      </c>
      <c r="E59" s="185">
        <f>轉向量!H50</f>
        <v>0</v>
      </c>
      <c r="F59" s="186">
        <f>轉向量!J50</f>
        <v>0</v>
      </c>
      <c r="G59" s="184">
        <f>轉向量!K50</f>
        <v>0</v>
      </c>
      <c r="H59" s="184">
        <f>轉向量!L50</f>
        <v>0</v>
      </c>
      <c r="I59" s="185">
        <f>轉向量!M50</f>
        <v>0</v>
      </c>
      <c r="J59" s="186">
        <f>轉向量!O50</f>
        <v>0</v>
      </c>
      <c r="K59" s="184">
        <f>轉向量!P50</f>
        <v>0</v>
      </c>
      <c r="L59" s="184">
        <f>轉向量!Q50</f>
        <v>0</v>
      </c>
      <c r="M59" s="185">
        <f>轉向量!R50</f>
        <v>0</v>
      </c>
      <c r="N59" s="187">
        <f>轉向量!D146</f>
        <v>0</v>
      </c>
      <c r="O59" s="188">
        <f>轉向量!F146</f>
        <v>0</v>
      </c>
      <c r="P59" s="188">
        <f>轉向量!G146</f>
        <v>0</v>
      </c>
      <c r="Q59" s="189">
        <f>轉向量!H146</f>
        <v>0</v>
      </c>
      <c r="R59" s="187">
        <f>轉向量!I146</f>
        <v>0</v>
      </c>
      <c r="S59" s="188">
        <f>轉向量!K146</f>
        <v>0</v>
      </c>
      <c r="T59" s="188">
        <f>轉向量!L146</f>
        <v>0</v>
      </c>
      <c r="U59" s="189">
        <f>轉向量!M146</f>
        <v>0</v>
      </c>
      <c r="V59" s="188">
        <f>轉向量!N146</f>
        <v>0</v>
      </c>
      <c r="W59" s="188">
        <f>轉向量!P146</f>
        <v>0</v>
      </c>
      <c r="X59" s="188">
        <f>轉向量!Q146</f>
        <v>0</v>
      </c>
      <c r="Y59" s="189">
        <f>轉向量!R146</f>
        <v>0</v>
      </c>
      <c r="Z59" s="209">
        <f>轉向量!D242</f>
        <v>0</v>
      </c>
      <c r="AA59" s="210">
        <f>轉向量!E242</f>
        <v>0</v>
      </c>
      <c r="AB59" s="210">
        <f>轉向量!G242</f>
        <v>0</v>
      </c>
      <c r="AC59" s="211">
        <f>轉向量!H242</f>
        <v>0</v>
      </c>
      <c r="AD59" s="210">
        <f>轉向量!I242</f>
        <v>0</v>
      </c>
      <c r="AE59" s="210">
        <f>轉向量!J242</f>
        <v>0</v>
      </c>
      <c r="AF59" s="210">
        <f>轉向量!L242</f>
        <v>0</v>
      </c>
      <c r="AG59" s="211">
        <f>轉向量!M242</f>
        <v>0</v>
      </c>
      <c r="AH59" s="210">
        <f>轉向量!N242</f>
        <v>0</v>
      </c>
      <c r="AI59" s="210">
        <f>轉向量!O242</f>
        <v>0</v>
      </c>
      <c r="AJ59" s="210">
        <f>轉向量!Q242</f>
        <v>0</v>
      </c>
      <c r="AK59" s="211">
        <f>轉向量!R242</f>
        <v>0</v>
      </c>
      <c r="AL59" s="221">
        <f>轉向量!D338</f>
        <v>0</v>
      </c>
      <c r="AM59" s="222">
        <f>轉向量!E338</f>
        <v>0</v>
      </c>
      <c r="AN59" s="222">
        <f>轉向量!F338</f>
        <v>0</v>
      </c>
      <c r="AO59" s="223">
        <f>轉向量!H338</f>
        <v>0</v>
      </c>
      <c r="AP59" s="222">
        <f>轉向量!I338</f>
        <v>0</v>
      </c>
      <c r="AQ59" s="222">
        <f>轉向量!J338</f>
        <v>0</v>
      </c>
      <c r="AR59" s="222">
        <f>轉向量!K338</f>
        <v>0</v>
      </c>
      <c r="AS59" s="223">
        <f>轉向量!M338</f>
        <v>0</v>
      </c>
      <c r="AT59" s="222">
        <f>轉向量!N338</f>
        <v>0</v>
      </c>
      <c r="AU59" s="222">
        <f>轉向量!O338</f>
        <v>0</v>
      </c>
      <c r="AV59" s="222">
        <f>轉向量!P338</f>
        <v>0</v>
      </c>
      <c r="AW59" s="223">
        <f>轉向量!R338</f>
        <v>0</v>
      </c>
      <c r="AX59" s="234">
        <f>轉向量!D434</f>
        <v>0</v>
      </c>
      <c r="AY59" s="235">
        <f>轉向量!E434</f>
        <v>0</v>
      </c>
      <c r="AZ59" s="235">
        <f>轉向量!F434</f>
        <v>0</v>
      </c>
      <c r="BA59" s="236">
        <f>轉向量!G434</f>
        <v>0</v>
      </c>
      <c r="BB59" s="235">
        <f>轉向量!I434</f>
        <v>0</v>
      </c>
      <c r="BC59" s="235">
        <f>轉向量!J434</f>
        <v>0</v>
      </c>
      <c r="BD59" s="235">
        <f>轉向量!K434</f>
        <v>0</v>
      </c>
      <c r="BE59" s="236">
        <f>轉向量!L434</f>
        <v>0</v>
      </c>
      <c r="BF59" s="235">
        <f>轉向量!N434</f>
        <v>0</v>
      </c>
      <c r="BG59" s="235">
        <f>轉向量!O434</f>
        <v>0</v>
      </c>
      <c r="BH59" s="235">
        <f>轉向量!P434</f>
        <v>0</v>
      </c>
      <c r="BI59" s="236">
        <f>轉向量!Q434</f>
        <v>0</v>
      </c>
      <c r="BK59" s="2"/>
    </row>
    <row r="60" spans="1:63">
      <c r="A60" s="28">
        <v>1215</v>
      </c>
      <c r="B60" s="184">
        <f>轉向量!E51</f>
        <v>0</v>
      </c>
      <c r="C60" s="184">
        <f>轉向量!F51</f>
        <v>0</v>
      </c>
      <c r="D60" s="184">
        <f>轉向量!G51</f>
        <v>0</v>
      </c>
      <c r="E60" s="185">
        <f>轉向量!H51</f>
        <v>0</v>
      </c>
      <c r="F60" s="186">
        <f>轉向量!J51</f>
        <v>0</v>
      </c>
      <c r="G60" s="184">
        <f>轉向量!K51</f>
        <v>0</v>
      </c>
      <c r="H60" s="184">
        <f>轉向量!L51</f>
        <v>0</v>
      </c>
      <c r="I60" s="185">
        <f>轉向量!M51</f>
        <v>0</v>
      </c>
      <c r="J60" s="186">
        <f>轉向量!O51</f>
        <v>0</v>
      </c>
      <c r="K60" s="184">
        <f>轉向量!P51</f>
        <v>0</v>
      </c>
      <c r="L60" s="184">
        <f>轉向量!Q51</f>
        <v>0</v>
      </c>
      <c r="M60" s="185">
        <f>轉向量!R51</f>
        <v>0</v>
      </c>
      <c r="N60" s="187">
        <f>轉向量!D147</f>
        <v>0</v>
      </c>
      <c r="O60" s="188">
        <f>轉向量!F147</f>
        <v>0</v>
      </c>
      <c r="P60" s="188">
        <f>轉向量!G147</f>
        <v>0</v>
      </c>
      <c r="Q60" s="189">
        <f>轉向量!H147</f>
        <v>0</v>
      </c>
      <c r="R60" s="187">
        <f>轉向量!I147</f>
        <v>0</v>
      </c>
      <c r="S60" s="188">
        <f>轉向量!K147</f>
        <v>0</v>
      </c>
      <c r="T60" s="188">
        <f>轉向量!L147</f>
        <v>0</v>
      </c>
      <c r="U60" s="189">
        <f>轉向量!M147</f>
        <v>0</v>
      </c>
      <c r="V60" s="188">
        <f>轉向量!N147</f>
        <v>0</v>
      </c>
      <c r="W60" s="188">
        <f>轉向量!P147</f>
        <v>0</v>
      </c>
      <c r="X60" s="188">
        <f>轉向量!Q147</f>
        <v>0</v>
      </c>
      <c r="Y60" s="189">
        <f>轉向量!R147</f>
        <v>0</v>
      </c>
      <c r="Z60" s="209">
        <f>轉向量!D243</f>
        <v>0</v>
      </c>
      <c r="AA60" s="210">
        <f>轉向量!E243</f>
        <v>0</v>
      </c>
      <c r="AB60" s="210">
        <f>轉向量!G243</f>
        <v>0</v>
      </c>
      <c r="AC60" s="211">
        <f>轉向量!H243</f>
        <v>0</v>
      </c>
      <c r="AD60" s="210">
        <f>轉向量!I243</f>
        <v>0</v>
      </c>
      <c r="AE60" s="210">
        <f>轉向量!J243</f>
        <v>0</v>
      </c>
      <c r="AF60" s="210">
        <f>轉向量!L243</f>
        <v>0</v>
      </c>
      <c r="AG60" s="211">
        <f>轉向量!M243</f>
        <v>0</v>
      </c>
      <c r="AH60" s="210">
        <f>轉向量!N243</f>
        <v>0</v>
      </c>
      <c r="AI60" s="210">
        <f>轉向量!O243</f>
        <v>0</v>
      </c>
      <c r="AJ60" s="210">
        <f>轉向量!Q243</f>
        <v>0</v>
      </c>
      <c r="AK60" s="211">
        <f>轉向量!R243</f>
        <v>0</v>
      </c>
      <c r="AL60" s="221">
        <f>轉向量!D339</f>
        <v>0</v>
      </c>
      <c r="AM60" s="222">
        <f>轉向量!E339</f>
        <v>0</v>
      </c>
      <c r="AN60" s="222">
        <f>轉向量!F339</f>
        <v>0</v>
      </c>
      <c r="AO60" s="223">
        <f>轉向量!H339</f>
        <v>0</v>
      </c>
      <c r="AP60" s="222">
        <f>轉向量!I339</f>
        <v>0</v>
      </c>
      <c r="AQ60" s="222">
        <f>轉向量!J339</f>
        <v>0</v>
      </c>
      <c r="AR60" s="222">
        <f>轉向量!K339</f>
        <v>0</v>
      </c>
      <c r="AS60" s="223">
        <f>轉向量!M339</f>
        <v>0</v>
      </c>
      <c r="AT60" s="222">
        <f>轉向量!N339</f>
        <v>0</v>
      </c>
      <c r="AU60" s="222">
        <f>轉向量!O339</f>
        <v>0</v>
      </c>
      <c r="AV60" s="222">
        <f>轉向量!P339</f>
        <v>0</v>
      </c>
      <c r="AW60" s="223">
        <f>轉向量!R339</f>
        <v>0</v>
      </c>
      <c r="AX60" s="234">
        <f>轉向量!D435</f>
        <v>0</v>
      </c>
      <c r="AY60" s="235">
        <f>轉向量!E435</f>
        <v>0</v>
      </c>
      <c r="AZ60" s="235">
        <f>轉向量!F435</f>
        <v>0</v>
      </c>
      <c r="BA60" s="236">
        <f>轉向量!G435</f>
        <v>0</v>
      </c>
      <c r="BB60" s="235">
        <f>轉向量!I435</f>
        <v>0</v>
      </c>
      <c r="BC60" s="235">
        <f>轉向量!J435</f>
        <v>0</v>
      </c>
      <c r="BD60" s="235">
        <f>轉向量!K435</f>
        <v>0</v>
      </c>
      <c r="BE60" s="236">
        <f>轉向量!L435</f>
        <v>0</v>
      </c>
      <c r="BF60" s="235">
        <f>轉向量!N435</f>
        <v>0</v>
      </c>
      <c r="BG60" s="235">
        <f>轉向量!O435</f>
        <v>0</v>
      </c>
      <c r="BH60" s="235">
        <f>轉向量!P435</f>
        <v>0</v>
      </c>
      <c r="BI60" s="236">
        <f>轉向量!Q435</f>
        <v>0</v>
      </c>
      <c r="BK60" s="2"/>
    </row>
    <row r="61" spans="1:63">
      <c r="A61" s="28">
        <v>1230</v>
      </c>
      <c r="B61" s="184">
        <f>轉向量!E52</f>
        <v>0</v>
      </c>
      <c r="C61" s="184">
        <f>轉向量!F52</f>
        <v>0</v>
      </c>
      <c r="D61" s="184">
        <f>轉向量!G52</f>
        <v>0</v>
      </c>
      <c r="E61" s="185">
        <f>轉向量!H52</f>
        <v>0</v>
      </c>
      <c r="F61" s="186">
        <f>轉向量!J52</f>
        <v>0</v>
      </c>
      <c r="G61" s="184">
        <f>轉向量!K52</f>
        <v>0</v>
      </c>
      <c r="H61" s="184">
        <f>轉向量!L52</f>
        <v>0</v>
      </c>
      <c r="I61" s="185">
        <f>轉向量!M52</f>
        <v>0</v>
      </c>
      <c r="J61" s="186">
        <f>轉向量!O52</f>
        <v>0</v>
      </c>
      <c r="K61" s="184">
        <f>轉向量!P52</f>
        <v>0</v>
      </c>
      <c r="L61" s="184">
        <f>轉向量!Q52</f>
        <v>0</v>
      </c>
      <c r="M61" s="185">
        <f>轉向量!R52</f>
        <v>0</v>
      </c>
      <c r="N61" s="187">
        <f>轉向量!D148</f>
        <v>0</v>
      </c>
      <c r="O61" s="188">
        <f>轉向量!F148</f>
        <v>0</v>
      </c>
      <c r="P61" s="188">
        <f>轉向量!G148</f>
        <v>0</v>
      </c>
      <c r="Q61" s="189">
        <f>轉向量!H148</f>
        <v>0</v>
      </c>
      <c r="R61" s="187">
        <f>轉向量!I148</f>
        <v>0</v>
      </c>
      <c r="S61" s="188">
        <f>轉向量!K148</f>
        <v>0</v>
      </c>
      <c r="T61" s="188">
        <f>轉向量!L148</f>
        <v>0</v>
      </c>
      <c r="U61" s="189">
        <f>轉向量!M148</f>
        <v>0</v>
      </c>
      <c r="V61" s="188">
        <f>轉向量!N148</f>
        <v>0</v>
      </c>
      <c r="W61" s="188">
        <f>轉向量!P148</f>
        <v>0</v>
      </c>
      <c r="X61" s="188">
        <f>轉向量!Q148</f>
        <v>0</v>
      </c>
      <c r="Y61" s="189">
        <f>轉向量!R148</f>
        <v>0</v>
      </c>
      <c r="Z61" s="209">
        <f>轉向量!D244</f>
        <v>0</v>
      </c>
      <c r="AA61" s="210">
        <f>轉向量!E244</f>
        <v>0</v>
      </c>
      <c r="AB61" s="210">
        <f>轉向量!G244</f>
        <v>0</v>
      </c>
      <c r="AC61" s="211">
        <f>轉向量!H244</f>
        <v>0</v>
      </c>
      <c r="AD61" s="210">
        <f>轉向量!I244</f>
        <v>0</v>
      </c>
      <c r="AE61" s="210">
        <f>轉向量!J244</f>
        <v>0</v>
      </c>
      <c r="AF61" s="210">
        <f>轉向量!L244</f>
        <v>0</v>
      </c>
      <c r="AG61" s="211">
        <f>轉向量!M244</f>
        <v>0</v>
      </c>
      <c r="AH61" s="210">
        <f>轉向量!N244</f>
        <v>0</v>
      </c>
      <c r="AI61" s="210">
        <f>轉向量!O244</f>
        <v>0</v>
      </c>
      <c r="AJ61" s="210">
        <f>轉向量!Q244</f>
        <v>0</v>
      </c>
      <c r="AK61" s="211">
        <f>轉向量!R244</f>
        <v>0</v>
      </c>
      <c r="AL61" s="221">
        <f>轉向量!D340</f>
        <v>0</v>
      </c>
      <c r="AM61" s="222">
        <f>轉向量!E340</f>
        <v>0</v>
      </c>
      <c r="AN61" s="222">
        <f>轉向量!F340</f>
        <v>0</v>
      </c>
      <c r="AO61" s="223">
        <f>轉向量!H340</f>
        <v>0</v>
      </c>
      <c r="AP61" s="222">
        <f>轉向量!I340</f>
        <v>0</v>
      </c>
      <c r="AQ61" s="222">
        <f>轉向量!J340</f>
        <v>0</v>
      </c>
      <c r="AR61" s="222">
        <f>轉向量!K340</f>
        <v>0</v>
      </c>
      <c r="AS61" s="223">
        <f>轉向量!M340</f>
        <v>0</v>
      </c>
      <c r="AT61" s="222">
        <f>轉向量!N340</f>
        <v>0</v>
      </c>
      <c r="AU61" s="222">
        <f>轉向量!O340</f>
        <v>0</v>
      </c>
      <c r="AV61" s="222">
        <f>轉向量!P340</f>
        <v>0</v>
      </c>
      <c r="AW61" s="223">
        <f>轉向量!R340</f>
        <v>0</v>
      </c>
      <c r="AX61" s="234">
        <f>轉向量!D436</f>
        <v>0</v>
      </c>
      <c r="AY61" s="235">
        <f>轉向量!E436</f>
        <v>0</v>
      </c>
      <c r="AZ61" s="235">
        <f>轉向量!F436</f>
        <v>0</v>
      </c>
      <c r="BA61" s="236">
        <f>轉向量!G436</f>
        <v>0</v>
      </c>
      <c r="BB61" s="235">
        <f>轉向量!I436</f>
        <v>0</v>
      </c>
      <c r="BC61" s="235">
        <f>轉向量!J436</f>
        <v>0</v>
      </c>
      <c r="BD61" s="235">
        <f>轉向量!K436</f>
        <v>0</v>
      </c>
      <c r="BE61" s="236">
        <f>轉向量!L436</f>
        <v>0</v>
      </c>
      <c r="BF61" s="235">
        <f>轉向量!N436</f>
        <v>0</v>
      </c>
      <c r="BG61" s="235">
        <f>轉向量!O436</f>
        <v>0</v>
      </c>
      <c r="BH61" s="235">
        <f>轉向量!P436</f>
        <v>0</v>
      </c>
      <c r="BI61" s="236">
        <f>轉向量!Q436</f>
        <v>0</v>
      </c>
      <c r="BK61" s="2"/>
    </row>
    <row r="62" spans="1:63">
      <c r="A62" s="28">
        <v>1245</v>
      </c>
      <c r="B62" s="184">
        <f>轉向量!E53</f>
        <v>0</v>
      </c>
      <c r="C62" s="184">
        <f>轉向量!F53</f>
        <v>0</v>
      </c>
      <c r="D62" s="184">
        <f>轉向量!G53</f>
        <v>0</v>
      </c>
      <c r="E62" s="185">
        <f>轉向量!H53</f>
        <v>0</v>
      </c>
      <c r="F62" s="186">
        <f>轉向量!J53</f>
        <v>0</v>
      </c>
      <c r="G62" s="184">
        <f>轉向量!K53</f>
        <v>0</v>
      </c>
      <c r="H62" s="184">
        <f>轉向量!L53</f>
        <v>0</v>
      </c>
      <c r="I62" s="185">
        <f>轉向量!M53</f>
        <v>0</v>
      </c>
      <c r="J62" s="186">
        <f>轉向量!O53</f>
        <v>0</v>
      </c>
      <c r="K62" s="184">
        <f>轉向量!P53</f>
        <v>0</v>
      </c>
      <c r="L62" s="184">
        <f>轉向量!Q53</f>
        <v>0</v>
      </c>
      <c r="M62" s="185">
        <f>轉向量!R53</f>
        <v>0</v>
      </c>
      <c r="N62" s="187">
        <f>轉向量!D149</f>
        <v>0</v>
      </c>
      <c r="O62" s="188">
        <f>轉向量!F149</f>
        <v>0</v>
      </c>
      <c r="P62" s="188">
        <f>轉向量!G149</f>
        <v>0</v>
      </c>
      <c r="Q62" s="189">
        <f>轉向量!H149</f>
        <v>0</v>
      </c>
      <c r="R62" s="187">
        <f>轉向量!I149</f>
        <v>0</v>
      </c>
      <c r="S62" s="188">
        <f>轉向量!K149</f>
        <v>0</v>
      </c>
      <c r="T62" s="188">
        <f>轉向量!L149</f>
        <v>0</v>
      </c>
      <c r="U62" s="189">
        <f>轉向量!M149</f>
        <v>0</v>
      </c>
      <c r="V62" s="188">
        <f>轉向量!N149</f>
        <v>0</v>
      </c>
      <c r="W62" s="188">
        <f>轉向量!P149</f>
        <v>0</v>
      </c>
      <c r="X62" s="188">
        <f>轉向量!Q149</f>
        <v>0</v>
      </c>
      <c r="Y62" s="189">
        <f>轉向量!R149</f>
        <v>0</v>
      </c>
      <c r="Z62" s="209">
        <f>轉向量!D245</f>
        <v>0</v>
      </c>
      <c r="AA62" s="210">
        <f>轉向量!E245</f>
        <v>0</v>
      </c>
      <c r="AB62" s="210">
        <f>轉向量!G245</f>
        <v>0</v>
      </c>
      <c r="AC62" s="211">
        <f>轉向量!H245</f>
        <v>0</v>
      </c>
      <c r="AD62" s="210">
        <f>轉向量!I245</f>
        <v>0</v>
      </c>
      <c r="AE62" s="210">
        <f>轉向量!J245</f>
        <v>0</v>
      </c>
      <c r="AF62" s="210">
        <f>轉向量!L245</f>
        <v>0</v>
      </c>
      <c r="AG62" s="211">
        <f>轉向量!M245</f>
        <v>0</v>
      </c>
      <c r="AH62" s="210">
        <f>轉向量!N245</f>
        <v>0</v>
      </c>
      <c r="AI62" s="210">
        <f>轉向量!O245</f>
        <v>0</v>
      </c>
      <c r="AJ62" s="210">
        <f>轉向量!Q245</f>
        <v>0</v>
      </c>
      <c r="AK62" s="211">
        <f>轉向量!R245</f>
        <v>0</v>
      </c>
      <c r="AL62" s="221">
        <f>轉向量!D341</f>
        <v>0</v>
      </c>
      <c r="AM62" s="222">
        <f>轉向量!E341</f>
        <v>0</v>
      </c>
      <c r="AN62" s="222">
        <f>轉向量!F341</f>
        <v>0</v>
      </c>
      <c r="AO62" s="223">
        <f>轉向量!H341</f>
        <v>0</v>
      </c>
      <c r="AP62" s="222">
        <f>轉向量!I341</f>
        <v>0</v>
      </c>
      <c r="AQ62" s="222">
        <f>轉向量!J341</f>
        <v>0</v>
      </c>
      <c r="AR62" s="222">
        <f>轉向量!K341</f>
        <v>0</v>
      </c>
      <c r="AS62" s="223">
        <f>轉向量!M341</f>
        <v>0</v>
      </c>
      <c r="AT62" s="222">
        <f>轉向量!N341</f>
        <v>0</v>
      </c>
      <c r="AU62" s="222">
        <f>轉向量!O341</f>
        <v>0</v>
      </c>
      <c r="AV62" s="222">
        <f>轉向量!P341</f>
        <v>0</v>
      </c>
      <c r="AW62" s="223">
        <f>轉向量!R341</f>
        <v>0</v>
      </c>
      <c r="AX62" s="234">
        <f>轉向量!D437</f>
        <v>0</v>
      </c>
      <c r="AY62" s="235">
        <f>轉向量!E437</f>
        <v>0</v>
      </c>
      <c r="AZ62" s="235">
        <f>轉向量!F437</f>
        <v>0</v>
      </c>
      <c r="BA62" s="236">
        <f>轉向量!G437</f>
        <v>0</v>
      </c>
      <c r="BB62" s="235">
        <f>轉向量!I437</f>
        <v>0</v>
      </c>
      <c r="BC62" s="235">
        <f>轉向量!J437</f>
        <v>0</v>
      </c>
      <c r="BD62" s="235">
        <f>轉向量!K437</f>
        <v>0</v>
      </c>
      <c r="BE62" s="236">
        <f>轉向量!L437</f>
        <v>0</v>
      </c>
      <c r="BF62" s="235">
        <f>轉向量!N437</f>
        <v>0</v>
      </c>
      <c r="BG62" s="235">
        <f>轉向量!O437</f>
        <v>0</v>
      </c>
      <c r="BH62" s="235">
        <f>轉向量!P437</f>
        <v>0</v>
      </c>
      <c r="BI62" s="236">
        <f>轉向量!Q437</f>
        <v>0</v>
      </c>
      <c r="BK62" s="2"/>
    </row>
    <row r="63" spans="1:63">
      <c r="A63" s="28">
        <v>1300</v>
      </c>
      <c r="B63" s="184">
        <f>轉向量!E54</f>
        <v>0</v>
      </c>
      <c r="C63" s="184">
        <f>轉向量!F54</f>
        <v>0</v>
      </c>
      <c r="D63" s="184">
        <f>轉向量!G54</f>
        <v>0</v>
      </c>
      <c r="E63" s="185">
        <f>轉向量!H54</f>
        <v>0</v>
      </c>
      <c r="F63" s="186">
        <f>轉向量!J54</f>
        <v>0</v>
      </c>
      <c r="G63" s="184">
        <f>轉向量!K54</f>
        <v>0</v>
      </c>
      <c r="H63" s="184">
        <f>轉向量!L54</f>
        <v>0</v>
      </c>
      <c r="I63" s="185">
        <f>轉向量!M54</f>
        <v>0</v>
      </c>
      <c r="J63" s="186">
        <f>轉向量!O54</f>
        <v>0</v>
      </c>
      <c r="K63" s="184">
        <f>轉向量!P54</f>
        <v>0</v>
      </c>
      <c r="L63" s="184">
        <f>轉向量!Q54</f>
        <v>0</v>
      </c>
      <c r="M63" s="185">
        <f>轉向量!R54</f>
        <v>0</v>
      </c>
      <c r="N63" s="187">
        <f>轉向量!D150</f>
        <v>0</v>
      </c>
      <c r="O63" s="188">
        <f>轉向量!F150</f>
        <v>0</v>
      </c>
      <c r="P63" s="188">
        <f>轉向量!G150</f>
        <v>0</v>
      </c>
      <c r="Q63" s="189">
        <f>轉向量!H150</f>
        <v>0</v>
      </c>
      <c r="R63" s="187">
        <f>轉向量!I150</f>
        <v>0</v>
      </c>
      <c r="S63" s="188">
        <f>轉向量!K150</f>
        <v>0</v>
      </c>
      <c r="T63" s="188">
        <f>轉向量!L150</f>
        <v>0</v>
      </c>
      <c r="U63" s="189">
        <f>轉向量!M150</f>
        <v>0</v>
      </c>
      <c r="V63" s="188">
        <f>轉向量!N150</f>
        <v>0</v>
      </c>
      <c r="W63" s="188">
        <f>轉向量!P150</f>
        <v>0</v>
      </c>
      <c r="X63" s="188">
        <f>轉向量!Q150</f>
        <v>0</v>
      </c>
      <c r="Y63" s="189">
        <f>轉向量!R150</f>
        <v>0</v>
      </c>
      <c r="Z63" s="209">
        <f>轉向量!D246</f>
        <v>0</v>
      </c>
      <c r="AA63" s="210">
        <f>轉向量!E246</f>
        <v>0</v>
      </c>
      <c r="AB63" s="210">
        <f>轉向量!G246</f>
        <v>0</v>
      </c>
      <c r="AC63" s="211">
        <f>轉向量!H246</f>
        <v>0</v>
      </c>
      <c r="AD63" s="210">
        <f>轉向量!I246</f>
        <v>0</v>
      </c>
      <c r="AE63" s="210">
        <f>轉向量!J246</f>
        <v>0</v>
      </c>
      <c r="AF63" s="210">
        <f>轉向量!L246</f>
        <v>0</v>
      </c>
      <c r="AG63" s="211">
        <f>轉向量!M246</f>
        <v>0</v>
      </c>
      <c r="AH63" s="210">
        <f>轉向量!N246</f>
        <v>0</v>
      </c>
      <c r="AI63" s="210">
        <f>轉向量!O246</f>
        <v>0</v>
      </c>
      <c r="AJ63" s="210">
        <f>轉向量!Q246</f>
        <v>0</v>
      </c>
      <c r="AK63" s="211">
        <f>轉向量!R246</f>
        <v>0</v>
      </c>
      <c r="AL63" s="221">
        <f>轉向量!D342</f>
        <v>0</v>
      </c>
      <c r="AM63" s="222">
        <f>轉向量!E342</f>
        <v>0</v>
      </c>
      <c r="AN63" s="222">
        <f>轉向量!F342</f>
        <v>0</v>
      </c>
      <c r="AO63" s="223">
        <f>轉向量!H342</f>
        <v>0</v>
      </c>
      <c r="AP63" s="222">
        <f>轉向量!I342</f>
        <v>0</v>
      </c>
      <c r="AQ63" s="222">
        <f>轉向量!J342</f>
        <v>0</v>
      </c>
      <c r="AR63" s="222">
        <f>轉向量!K342</f>
        <v>0</v>
      </c>
      <c r="AS63" s="223">
        <f>轉向量!M342</f>
        <v>0</v>
      </c>
      <c r="AT63" s="222">
        <f>轉向量!N342</f>
        <v>0</v>
      </c>
      <c r="AU63" s="222">
        <f>轉向量!O342</f>
        <v>0</v>
      </c>
      <c r="AV63" s="222">
        <f>轉向量!P342</f>
        <v>0</v>
      </c>
      <c r="AW63" s="223">
        <f>轉向量!R342</f>
        <v>0</v>
      </c>
      <c r="AX63" s="234">
        <f>轉向量!D438</f>
        <v>0</v>
      </c>
      <c r="AY63" s="235">
        <f>轉向量!E438</f>
        <v>0</v>
      </c>
      <c r="AZ63" s="235">
        <f>轉向量!F438</f>
        <v>0</v>
      </c>
      <c r="BA63" s="236">
        <f>轉向量!G438</f>
        <v>0</v>
      </c>
      <c r="BB63" s="235">
        <f>轉向量!I438</f>
        <v>0</v>
      </c>
      <c r="BC63" s="235">
        <f>轉向量!J438</f>
        <v>0</v>
      </c>
      <c r="BD63" s="235">
        <f>轉向量!K438</f>
        <v>0</v>
      </c>
      <c r="BE63" s="236">
        <f>轉向量!L438</f>
        <v>0</v>
      </c>
      <c r="BF63" s="235">
        <f>轉向量!N438</f>
        <v>0</v>
      </c>
      <c r="BG63" s="235">
        <f>轉向量!O438</f>
        <v>0</v>
      </c>
      <c r="BH63" s="235">
        <f>轉向量!P438</f>
        <v>0</v>
      </c>
      <c r="BI63" s="236">
        <f>轉向量!Q438</f>
        <v>0</v>
      </c>
      <c r="BK63" s="2"/>
    </row>
    <row r="64" spans="1:63">
      <c r="A64" s="28">
        <v>1315</v>
      </c>
      <c r="B64" s="184">
        <f>轉向量!E55</f>
        <v>0</v>
      </c>
      <c r="C64" s="184">
        <f>轉向量!F55</f>
        <v>0</v>
      </c>
      <c r="D64" s="184">
        <f>轉向量!G55</f>
        <v>0</v>
      </c>
      <c r="E64" s="185">
        <f>轉向量!H55</f>
        <v>0</v>
      </c>
      <c r="F64" s="186">
        <f>轉向量!J55</f>
        <v>0</v>
      </c>
      <c r="G64" s="184">
        <f>轉向量!K55</f>
        <v>0</v>
      </c>
      <c r="H64" s="184">
        <f>轉向量!L55</f>
        <v>0</v>
      </c>
      <c r="I64" s="185">
        <f>轉向量!M55</f>
        <v>0</v>
      </c>
      <c r="J64" s="186">
        <f>轉向量!O55</f>
        <v>0</v>
      </c>
      <c r="K64" s="184">
        <f>轉向量!P55</f>
        <v>0</v>
      </c>
      <c r="L64" s="184">
        <f>轉向量!Q55</f>
        <v>0</v>
      </c>
      <c r="M64" s="185">
        <f>轉向量!R55</f>
        <v>0</v>
      </c>
      <c r="N64" s="187">
        <f>轉向量!D151</f>
        <v>0</v>
      </c>
      <c r="O64" s="188">
        <f>轉向量!F151</f>
        <v>0</v>
      </c>
      <c r="P64" s="188">
        <f>轉向量!G151</f>
        <v>0</v>
      </c>
      <c r="Q64" s="189">
        <f>轉向量!H151</f>
        <v>0</v>
      </c>
      <c r="R64" s="187">
        <f>轉向量!I151</f>
        <v>0</v>
      </c>
      <c r="S64" s="188">
        <f>轉向量!K151</f>
        <v>0</v>
      </c>
      <c r="T64" s="188">
        <f>轉向量!L151</f>
        <v>0</v>
      </c>
      <c r="U64" s="189">
        <f>轉向量!M151</f>
        <v>0</v>
      </c>
      <c r="V64" s="188">
        <f>轉向量!N151</f>
        <v>0</v>
      </c>
      <c r="W64" s="188">
        <f>轉向量!P151</f>
        <v>0</v>
      </c>
      <c r="X64" s="188">
        <f>轉向量!Q151</f>
        <v>0</v>
      </c>
      <c r="Y64" s="189">
        <f>轉向量!R151</f>
        <v>0</v>
      </c>
      <c r="Z64" s="209">
        <f>轉向量!D247</f>
        <v>0</v>
      </c>
      <c r="AA64" s="210">
        <f>轉向量!E247</f>
        <v>0</v>
      </c>
      <c r="AB64" s="210">
        <f>轉向量!G247</f>
        <v>0</v>
      </c>
      <c r="AC64" s="211">
        <f>轉向量!H247</f>
        <v>0</v>
      </c>
      <c r="AD64" s="210">
        <f>轉向量!I247</f>
        <v>0</v>
      </c>
      <c r="AE64" s="210">
        <f>轉向量!J247</f>
        <v>0</v>
      </c>
      <c r="AF64" s="210">
        <f>轉向量!L247</f>
        <v>0</v>
      </c>
      <c r="AG64" s="211">
        <f>轉向量!M247</f>
        <v>0</v>
      </c>
      <c r="AH64" s="210">
        <f>轉向量!N247</f>
        <v>0</v>
      </c>
      <c r="AI64" s="210">
        <f>轉向量!O247</f>
        <v>0</v>
      </c>
      <c r="AJ64" s="210">
        <f>轉向量!Q247</f>
        <v>0</v>
      </c>
      <c r="AK64" s="211">
        <f>轉向量!R247</f>
        <v>0</v>
      </c>
      <c r="AL64" s="221">
        <f>轉向量!D343</f>
        <v>0</v>
      </c>
      <c r="AM64" s="222">
        <f>轉向量!E343</f>
        <v>0</v>
      </c>
      <c r="AN64" s="222">
        <f>轉向量!F343</f>
        <v>0</v>
      </c>
      <c r="AO64" s="223">
        <f>轉向量!H343</f>
        <v>0</v>
      </c>
      <c r="AP64" s="222">
        <f>轉向量!I343</f>
        <v>0</v>
      </c>
      <c r="AQ64" s="222">
        <f>轉向量!J343</f>
        <v>0</v>
      </c>
      <c r="AR64" s="222">
        <f>轉向量!K343</f>
        <v>0</v>
      </c>
      <c r="AS64" s="223">
        <f>轉向量!M343</f>
        <v>0</v>
      </c>
      <c r="AT64" s="222">
        <f>轉向量!N343</f>
        <v>0</v>
      </c>
      <c r="AU64" s="222">
        <f>轉向量!O343</f>
        <v>0</v>
      </c>
      <c r="AV64" s="222">
        <f>轉向量!P343</f>
        <v>0</v>
      </c>
      <c r="AW64" s="223">
        <f>轉向量!R343</f>
        <v>0</v>
      </c>
      <c r="AX64" s="234">
        <f>轉向量!D439</f>
        <v>0</v>
      </c>
      <c r="AY64" s="235">
        <f>轉向量!E439</f>
        <v>0</v>
      </c>
      <c r="AZ64" s="235">
        <f>轉向量!F439</f>
        <v>0</v>
      </c>
      <c r="BA64" s="236">
        <f>轉向量!G439</f>
        <v>0</v>
      </c>
      <c r="BB64" s="235">
        <f>轉向量!I439</f>
        <v>0</v>
      </c>
      <c r="BC64" s="235">
        <f>轉向量!J439</f>
        <v>0</v>
      </c>
      <c r="BD64" s="235">
        <f>轉向量!K439</f>
        <v>0</v>
      </c>
      <c r="BE64" s="236">
        <f>轉向量!L439</f>
        <v>0</v>
      </c>
      <c r="BF64" s="235">
        <f>轉向量!N439</f>
        <v>0</v>
      </c>
      <c r="BG64" s="235">
        <f>轉向量!O439</f>
        <v>0</v>
      </c>
      <c r="BH64" s="235">
        <f>轉向量!P439</f>
        <v>0</v>
      </c>
      <c r="BI64" s="236">
        <f>轉向量!Q439</f>
        <v>0</v>
      </c>
      <c r="BK64" s="2"/>
    </row>
    <row r="65" spans="1:63">
      <c r="A65" s="28">
        <v>1330</v>
      </c>
      <c r="B65" s="184">
        <f>轉向量!E56</f>
        <v>0</v>
      </c>
      <c r="C65" s="184">
        <f>轉向量!F56</f>
        <v>0</v>
      </c>
      <c r="D65" s="184">
        <f>轉向量!G56</f>
        <v>0</v>
      </c>
      <c r="E65" s="185">
        <f>轉向量!H56</f>
        <v>0</v>
      </c>
      <c r="F65" s="186">
        <f>轉向量!J56</f>
        <v>0</v>
      </c>
      <c r="G65" s="184">
        <f>轉向量!K56</f>
        <v>0</v>
      </c>
      <c r="H65" s="184">
        <f>轉向量!L56</f>
        <v>0</v>
      </c>
      <c r="I65" s="185">
        <f>轉向量!M56</f>
        <v>0</v>
      </c>
      <c r="J65" s="186">
        <f>轉向量!O56</f>
        <v>0</v>
      </c>
      <c r="K65" s="184">
        <f>轉向量!P56</f>
        <v>0</v>
      </c>
      <c r="L65" s="184">
        <f>轉向量!Q56</f>
        <v>0</v>
      </c>
      <c r="M65" s="185">
        <f>轉向量!R56</f>
        <v>0</v>
      </c>
      <c r="N65" s="187">
        <f>轉向量!D152</f>
        <v>0</v>
      </c>
      <c r="O65" s="188">
        <f>轉向量!F152</f>
        <v>0</v>
      </c>
      <c r="P65" s="188">
        <f>轉向量!G152</f>
        <v>0</v>
      </c>
      <c r="Q65" s="189">
        <f>轉向量!H152</f>
        <v>0</v>
      </c>
      <c r="R65" s="187">
        <f>轉向量!I152</f>
        <v>0</v>
      </c>
      <c r="S65" s="188">
        <f>轉向量!K152</f>
        <v>0</v>
      </c>
      <c r="T65" s="188">
        <f>轉向量!L152</f>
        <v>0</v>
      </c>
      <c r="U65" s="189">
        <f>轉向量!M152</f>
        <v>0</v>
      </c>
      <c r="V65" s="188">
        <f>轉向量!N152</f>
        <v>0</v>
      </c>
      <c r="W65" s="188">
        <f>轉向量!P152</f>
        <v>0</v>
      </c>
      <c r="X65" s="188">
        <f>轉向量!Q152</f>
        <v>0</v>
      </c>
      <c r="Y65" s="189">
        <f>轉向量!R152</f>
        <v>0</v>
      </c>
      <c r="Z65" s="209">
        <f>轉向量!D248</f>
        <v>0</v>
      </c>
      <c r="AA65" s="210">
        <f>轉向量!E248</f>
        <v>0</v>
      </c>
      <c r="AB65" s="210">
        <f>轉向量!G248</f>
        <v>0</v>
      </c>
      <c r="AC65" s="211">
        <f>轉向量!H248</f>
        <v>0</v>
      </c>
      <c r="AD65" s="210">
        <f>轉向量!I248</f>
        <v>0</v>
      </c>
      <c r="AE65" s="210">
        <f>轉向量!J248</f>
        <v>0</v>
      </c>
      <c r="AF65" s="210">
        <f>轉向量!L248</f>
        <v>0</v>
      </c>
      <c r="AG65" s="211">
        <f>轉向量!M248</f>
        <v>0</v>
      </c>
      <c r="AH65" s="210">
        <f>轉向量!N248</f>
        <v>0</v>
      </c>
      <c r="AI65" s="210">
        <f>轉向量!O248</f>
        <v>0</v>
      </c>
      <c r="AJ65" s="210">
        <f>轉向量!Q248</f>
        <v>0</v>
      </c>
      <c r="AK65" s="211">
        <f>轉向量!R248</f>
        <v>0</v>
      </c>
      <c r="AL65" s="221">
        <f>轉向量!D344</f>
        <v>0</v>
      </c>
      <c r="AM65" s="222">
        <f>轉向量!E344</f>
        <v>0</v>
      </c>
      <c r="AN65" s="222">
        <f>轉向量!F344</f>
        <v>0</v>
      </c>
      <c r="AO65" s="223">
        <f>轉向量!H344</f>
        <v>0</v>
      </c>
      <c r="AP65" s="222">
        <f>轉向量!I344</f>
        <v>0</v>
      </c>
      <c r="AQ65" s="222">
        <f>轉向量!J344</f>
        <v>0</v>
      </c>
      <c r="AR65" s="222">
        <f>轉向量!K344</f>
        <v>0</v>
      </c>
      <c r="AS65" s="223">
        <f>轉向量!M344</f>
        <v>0</v>
      </c>
      <c r="AT65" s="222">
        <f>轉向量!N344</f>
        <v>0</v>
      </c>
      <c r="AU65" s="222">
        <f>轉向量!O344</f>
        <v>0</v>
      </c>
      <c r="AV65" s="222">
        <f>轉向量!P344</f>
        <v>0</v>
      </c>
      <c r="AW65" s="223">
        <f>轉向量!R344</f>
        <v>0</v>
      </c>
      <c r="AX65" s="234">
        <f>轉向量!D440</f>
        <v>0</v>
      </c>
      <c r="AY65" s="235">
        <f>轉向量!E440</f>
        <v>0</v>
      </c>
      <c r="AZ65" s="235">
        <f>轉向量!F440</f>
        <v>0</v>
      </c>
      <c r="BA65" s="236">
        <f>轉向量!G440</f>
        <v>0</v>
      </c>
      <c r="BB65" s="235">
        <f>轉向量!I440</f>
        <v>0</v>
      </c>
      <c r="BC65" s="235">
        <f>轉向量!J440</f>
        <v>0</v>
      </c>
      <c r="BD65" s="235">
        <f>轉向量!K440</f>
        <v>0</v>
      </c>
      <c r="BE65" s="236">
        <f>轉向量!L440</f>
        <v>0</v>
      </c>
      <c r="BF65" s="235">
        <f>轉向量!N440</f>
        <v>0</v>
      </c>
      <c r="BG65" s="235">
        <f>轉向量!O440</f>
        <v>0</v>
      </c>
      <c r="BH65" s="235">
        <f>轉向量!P440</f>
        <v>0</v>
      </c>
      <c r="BI65" s="236">
        <f>轉向量!Q440</f>
        <v>0</v>
      </c>
      <c r="BK65" s="2"/>
    </row>
    <row r="66" spans="1:63">
      <c r="A66" s="28">
        <v>1345</v>
      </c>
      <c r="B66" s="184">
        <f>轉向量!E57</f>
        <v>0</v>
      </c>
      <c r="C66" s="184">
        <f>轉向量!F57</f>
        <v>0</v>
      </c>
      <c r="D66" s="184">
        <f>轉向量!G57</f>
        <v>0</v>
      </c>
      <c r="E66" s="185">
        <f>轉向量!H57</f>
        <v>0</v>
      </c>
      <c r="F66" s="186">
        <f>轉向量!J57</f>
        <v>0</v>
      </c>
      <c r="G66" s="184">
        <f>轉向量!K57</f>
        <v>0</v>
      </c>
      <c r="H66" s="184">
        <f>轉向量!L57</f>
        <v>0</v>
      </c>
      <c r="I66" s="185">
        <f>轉向量!M57</f>
        <v>0</v>
      </c>
      <c r="J66" s="186">
        <f>轉向量!O57</f>
        <v>0</v>
      </c>
      <c r="K66" s="184">
        <f>轉向量!P57</f>
        <v>0</v>
      </c>
      <c r="L66" s="184">
        <f>轉向量!Q57</f>
        <v>0</v>
      </c>
      <c r="M66" s="185">
        <f>轉向量!R57</f>
        <v>0</v>
      </c>
      <c r="N66" s="187">
        <f>轉向量!D153</f>
        <v>0</v>
      </c>
      <c r="O66" s="188">
        <f>轉向量!F153</f>
        <v>0</v>
      </c>
      <c r="P66" s="188">
        <f>轉向量!G153</f>
        <v>0</v>
      </c>
      <c r="Q66" s="189">
        <f>轉向量!H153</f>
        <v>0</v>
      </c>
      <c r="R66" s="187">
        <f>轉向量!I153</f>
        <v>0</v>
      </c>
      <c r="S66" s="188">
        <f>轉向量!K153</f>
        <v>0</v>
      </c>
      <c r="T66" s="188">
        <f>轉向量!L153</f>
        <v>0</v>
      </c>
      <c r="U66" s="189">
        <f>轉向量!M153</f>
        <v>0</v>
      </c>
      <c r="V66" s="188">
        <f>轉向量!N153</f>
        <v>0</v>
      </c>
      <c r="W66" s="188">
        <f>轉向量!P153</f>
        <v>0</v>
      </c>
      <c r="X66" s="188">
        <f>轉向量!Q153</f>
        <v>0</v>
      </c>
      <c r="Y66" s="189">
        <f>轉向量!R153</f>
        <v>0</v>
      </c>
      <c r="Z66" s="209">
        <f>轉向量!D249</f>
        <v>0</v>
      </c>
      <c r="AA66" s="210">
        <f>轉向量!E249</f>
        <v>0</v>
      </c>
      <c r="AB66" s="210">
        <f>轉向量!G249</f>
        <v>0</v>
      </c>
      <c r="AC66" s="211">
        <f>轉向量!H249</f>
        <v>0</v>
      </c>
      <c r="AD66" s="210">
        <f>轉向量!I249</f>
        <v>0</v>
      </c>
      <c r="AE66" s="210">
        <f>轉向量!J249</f>
        <v>0</v>
      </c>
      <c r="AF66" s="210">
        <f>轉向量!L249</f>
        <v>0</v>
      </c>
      <c r="AG66" s="211">
        <f>轉向量!M249</f>
        <v>0</v>
      </c>
      <c r="AH66" s="210">
        <f>轉向量!N249</f>
        <v>0</v>
      </c>
      <c r="AI66" s="210">
        <f>轉向量!O249</f>
        <v>0</v>
      </c>
      <c r="AJ66" s="210">
        <f>轉向量!Q249</f>
        <v>0</v>
      </c>
      <c r="AK66" s="211">
        <f>轉向量!R249</f>
        <v>0</v>
      </c>
      <c r="AL66" s="221">
        <f>轉向量!D345</f>
        <v>0</v>
      </c>
      <c r="AM66" s="222">
        <f>轉向量!E345</f>
        <v>0</v>
      </c>
      <c r="AN66" s="222">
        <f>轉向量!F345</f>
        <v>0</v>
      </c>
      <c r="AO66" s="223">
        <f>轉向量!H345</f>
        <v>0</v>
      </c>
      <c r="AP66" s="222">
        <f>轉向量!I345</f>
        <v>0</v>
      </c>
      <c r="AQ66" s="222">
        <f>轉向量!J345</f>
        <v>0</v>
      </c>
      <c r="AR66" s="222">
        <f>轉向量!K345</f>
        <v>0</v>
      </c>
      <c r="AS66" s="223">
        <f>轉向量!M345</f>
        <v>0</v>
      </c>
      <c r="AT66" s="222">
        <f>轉向量!N345</f>
        <v>0</v>
      </c>
      <c r="AU66" s="222">
        <f>轉向量!O345</f>
        <v>0</v>
      </c>
      <c r="AV66" s="222">
        <f>轉向量!P345</f>
        <v>0</v>
      </c>
      <c r="AW66" s="223">
        <f>轉向量!R345</f>
        <v>0</v>
      </c>
      <c r="AX66" s="234">
        <f>轉向量!D441</f>
        <v>0</v>
      </c>
      <c r="AY66" s="235">
        <f>轉向量!E441</f>
        <v>0</v>
      </c>
      <c r="AZ66" s="235">
        <f>轉向量!F441</f>
        <v>0</v>
      </c>
      <c r="BA66" s="236">
        <f>轉向量!G441</f>
        <v>0</v>
      </c>
      <c r="BB66" s="235">
        <f>轉向量!I441</f>
        <v>0</v>
      </c>
      <c r="BC66" s="235">
        <f>轉向量!J441</f>
        <v>0</v>
      </c>
      <c r="BD66" s="235">
        <f>轉向量!K441</f>
        <v>0</v>
      </c>
      <c r="BE66" s="236">
        <f>轉向量!L441</f>
        <v>0</v>
      </c>
      <c r="BF66" s="235">
        <f>轉向量!N441</f>
        <v>0</v>
      </c>
      <c r="BG66" s="235">
        <f>轉向量!O441</f>
        <v>0</v>
      </c>
      <c r="BH66" s="235">
        <f>轉向量!P441</f>
        <v>0</v>
      </c>
      <c r="BI66" s="236">
        <f>轉向量!Q441</f>
        <v>0</v>
      </c>
      <c r="BK66" s="2"/>
    </row>
    <row r="67" spans="1:63">
      <c r="A67" s="28">
        <v>1400</v>
      </c>
      <c r="B67" s="184">
        <f>轉向量!E58</f>
        <v>0</v>
      </c>
      <c r="C67" s="184">
        <f>轉向量!F58</f>
        <v>0</v>
      </c>
      <c r="D67" s="184">
        <f>轉向量!G58</f>
        <v>0</v>
      </c>
      <c r="E67" s="185">
        <f>轉向量!H58</f>
        <v>0</v>
      </c>
      <c r="F67" s="186">
        <f>轉向量!J58</f>
        <v>0</v>
      </c>
      <c r="G67" s="184">
        <f>轉向量!K58</f>
        <v>0</v>
      </c>
      <c r="H67" s="184">
        <f>轉向量!L58</f>
        <v>0</v>
      </c>
      <c r="I67" s="185">
        <f>轉向量!M58</f>
        <v>0</v>
      </c>
      <c r="J67" s="186">
        <f>轉向量!O58</f>
        <v>0</v>
      </c>
      <c r="K67" s="184">
        <f>轉向量!P58</f>
        <v>0</v>
      </c>
      <c r="L67" s="184">
        <f>轉向量!Q58</f>
        <v>0</v>
      </c>
      <c r="M67" s="185">
        <f>轉向量!R58</f>
        <v>0</v>
      </c>
      <c r="N67" s="187">
        <f>轉向量!D154</f>
        <v>0</v>
      </c>
      <c r="O67" s="188">
        <f>轉向量!F154</f>
        <v>0</v>
      </c>
      <c r="P67" s="188">
        <f>轉向量!G154</f>
        <v>0</v>
      </c>
      <c r="Q67" s="189">
        <f>轉向量!H154</f>
        <v>0</v>
      </c>
      <c r="R67" s="187">
        <f>轉向量!I154</f>
        <v>0</v>
      </c>
      <c r="S67" s="188">
        <f>轉向量!K154</f>
        <v>0</v>
      </c>
      <c r="T67" s="188">
        <f>轉向量!L154</f>
        <v>0</v>
      </c>
      <c r="U67" s="189">
        <f>轉向量!M154</f>
        <v>0</v>
      </c>
      <c r="V67" s="188">
        <f>轉向量!N154</f>
        <v>0</v>
      </c>
      <c r="W67" s="188">
        <f>轉向量!P154</f>
        <v>0</v>
      </c>
      <c r="X67" s="188">
        <f>轉向量!Q154</f>
        <v>0</v>
      </c>
      <c r="Y67" s="189">
        <f>轉向量!R154</f>
        <v>0</v>
      </c>
      <c r="Z67" s="209">
        <f>轉向量!D250</f>
        <v>0</v>
      </c>
      <c r="AA67" s="210">
        <f>轉向量!E250</f>
        <v>0</v>
      </c>
      <c r="AB67" s="210">
        <f>轉向量!G250</f>
        <v>0</v>
      </c>
      <c r="AC67" s="211">
        <f>轉向量!H250</f>
        <v>0</v>
      </c>
      <c r="AD67" s="210">
        <f>轉向量!I250</f>
        <v>0</v>
      </c>
      <c r="AE67" s="210">
        <f>轉向量!J250</f>
        <v>0</v>
      </c>
      <c r="AF67" s="210">
        <f>轉向量!L250</f>
        <v>0</v>
      </c>
      <c r="AG67" s="211">
        <f>轉向量!M250</f>
        <v>0</v>
      </c>
      <c r="AH67" s="210">
        <f>轉向量!N250</f>
        <v>0</v>
      </c>
      <c r="AI67" s="210">
        <f>轉向量!O250</f>
        <v>0</v>
      </c>
      <c r="AJ67" s="210">
        <f>轉向量!Q250</f>
        <v>0</v>
      </c>
      <c r="AK67" s="211">
        <f>轉向量!R250</f>
        <v>0</v>
      </c>
      <c r="AL67" s="221">
        <f>轉向量!D346</f>
        <v>0</v>
      </c>
      <c r="AM67" s="222">
        <f>轉向量!E346</f>
        <v>0</v>
      </c>
      <c r="AN67" s="222">
        <f>轉向量!F346</f>
        <v>0</v>
      </c>
      <c r="AO67" s="223">
        <f>轉向量!H346</f>
        <v>0</v>
      </c>
      <c r="AP67" s="222">
        <f>轉向量!I346</f>
        <v>0</v>
      </c>
      <c r="AQ67" s="222">
        <f>轉向量!J346</f>
        <v>0</v>
      </c>
      <c r="AR67" s="222">
        <f>轉向量!K346</f>
        <v>0</v>
      </c>
      <c r="AS67" s="223">
        <f>轉向量!M346</f>
        <v>0</v>
      </c>
      <c r="AT67" s="222">
        <f>轉向量!N346</f>
        <v>0</v>
      </c>
      <c r="AU67" s="222">
        <f>轉向量!O346</f>
        <v>0</v>
      </c>
      <c r="AV67" s="222">
        <f>轉向量!P346</f>
        <v>0</v>
      </c>
      <c r="AW67" s="223">
        <f>轉向量!R346</f>
        <v>0</v>
      </c>
      <c r="AX67" s="234">
        <f>轉向量!D442</f>
        <v>0</v>
      </c>
      <c r="AY67" s="235">
        <f>轉向量!E442</f>
        <v>0</v>
      </c>
      <c r="AZ67" s="235">
        <f>轉向量!F442</f>
        <v>0</v>
      </c>
      <c r="BA67" s="236">
        <f>轉向量!G442</f>
        <v>0</v>
      </c>
      <c r="BB67" s="235">
        <f>轉向量!I442</f>
        <v>0</v>
      </c>
      <c r="BC67" s="235">
        <f>轉向量!J442</f>
        <v>0</v>
      </c>
      <c r="BD67" s="235">
        <f>轉向量!K442</f>
        <v>0</v>
      </c>
      <c r="BE67" s="236">
        <f>轉向量!L442</f>
        <v>0</v>
      </c>
      <c r="BF67" s="235">
        <f>轉向量!N442</f>
        <v>0</v>
      </c>
      <c r="BG67" s="235">
        <f>轉向量!O442</f>
        <v>0</v>
      </c>
      <c r="BH67" s="235">
        <f>轉向量!P442</f>
        <v>0</v>
      </c>
      <c r="BI67" s="236">
        <f>轉向量!Q442</f>
        <v>0</v>
      </c>
      <c r="BK67" s="2"/>
    </row>
    <row r="68" spans="1:63">
      <c r="A68" s="28">
        <v>1415</v>
      </c>
      <c r="B68" s="184">
        <f>轉向量!E59</f>
        <v>0</v>
      </c>
      <c r="C68" s="184">
        <f>轉向量!F59</f>
        <v>0</v>
      </c>
      <c r="D68" s="184">
        <f>轉向量!G59</f>
        <v>0</v>
      </c>
      <c r="E68" s="185">
        <f>轉向量!H59</f>
        <v>0</v>
      </c>
      <c r="F68" s="186">
        <f>轉向量!J59</f>
        <v>0</v>
      </c>
      <c r="G68" s="184">
        <f>轉向量!K59</f>
        <v>0</v>
      </c>
      <c r="H68" s="184">
        <f>轉向量!L59</f>
        <v>0</v>
      </c>
      <c r="I68" s="185">
        <f>轉向量!M59</f>
        <v>0</v>
      </c>
      <c r="J68" s="186">
        <f>轉向量!O59</f>
        <v>0</v>
      </c>
      <c r="K68" s="184">
        <f>轉向量!P59</f>
        <v>0</v>
      </c>
      <c r="L68" s="184">
        <f>轉向量!Q59</f>
        <v>0</v>
      </c>
      <c r="M68" s="185">
        <f>轉向量!R59</f>
        <v>0</v>
      </c>
      <c r="N68" s="187">
        <f>轉向量!D155</f>
        <v>0</v>
      </c>
      <c r="O68" s="188">
        <f>轉向量!F155</f>
        <v>0</v>
      </c>
      <c r="P68" s="188">
        <f>轉向量!G155</f>
        <v>0</v>
      </c>
      <c r="Q68" s="189">
        <f>轉向量!H155</f>
        <v>0</v>
      </c>
      <c r="R68" s="187">
        <f>轉向量!I155</f>
        <v>0</v>
      </c>
      <c r="S68" s="188">
        <f>轉向量!K155</f>
        <v>0</v>
      </c>
      <c r="T68" s="188">
        <f>轉向量!L155</f>
        <v>0</v>
      </c>
      <c r="U68" s="189">
        <f>轉向量!M155</f>
        <v>0</v>
      </c>
      <c r="V68" s="188">
        <f>轉向量!N155</f>
        <v>0</v>
      </c>
      <c r="W68" s="188">
        <f>轉向量!P155</f>
        <v>0</v>
      </c>
      <c r="X68" s="188">
        <f>轉向量!Q155</f>
        <v>0</v>
      </c>
      <c r="Y68" s="189">
        <f>轉向量!R155</f>
        <v>0</v>
      </c>
      <c r="Z68" s="209">
        <f>轉向量!D251</f>
        <v>0</v>
      </c>
      <c r="AA68" s="210">
        <f>轉向量!E251</f>
        <v>0</v>
      </c>
      <c r="AB68" s="210">
        <f>轉向量!G251</f>
        <v>0</v>
      </c>
      <c r="AC68" s="211">
        <f>轉向量!H251</f>
        <v>0</v>
      </c>
      <c r="AD68" s="210">
        <f>轉向量!I251</f>
        <v>0</v>
      </c>
      <c r="AE68" s="210">
        <f>轉向量!J251</f>
        <v>0</v>
      </c>
      <c r="AF68" s="210">
        <f>轉向量!L251</f>
        <v>0</v>
      </c>
      <c r="AG68" s="211">
        <f>轉向量!M251</f>
        <v>0</v>
      </c>
      <c r="AH68" s="210">
        <f>轉向量!N251</f>
        <v>0</v>
      </c>
      <c r="AI68" s="210">
        <f>轉向量!O251</f>
        <v>0</v>
      </c>
      <c r="AJ68" s="210">
        <f>轉向量!Q251</f>
        <v>0</v>
      </c>
      <c r="AK68" s="211">
        <f>轉向量!R251</f>
        <v>0</v>
      </c>
      <c r="AL68" s="221">
        <f>轉向量!D347</f>
        <v>0</v>
      </c>
      <c r="AM68" s="222">
        <f>轉向量!E347</f>
        <v>0</v>
      </c>
      <c r="AN68" s="222">
        <f>轉向量!F347</f>
        <v>0</v>
      </c>
      <c r="AO68" s="223">
        <f>轉向量!H347</f>
        <v>0</v>
      </c>
      <c r="AP68" s="222">
        <f>轉向量!I347</f>
        <v>0</v>
      </c>
      <c r="AQ68" s="222">
        <f>轉向量!J347</f>
        <v>0</v>
      </c>
      <c r="AR68" s="222">
        <f>轉向量!K347</f>
        <v>0</v>
      </c>
      <c r="AS68" s="223">
        <f>轉向量!M347</f>
        <v>0</v>
      </c>
      <c r="AT68" s="222">
        <f>轉向量!N347</f>
        <v>0</v>
      </c>
      <c r="AU68" s="222">
        <f>轉向量!O347</f>
        <v>0</v>
      </c>
      <c r="AV68" s="222">
        <f>轉向量!P347</f>
        <v>0</v>
      </c>
      <c r="AW68" s="223">
        <f>轉向量!R347</f>
        <v>0</v>
      </c>
      <c r="AX68" s="234">
        <f>轉向量!D443</f>
        <v>0</v>
      </c>
      <c r="AY68" s="235">
        <f>轉向量!E443</f>
        <v>0</v>
      </c>
      <c r="AZ68" s="235">
        <f>轉向量!F443</f>
        <v>0</v>
      </c>
      <c r="BA68" s="236">
        <f>轉向量!G443</f>
        <v>0</v>
      </c>
      <c r="BB68" s="235">
        <f>轉向量!I443</f>
        <v>0</v>
      </c>
      <c r="BC68" s="235">
        <f>轉向量!J443</f>
        <v>0</v>
      </c>
      <c r="BD68" s="235">
        <f>轉向量!K443</f>
        <v>0</v>
      </c>
      <c r="BE68" s="236">
        <f>轉向量!L443</f>
        <v>0</v>
      </c>
      <c r="BF68" s="235">
        <f>轉向量!N443</f>
        <v>0</v>
      </c>
      <c r="BG68" s="235">
        <f>轉向量!O443</f>
        <v>0</v>
      </c>
      <c r="BH68" s="235">
        <f>轉向量!P443</f>
        <v>0</v>
      </c>
      <c r="BI68" s="236">
        <f>轉向量!Q443</f>
        <v>0</v>
      </c>
      <c r="BK68" s="2"/>
    </row>
    <row r="69" spans="1:63">
      <c r="A69" s="28">
        <v>1430</v>
      </c>
      <c r="B69" s="184">
        <f>轉向量!E60</f>
        <v>0</v>
      </c>
      <c r="C69" s="184">
        <f>轉向量!F60</f>
        <v>0</v>
      </c>
      <c r="D69" s="184">
        <f>轉向量!G60</f>
        <v>0</v>
      </c>
      <c r="E69" s="185">
        <f>轉向量!H60</f>
        <v>0</v>
      </c>
      <c r="F69" s="186">
        <f>轉向量!J60</f>
        <v>0</v>
      </c>
      <c r="G69" s="184">
        <f>轉向量!K60</f>
        <v>0</v>
      </c>
      <c r="H69" s="184">
        <f>轉向量!L60</f>
        <v>0</v>
      </c>
      <c r="I69" s="185">
        <f>轉向量!M60</f>
        <v>0</v>
      </c>
      <c r="J69" s="186">
        <f>轉向量!O60</f>
        <v>0</v>
      </c>
      <c r="K69" s="184">
        <f>轉向量!P60</f>
        <v>0</v>
      </c>
      <c r="L69" s="184">
        <f>轉向量!Q60</f>
        <v>0</v>
      </c>
      <c r="M69" s="185">
        <f>轉向量!R60</f>
        <v>0</v>
      </c>
      <c r="N69" s="187">
        <f>轉向量!D156</f>
        <v>0</v>
      </c>
      <c r="O69" s="188">
        <f>轉向量!F156</f>
        <v>0</v>
      </c>
      <c r="P69" s="188">
        <f>轉向量!G156</f>
        <v>0</v>
      </c>
      <c r="Q69" s="189">
        <f>轉向量!H156</f>
        <v>0</v>
      </c>
      <c r="R69" s="187">
        <f>轉向量!I156</f>
        <v>0</v>
      </c>
      <c r="S69" s="188">
        <f>轉向量!K156</f>
        <v>0</v>
      </c>
      <c r="T69" s="188">
        <f>轉向量!L156</f>
        <v>0</v>
      </c>
      <c r="U69" s="189">
        <f>轉向量!M156</f>
        <v>0</v>
      </c>
      <c r="V69" s="188">
        <f>轉向量!N156</f>
        <v>0</v>
      </c>
      <c r="W69" s="188">
        <f>轉向量!P156</f>
        <v>0</v>
      </c>
      <c r="X69" s="188">
        <f>轉向量!Q156</f>
        <v>0</v>
      </c>
      <c r="Y69" s="189">
        <f>轉向量!R156</f>
        <v>0</v>
      </c>
      <c r="Z69" s="209">
        <f>轉向量!D252</f>
        <v>0</v>
      </c>
      <c r="AA69" s="210">
        <f>轉向量!E252</f>
        <v>0</v>
      </c>
      <c r="AB69" s="210">
        <f>轉向量!G252</f>
        <v>0</v>
      </c>
      <c r="AC69" s="211">
        <f>轉向量!H252</f>
        <v>0</v>
      </c>
      <c r="AD69" s="210">
        <f>轉向量!I252</f>
        <v>0</v>
      </c>
      <c r="AE69" s="210">
        <f>轉向量!J252</f>
        <v>0</v>
      </c>
      <c r="AF69" s="210">
        <f>轉向量!L252</f>
        <v>0</v>
      </c>
      <c r="AG69" s="211">
        <f>轉向量!M252</f>
        <v>0</v>
      </c>
      <c r="AH69" s="210">
        <f>轉向量!N252</f>
        <v>0</v>
      </c>
      <c r="AI69" s="210">
        <f>轉向量!O252</f>
        <v>0</v>
      </c>
      <c r="AJ69" s="210">
        <f>轉向量!Q252</f>
        <v>0</v>
      </c>
      <c r="AK69" s="211">
        <f>轉向量!R252</f>
        <v>0</v>
      </c>
      <c r="AL69" s="221">
        <f>轉向量!D348</f>
        <v>0</v>
      </c>
      <c r="AM69" s="222">
        <f>轉向量!E348</f>
        <v>0</v>
      </c>
      <c r="AN69" s="222">
        <f>轉向量!F348</f>
        <v>0</v>
      </c>
      <c r="AO69" s="223">
        <f>轉向量!H348</f>
        <v>0</v>
      </c>
      <c r="AP69" s="222">
        <f>轉向量!I348</f>
        <v>0</v>
      </c>
      <c r="AQ69" s="222">
        <f>轉向量!J348</f>
        <v>0</v>
      </c>
      <c r="AR69" s="222">
        <f>轉向量!K348</f>
        <v>0</v>
      </c>
      <c r="AS69" s="223">
        <f>轉向量!M348</f>
        <v>0</v>
      </c>
      <c r="AT69" s="222">
        <f>轉向量!N348</f>
        <v>0</v>
      </c>
      <c r="AU69" s="222">
        <f>轉向量!O348</f>
        <v>0</v>
      </c>
      <c r="AV69" s="222">
        <f>轉向量!P348</f>
        <v>0</v>
      </c>
      <c r="AW69" s="223">
        <f>轉向量!R348</f>
        <v>0</v>
      </c>
      <c r="AX69" s="234">
        <f>轉向量!D444</f>
        <v>0</v>
      </c>
      <c r="AY69" s="235">
        <f>轉向量!E444</f>
        <v>0</v>
      </c>
      <c r="AZ69" s="235">
        <f>轉向量!F444</f>
        <v>0</v>
      </c>
      <c r="BA69" s="236">
        <f>轉向量!G444</f>
        <v>0</v>
      </c>
      <c r="BB69" s="235">
        <f>轉向量!I444</f>
        <v>0</v>
      </c>
      <c r="BC69" s="235">
        <f>轉向量!J444</f>
        <v>0</v>
      </c>
      <c r="BD69" s="235">
        <f>轉向量!K444</f>
        <v>0</v>
      </c>
      <c r="BE69" s="236">
        <f>轉向量!L444</f>
        <v>0</v>
      </c>
      <c r="BF69" s="235">
        <f>轉向量!N444</f>
        <v>0</v>
      </c>
      <c r="BG69" s="235">
        <f>轉向量!O444</f>
        <v>0</v>
      </c>
      <c r="BH69" s="235">
        <f>轉向量!P444</f>
        <v>0</v>
      </c>
      <c r="BI69" s="236">
        <f>轉向量!Q444</f>
        <v>0</v>
      </c>
      <c r="BK69" s="2"/>
    </row>
    <row r="70" spans="1:63">
      <c r="A70" s="28">
        <v>1445</v>
      </c>
      <c r="B70" s="184">
        <f>轉向量!E61</f>
        <v>0</v>
      </c>
      <c r="C70" s="184">
        <f>轉向量!F61</f>
        <v>0</v>
      </c>
      <c r="D70" s="184">
        <f>轉向量!G61</f>
        <v>0</v>
      </c>
      <c r="E70" s="185">
        <f>轉向量!H61</f>
        <v>0</v>
      </c>
      <c r="F70" s="186">
        <f>轉向量!J61</f>
        <v>0</v>
      </c>
      <c r="G70" s="184">
        <f>轉向量!K61</f>
        <v>0</v>
      </c>
      <c r="H70" s="184">
        <f>轉向量!L61</f>
        <v>0</v>
      </c>
      <c r="I70" s="185">
        <f>轉向量!M61</f>
        <v>0</v>
      </c>
      <c r="J70" s="186">
        <f>轉向量!O61</f>
        <v>0</v>
      </c>
      <c r="K70" s="184">
        <f>轉向量!P61</f>
        <v>0</v>
      </c>
      <c r="L70" s="184">
        <f>轉向量!Q61</f>
        <v>0</v>
      </c>
      <c r="M70" s="185">
        <f>轉向量!R61</f>
        <v>0</v>
      </c>
      <c r="N70" s="187">
        <f>轉向量!D157</f>
        <v>0</v>
      </c>
      <c r="O70" s="188">
        <f>轉向量!F157</f>
        <v>0</v>
      </c>
      <c r="P70" s="188">
        <f>轉向量!G157</f>
        <v>0</v>
      </c>
      <c r="Q70" s="189">
        <f>轉向量!H157</f>
        <v>0</v>
      </c>
      <c r="R70" s="187">
        <f>轉向量!I157</f>
        <v>0</v>
      </c>
      <c r="S70" s="188">
        <f>轉向量!K157</f>
        <v>0</v>
      </c>
      <c r="T70" s="188">
        <f>轉向量!L157</f>
        <v>0</v>
      </c>
      <c r="U70" s="189">
        <f>轉向量!M157</f>
        <v>0</v>
      </c>
      <c r="V70" s="188">
        <f>轉向量!N157</f>
        <v>0</v>
      </c>
      <c r="W70" s="188">
        <f>轉向量!P157</f>
        <v>0</v>
      </c>
      <c r="X70" s="188">
        <f>轉向量!Q157</f>
        <v>0</v>
      </c>
      <c r="Y70" s="189">
        <f>轉向量!R157</f>
        <v>0</v>
      </c>
      <c r="Z70" s="209">
        <f>轉向量!D253</f>
        <v>0</v>
      </c>
      <c r="AA70" s="210">
        <f>轉向量!E253</f>
        <v>0</v>
      </c>
      <c r="AB70" s="210">
        <f>轉向量!G253</f>
        <v>0</v>
      </c>
      <c r="AC70" s="211">
        <f>轉向量!H253</f>
        <v>0</v>
      </c>
      <c r="AD70" s="210">
        <f>轉向量!I253</f>
        <v>0</v>
      </c>
      <c r="AE70" s="210">
        <f>轉向量!J253</f>
        <v>0</v>
      </c>
      <c r="AF70" s="210">
        <f>轉向量!L253</f>
        <v>0</v>
      </c>
      <c r="AG70" s="211">
        <f>轉向量!M253</f>
        <v>0</v>
      </c>
      <c r="AH70" s="210">
        <f>轉向量!N253</f>
        <v>0</v>
      </c>
      <c r="AI70" s="210">
        <f>轉向量!O253</f>
        <v>0</v>
      </c>
      <c r="AJ70" s="210">
        <f>轉向量!Q253</f>
        <v>0</v>
      </c>
      <c r="AK70" s="211">
        <f>轉向量!R253</f>
        <v>0</v>
      </c>
      <c r="AL70" s="221">
        <f>轉向量!D349</f>
        <v>0</v>
      </c>
      <c r="AM70" s="222">
        <f>轉向量!E349</f>
        <v>0</v>
      </c>
      <c r="AN70" s="222">
        <f>轉向量!F349</f>
        <v>0</v>
      </c>
      <c r="AO70" s="223">
        <f>轉向量!H349</f>
        <v>0</v>
      </c>
      <c r="AP70" s="222">
        <f>轉向量!I349</f>
        <v>0</v>
      </c>
      <c r="AQ70" s="222">
        <f>轉向量!J349</f>
        <v>0</v>
      </c>
      <c r="AR70" s="222">
        <f>轉向量!K349</f>
        <v>0</v>
      </c>
      <c r="AS70" s="223">
        <f>轉向量!M349</f>
        <v>0</v>
      </c>
      <c r="AT70" s="222">
        <f>轉向量!N349</f>
        <v>0</v>
      </c>
      <c r="AU70" s="222">
        <f>轉向量!O349</f>
        <v>0</v>
      </c>
      <c r="AV70" s="222">
        <f>轉向量!P349</f>
        <v>0</v>
      </c>
      <c r="AW70" s="223">
        <f>轉向量!R349</f>
        <v>0</v>
      </c>
      <c r="AX70" s="234">
        <f>轉向量!D445</f>
        <v>0</v>
      </c>
      <c r="AY70" s="235">
        <f>轉向量!E445</f>
        <v>0</v>
      </c>
      <c r="AZ70" s="235">
        <f>轉向量!F445</f>
        <v>0</v>
      </c>
      <c r="BA70" s="236">
        <f>轉向量!G445</f>
        <v>0</v>
      </c>
      <c r="BB70" s="235">
        <f>轉向量!I445</f>
        <v>0</v>
      </c>
      <c r="BC70" s="235">
        <f>轉向量!J445</f>
        <v>0</v>
      </c>
      <c r="BD70" s="235">
        <f>轉向量!K445</f>
        <v>0</v>
      </c>
      <c r="BE70" s="236">
        <f>轉向量!L445</f>
        <v>0</v>
      </c>
      <c r="BF70" s="235">
        <f>轉向量!N445</f>
        <v>0</v>
      </c>
      <c r="BG70" s="235">
        <f>轉向量!O445</f>
        <v>0</v>
      </c>
      <c r="BH70" s="235">
        <f>轉向量!P445</f>
        <v>0</v>
      </c>
      <c r="BI70" s="236">
        <f>轉向量!Q445</f>
        <v>0</v>
      </c>
      <c r="BK70" s="2"/>
    </row>
    <row r="71" spans="1:63">
      <c r="A71" s="28">
        <v>1500</v>
      </c>
      <c r="B71" s="184">
        <f>轉向量!E62</f>
        <v>0</v>
      </c>
      <c r="C71" s="184">
        <f>轉向量!F62</f>
        <v>0</v>
      </c>
      <c r="D71" s="184">
        <f>轉向量!G62</f>
        <v>0</v>
      </c>
      <c r="E71" s="185">
        <f>轉向量!H62</f>
        <v>0</v>
      </c>
      <c r="F71" s="186">
        <f>轉向量!J62</f>
        <v>0</v>
      </c>
      <c r="G71" s="184">
        <f>轉向量!K62</f>
        <v>0</v>
      </c>
      <c r="H71" s="184">
        <f>轉向量!L62</f>
        <v>0</v>
      </c>
      <c r="I71" s="185">
        <f>轉向量!M62</f>
        <v>0</v>
      </c>
      <c r="J71" s="186">
        <f>轉向量!O62</f>
        <v>0</v>
      </c>
      <c r="K71" s="184">
        <f>轉向量!P62</f>
        <v>0</v>
      </c>
      <c r="L71" s="184">
        <f>轉向量!Q62</f>
        <v>0</v>
      </c>
      <c r="M71" s="185">
        <f>轉向量!R62</f>
        <v>0</v>
      </c>
      <c r="N71" s="187">
        <f>轉向量!D158</f>
        <v>0</v>
      </c>
      <c r="O71" s="188">
        <f>轉向量!F158</f>
        <v>0</v>
      </c>
      <c r="P71" s="188">
        <f>轉向量!G158</f>
        <v>0</v>
      </c>
      <c r="Q71" s="189">
        <f>轉向量!H158</f>
        <v>0</v>
      </c>
      <c r="R71" s="187">
        <f>轉向量!I158</f>
        <v>0</v>
      </c>
      <c r="S71" s="188">
        <f>轉向量!K158</f>
        <v>0</v>
      </c>
      <c r="T71" s="188">
        <f>轉向量!L158</f>
        <v>0</v>
      </c>
      <c r="U71" s="189">
        <f>轉向量!M158</f>
        <v>0</v>
      </c>
      <c r="V71" s="188">
        <f>轉向量!N158</f>
        <v>0</v>
      </c>
      <c r="W71" s="188">
        <f>轉向量!P158</f>
        <v>0</v>
      </c>
      <c r="X71" s="188">
        <f>轉向量!Q158</f>
        <v>0</v>
      </c>
      <c r="Y71" s="189">
        <f>轉向量!R158</f>
        <v>0</v>
      </c>
      <c r="Z71" s="209">
        <f>轉向量!D254</f>
        <v>0</v>
      </c>
      <c r="AA71" s="210">
        <f>轉向量!E254</f>
        <v>0</v>
      </c>
      <c r="AB71" s="210">
        <f>轉向量!G254</f>
        <v>0</v>
      </c>
      <c r="AC71" s="211">
        <f>轉向量!H254</f>
        <v>0</v>
      </c>
      <c r="AD71" s="210">
        <f>轉向量!I254</f>
        <v>0</v>
      </c>
      <c r="AE71" s="210">
        <f>轉向量!J254</f>
        <v>0</v>
      </c>
      <c r="AF71" s="210">
        <f>轉向量!L254</f>
        <v>0</v>
      </c>
      <c r="AG71" s="211">
        <f>轉向量!M254</f>
        <v>0</v>
      </c>
      <c r="AH71" s="210">
        <f>轉向量!N254</f>
        <v>0</v>
      </c>
      <c r="AI71" s="210">
        <f>轉向量!O254</f>
        <v>0</v>
      </c>
      <c r="AJ71" s="210">
        <f>轉向量!Q254</f>
        <v>0</v>
      </c>
      <c r="AK71" s="211">
        <f>轉向量!R254</f>
        <v>0</v>
      </c>
      <c r="AL71" s="221">
        <f>轉向量!D350</f>
        <v>0</v>
      </c>
      <c r="AM71" s="222">
        <f>轉向量!E350</f>
        <v>0</v>
      </c>
      <c r="AN71" s="222">
        <f>轉向量!F350</f>
        <v>0</v>
      </c>
      <c r="AO71" s="223">
        <f>轉向量!H350</f>
        <v>0</v>
      </c>
      <c r="AP71" s="222">
        <f>轉向量!I350</f>
        <v>0</v>
      </c>
      <c r="AQ71" s="222">
        <f>轉向量!J350</f>
        <v>0</v>
      </c>
      <c r="AR71" s="222">
        <f>轉向量!K350</f>
        <v>0</v>
      </c>
      <c r="AS71" s="223">
        <f>轉向量!M350</f>
        <v>0</v>
      </c>
      <c r="AT71" s="222">
        <f>轉向量!N350</f>
        <v>0</v>
      </c>
      <c r="AU71" s="222">
        <f>轉向量!O350</f>
        <v>0</v>
      </c>
      <c r="AV71" s="222">
        <f>轉向量!P350</f>
        <v>0</v>
      </c>
      <c r="AW71" s="223">
        <f>轉向量!R350</f>
        <v>0</v>
      </c>
      <c r="AX71" s="234">
        <f>轉向量!D446</f>
        <v>0</v>
      </c>
      <c r="AY71" s="235">
        <f>轉向量!E446</f>
        <v>0</v>
      </c>
      <c r="AZ71" s="235">
        <f>轉向量!F446</f>
        <v>0</v>
      </c>
      <c r="BA71" s="236">
        <f>轉向量!G446</f>
        <v>0</v>
      </c>
      <c r="BB71" s="235">
        <f>轉向量!I446</f>
        <v>0</v>
      </c>
      <c r="BC71" s="235">
        <f>轉向量!J446</f>
        <v>0</v>
      </c>
      <c r="BD71" s="235">
        <f>轉向量!K446</f>
        <v>0</v>
      </c>
      <c r="BE71" s="236">
        <f>轉向量!L446</f>
        <v>0</v>
      </c>
      <c r="BF71" s="235">
        <f>轉向量!N446</f>
        <v>0</v>
      </c>
      <c r="BG71" s="235">
        <f>轉向量!O446</f>
        <v>0</v>
      </c>
      <c r="BH71" s="235">
        <f>轉向量!P446</f>
        <v>0</v>
      </c>
      <c r="BI71" s="236">
        <f>轉向量!Q446</f>
        <v>0</v>
      </c>
      <c r="BK71" s="2"/>
    </row>
    <row r="72" spans="1:63">
      <c r="A72" s="28">
        <v>1515</v>
      </c>
      <c r="B72" s="184">
        <f>轉向量!E63</f>
        <v>0</v>
      </c>
      <c r="C72" s="184">
        <f>轉向量!F63</f>
        <v>0</v>
      </c>
      <c r="D72" s="184">
        <f>轉向量!G63</f>
        <v>0</v>
      </c>
      <c r="E72" s="185">
        <f>轉向量!H63</f>
        <v>0</v>
      </c>
      <c r="F72" s="186">
        <f>轉向量!J63</f>
        <v>0</v>
      </c>
      <c r="G72" s="184">
        <f>轉向量!K63</f>
        <v>0</v>
      </c>
      <c r="H72" s="184">
        <f>轉向量!L63</f>
        <v>0</v>
      </c>
      <c r="I72" s="185">
        <f>轉向量!M63</f>
        <v>0</v>
      </c>
      <c r="J72" s="186">
        <f>轉向量!O63</f>
        <v>0</v>
      </c>
      <c r="K72" s="184">
        <f>轉向量!P63</f>
        <v>0</v>
      </c>
      <c r="L72" s="184">
        <f>轉向量!Q63</f>
        <v>0</v>
      </c>
      <c r="M72" s="185">
        <f>轉向量!R63</f>
        <v>0</v>
      </c>
      <c r="N72" s="187">
        <f>轉向量!D159</f>
        <v>0</v>
      </c>
      <c r="O72" s="188">
        <f>轉向量!F159</f>
        <v>0</v>
      </c>
      <c r="P72" s="188">
        <f>轉向量!G159</f>
        <v>0</v>
      </c>
      <c r="Q72" s="189">
        <f>轉向量!H159</f>
        <v>0</v>
      </c>
      <c r="R72" s="187">
        <f>轉向量!I159</f>
        <v>0</v>
      </c>
      <c r="S72" s="188">
        <f>轉向量!K159</f>
        <v>0</v>
      </c>
      <c r="T72" s="188">
        <f>轉向量!L159</f>
        <v>0</v>
      </c>
      <c r="U72" s="189">
        <f>轉向量!M159</f>
        <v>0</v>
      </c>
      <c r="V72" s="188">
        <f>轉向量!N159</f>
        <v>0</v>
      </c>
      <c r="W72" s="188">
        <f>轉向量!P159</f>
        <v>0</v>
      </c>
      <c r="X72" s="188">
        <f>轉向量!Q159</f>
        <v>0</v>
      </c>
      <c r="Y72" s="189">
        <f>轉向量!R159</f>
        <v>0</v>
      </c>
      <c r="Z72" s="209">
        <f>轉向量!D255</f>
        <v>0</v>
      </c>
      <c r="AA72" s="210">
        <f>轉向量!E255</f>
        <v>0</v>
      </c>
      <c r="AB72" s="210">
        <f>轉向量!G255</f>
        <v>0</v>
      </c>
      <c r="AC72" s="211">
        <f>轉向量!H255</f>
        <v>0</v>
      </c>
      <c r="AD72" s="210">
        <f>轉向量!I255</f>
        <v>0</v>
      </c>
      <c r="AE72" s="210">
        <f>轉向量!J255</f>
        <v>0</v>
      </c>
      <c r="AF72" s="210">
        <f>轉向量!L255</f>
        <v>0</v>
      </c>
      <c r="AG72" s="211">
        <f>轉向量!M255</f>
        <v>0</v>
      </c>
      <c r="AH72" s="210">
        <f>轉向量!N255</f>
        <v>0</v>
      </c>
      <c r="AI72" s="210">
        <f>轉向量!O255</f>
        <v>0</v>
      </c>
      <c r="AJ72" s="210">
        <f>轉向量!Q255</f>
        <v>0</v>
      </c>
      <c r="AK72" s="211">
        <f>轉向量!R255</f>
        <v>0</v>
      </c>
      <c r="AL72" s="221">
        <f>轉向量!D351</f>
        <v>0</v>
      </c>
      <c r="AM72" s="222">
        <f>轉向量!E351</f>
        <v>0</v>
      </c>
      <c r="AN72" s="222">
        <f>轉向量!F351</f>
        <v>0</v>
      </c>
      <c r="AO72" s="223">
        <f>轉向量!H351</f>
        <v>0</v>
      </c>
      <c r="AP72" s="222">
        <f>轉向量!I351</f>
        <v>0</v>
      </c>
      <c r="AQ72" s="222">
        <f>轉向量!J351</f>
        <v>0</v>
      </c>
      <c r="AR72" s="222">
        <f>轉向量!K351</f>
        <v>0</v>
      </c>
      <c r="AS72" s="223">
        <f>轉向量!M351</f>
        <v>0</v>
      </c>
      <c r="AT72" s="222">
        <f>轉向量!N351</f>
        <v>0</v>
      </c>
      <c r="AU72" s="222">
        <f>轉向量!O351</f>
        <v>0</v>
      </c>
      <c r="AV72" s="222">
        <f>轉向量!P351</f>
        <v>0</v>
      </c>
      <c r="AW72" s="223">
        <f>轉向量!R351</f>
        <v>0</v>
      </c>
      <c r="AX72" s="234">
        <f>轉向量!D447</f>
        <v>0</v>
      </c>
      <c r="AY72" s="235">
        <f>轉向量!E447</f>
        <v>0</v>
      </c>
      <c r="AZ72" s="235">
        <f>轉向量!F447</f>
        <v>0</v>
      </c>
      <c r="BA72" s="236">
        <f>轉向量!G447</f>
        <v>0</v>
      </c>
      <c r="BB72" s="235">
        <f>轉向量!I447</f>
        <v>0</v>
      </c>
      <c r="BC72" s="235">
        <f>轉向量!J447</f>
        <v>0</v>
      </c>
      <c r="BD72" s="235">
        <f>轉向量!K447</f>
        <v>0</v>
      </c>
      <c r="BE72" s="236">
        <f>轉向量!L447</f>
        <v>0</v>
      </c>
      <c r="BF72" s="235">
        <f>轉向量!N447</f>
        <v>0</v>
      </c>
      <c r="BG72" s="235">
        <f>轉向量!O447</f>
        <v>0</v>
      </c>
      <c r="BH72" s="235">
        <f>轉向量!P447</f>
        <v>0</v>
      </c>
      <c r="BI72" s="236">
        <f>轉向量!Q447</f>
        <v>0</v>
      </c>
      <c r="BK72" s="2"/>
    </row>
    <row r="73" spans="1:63">
      <c r="A73" s="28">
        <v>1530</v>
      </c>
      <c r="B73" s="184">
        <f>轉向量!E64</f>
        <v>0</v>
      </c>
      <c r="C73" s="184">
        <f>轉向量!F64</f>
        <v>0</v>
      </c>
      <c r="D73" s="184">
        <f>轉向量!G64</f>
        <v>0</v>
      </c>
      <c r="E73" s="185">
        <f>轉向量!H64</f>
        <v>0</v>
      </c>
      <c r="F73" s="186">
        <f>轉向量!J64</f>
        <v>0</v>
      </c>
      <c r="G73" s="184">
        <f>轉向量!K64</f>
        <v>0</v>
      </c>
      <c r="H73" s="184">
        <f>轉向量!L64</f>
        <v>0</v>
      </c>
      <c r="I73" s="185">
        <f>轉向量!M64</f>
        <v>0</v>
      </c>
      <c r="J73" s="186">
        <f>轉向量!O64</f>
        <v>0</v>
      </c>
      <c r="K73" s="184">
        <f>轉向量!P64</f>
        <v>0</v>
      </c>
      <c r="L73" s="184">
        <f>轉向量!Q64</f>
        <v>0</v>
      </c>
      <c r="M73" s="185">
        <f>轉向量!R64</f>
        <v>0</v>
      </c>
      <c r="N73" s="187">
        <f>轉向量!D160</f>
        <v>0</v>
      </c>
      <c r="O73" s="188">
        <f>轉向量!F160</f>
        <v>0</v>
      </c>
      <c r="P73" s="188">
        <f>轉向量!G160</f>
        <v>0</v>
      </c>
      <c r="Q73" s="189">
        <f>轉向量!H160</f>
        <v>0</v>
      </c>
      <c r="R73" s="187">
        <f>轉向量!I160</f>
        <v>0</v>
      </c>
      <c r="S73" s="188">
        <f>轉向量!K160</f>
        <v>0</v>
      </c>
      <c r="T73" s="188">
        <f>轉向量!L160</f>
        <v>0</v>
      </c>
      <c r="U73" s="189">
        <f>轉向量!M160</f>
        <v>0</v>
      </c>
      <c r="V73" s="188">
        <f>轉向量!N160</f>
        <v>0</v>
      </c>
      <c r="W73" s="188">
        <f>轉向量!P160</f>
        <v>0</v>
      </c>
      <c r="X73" s="188">
        <f>轉向量!Q160</f>
        <v>0</v>
      </c>
      <c r="Y73" s="189">
        <f>轉向量!R160</f>
        <v>0</v>
      </c>
      <c r="Z73" s="209">
        <f>轉向量!D256</f>
        <v>0</v>
      </c>
      <c r="AA73" s="210">
        <f>轉向量!E256</f>
        <v>0</v>
      </c>
      <c r="AB73" s="210">
        <f>轉向量!G256</f>
        <v>0</v>
      </c>
      <c r="AC73" s="211">
        <f>轉向量!H256</f>
        <v>0</v>
      </c>
      <c r="AD73" s="210">
        <f>轉向量!I256</f>
        <v>0</v>
      </c>
      <c r="AE73" s="210">
        <f>轉向量!J256</f>
        <v>0</v>
      </c>
      <c r="AF73" s="210">
        <f>轉向量!L256</f>
        <v>0</v>
      </c>
      <c r="AG73" s="211">
        <f>轉向量!M256</f>
        <v>0</v>
      </c>
      <c r="AH73" s="210">
        <f>轉向量!N256</f>
        <v>0</v>
      </c>
      <c r="AI73" s="210">
        <f>轉向量!O256</f>
        <v>0</v>
      </c>
      <c r="AJ73" s="210">
        <f>轉向量!Q256</f>
        <v>0</v>
      </c>
      <c r="AK73" s="211">
        <f>轉向量!R256</f>
        <v>0</v>
      </c>
      <c r="AL73" s="221">
        <f>轉向量!D352</f>
        <v>0</v>
      </c>
      <c r="AM73" s="222">
        <f>轉向量!E352</f>
        <v>0</v>
      </c>
      <c r="AN73" s="222">
        <f>轉向量!F352</f>
        <v>0</v>
      </c>
      <c r="AO73" s="223">
        <f>轉向量!H352</f>
        <v>0</v>
      </c>
      <c r="AP73" s="222">
        <f>轉向量!I352</f>
        <v>0</v>
      </c>
      <c r="AQ73" s="222">
        <f>轉向量!J352</f>
        <v>0</v>
      </c>
      <c r="AR73" s="222">
        <f>轉向量!K352</f>
        <v>0</v>
      </c>
      <c r="AS73" s="223">
        <f>轉向量!M352</f>
        <v>0</v>
      </c>
      <c r="AT73" s="222">
        <f>轉向量!N352</f>
        <v>0</v>
      </c>
      <c r="AU73" s="222">
        <f>轉向量!O352</f>
        <v>0</v>
      </c>
      <c r="AV73" s="222">
        <f>轉向量!P352</f>
        <v>0</v>
      </c>
      <c r="AW73" s="223">
        <f>轉向量!R352</f>
        <v>0</v>
      </c>
      <c r="AX73" s="234">
        <f>轉向量!D448</f>
        <v>0</v>
      </c>
      <c r="AY73" s="235">
        <f>轉向量!E448</f>
        <v>0</v>
      </c>
      <c r="AZ73" s="235">
        <f>轉向量!F448</f>
        <v>0</v>
      </c>
      <c r="BA73" s="236">
        <f>轉向量!G448</f>
        <v>0</v>
      </c>
      <c r="BB73" s="235">
        <f>轉向量!I448</f>
        <v>0</v>
      </c>
      <c r="BC73" s="235">
        <f>轉向量!J448</f>
        <v>0</v>
      </c>
      <c r="BD73" s="235">
        <f>轉向量!K448</f>
        <v>0</v>
      </c>
      <c r="BE73" s="236">
        <f>轉向量!L448</f>
        <v>0</v>
      </c>
      <c r="BF73" s="235">
        <f>轉向量!N448</f>
        <v>0</v>
      </c>
      <c r="BG73" s="235">
        <f>轉向量!O448</f>
        <v>0</v>
      </c>
      <c r="BH73" s="235">
        <f>轉向量!P448</f>
        <v>0</v>
      </c>
      <c r="BI73" s="236">
        <f>轉向量!Q448</f>
        <v>0</v>
      </c>
      <c r="BK73" s="2"/>
    </row>
    <row r="74" spans="1:63">
      <c r="A74" s="28">
        <v>1545</v>
      </c>
      <c r="B74" s="184">
        <f>轉向量!E65</f>
        <v>0</v>
      </c>
      <c r="C74" s="184">
        <f>轉向量!F65</f>
        <v>0</v>
      </c>
      <c r="D74" s="184">
        <f>轉向量!G65</f>
        <v>0</v>
      </c>
      <c r="E74" s="185">
        <f>轉向量!H65</f>
        <v>0</v>
      </c>
      <c r="F74" s="186">
        <f>轉向量!J65</f>
        <v>0</v>
      </c>
      <c r="G74" s="184">
        <f>轉向量!K65</f>
        <v>0</v>
      </c>
      <c r="H74" s="184">
        <f>轉向量!L65</f>
        <v>0</v>
      </c>
      <c r="I74" s="185">
        <f>轉向量!M65</f>
        <v>0</v>
      </c>
      <c r="J74" s="186">
        <f>轉向量!O65</f>
        <v>0</v>
      </c>
      <c r="K74" s="184">
        <f>轉向量!P65</f>
        <v>0</v>
      </c>
      <c r="L74" s="184">
        <f>轉向量!Q65</f>
        <v>0</v>
      </c>
      <c r="M74" s="185">
        <f>轉向量!R65</f>
        <v>0</v>
      </c>
      <c r="N74" s="187">
        <f>轉向量!D161</f>
        <v>0</v>
      </c>
      <c r="O74" s="188">
        <f>轉向量!F161</f>
        <v>0</v>
      </c>
      <c r="P74" s="188">
        <f>轉向量!G161</f>
        <v>0</v>
      </c>
      <c r="Q74" s="189">
        <f>轉向量!H161</f>
        <v>0</v>
      </c>
      <c r="R74" s="187">
        <f>轉向量!I161</f>
        <v>0</v>
      </c>
      <c r="S74" s="188">
        <f>轉向量!K161</f>
        <v>0</v>
      </c>
      <c r="T74" s="188">
        <f>轉向量!L161</f>
        <v>0</v>
      </c>
      <c r="U74" s="189">
        <f>轉向量!M161</f>
        <v>0</v>
      </c>
      <c r="V74" s="188">
        <f>轉向量!N161</f>
        <v>0</v>
      </c>
      <c r="W74" s="188">
        <f>轉向量!P161</f>
        <v>0</v>
      </c>
      <c r="X74" s="188">
        <f>轉向量!Q161</f>
        <v>0</v>
      </c>
      <c r="Y74" s="189">
        <f>轉向量!R161</f>
        <v>0</v>
      </c>
      <c r="Z74" s="209">
        <f>轉向量!D257</f>
        <v>0</v>
      </c>
      <c r="AA74" s="210">
        <f>轉向量!E257</f>
        <v>0</v>
      </c>
      <c r="AB74" s="210">
        <f>轉向量!G257</f>
        <v>0</v>
      </c>
      <c r="AC74" s="211">
        <f>轉向量!H257</f>
        <v>0</v>
      </c>
      <c r="AD74" s="210">
        <f>轉向量!I257</f>
        <v>0</v>
      </c>
      <c r="AE74" s="210">
        <f>轉向量!J257</f>
        <v>0</v>
      </c>
      <c r="AF74" s="210">
        <f>轉向量!L257</f>
        <v>0</v>
      </c>
      <c r="AG74" s="211">
        <f>轉向量!M257</f>
        <v>0</v>
      </c>
      <c r="AH74" s="210">
        <f>轉向量!N257</f>
        <v>0</v>
      </c>
      <c r="AI74" s="210">
        <f>轉向量!O257</f>
        <v>0</v>
      </c>
      <c r="AJ74" s="210">
        <f>轉向量!Q257</f>
        <v>0</v>
      </c>
      <c r="AK74" s="211">
        <f>轉向量!R257</f>
        <v>0</v>
      </c>
      <c r="AL74" s="221">
        <f>轉向量!D353</f>
        <v>0</v>
      </c>
      <c r="AM74" s="222">
        <f>轉向量!E353</f>
        <v>0</v>
      </c>
      <c r="AN74" s="222">
        <f>轉向量!F353</f>
        <v>0</v>
      </c>
      <c r="AO74" s="223">
        <f>轉向量!H353</f>
        <v>0</v>
      </c>
      <c r="AP74" s="222">
        <f>轉向量!I353</f>
        <v>0</v>
      </c>
      <c r="AQ74" s="222">
        <f>轉向量!J353</f>
        <v>0</v>
      </c>
      <c r="AR74" s="222">
        <f>轉向量!K353</f>
        <v>0</v>
      </c>
      <c r="AS74" s="223">
        <f>轉向量!M353</f>
        <v>0</v>
      </c>
      <c r="AT74" s="222">
        <f>轉向量!N353</f>
        <v>0</v>
      </c>
      <c r="AU74" s="222">
        <f>轉向量!O353</f>
        <v>0</v>
      </c>
      <c r="AV74" s="222">
        <f>轉向量!P353</f>
        <v>0</v>
      </c>
      <c r="AW74" s="223">
        <f>轉向量!R353</f>
        <v>0</v>
      </c>
      <c r="AX74" s="234">
        <f>轉向量!D449</f>
        <v>0</v>
      </c>
      <c r="AY74" s="235">
        <f>轉向量!E449</f>
        <v>0</v>
      </c>
      <c r="AZ74" s="235">
        <f>轉向量!F449</f>
        <v>0</v>
      </c>
      <c r="BA74" s="236">
        <f>轉向量!G449</f>
        <v>0</v>
      </c>
      <c r="BB74" s="235">
        <f>轉向量!I449</f>
        <v>0</v>
      </c>
      <c r="BC74" s="235">
        <f>轉向量!J449</f>
        <v>0</v>
      </c>
      <c r="BD74" s="235">
        <f>轉向量!K449</f>
        <v>0</v>
      </c>
      <c r="BE74" s="236">
        <f>轉向量!L449</f>
        <v>0</v>
      </c>
      <c r="BF74" s="235">
        <f>轉向量!N449</f>
        <v>0</v>
      </c>
      <c r="BG74" s="235">
        <f>轉向量!O449</f>
        <v>0</v>
      </c>
      <c r="BH74" s="235">
        <f>轉向量!P449</f>
        <v>0</v>
      </c>
      <c r="BI74" s="236">
        <f>轉向量!Q449</f>
        <v>0</v>
      </c>
      <c r="BK74" s="2"/>
    </row>
    <row r="75" spans="1:63">
      <c r="A75" s="28">
        <v>1600</v>
      </c>
      <c r="B75" s="184">
        <f>轉向量!E66</f>
        <v>0</v>
      </c>
      <c r="C75" s="184">
        <f>轉向量!F66</f>
        <v>0</v>
      </c>
      <c r="D75" s="184">
        <f>轉向量!G66</f>
        <v>0</v>
      </c>
      <c r="E75" s="185">
        <f>轉向量!H66</f>
        <v>0</v>
      </c>
      <c r="F75" s="186">
        <f>轉向量!J66</f>
        <v>0</v>
      </c>
      <c r="G75" s="184">
        <f>轉向量!K66</f>
        <v>0</v>
      </c>
      <c r="H75" s="184">
        <f>轉向量!L66</f>
        <v>0</v>
      </c>
      <c r="I75" s="185">
        <f>轉向量!M66</f>
        <v>0</v>
      </c>
      <c r="J75" s="186">
        <f>轉向量!O66</f>
        <v>0</v>
      </c>
      <c r="K75" s="184">
        <f>轉向量!P66</f>
        <v>0</v>
      </c>
      <c r="L75" s="184">
        <f>轉向量!Q66</f>
        <v>0</v>
      </c>
      <c r="M75" s="185">
        <f>轉向量!R66</f>
        <v>0</v>
      </c>
      <c r="N75" s="187">
        <f>轉向量!D162</f>
        <v>0</v>
      </c>
      <c r="O75" s="188">
        <f>轉向量!F162</f>
        <v>0</v>
      </c>
      <c r="P75" s="188">
        <f>轉向量!G162</f>
        <v>0</v>
      </c>
      <c r="Q75" s="189">
        <f>轉向量!H162</f>
        <v>0</v>
      </c>
      <c r="R75" s="187">
        <f>轉向量!I162</f>
        <v>0</v>
      </c>
      <c r="S75" s="188">
        <f>轉向量!K162</f>
        <v>0</v>
      </c>
      <c r="T75" s="188">
        <f>轉向量!L162</f>
        <v>0</v>
      </c>
      <c r="U75" s="189">
        <f>轉向量!M162</f>
        <v>0</v>
      </c>
      <c r="V75" s="188">
        <f>轉向量!N162</f>
        <v>0</v>
      </c>
      <c r="W75" s="188">
        <f>轉向量!P162</f>
        <v>0</v>
      </c>
      <c r="X75" s="188">
        <f>轉向量!Q162</f>
        <v>0</v>
      </c>
      <c r="Y75" s="189">
        <f>轉向量!R162</f>
        <v>0</v>
      </c>
      <c r="Z75" s="209">
        <f>轉向量!D258</f>
        <v>0</v>
      </c>
      <c r="AA75" s="210">
        <f>轉向量!E258</f>
        <v>0</v>
      </c>
      <c r="AB75" s="210">
        <f>轉向量!G258</f>
        <v>0</v>
      </c>
      <c r="AC75" s="211">
        <f>轉向量!H258</f>
        <v>0</v>
      </c>
      <c r="AD75" s="210">
        <f>轉向量!I258</f>
        <v>0</v>
      </c>
      <c r="AE75" s="210">
        <f>轉向量!J258</f>
        <v>0</v>
      </c>
      <c r="AF75" s="210">
        <f>轉向量!L258</f>
        <v>0</v>
      </c>
      <c r="AG75" s="211">
        <f>轉向量!M258</f>
        <v>0</v>
      </c>
      <c r="AH75" s="210">
        <f>轉向量!N258</f>
        <v>0</v>
      </c>
      <c r="AI75" s="210">
        <f>轉向量!O258</f>
        <v>0</v>
      </c>
      <c r="AJ75" s="210">
        <f>轉向量!Q258</f>
        <v>0</v>
      </c>
      <c r="AK75" s="211">
        <f>轉向量!R258</f>
        <v>0</v>
      </c>
      <c r="AL75" s="221">
        <f>轉向量!D354</f>
        <v>0</v>
      </c>
      <c r="AM75" s="222">
        <f>轉向量!E354</f>
        <v>0</v>
      </c>
      <c r="AN75" s="222">
        <f>轉向量!F354</f>
        <v>0</v>
      </c>
      <c r="AO75" s="223">
        <f>轉向量!H354</f>
        <v>0</v>
      </c>
      <c r="AP75" s="222">
        <f>轉向量!I354</f>
        <v>0</v>
      </c>
      <c r="AQ75" s="222">
        <f>轉向量!J354</f>
        <v>0</v>
      </c>
      <c r="AR75" s="222">
        <f>轉向量!K354</f>
        <v>0</v>
      </c>
      <c r="AS75" s="223">
        <f>轉向量!M354</f>
        <v>0</v>
      </c>
      <c r="AT75" s="222">
        <f>轉向量!N354</f>
        <v>0</v>
      </c>
      <c r="AU75" s="222">
        <f>轉向量!O354</f>
        <v>0</v>
      </c>
      <c r="AV75" s="222">
        <f>轉向量!P354</f>
        <v>0</v>
      </c>
      <c r="AW75" s="223">
        <f>轉向量!R354</f>
        <v>0</v>
      </c>
      <c r="AX75" s="234">
        <f>轉向量!D450</f>
        <v>0</v>
      </c>
      <c r="AY75" s="235">
        <f>轉向量!E450</f>
        <v>0</v>
      </c>
      <c r="AZ75" s="235">
        <f>轉向量!F450</f>
        <v>0</v>
      </c>
      <c r="BA75" s="236">
        <f>轉向量!G450</f>
        <v>0</v>
      </c>
      <c r="BB75" s="235">
        <f>轉向量!I450</f>
        <v>0</v>
      </c>
      <c r="BC75" s="235">
        <f>轉向量!J450</f>
        <v>0</v>
      </c>
      <c r="BD75" s="235">
        <f>轉向量!K450</f>
        <v>0</v>
      </c>
      <c r="BE75" s="236">
        <f>轉向量!L450</f>
        <v>0</v>
      </c>
      <c r="BF75" s="235">
        <f>轉向量!N450</f>
        <v>0</v>
      </c>
      <c r="BG75" s="235">
        <f>轉向量!O450</f>
        <v>0</v>
      </c>
      <c r="BH75" s="235">
        <f>轉向量!P450</f>
        <v>0</v>
      </c>
      <c r="BI75" s="236">
        <f>轉向量!Q450</f>
        <v>0</v>
      </c>
      <c r="BK75" s="2"/>
    </row>
    <row r="76" spans="1:63">
      <c r="A76" s="28">
        <v>1615</v>
      </c>
      <c r="B76" s="184">
        <f>轉向量!E67</f>
        <v>0</v>
      </c>
      <c r="C76" s="184">
        <f>轉向量!F67</f>
        <v>0</v>
      </c>
      <c r="D76" s="184">
        <f>轉向量!G67</f>
        <v>0</v>
      </c>
      <c r="E76" s="185">
        <f>轉向量!H67</f>
        <v>0</v>
      </c>
      <c r="F76" s="186">
        <f>轉向量!J67</f>
        <v>0</v>
      </c>
      <c r="G76" s="184">
        <f>轉向量!K67</f>
        <v>0</v>
      </c>
      <c r="H76" s="184">
        <f>轉向量!L67</f>
        <v>0</v>
      </c>
      <c r="I76" s="185">
        <f>轉向量!M67</f>
        <v>0</v>
      </c>
      <c r="J76" s="186">
        <f>轉向量!O67</f>
        <v>0</v>
      </c>
      <c r="K76" s="184">
        <f>轉向量!P67</f>
        <v>0</v>
      </c>
      <c r="L76" s="184">
        <f>轉向量!Q67</f>
        <v>0</v>
      </c>
      <c r="M76" s="185">
        <f>轉向量!R67</f>
        <v>0</v>
      </c>
      <c r="N76" s="187">
        <f>轉向量!D163</f>
        <v>0</v>
      </c>
      <c r="O76" s="188">
        <f>轉向量!F163</f>
        <v>0</v>
      </c>
      <c r="P76" s="188">
        <f>轉向量!G163</f>
        <v>0</v>
      </c>
      <c r="Q76" s="189">
        <f>轉向量!H163</f>
        <v>0</v>
      </c>
      <c r="R76" s="187">
        <f>轉向量!I163</f>
        <v>0</v>
      </c>
      <c r="S76" s="188">
        <f>轉向量!K163</f>
        <v>0</v>
      </c>
      <c r="T76" s="188">
        <f>轉向量!L163</f>
        <v>0</v>
      </c>
      <c r="U76" s="189">
        <f>轉向量!M163</f>
        <v>0</v>
      </c>
      <c r="V76" s="188">
        <f>轉向量!N163</f>
        <v>0</v>
      </c>
      <c r="W76" s="188">
        <f>轉向量!P163</f>
        <v>0</v>
      </c>
      <c r="X76" s="188">
        <f>轉向量!Q163</f>
        <v>0</v>
      </c>
      <c r="Y76" s="189">
        <f>轉向量!R163</f>
        <v>0</v>
      </c>
      <c r="Z76" s="209">
        <f>轉向量!D259</f>
        <v>0</v>
      </c>
      <c r="AA76" s="210">
        <f>轉向量!E259</f>
        <v>0</v>
      </c>
      <c r="AB76" s="210">
        <f>轉向量!G259</f>
        <v>0</v>
      </c>
      <c r="AC76" s="211">
        <f>轉向量!H259</f>
        <v>0</v>
      </c>
      <c r="AD76" s="210">
        <f>轉向量!I259</f>
        <v>0</v>
      </c>
      <c r="AE76" s="210">
        <f>轉向量!J259</f>
        <v>0</v>
      </c>
      <c r="AF76" s="210">
        <f>轉向量!L259</f>
        <v>0</v>
      </c>
      <c r="AG76" s="211">
        <f>轉向量!M259</f>
        <v>0</v>
      </c>
      <c r="AH76" s="210">
        <f>轉向量!N259</f>
        <v>0</v>
      </c>
      <c r="AI76" s="210">
        <f>轉向量!O259</f>
        <v>0</v>
      </c>
      <c r="AJ76" s="210">
        <f>轉向量!Q259</f>
        <v>0</v>
      </c>
      <c r="AK76" s="211">
        <f>轉向量!R259</f>
        <v>0</v>
      </c>
      <c r="AL76" s="221">
        <f>轉向量!D355</f>
        <v>0</v>
      </c>
      <c r="AM76" s="222">
        <f>轉向量!E355</f>
        <v>0</v>
      </c>
      <c r="AN76" s="222">
        <f>轉向量!F355</f>
        <v>0</v>
      </c>
      <c r="AO76" s="223">
        <f>轉向量!H355</f>
        <v>0</v>
      </c>
      <c r="AP76" s="222">
        <f>轉向量!I355</f>
        <v>0</v>
      </c>
      <c r="AQ76" s="222">
        <f>轉向量!J355</f>
        <v>0</v>
      </c>
      <c r="AR76" s="222">
        <f>轉向量!K355</f>
        <v>0</v>
      </c>
      <c r="AS76" s="223">
        <f>轉向量!M355</f>
        <v>0</v>
      </c>
      <c r="AT76" s="222">
        <f>轉向量!N355</f>
        <v>0</v>
      </c>
      <c r="AU76" s="222">
        <f>轉向量!O355</f>
        <v>0</v>
      </c>
      <c r="AV76" s="222">
        <f>轉向量!P355</f>
        <v>0</v>
      </c>
      <c r="AW76" s="223">
        <f>轉向量!R355</f>
        <v>0</v>
      </c>
      <c r="AX76" s="234">
        <f>轉向量!D451</f>
        <v>0</v>
      </c>
      <c r="AY76" s="235">
        <f>轉向量!E451</f>
        <v>0</v>
      </c>
      <c r="AZ76" s="235">
        <f>轉向量!F451</f>
        <v>0</v>
      </c>
      <c r="BA76" s="236">
        <f>轉向量!G451</f>
        <v>0</v>
      </c>
      <c r="BB76" s="235">
        <f>轉向量!I451</f>
        <v>0</v>
      </c>
      <c r="BC76" s="235">
        <f>轉向量!J451</f>
        <v>0</v>
      </c>
      <c r="BD76" s="235">
        <f>轉向量!K451</f>
        <v>0</v>
      </c>
      <c r="BE76" s="236">
        <f>轉向量!L451</f>
        <v>0</v>
      </c>
      <c r="BF76" s="235">
        <f>轉向量!N451</f>
        <v>0</v>
      </c>
      <c r="BG76" s="235">
        <f>轉向量!O451</f>
        <v>0</v>
      </c>
      <c r="BH76" s="235">
        <f>轉向量!P451</f>
        <v>0</v>
      </c>
      <c r="BI76" s="236">
        <f>轉向量!Q451</f>
        <v>0</v>
      </c>
      <c r="BK76" s="2"/>
    </row>
    <row r="77" spans="1:63">
      <c r="A77" s="28">
        <v>1630</v>
      </c>
      <c r="B77" s="184">
        <f>轉向量!E68</f>
        <v>0</v>
      </c>
      <c r="C77" s="184">
        <f>轉向量!F68</f>
        <v>0</v>
      </c>
      <c r="D77" s="184">
        <f>轉向量!G68</f>
        <v>0</v>
      </c>
      <c r="E77" s="185">
        <f>轉向量!H68</f>
        <v>0</v>
      </c>
      <c r="F77" s="186">
        <f>轉向量!J68</f>
        <v>0</v>
      </c>
      <c r="G77" s="184">
        <f>轉向量!K68</f>
        <v>0</v>
      </c>
      <c r="H77" s="184">
        <f>轉向量!L68</f>
        <v>0</v>
      </c>
      <c r="I77" s="185">
        <f>轉向量!M68</f>
        <v>0</v>
      </c>
      <c r="J77" s="186">
        <f>轉向量!O68</f>
        <v>0</v>
      </c>
      <c r="K77" s="184">
        <f>轉向量!P68</f>
        <v>0</v>
      </c>
      <c r="L77" s="184">
        <f>轉向量!Q68</f>
        <v>0</v>
      </c>
      <c r="M77" s="185">
        <f>轉向量!R68</f>
        <v>0</v>
      </c>
      <c r="N77" s="187">
        <f>轉向量!D164</f>
        <v>0</v>
      </c>
      <c r="O77" s="188">
        <f>轉向量!F164</f>
        <v>0</v>
      </c>
      <c r="P77" s="188">
        <f>轉向量!G164</f>
        <v>0</v>
      </c>
      <c r="Q77" s="189">
        <f>轉向量!H164</f>
        <v>0</v>
      </c>
      <c r="R77" s="187">
        <f>轉向量!I164</f>
        <v>0</v>
      </c>
      <c r="S77" s="188">
        <f>轉向量!K164</f>
        <v>0</v>
      </c>
      <c r="T77" s="188">
        <f>轉向量!L164</f>
        <v>0</v>
      </c>
      <c r="U77" s="189">
        <f>轉向量!M164</f>
        <v>0</v>
      </c>
      <c r="V77" s="188">
        <f>轉向量!N164</f>
        <v>0</v>
      </c>
      <c r="W77" s="188">
        <f>轉向量!P164</f>
        <v>0</v>
      </c>
      <c r="X77" s="188">
        <f>轉向量!Q164</f>
        <v>0</v>
      </c>
      <c r="Y77" s="189">
        <f>轉向量!R164</f>
        <v>0</v>
      </c>
      <c r="Z77" s="209">
        <f>轉向量!D260</f>
        <v>0</v>
      </c>
      <c r="AA77" s="210">
        <f>轉向量!E260</f>
        <v>0</v>
      </c>
      <c r="AB77" s="210">
        <f>轉向量!G260</f>
        <v>0</v>
      </c>
      <c r="AC77" s="211">
        <f>轉向量!H260</f>
        <v>0</v>
      </c>
      <c r="AD77" s="210">
        <f>轉向量!I260</f>
        <v>0</v>
      </c>
      <c r="AE77" s="210">
        <f>轉向量!J260</f>
        <v>0</v>
      </c>
      <c r="AF77" s="210">
        <f>轉向量!L260</f>
        <v>0</v>
      </c>
      <c r="AG77" s="211">
        <f>轉向量!M260</f>
        <v>0</v>
      </c>
      <c r="AH77" s="210">
        <f>轉向量!N260</f>
        <v>0</v>
      </c>
      <c r="AI77" s="210">
        <f>轉向量!O260</f>
        <v>0</v>
      </c>
      <c r="AJ77" s="210">
        <f>轉向量!Q260</f>
        <v>0</v>
      </c>
      <c r="AK77" s="211">
        <f>轉向量!R260</f>
        <v>0</v>
      </c>
      <c r="AL77" s="221">
        <f>轉向量!D356</f>
        <v>0</v>
      </c>
      <c r="AM77" s="222">
        <f>轉向量!E356</f>
        <v>0</v>
      </c>
      <c r="AN77" s="222">
        <f>轉向量!F356</f>
        <v>0</v>
      </c>
      <c r="AO77" s="223">
        <f>轉向量!H356</f>
        <v>0</v>
      </c>
      <c r="AP77" s="222">
        <f>轉向量!I356</f>
        <v>0</v>
      </c>
      <c r="AQ77" s="222">
        <f>轉向量!J356</f>
        <v>0</v>
      </c>
      <c r="AR77" s="222">
        <f>轉向量!K356</f>
        <v>0</v>
      </c>
      <c r="AS77" s="223">
        <f>轉向量!M356</f>
        <v>0</v>
      </c>
      <c r="AT77" s="222">
        <f>轉向量!N356</f>
        <v>0</v>
      </c>
      <c r="AU77" s="222">
        <f>轉向量!O356</f>
        <v>0</v>
      </c>
      <c r="AV77" s="222">
        <f>轉向量!P356</f>
        <v>0</v>
      </c>
      <c r="AW77" s="223">
        <f>轉向量!R356</f>
        <v>0</v>
      </c>
      <c r="AX77" s="234">
        <f>轉向量!D452</f>
        <v>0</v>
      </c>
      <c r="AY77" s="235">
        <f>轉向量!E452</f>
        <v>0</v>
      </c>
      <c r="AZ77" s="235">
        <f>轉向量!F452</f>
        <v>0</v>
      </c>
      <c r="BA77" s="236">
        <f>轉向量!G452</f>
        <v>0</v>
      </c>
      <c r="BB77" s="235">
        <f>轉向量!I452</f>
        <v>0</v>
      </c>
      <c r="BC77" s="235">
        <f>轉向量!J452</f>
        <v>0</v>
      </c>
      <c r="BD77" s="235">
        <f>轉向量!K452</f>
        <v>0</v>
      </c>
      <c r="BE77" s="236">
        <f>轉向量!L452</f>
        <v>0</v>
      </c>
      <c r="BF77" s="235">
        <f>轉向量!N452</f>
        <v>0</v>
      </c>
      <c r="BG77" s="235">
        <f>轉向量!O452</f>
        <v>0</v>
      </c>
      <c r="BH77" s="235">
        <f>轉向量!P452</f>
        <v>0</v>
      </c>
      <c r="BI77" s="236">
        <f>轉向量!Q452</f>
        <v>0</v>
      </c>
      <c r="BK77" s="2"/>
    </row>
    <row r="78" spans="1:63">
      <c r="A78" s="28">
        <v>1645</v>
      </c>
      <c r="B78" s="184">
        <f>轉向量!E69</f>
        <v>0</v>
      </c>
      <c r="C78" s="184">
        <f>轉向量!F69</f>
        <v>0</v>
      </c>
      <c r="D78" s="184">
        <f>轉向量!G69</f>
        <v>0</v>
      </c>
      <c r="E78" s="185">
        <f>轉向量!H69</f>
        <v>0</v>
      </c>
      <c r="F78" s="186">
        <f>轉向量!J69</f>
        <v>0</v>
      </c>
      <c r="G78" s="184">
        <f>轉向量!K69</f>
        <v>0</v>
      </c>
      <c r="H78" s="184">
        <f>轉向量!L69</f>
        <v>0</v>
      </c>
      <c r="I78" s="185">
        <f>轉向量!M69</f>
        <v>0</v>
      </c>
      <c r="J78" s="186">
        <f>轉向量!O69</f>
        <v>0</v>
      </c>
      <c r="K78" s="184">
        <f>轉向量!P69</f>
        <v>0</v>
      </c>
      <c r="L78" s="184">
        <f>轉向量!Q69</f>
        <v>0</v>
      </c>
      <c r="M78" s="185">
        <f>轉向量!R69</f>
        <v>0</v>
      </c>
      <c r="N78" s="187">
        <f>轉向量!D165</f>
        <v>0</v>
      </c>
      <c r="O78" s="188">
        <f>轉向量!F165</f>
        <v>0</v>
      </c>
      <c r="P78" s="188">
        <f>轉向量!G165</f>
        <v>0</v>
      </c>
      <c r="Q78" s="189">
        <f>轉向量!H165</f>
        <v>0</v>
      </c>
      <c r="R78" s="187">
        <f>轉向量!I165</f>
        <v>0</v>
      </c>
      <c r="S78" s="188">
        <f>轉向量!K165</f>
        <v>0</v>
      </c>
      <c r="T78" s="188">
        <f>轉向量!L165</f>
        <v>0</v>
      </c>
      <c r="U78" s="189">
        <f>轉向量!M165</f>
        <v>0</v>
      </c>
      <c r="V78" s="188">
        <f>轉向量!N165</f>
        <v>0</v>
      </c>
      <c r="W78" s="188">
        <f>轉向量!P165</f>
        <v>0</v>
      </c>
      <c r="X78" s="188">
        <f>轉向量!Q165</f>
        <v>0</v>
      </c>
      <c r="Y78" s="189">
        <f>轉向量!R165</f>
        <v>0</v>
      </c>
      <c r="Z78" s="209">
        <f>轉向量!D261</f>
        <v>0</v>
      </c>
      <c r="AA78" s="210">
        <f>轉向量!E261</f>
        <v>0</v>
      </c>
      <c r="AB78" s="210">
        <f>轉向量!G261</f>
        <v>0</v>
      </c>
      <c r="AC78" s="211">
        <f>轉向量!H261</f>
        <v>0</v>
      </c>
      <c r="AD78" s="210">
        <f>轉向量!I261</f>
        <v>0</v>
      </c>
      <c r="AE78" s="210">
        <f>轉向量!J261</f>
        <v>0</v>
      </c>
      <c r="AF78" s="210">
        <f>轉向量!L261</f>
        <v>0</v>
      </c>
      <c r="AG78" s="211">
        <f>轉向量!M261</f>
        <v>0</v>
      </c>
      <c r="AH78" s="210">
        <f>轉向量!N261</f>
        <v>0</v>
      </c>
      <c r="AI78" s="210">
        <f>轉向量!O261</f>
        <v>0</v>
      </c>
      <c r="AJ78" s="210">
        <f>轉向量!Q261</f>
        <v>0</v>
      </c>
      <c r="AK78" s="211">
        <f>轉向量!R261</f>
        <v>0</v>
      </c>
      <c r="AL78" s="221">
        <f>轉向量!D357</f>
        <v>0</v>
      </c>
      <c r="AM78" s="222">
        <f>轉向量!E357</f>
        <v>0</v>
      </c>
      <c r="AN78" s="222">
        <f>轉向量!F357</f>
        <v>0</v>
      </c>
      <c r="AO78" s="223">
        <f>轉向量!H357</f>
        <v>0</v>
      </c>
      <c r="AP78" s="222">
        <f>轉向量!I357</f>
        <v>0</v>
      </c>
      <c r="AQ78" s="222">
        <f>轉向量!J357</f>
        <v>0</v>
      </c>
      <c r="AR78" s="222">
        <f>轉向量!K357</f>
        <v>0</v>
      </c>
      <c r="AS78" s="223">
        <f>轉向量!M357</f>
        <v>0</v>
      </c>
      <c r="AT78" s="222">
        <f>轉向量!N357</f>
        <v>0</v>
      </c>
      <c r="AU78" s="222">
        <f>轉向量!O357</f>
        <v>0</v>
      </c>
      <c r="AV78" s="222">
        <f>轉向量!P357</f>
        <v>0</v>
      </c>
      <c r="AW78" s="223">
        <f>轉向量!R357</f>
        <v>0</v>
      </c>
      <c r="AX78" s="234">
        <f>轉向量!D453</f>
        <v>0</v>
      </c>
      <c r="AY78" s="235">
        <f>轉向量!E453</f>
        <v>0</v>
      </c>
      <c r="AZ78" s="235">
        <f>轉向量!F453</f>
        <v>0</v>
      </c>
      <c r="BA78" s="236">
        <f>轉向量!G453</f>
        <v>0</v>
      </c>
      <c r="BB78" s="235">
        <f>轉向量!I453</f>
        <v>0</v>
      </c>
      <c r="BC78" s="235">
        <f>轉向量!J453</f>
        <v>0</v>
      </c>
      <c r="BD78" s="235">
        <f>轉向量!K453</f>
        <v>0</v>
      </c>
      <c r="BE78" s="236">
        <f>轉向量!L453</f>
        <v>0</v>
      </c>
      <c r="BF78" s="235">
        <f>轉向量!N453</f>
        <v>0</v>
      </c>
      <c r="BG78" s="235">
        <f>轉向量!O453</f>
        <v>0</v>
      </c>
      <c r="BH78" s="235">
        <f>轉向量!P453</f>
        <v>0</v>
      </c>
      <c r="BI78" s="236">
        <f>轉向量!Q453</f>
        <v>0</v>
      </c>
      <c r="BK78" s="2"/>
    </row>
    <row r="79" spans="1:63">
      <c r="A79" s="28">
        <v>1700</v>
      </c>
      <c r="B79" s="184">
        <f>轉向量!E70</f>
        <v>0</v>
      </c>
      <c r="C79" s="184">
        <f>轉向量!F70</f>
        <v>0</v>
      </c>
      <c r="D79" s="184">
        <f>轉向量!G70</f>
        <v>0</v>
      </c>
      <c r="E79" s="185">
        <f>轉向量!H70</f>
        <v>0</v>
      </c>
      <c r="F79" s="186">
        <f>轉向量!J70</f>
        <v>0</v>
      </c>
      <c r="G79" s="184">
        <f>轉向量!K70</f>
        <v>0</v>
      </c>
      <c r="H79" s="184">
        <f>轉向量!L70</f>
        <v>0</v>
      </c>
      <c r="I79" s="185">
        <f>轉向量!M70</f>
        <v>0</v>
      </c>
      <c r="J79" s="186">
        <f>轉向量!O70</f>
        <v>0</v>
      </c>
      <c r="K79" s="184">
        <f>轉向量!P70</f>
        <v>0</v>
      </c>
      <c r="L79" s="184">
        <f>轉向量!Q70</f>
        <v>0</v>
      </c>
      <c r="M79" s="185">
        <f>轉向量!R70</f>
        <v>0</v>
      </c>
      <c r="N79" s="187">
        <f>轉向量!D166</f>
        <v>0</v>
      </c>
      <c r="O79" s="188">
        <f>轉向量!F166</f>
        <v>0</v>
      </c>
      <c r="P79" s="188">
        <f>轉向量!G166</f>
        <v>0</v>
      </c>
      <c r="Q79" s="189">
        <f>轉向量!H166</f>
        <v>0</v>
      </c>
      <c r="R79" s="187">
        <f>轉向量!I166</f>
        <v>0</v>
      </c>
      <c r="S79" s="188">
        <f>轉向量!K166</f>
        <v>0</v>
      </c>
      <c r="T79" s="188">
        <f>轉向量!L166</f>
        <v>0</v>
      </c>
      <c r="U79" s="189">
        <f>轉向量!M166</f>
        <v>0</v>
      </c>
      <c r="V79" s="188">
        <f>轉向量!N166</f>
        <v>0</v>
      </c>
      <c r="W79" s="188">
        <f>轉向量!P166</f>
        <v>0</v>
      </c>
      <c r="X79" s="188">
        <f>轉向量!Q166</f>
        <v>0</v>
      </c>
      <c r="Y79" s="189">
        <f>轉向量!R166</f>
        <v>0</v>
      </c>
      <c r="Z79" s="209">
        <f>轉向量!D262</f>
        <v>0</v>
      </c>
      <c r="AA79" s="210">
        <f>轉向量!E262</f>
        <v>0</v>
      </c>
      <c r="AB79" s="210">
        <f>轉向量!G262</f>
        <v>0</v>
      </c>
      <c r="AC79" s="211">
        <f>轉向量!H262</f>
        <v>0</v>
      </c>
      <c r="AD79" s="210">
        <f>轉向量!I262</f>
        <v>0</v>
      </c>
      <c r="AE79" s="210">
        <f>轉向量!J262</f>
        <v>0</v>
      </c>
      <c r="AF79" s="210">
        <f>轉向量!L262</f>
        <v>0</v>
      </c>
      <c r="AG79" s="211">
        <f>轉向量!M262</f>
        <v>0</v>
      </c>
      <c r="AH79" s="210">
        <f>轉向量!N262</f>
        <v>0</v>
      </c>
      <c r="AI79" s="210">
        <f>轉向量!O262</f>
        <v>0</v>
      </c>
      <c r="AJ79" s="210">
        <f>轉向量!Q262</f>
        <v>0</v>
      </c>
      <c r="AK79" s="211">
        <f>轉向量!R262</f>
        <v>0</v>
      </c>
      <c r="AL79" s="221">
        <f>轉向量!D358</f>
        <v>0</v>
      </c>
      <c r="AM79" s="222">
        <f>轉向量!E358</f>
        <v>0</v>
      </c>
      <c r="AN79" s="222">
        <f>轉向量!F358</f>
        <v>0</v>
      </c>
      <c r="AO79" s="223">
        <f>轉向量!H358</f>
        <v>0</v>
      </c>
      <c r="AP79" s="222">
        <f>轉向量!I358</f>
        <v>0</v>
      </c>
      <c r="AQ79" s="222">
        <f>轉向量!J358</f>
        <v>0</v>
      </c>
      <c r="AR79" s="222">
        <f>轉向量!K358</f>
        <v>0</v>
      </c>
      <c r="AS79" s="223">
        <f>轉向量!M358</f>
        <v>0</v>
      </c>
      <c r="AT79" s="222">
        <f>轉向量!N358</f>
        <v>0</v>
      </c>
      <c r="AU79" s="222">
        <f>轉向量!O358</f>
        <v>0</v>
      </c>
      <c r="AV79" s="222">
        <f>轉向量!P358</f>
        <v>0</v>
      </c>
      <c r="AW79" s="223">
        <f>轉向量!R358</f>
        <v>0</v>
      </c>
      <c r="AX79" s="234">
        <f>轉向量!D454</f>
        <v>0</v>
      </c>
      <c r="AY79" s="235">
        <f>轉向量!E454</f>
        <v>0</v>
      </c>
      <c r="AZ79" s="235">
        <f>轉向量!F454</f>
        <v>0</v>
      </c>
      <c r="BA79" s="236">
        <f>轉向量!G454</f>
        <v>0</v>
      </c>
      <c r="BB79" s="235">
        <f>轉向量!I454</f>
        <v>0</v>
      </c>
      <c r="BC79" s="235">
        <f>轉向量!J454</f>
        <v>0</v>
      </c>
      <c r="BD79" s="235">
        <f>轉向量!K454</f>
        <v>0</v>
      </c>
      <c r="BE79" s="236">
        <f>轉向量!L454</f>
        <v>0</v>
      </c>
      <c r="BF79" s="235">
        <f>轉向量!N454</f>
        <v>0</v>
      </c>
      <c r="BG79" s="235">
        <f>轉向量!O454</f>
        <v>0</v>
      </c>
      <c r="BH79" s="235">
        <f>轉向量!P454</f>
        <v>0</v>
      </c>
      <c r="BI79" s="236">
        <f>轉向量!Q454</f>
        <v>0</v>
      </c>
      <c r="BK79" s="2"/>
    </row>
    <row r="80" spans="1:63">
      <c r="A80" s="28">
        <v>1715</v>
      </c>
      <c r="B80" s="184">
        <f>轉向量!E71</f>
        <v>0</v>
      </c>
      <c r="C80" s="184">
        <f>轉向量!F71</f>
        <v>0</v>
      </c>
      <c r="D80" s="184">
        <f>轉向量!G71</f>
        <v>0</v>
      </c>
      <c r="E80" s="185">
        <f>轉向量!H71</f>
        <v>0</v>
      </c>
      <c r="F80" s="186">
        <f>轉向量!J71</f>
        <v>0</v>
      </c>
      <c r="G80" s="184">
        <f>轉向量!K71</f>
        <v>0</v>
      </c>
      <c r="H80" s="184">
        <f>轉向量!L71</f>
        <v>0</v>
      </c>
      <c r="I80" s="185">
        <f>轉向量!M71</f>
        <v>0</v>
      </c>
      <c r="J80" s="186">
        <f>轉向量!O71</f>
        <v>0</v>
      </c>
      <c r="K80" s="184">
        <f>轉向量!P71</f>
        <v>0</v>
      </c>
      <c r="L80" s="184">
        <f>轉向量!Q71</f>
        <v>0</v>
      </c>
      <c r="M80" s="185">
        <f>轉向量!R71</f>
        <v>0</v>
      </c>
      <c r="N80" s="187">
        <f>轉向量!D167</f>
        <v>0</v>
      </c>
      <c r="O80" s="188">
        <f>轉向量!F167</f>
        <v>0</v>
      </c>
      <c r="P80" s="188">
        <f>轉向量!G167</f>
        <v>0</v>
      </c>
      <c r="Q80" s="189">
        <f>轉向量!H167</f>
        <v>0</v>
      </c>
      <c r="R80" s="187">
        <f>轉向量!I167</f>
        <v>0</v>
      </c>
      <c r="S80" s="188">
        <f>轉向量!K167</f>
        <v>0</v>
      </c>
      <c r="T80" s="188">
        <f>轉向量!L167</f>
        <v>0</v>
      </c>
      <c r="U80" s="189">
        <f>轉向量!M167</f>
        <v>0</v>
      </c>
      <c r="V80" s="188">
        <f>轉向量!N167</f>
        <v>0</v>
      </c>
      <c r="W80" s="188">
        <f>轉向量!P167</f>
        <v>0</v>
      </c>
      <c r="X80" s="188">
        <f>轉向量!Q167</f>
        <v>0</v>
      </c>
      <c r="Y80" s="189">
        <f>轉向量!R167</f>
        <v>0</v>
      </c>
      <c r="Z80" s="209">
        <f>轉向量!D263</f>
        <v>0</v>
      </c>
      <c r="AA80" s="210">
        <f>轉向量!E263</f>
        <v>0</v>
      </c>
      <c r="AB80" s="210">
        <f>轉向量!G263</f>
        <v>0</v>
      </c>
      <c r="AC80" s="211">
        <f>轉向量!H263</f>
        <v>0</v>
      </c>
      <c r="AD80" s="210">
        <f>轉向量!I263</f>
        <v>0</v>
      </c>
      <c r="AE80" s="210">
        <f>轉向量!J263</f>
        <v>0</v>
      </c>
      <c r="AF80" s="210">
        <f>轉向量!L263</f>
        <v>0</v>
      </c>
      <c r="AG80" s="211">
        <f>轉向量!M263</f>
        <v>0</v>
      </c>
      <c r="AH80" s="210">
        <f>轉向量!N263</f>
        <v>0</v>
      </c>
      <c r="AI80" s="210">
        <f>轉向量!O263</f>
        <v>0</v>
      </c>
      <c r="AJ80" s="210">
        <f>轉向量!Q263</f>
        <v>0</v>
      </c>
      <c r="AK80" s="211">
        <f>轉向量!R263</f>
        <v>0</v>
      </c>
      <c r="AL80" s="221">
        <f>轉向量!D359</f>
        <v>0</v>
      </c>
      <c r="AM80" s="222">
        <f>轉向量!E359</f>
        <v>0</v>
      </c>
      <c r="AN80" s="222">
        <f>轉向量!F359</f>
        <v>0</v>
      </c>
      <c r="AO80" s="223">
        <f>轉向量!H359</f>
        <v>0</v>
      </c>
      <c r="AP80" s="222">
        <f>轉向量!I359</f>
        <v>0</v>
      </c>
      <c r="AQ80" s="222">
        <f>轉向量!J359</f>
        <v>0</v>
      </c>
      <c r="AR80" s="222">
        <f>轉向量!K359</f>
        <v>0</v>
      </c>
      <c r="AS80" s="223">
        <f>轉向量!M359</f>
        <v>0</v>
      </c>
      <c r="AT80" s="222">
        <f>轉向量!N359</f>
        <v>0</v>
      </c>
      <c r="AU80" s="222">
        <f>轉向量!O359</f>
        <v>0</v>
      </c>
      <c r="AV80" s="222">
        <f>轉向量!P359</f>
        <v>0</v>
      </c>
      <c r="AW80" s="223">
        <f>轉向量!R359</f>
        <v>0</v>
      </c>
      <c r="AX80" s="234">
        <f>轉向量!D455</f>
        <v>0</v>
      </c>
      <c r="AY80" s="235">
        <f>轉向量!E455</f>
        <v>0</v>
      </c>
      <c r="AZ80" s="235">
        <f>轉向量!F455</f>
        <v>0</v>
      </c>
      <c r="BA80" s="236">
        <f>轉向量!G455</f>
        <v>0</v>
      </c>
      <c r="BB80" s="235">
        <f>轉向量!I455</f>
        <v>0</v>
      </c>
      <c r="BC80" s="235">
        <f>轉向量!J455</f>
        <v>0</v>
      </c>
      <c r="BD80" s="235">
        <f>轉向量!K455</f>
        <v>0</v>
      </c>
      <c r="BE80" s="236">
        <f>轉向量!L455</f>
        <v>0</v>
      </c>
      <c r="BF80" s="235">
        <f>轉向量!N455</f>
        <v>0</v>
      </c>
      <c r="BG80" s="235">
        <f>轉向量!O455</f>
        <v>0</v>
      </c>
      <c r="BH80" s="235">
        <f>轉向量!P455</f>
        <v>0</v>
      </c>
      <c r="BI80" s="236">
        <f>轉向量!Q455</f>
        <v>0</v>
      </c>
      <c r="BK80" s="2"/>
    </row>
    <row r="81" spans="1:63">
      <c r="A81" s="28">
        <v>1730</v>
      </c>
      <c r="B81" s="184">
        <f>轉向量!E72</f>
        <v>0</v>
      </c>
      <c r="C81" s="184">
        <f>轉向量!F72</f>
        <v>0</v>
      </c>
      <c r="D81" s="184">
        <f>轉向量!G72</f>
        <v>0</v>
      </c>
      <c r="E81" s="185">
        <f>轉向量!H72</f>
        <v>0</v>
      </c>
      <c r="F81" s="186">
        <f>轉向量!J72</f>
        <v>0</v>
      </c>
      <c r="G81" s="184">
        <f>轉向量!K72</f>
        <v>0</v>
      </c>
      <c r="H81" s="184">
        <f>轉向量!L72</f>
        <v>0</v>
      </c>
      <c r="I81" s="185">
        <f>轉向量!M72</f>
        <v>0</v>
      </c>
      <c r="J81" s="186">
        <f>轉向量!O72</f>
        <v>0</v>
      </c>
      <c r="K81" s="184">
        <f>轉向量!P72</f>
        <v>0</v>
      </c>
      <c r="L81" s="184">
        <f>轉向量!Q72</f>
        <v>0</v>
      </c>
      <c r="M81" s="185">
        <f>轉向量!R72</f>
        <v>0</v>
      </c>
      <c r="N81" s="187">
        <f>轉向量!D168</f>
        <v>0</v>
      </c>
      <c r="O81" s="188">
        <f>轉向量!F168</f>
        <v>0</v>
      </c>
      <c r="P81" s="188">
        <f>轉向量!G168</f>
        <v>0</v>
      </c>
      <c r="Q81" s="189">
        <f>轉向量!H168</f>
        <v>0</v>
      </c>
      <c r="R81" s="187">
        <f>轉向量!I168</f>
        <v>0</v>
      </c>
      <c r="S81" s="188">
        <f>轉向量!K168</f>
        <v>0</v>
      </c>
      <c r="T81" s="188">
        <f>轉向量!L168</f>
        <v>0</v>
      </c>
      <c r="U81" s="189">
        <f>轉向量!M168</f>
        <v>0</v>
      </c>
      <c r="V81" s="188">
        <f>轉向量!N168</f>
        <v>0</v>
      </c>
      <c r="W81" s="188">
        <f>轉向量!P168</f>
        <v>0</v>
      </c>
      <c r="X81" s="188">
        <f>轉向量!Q168</f>
        <v>0</v>
      </c>
      <c r="Y81" s="189">
        <f>轉向量!R168</f>
        <v>0</v>
      </c>
      <c r="Z81" s="209">
        <f>轉向量!D264</f>
        <v>0</v>
      </c>
      <c r="AA81" s="210">
        <f>轉向量!E264</f>
        <v>0</v>
      </c>
      <c r="AB81" s="210">
        <f>轉向量!G264</f>
        <v>0</v>
      </c>
      <c r="AC81" s="211">
        <f>轉向量!H264</f>
        <v>0</v>
      </c>
      <c r="AD81" s="210">
        <f>轉向量!I264</f>
        <v>0</v>
      </c>
      <c r="AE81" s="210">
        <f>轉向量!J264</f>
        <v>0</v>
      </c>
      <c r="AF81" s="210">
        <f>轉向量!L264</f>
        <v>0</v>
      </c>
      <c r="AG81" s="211">
        <f>轉向量!M264</f>
        <v>0</v>
      </c>
      <c r="AH81" s="210">
        <f>轉向量!N264</f>
        <v>0</v>
      </c>
      <c r="AI81" s="210">
        <f>轉向量!O264</f>
        <v>0</v>
      </c>
      <c r="AJ81" s="210">
        <f>轉向量!Q264</f>
        <v>0</v>
      </c>
      <c r="AK81" s="211">
        <f>轉向量!R264</f>
        <v>0</v>
      </c>
      <c r="AL81" s="221">
        <f>轉向量!D360</f>
        <v>0</v>
      </c>
      <c r="AM81" s="222">
        <f>轉向量!E360</f>
        <v>0</v>
      </c>
      <c r="AN81" s="222">
        <f>轉向量!F360</f>
        <v>0</v>
      </c>
      <c r="AO81" s="223">
        <f>轉向量!H360</f>
        <v>0</v>
      </c>
      <c r="AP81" s="222">
        <f>轉向量!I360</f>
        <v>0</v>
      </c>
      <c r="AQ81" s="222">
        <f>轉向量!J360</f>
        <v>0</v>
      </c>
      <c r="AR81" s="222">
        <f>轉向量!K360</f>
        <v>0</v>
      </c>
      <c r="AS81" s="223">
        <f>轉向量!M360</f>
        <v>0</v>
      </c>
      <c r="AT81" s="222">
        <f>轉向量!N360</f>
        <v>0</v>
      </c>
      <c r="AU81" s="222">
        <f>轉向量!O360</f>
        <v>0</v>
      </c>
      <c r="AV81" s="222">
        <f>轉向量!P360</f>
        <v>0</v>
      </c>
      <c r="AW81" s="223">
        <f>轉向量!R360</f>
        <v>0</v>
      </c>
      <c r="AX81" s="234">
        <f>轉向量!D456</f>
        <v>0</v>
      </c>
      <c r="AY81" s="235">
        <f>轉向量!E456</f>
        <v>0</v>
      </c>
      <c r="AZ81" s="235">
        <f>轉向量!F456</f>
        <v>0</v>
      </c>
      <c r="BA81" s="236">
        <f>轉向量!G456</f>
        <v>0</v>
      </c>
      <c r="BB81" s="235">
        <f>轉向量!I456</f>
        <v>0</v>
      </c>
      <c r="BC81" s="235">
        <f>轉向量!J456</f>
        <v>0</v>
      </c>
      <c r="BD81" s="235">
        <f>轉向量!K456</f>
        <v>0</v>
      </c>
      <c r="BE81" s="236">
        <f>轉向量!L456</f>
        <v>0</v>
      </c>
      <c r="BF81" s="235">
        <f>轉向量!N456</f>
        <v>0</v>
      </c>
      <c r="BG81" s="235">
        <f>轉向量!O456</f>
        <v>0</v>
      </c>
      <c r="BH81" s="235">
        <f>轉向量!P456</f>
        <v>0</v>
      </c>
      <c r="BI81" s="236">
        <f>轉向量!Q456</f>
        <v>0</v>
      </c>
      <c r="BK81" s="2"/>
    </row>
    <row r="82" spans="1:63">
      <c r="A82" s="28">
        <v>1745</v>
      </c>
      <c r="B82" s="184">
        <f>轉向量!E73</f>
        <v>0</v>
      </c>
      <c r="C82" s="184">
        <f>轉向量!F73</f>
        <v>0</v>
      </c>
      <c r="D82" s="184">
        <f>轉向量!G73</f>
        <v>0</v>
      </c>
      <c r="E82" s="185">
        <f>轉向量!H73</f>
        <v>0</v>
      </c>
      <c r="F82" s="186">
        <f>轉向量!J73</f>
        <v>0</v>
      </c>
      <c r="G82" s="184">
        <f>轉向量!K73</f>
        <v>0</v>
      </c>
      <c r="H82" s="184">
        <f>轉向量!L73</f>
        <v>0</v>
      </c>
      <c r="I82" s="185">
        <f>轉向量!M73</f>
        <v>0</v>
      </c>
      <c r="J82" s="186">
        <f>轉向量!O73</f>
        <v>0</v>
      </c>
      <c r="K82" s="184">
        <f>轉向量!P73</f>
        <v>0</v>
      </c>
      <c r="L82" s="184">
        <f>轉向量!Q73</f>
        <v>0</v>
      </c>
      <c r="M82" s="185">
        <f>轉向量!R73</f>
        <v>0</v>
      </c>
      <c r="N82" s="187">
        <f>轉向量!D169</f>
        <v>0</v>
      </c>
      <c r="O82" s="188">
        <f>轉向量!F169</f>
        <v>0</v>
      </c>
      <c r="P82" s="188">
        <f>轉向量!G169</f>
        <v>0</v>
      </c>
      <c r="Q82" s="189">
        <f>轉向量!H169</f>
        <v>0</v>
      </c>
      <c r="R82" s="187">
        <f>轉向量!I169</f>
        <v>0</v>
      </c>
      <c r="S82" s="188">
        <f>轉向量!K169</f>
        <v>0</v>
      </c>
      <c r="T82" s="188">
        <f>轉向量!L169</f>
        <v>0</v>
      </c>
      <c r="U82" s="189">
        <f>轉向量!M169</f>
        <v>0</v>
      </c>
      <c r="V82" s="188">
        <f>轉向量!N169</f>
        <v>0</v>
      </c>
      <c r="W82" s="188">
        <f>轉向量!P169</f>
        <v>0</v>
      </c>
      <c r="X82" s="188">
        <f>轉向量!Q169</f>
        <v>0</v>
      </c>
      <c r="Y82" s="189">
        <f>轉向量!R169</f>
        <v>0</v>
      </c>
      <c r="Z82" s="209">
        <f>轉向量!D265</f>
        <v>0</v>
      </c>
      <c r="AA82" s="210">
        <f>轉向量!E265</f>
        <v>0</v>
      </c>
      <c r="AB82" s="210">
        <f>轉向量!G265</f>
        <v>0</v>
      </c>
      <c r="AC82" s="211">
        <f>轉向量!H265</f>
        <v>0</v>
      </c>
      <c r="AD82" s="210">
        <f>轉向量!I265</f>
        <v>0</v>
      </c>
      <c r="AE82" s="210">
        <f>轉向量!J265</f>
        <v>0</v>
      </c>
      <c r="AF82" s="210">
        <f>轉向量!L265</f>
        <v>0</v>
      </c>
      <c r="AG82" s="211">
        <f>轉向量!M265</f>
        <v>0</v>
      </c>
      <c r="AH82" s="210">
        <f>轉向量!N265</f>
        <v>0</v>
      </c>
      <c r="AI82" s="210">
        <f>轉向量!O265</f>
        <v>0</v>
      </c>
      <c r="AJ82" s="210">
        <f>轉向量!Q265</f>
        <v>0</v>
      </c>
      <c r="AK82" s="211">
        <f>轉向量!R265</f>
        <v>0</v>
      </c>
      <c r="AL82" s="221">
        <f>轉向量!D361</f>
        <v>0</v>
      </c>
      <c r="AM82" s="222">
        <f>轉向量!E361</f>
        <v>0</v>
      </c>
      <c r="AN82" s="222">
        <f>轉向量!F361</f>
        <v>0</v>
      </c>
      <c r="AO82" s="223">
        <f>轉向量!H361</f>
        <v>0</v>
      </c>
      <c r="AP82" s="222">
        <f>轉向量!I361</f>
        <v>0</v>
      </c>
      <c r="AQ82" s="222">
        <f>轉向量!J361</f>
        <v>0</v>
      </c>
      <c r="AR82" s="222">
        <f>轉向量!K361</f>
        <v>0</v>
      </c>
      <c r="AS82" s="223">
        <f>轉向量!M361</f>
        <v>0</v>
      </c>
      <c r="AT82" s="222">
        <f>轉向量!N361</f>
        <v>0</v>
      </c>
      <c r="AU82" s="222">
        <f>轉向量!O361</f>
        <v>0</v>
      </c>
      <c r="AV82" s="222">
        <f>轉向量!P361</f>
        <v>0</v>
      </c>
      <c r="AW82" s="223">
        <f>轉向量!R361</f>
        <v>0</v>
      </c>
      <c r="AX82" s="234">
        <f>轉向量!D457</f>
        <v>0</v>
      </c>
      <c r="AY82" s="235">
        <f>轉向量!E457</f>
        <v>0</v>
      </c>
      <c r="AZ82" s="235">
        <f>轉向量!F457</f>
        <v>0</v>
      </c>
      <c r="BA82" s="236">
        <f>轉向量!G457</f>
        <v>0</v>
      </c>
      <c r="BB82" s="235">
        <f>轉向量!I457</f>
        <v>0</v>
      </c>
      <c r="BC82" s="235">
        <f>轉向量!J457</f>
        <v>0</v>
      </c>
      <c r="BD82" s="235">
        <f>轉向量!K457</f>
        <v>0</v>
      </c>
      <c r="BE82" s="236">
        <f>轉向量!L457</f>
        <v>0</v>
      </c>
      <c r="BF82" s="235">
        <f>轉向量!N457</f>
        <v>0</v>
      </c>
      <c r="BG82" s="235">
        <f>轉向量!O457</f>
        <v>0</v>
      </c>
      <c r="BH82" s="235">
        <f>轉向量!P457</f>
        <v>0</v>
      </c>
      <c r="BI82" s="236">
        <f>轉向量!Q457</f>
        <v>0</v>
      </c>
      <c r="BK82" s="2"/>
    </row>
    <row r="83" spans="1:63">
      <c r="A83" s="28">
        <v>1800</v>
      </c>
      <c r="B83" s="184">
        <f>轉向量!E74</f>
        <v>0</v>
      </c>
      <c r="C83" s="184">
        <f>轉向量!F74</f>
        <v>0</v>
      </c>
      <c r="D83" s="184">
        <f>轉向量!G74</f>
        <v>0</v>
      </c>
      <c r="E83" s="185">
        <f>轉向量!H74</f>
        <v>0</v>
      </c>
      <c r="F83" s="186">
        <f>轉向量!J74</f>
        <v>0</v>
      </c>
      <c r="G83" s="184">
        <f>轉向量!K74</f>
        <v>0</v>
      </c>
      <c r="H83" s="184">
        <f>轉向量!L74</f>
        <v>0</v>
      </c>
      <c r="I83" s="185">
        <f>轉向量!M74</f>
        <v>0</v>
      </c>
      <c r="J83" s="186">
        <f>轉向量!O74</f>
        <v>0</v>
      </c>
      <c r="K83" s="184">
        <f>轉向量!P74</f>
        <v>0</v>
      </c>
      <c r="L83" s="184">
        <f>轉向量!Q74</f>
        <v>0</v>
      </c>
      <c r="M83" s="185">
        <f>轉向量!R74</f>
        <v>0</v>
      </c>
      <c r="N83" s="187">
        <f>轉向量!D170</f>
        <v>0</v>
      </c>
      <c r="O83" s="188">
        <f>轉向量!F170</f>
        <v>0</v>
      </c>
      <c r="P83" s="188">
        <f>轉向量!G170</f>
        <v>0</v>
      </c>
      <c r="Q83" s="189">
        <f>轉向量!H170</f>
        <v>0</v>
      </c>
      <c r="R83" s="187">
        <f>轉向量!I170</f>
        <v>0</v>
      </c>
      <c r="S83" s="188">
        <f>轉向量!K170</f>
        <v>0</v>
      </c>
      <c r="T83" s="188">
        <f>轉向量!L170</f>
        <v>0</v>
      </c>
      <c r="U83" s="189">
        <f>轉向量!M170</f>
        <v>0</v>
      </c>
      <c r="V83" s="188">
        <f>轉向量!N170</f>
        <v>0</v>
      </c>
      <c r="W83" s="188">
        <f>轉向量!P170</f>
        <v>0</v>
      </c>
      <c r="X83" s="188">
        <f>轉向量!Q170</f>
        <v>0</v>
      </c>
      <c r="Y83" s="189">
        <f>轉向量!R170</f>
        <v>0</v>
      </c>
      <c r="Z83" s="209">
        <f>轉向量!D266</f>
        <v>0</v>
      </c>
      <c r="AA83" s="210">
        <f>轉向量!E266</f>
        <v>0</v>
      </c>
      <c r="AB83" s="210">
        <f>轉向量!G266</f>
        <v>0</v>
      </c>
      <c r="AC83" s="211">
        <f>轉向量!H266</f>
        <v>0</v>
      </c>
      <c r="AD83" s="210">
        <f>轉向量!I266</f>
        <v>0</v>
      </c>
      <c r="AE83" s="210">
        <f>轉向量!J266</f>
        <v>0</v>
      </c>
      <c r="AF83" s="210">
        <f>轉向量!L266</f>
        <v>0</v>
      </c>
      <c r="AG83" s="211">
        <f>轉向量!M266</f>
        <v>0</v>
      </c>
      <c r="AH83" s="210">
        <f>轉向量!N266</f>
        <v>0</v>
      </c>
      <c r="AI83" s="210">
        <f>轉向量!O266</f>
        <v>0</v>
      </c>
      <c r="AJ83" s="210">
        <f>轉向量!Q266</f>
        <v>0</v>
      </c>
      <c r="AK83" s="211">
        <f>轉向量!R266</f>
        <v>0</v>
      </c>
      <c r="AL83" s="221">
        <f>轉向量!D362</f>
        <v>0</v>
      </c>
      <c r="AM83" s="222">
        <f>轉向量!E362</f>
        <v>0</v>
      </c>
      <c r="AN83" s="222">
        <f>轉向量!F362</f>
        <v>0</v>
      </c>
      <c r="AO83" s="223">
        <f>轉向量!H362</f>
        <v>0</v>
      </c>
      <c r="AP83" s="222">
        <f>轉向量!I362</f>
        <v>0</v>
      </c>
      <c r="AQ83" s="222">
        <f>轉向量!J362</f>
        <v>0</v>
      </c>
      <c r="AR83" s="222">
        <f>轉向量!K362</f>
        <v>0</v>
      </c>
      <c r="AS83" s="223">
        <f>轉向量!M362</f>
        <v>0</v>
      </c>
      <c r="AT83" s="222">
        <f>轉向量!N362</f>
        <v>0</v>
      </c>
      <c r="AU83" s="222">
        <f>轉向量!O362</f>
        <v>0</v>
      </c>
      <c r="AV83" s="222">
        <f>轉向量!P362</f>
        <v>0</v>
      </c>
      <c r="AW83" s="223">
        <f>轉向量!R362</f>
        <v>0</v>
      </c>
      <c r="AX83" s="234">
        <f>轉向量!D458</f>
        <v>0</v>
      </c>
      <c r="AY83" s="235">
        <f>轉向量!E458</f>
        <v>0</v>
      </c>
      <c r="AZ83" s="235">
        <f>轉向量!F458</f>
        <v>0</v>
      </c>
      <c r="BA83" s="236">
        <f>轉向量!G458</f>
        <v>0</v>
      </c>
      <c r="BB83" s="235">
        <f>轉向量!I458</f>
        <v>0</v>
      </c>
      <c r="BC83" s="235">
        <f>轉向量!J458</f>
        <v>0</v>
      </c>
      <c r="BD83" s="235">
        <f>轉向量!K458</f>
        <v>0</v>
      </c>
      <c r="BE83" s="236">
        <f>轉向量!L458</f>
        <v>0</v>
      </c>
      <c r="BF83" s="235">
        <f>轉向量!N458</f>
        <v>0</v>
      </c>
      <c r="BG83" s="235">
        <f>轉向量!O458</f>
        <v>0</v>
      </c>
      <c r="BH83" s="235">
        <f>轉向量!P458</f>
        <v>0</v>
      </c>
      <c r="BI83" s="236">
        <f>轉向量!Q458</f>
        <v>0</v>
      </c>
      <c r="BK83" s="2"/>
    </row>
    <row r="84" spans="1:63">
      <c r="A84" s="28">
        <v>1815</v>
      </c>
      <c r="B84" s="184">
        <f>轉向量!E75</f>
        <v>0</v>
      </c>
      <c r="C84" s="184">
        <f>轉向量!F75</f>
        <v>0</v>
      </c>
      <c r="D84" s="184">
        <f>轉向量!G75</f>
        <v>0</v>
      </c>
      <c r="E84" s="185">
        <f>轉向量!H75</f>
        <v>0</v>
      </c>
      <c r="F84" s="186">
        <f>轉向量!J75</f>
        <v>0</v>
      </c>
      <c r="G84" s="184">
        <f>轉向量!K75</f>
        <v>0</v>
      </c>
      <c r="H84" s="184">
        <f>轉向量!L75</f>
        <v>0</v>
      </c>
      <c r="I84" s="185">
        <f>轉向量!M75</f>
        <v>0</v>
      </c>
      <c r="J84" s="186">
        <f>轉向量!O75</f>
        <v>0</v>
      </c>
      <c r="K84" s="184">
        <f>轉向量!P75</f>
        <v>0</v>
      </c>
      <c r="L84" s="184">
        <f>轉向量!Q75</f>
        <v>0</v>
      </c>
      <c r="M84" s="185">
        <f>轉向量!R75</f>
        <v>0</v>
      </c>
      <c r="N84" s="187">
        <f>轉向量!D171</f>
        <v>0</v>
      </c>
      <c r="O84" s="188">
        <f>轉向量!F171</f>
        <v>0</v>
      </c>
      <c r="P84" s="188">
        <f>轉向量!G171</f>
        <v>0</v>
      </c>
      <c r="Q84" s="189">
        <f>轉向量!H171</f>
        <v>0</v>
      </c>
      <c r="R84" s="187">
        <f>轉向量!I171</f>
        <v>0</v>
      </c>
      <c r="S84" s="188">
        <f>轉向量!K171</f>
        <v>0</v>
      </c>
      <c r="T84" s="188">
        <f>轉向量!L171</f>
        <v>0</v>
      </c>
      <c r="U84" s="189">
        <f>轉向量!M171</f>
        <v>0</v>
      </c>
      <c r="V84" s="188">
        <f>轉向量!N171</f>
        <v>0</v>
      </c>
      <c r="W84" s="188">
        <f>轉向量!P171</f>
        <v>0</v>
      </c>
      <c r="X84" s="188">
        <f>轉向量!Q171</f>
        <v>0</v>
      </c>
      <c r="Y84" s="189">
        <f>轉向量!R171</f>
        <v>0</v>
      </c>
      <c r="Z84" s="209">
        <f>轉向量!D267</f>
        <v>0</v>
      </c>
      <c r="AA84" s="210">
        <f>轉向量!E267</f>
        <v>0</v>
      </c>
      <c r="AB84" s="210">
        <f>轉向量!G267</f>
        <v>0</v>
      </c>
      <c r="AC84" s="211">
        <f>轉向量!H267</f>
        <v>0</v>
      </c>
      <c r="AD84" s="210">
        <f>轉向量!I267</f>
        <v>0</v>
      </c>
      <c r="AE84" s="210">
        <f>轉向量!J267</f>
        <v>0</v>
      </c>
      <c r="AF84" s="210">
        <f>轉向量!L267</f>
        <v>0</v>
      </c>
      <c r="AG84" s="211">
        <f>轉向量!M267</f>
        <v>0</v>
      </c>
      <c r="AH84" s="210">
        <f>轉向量!N267</f>
        <v>0</v>
      </c>
      <c r="AI84" s="210">
        <f>轉向量!O267</f>
        <v>0</v>
      </c>
      <c r="AJ84" s="210">
        <f>轉向量!Q267</f>
        <v>0</v>
      </c>
      <c r="AK84" s="211">
        <f>轉向量!R267</f>
        <v>0</v>
      </c>
      <c r="AL84" s="221">
        <f>轉向量!D363</f>
        <v>0</v>
      </c>
      <c r="AM84" s="222">
        <f>轉向量!E363</f>
        <v>0</v>
      </c>
      <c r="AN84" s="222">
        <f>轉向量!F363</f>
        <v>0</v>
      </c>
      <c r="AO84" s="223">
        <f>轉向量!H363</f>
        <v>0</v>
      </c>
      <c r="AP84" s="222">
        <f>轉向量!I363</f>
        <v>0</v>
      </c>
      <c r="AQ84" s="222">
        <f>轉向量!J363</f>
        <v>0</v>
      </c>
      <c r="AR84" s="222">
        <f>轉向量!K363</f>
        <v>0</v>
      </c>
      <c r="AS84" s="223">
        <f>轉向量!M363</f>
        <v>0</v>
      </c>
      <c r="AT84" s="222">
        <f>轉向量!N363</f>
        <v>0</v>
      </c>
      <c r="AU84" s="222">
        <f>轉向量!O363</f>
        <v>0</v>
      </c>
      <c r="AV84" s="222">
        <f>轉向量!P363</f>
        <v>0</v>
      </c>
      <c r="AW84" s="223">
        <f>轉向量!R363</f>
        <v>0</v>
      </c>
      <c r="AX84" s="234">
        <f>轉向量!D459</f>
        <v>0</v>
      </c>
      <c r="AY84" s="235">
        <f>轉向量!E459</f>
        <v>0</v>
      </c>
      <c r="AZ84" s="235">
        <f>轉向量!F459</f>
        <v>0</v>
      </c>
      <c r="BA84" s="236">
        <f>轉向量!G459</f>
        <v>0</v>
      </c>
      <c r="BB84" s="235">
        <f>轉向量!I459</f>
        <v>0</v>
      </c>
      <c r="BC84" s="235">
        <f>轉向量!J459</f>
        <v>0</v>
      </c>
      <c r="BD84" s="235">
        <f>轉向量!K459</f>
        <v>0</v>
      </c>
      <c r="BE84" s="236">
        <f>轉向量!L459</f>
        <v>0</v>
      </c>
      <c r="BF84" s="235">
        <f>轉向量!N459</f>
        <v>0</v>
      </c>
      <c r="BG84" s="235">
        <f>轉向量!O459</f>
        <v>0</v>
      </c>
      <c r="BH84" s="235">
        <f>轉向量!P459</f>
        <v>0</v>
      </c>
      <c r="BI84" s="236">
        <f>轉向量!Q459</f>
        <v>0</v>
      </c>
      <c r="BK84" s="2"/>
    </row>
    <row r="85" spans="1:63">
      <c r="A85" s="28">
        <v>1830</v>
      </c>
      <c r="B85" s="184">
        <f>轉向量!E76</f>
        <v>0</v>
      </c>
      <c r="C85" s="184">
        <f>轉向量!F76</f>
        <v>0</v>
      </c>
      <c r="D85" s="184">
        <f>轉向量!G76</f>
        <v>0</v>
      </c>
      <c r="E85" s="185">
        <f>轉向量!H76</f>
        <v>0</v>
      </c>
      <c r="F85" s="186">
        <f>轉向量!J76</f>
        <v>0</v>
      </c>
      <c r="G85" s="184">
        <f>轉向量!K76</f>
        <v>0</v>
      </c>
      <c r="H85" s="184">
        <f>轉向量!L76</f>
        <v>0</v>
      </c>
      <c r="I85" s="185">
        <f>轉向量!M76</f>
        <v>0</v>
      </c>
      <c r="J85" s="186">
        <f>轉向量!O76</f>
        <v>0</v>
      </c>
      <c r="K85" s="184">
        <f>轉向量!P76</f>
        <v>0</v>
      </c>
      <c r="L85" s="184">
        <f>轉向量!Q76</f>
        <v>0</v>
      </c>
      <c r="M85" s="185">
        <f>轉向量!R76</f>
        <v>0</v>
      </c>
      <c r="N85" s="187">
        <f>轉向量!D172</f>
        <v>0</v>
      </c>
      <c r="O85" s="188">
        <f>轉向量!F172</f>
        <v>0</v>
      </c>
      <c r="P85" s="188">
        <f>轉向量!G172</f>
        <v>0</v>
      </c>
      <c r="Q85" s="189">
        <f>轉向量!H172</f>
        <v>0</v>
      </c>
      <c r="R85" s="187">
        <f>轉向量!I172</f>
        <v>0</v>
      </c>
      <c r="S85" s="188">
        <f>轉向量!K172</f>
        <v>0</v>
      </c>
      <c r="T85" s="188">
        <f>轉向量!L172</f>
        <v>0</v>
      </c>
      <c r="U85" s="189">
        <f>轉向量!M172</f>
        <v>0</v>
      </c>
      <c r="V85" s="188">
        <f>轉向量!N172</f>
        <v>0</v>
      </c>
      <c r="W85" s="188">
        <f>轉向量!P172</f>
        <v>0</v>
      </c>
      <c r="X85" s="188">
        <f>轉向量!Q172</f>
        <v>0</v>
      </c>
      <c r="Y85" s="189">
        <f>轉向量!R172</f>
        <v>0</v>
      </c>
      <c r="Z85" s="209">
        <f>轉向量!D268</f>
        <v>0</v>
      </c>
      <c r="AA85" s="210">
        <f>轉向量!E268</f>
        <v>0</v>
      </c>
      <c r="AB85" s="210">
        <f>轉向量!G268</f>
        <v>0</v>
      </c>
      <c r="AC85" s="211">
        <f>轉向量!H268</f>
        <v>0</v>
      </c>
      <c r="AD85" s="210">
        <f>轉向量!I268</f>
        <v>0</v>
      </c>
      <c r="AE85" s="210">
        <f>轉向量!J268</f>
        <v>0</v>
      </c>
      <c r="AF85" s="210">
        <f>轉向量!L268</f>
        <v>0</v>
      </c>
      <c r="AG85" s="211">
        <f>轉向量!M268</f>
        <v>0</v>
      </c>
      <c r="AH85" s="210">
        <f>轉向量!N268</f>
        <v>0</v>
      </c>
      <c r="AI85" s="210">
        <f>轉向量!O268</f>
        <v>0</v>
      </c>
      <c r="AJ85" s="210">
        <f>轉向量!Q268</f>
        <v>0</v>
      </c>
      <c r="AK85" s="211">
        <f>轉向量!R268</f>
        <v>0</v>
      </c>
      <c r="AL85" s="221">
        <f>轉向量!D364</f>
        <v>0</v>
      </c>
      <c r="AM85" s="222">
        <f>轉向量!E364</f>
        <v>0</v>
      </c>
      <c r="AN85" s="222">
        <f>轉向量!F364</f>
        <v>0</v>
      </c>
      <c r="AO85" s="223">
        <f>轉向量!H364</f>
        <v>0</v>
      </c>
      <c r="AP85" s="222">
        <f>轉向量!I364</f>
        <v>0</v>
      </c>
      <c r="AQ85" s="222">
        <f>轉向量!J364</f>
        <v>0</v>
      </c>
      <c r="AR85" s="222">
        <f>轉向量!K364</f>
        <v>0</v>
      </c>
      <c r="AS85" s="223">
        <f>轉向量!M364</f>
        <v>0</v>
      </c>
      <c r="AT85" s="222">
        <f>轉向量!N364</f>
        <v>0</v>
      </c>
      <c r="AU85" s="222">
        <f>轉向量!O364</f>
        <v>0</v>
      </c>
      <c r="AV85" s="222">
        <f>轉向量!P364</f>
        <v>0</v>
      </c>
      <c r="AW85" s="223">
        <f>轉向量!R364</f>
        <v>0</v>
      </c>
      <c r="AX85" s="234">
        <f>轉向量!D460</f>
        <v>0</v>
      </c>
      <c r="AY85" s="235">
        <f>轉向量!E460</f>
        <v>0</v>
      </c>
      <c r="AZ85" s="235">
        <f>轉向量!F460</f>
        <v>0</v>
      </c>
      <c r="BA85" s="236">
        <f>轉向量!G460</f>
        <v>0</v>
      </c>
      <c r="BB85" s="235">
        <f>轉向量!I460</f>
        <v>0</v>
      </c>
      <c r="BC85" s="235">
        <f>轉向量!J460</f>
        <v>0</v>
      </c>
      <c r="BD85" s="235">
        <f>轉向量!K460</f>
        <v>0</v>
      </c>
      <c r="BE85" s="236">
        <f>轉向量!L460</f>
        <v>0</v>
      </c>
      <c r="BF85" s="235">
        <f>轉向量!N460</f>
        <v>0</v>
      </c>
      <c r="BG85" s="235">
        <f>轉向量!O460</f>
        <v>0</v>
      </c>
      <c r="BH85" s="235">
        <f>轉向量!P460</f>
        <v>0</v>
      </c>
      <c r="BI85" s="236">
        <f>轉向量!Q460</f>
        <v>0</v>
      </c>
      <c r="BK85" s="2"/>
    </row>
    <row r="86" spans="1:63">
      <c r="A86" s="28">
        <v>1845</v>
      </c>
      <c r="B86" s="184">
        <f>轉向量!E77</f>
        <v>0</v>
      </c>
      <c r="C86" s="184">
        <f>轉向量!F77</f>
        <v>0</v>
      </c>
      <c r="D86" s="184">
        <f>轉向量!G77</f>
        <v>0</v>
      </c>
      <c r="E86" s="185">
        <f>轉向量!H77</f>
        <v>0</v>
      </c>
      <c r="F86" s="186">
        <f>轉向量!J77</f>
        <v>0</v>
      </c>
      <c r="G86" s="184">
        <f>轉向量!K77</f>
        <v>0</v>
      </c>
      <c r="H86" s="184">
        <f>轉向量!L77</f>
        <v>0</v>
      </c>
      <c r="I86" s="185">
        <f>轉向量!M77</f>
        <v>0</v>
      </c>
      <c r="J86" s="186">
        <f>轉向量!O77</f>
        <v>0</v>
      </c>
      <c r="K86" s="184">
        <f>轉向量!P77</f>
        <v>0</v>
      </c>
      <c r="L86" s="184">
        <f>轉向量!Q77</f>
        <v>0</v>
      </c>
      <c r="M86" s="185">
        <f>轉向量!R77</f>
        <v>0</v>
      </c>
      <c r="N86" s="187">
        <f>轉向量!D173</f>
        <v>0</v>
      </c>
      <c r="O86" s="188">
        <f>轉向量!F173</f>
        <v>0</v>
      </c>
      <c r="P86" s="188">
        <f>轉向量!G173</f>
        <v>0</v>
      </c>
      <c r="Q86" s="189">
        <f>轉向量!H173</f>
        <v>0</v>
      </c>
      <c r="R86" s="187">
        <f>轉向量!I173</f>
        <v>0</v>
      </c>
      <c r="S86" s="188">
        <f>轉向量!K173</f>
        <v>0</v>
      </c>
      <c r="T86" s="188">
        <f>轉向量!L173</f>
        <v>0</v>
      </c>
      <c r="U86" s="189">
        <f>轉向量!M173</f>
        <v>0</v>
      </c>
      <c r="V86" s="188">
        <f>轉向量!N173</f>
        <v>0</v>
      </c>
      <c r="W86" s="188">
        <f>轉向量!P173</f>
        <v>0</v>
      </c>
      <c r="X86" s="188">
        <f>轉向量!Q173</f>
        <v>0</v>
      </c>
      <c r="Y86" s="189">
        <f>轉向量!R173</f>
        <v>0</v>
      </c>
      <c r="Z86" s="209">
        <f>轉向量!D269</f>
        <v>0</v>
      </c>
      <c r="AA86" s="210">
        <f>轉向量!E269</f>
        <v>0</v>
      </c>
      <c r="AB86" s="210">
        <f>轉向量!G269</f>
        <v>0</v>
      </c>
      <c r="AC86" s="211">
        <f>轉向量!H269</f>
        <v>0</v>
      </c>
      <c r="AD86" s="210">
        <f>轉向量!I269</f>
        <v>0</v>
      </c>
      <c r="AE86" s="210">
        <f>轉向量!J269</f>
        <v>0</v>
      </c>
      <c r="AF86" s="210">
        <f>轉向量!L269</f>
        <v>0</v>
      </c>
      <c r="AG86" s="211">
        <f>轉向量!M269</f>
        <v>0</v>
      </c>
      <c r="AH86" s="210">
        <f>轉向量!N269</f>
        <v>0</v>
      </c>
      <c r="AI86" s="210">
        <f>轉向量!O269</f>
        <v>0</v>
      </c>
      <c r="AJ86" s="210">
        <f>轉向量!Q269</f>
        <v>0</v>
      </c>
      <c r="AK86" s="211">
        <f>轉向量!R269</f>
        <v>0</v>
      </c>
      <c r="AL86" s="221">
        <f>轉向量!D365</f>
        <v>0</v>
      </c>
      <c r="AM86" s="222">
        <f>轉向量!E365</f>
        <v>0</v>
      </c>
      <c r="AN86" s="222">
        <f>轉向量!F365</f>
        <v>0</v>
      </c>
      <c r="AO86" s="223">
        <f>轉向量!H365</f>
        <v>0</v>
      </c>
      <c r="AP86" s="222">
        <f>轉向量!I365</f>
        <v>0</v>
      </c>
      <c r="AQ86" s="222">
        <f>轉向量!J365</f>
        <v>0</v>
      </c>
      <c r="AR86" s="222">
        <f>轉向量!K365</f>
        <v>0</v>
      </c>
      <c r="AS86" s="223">
        <f>轉向量!M365</f>
        <v>0</v>
      </c>
      <c r="AT86" s="222">
        <f>轉向量!N365</f>
        <v>0</v>
      </c>
      <c r="AU86" s="222">
        <f>轉向量!O365</f>
        <v>0</v>
      </c>
      <c r="AV86" s="222">
        <f>轉向量!P365</f>
        <v>0</v>
      </c>
      <c r="AW86" s="223">
        <f>轉向量!R365</f>
        <v>0</v>
      </c>
      <c r="AX86" s="234">
        <f>轉向量!D461</f>
        <v>0</v>
      </c>
      <c r="AY86" s="235">
        <f>轉向量!E461</f>
        <v>0</v>
      </c>
      <c r="AZ86" s="235">
        <f>轉向量!F461</f>
        <v>0</v>
      </c>
      <c r="BA86" s="236">
        <f>轉向量!G461</f>
        <v>0</v>
      </c>
      <c r="BB86" s="235">
        <f>轉向量!I461</f>
        <v>0</v>
      </c>
      <c r="BC86" s="235">
        <f>轉向量!J461</f>
        <v>0</v>
      </c>
      <c r="BD86" s="235">
        <f>轉向量!K461</f>
        <v>0</v>
      </c>
      <c r="BE86" s="236">
        <f>轉向量!L461</f>
        <v>0</v>
      </c>
      <c r="BF86" s="235">
        <f>轉向量!N461</f>
        <v>0</v>
      </c>
      <c r="BG86" s="235">
        <f>轉向量!O461</f>
        <v>0</v>
      </c>
      <c r="BH86" s="235">
        <f>轉向量!P461</f>
        <v>0</v>
      </c>
      <c r="BI86" s="236">
        <f>轉向量!Q461</f>
        <v>0</v>
      </c>
      <c r="BK86" s="2"/>
    </row>
    <row r="87" spans="1:63">
      <c r="A87" s="28">
        <v>1900</v>
      </c>
      <c r="B87" s="184">
        <f>轉向量!E78</f>
        <v>0</v>
      </c>
      <c r="C87" s="184">
        <f>轉向量!F78</f>
        <v>0</v>
      </c>
      <c r="D87" s="184">
        <f>轉向量!G78</f>
        <v>0</v>
      </c>
      <c r="E87" s="185">
        <f>轉向量!H78</f>
        <v>0</v>
      </c>
      <c r="F87" s="186">
        <f>轉向量!J78</f>
        <v>0</v>
      </c>
      <c r="G87" s="184">
        <f>轉向量!K78</f>
        <v>0</v>
      </c>
      <c r="H87" s="184">
        <f>轉向量!L78</f>
        <v>0</v>
      </c>
      <c r="I87" s="185">
        <f>轉向量!M78</f>
        <v>0</v>
      </c>
      <c r="J87" s="186">
        <f>轉向量!O78</f>
        <v>0</v>
      </c>
      <c r="K87" s="184">
        <f>轉向量!P78</f>
        <v>0</v>
      </c>
      <c r="L87" s="184">
        <f>轉向量!Q78</f>
        <v>0</v>
      </c>
      <c r="M87" s="185">
        <f>轉向量!R78</f>
        <v>0</v>
      </c>
      <c r="N87" s="187">
        <f>轉向量!D174</f>
        <v>0</v>
      </c>
      <c r="O87" s="188">
        <f>轉向量!F174</f>
        <v>0</v>
      </c>
      <c r="P87" s="188">
        <f>轉向量!G174</f>
        <v>0</v>
      </c>
      <c r="Q87" s="189">
        <f>轉向量!H174</f>
        <v>0</v>
      </c>
      <c r="R87" s="187">
        <f>轉向量!I174</f>
        <v>0</v>
      </c>
      <c r="S87" s="188">
        <f>轉向量!K174</f>
        <v>0</v>
      </c>
      <c r="T87" s="188">
        <f>轉向量!L174</f>
        <v>0</v>
      </c>
      <c r="U87" s="189">
        <f>轉向量!M174</f>
        <v>0</v>
      </c>
      <c r="V87" s="188">
        <f>轉向量!N174</f>
        <v>0</v>
      </c>
      <c r="W87" s="188">
        <f>轉向量!P174</f>
        <v>0</v>
      </c>
      <c r="X87" s="188">
        <f>轉向量!Q174</f>
        <v>0</v>
      </c>
      <c r="Y87" s="189">
        <f>轉向量!R174</f>
        <v>0</v>
      </c>
      <c r="Z87" s="209">
        <f>轉向量!D270</f>
        <v>0</v>
      </c>
      <c r="AA87" s="210">
        <f>轉向量!E270</f>
        <v>0</v>
      </c>
      <c r="AB87" s="210">
        <f>轉向量!G270</f>
        <v>0</v>
      </c>
      <c r="AC87" s="211">
        <f>轉向量!H270</f>
        <v>0</v>
      </c>
      <c r="AD87" s="210">
        <f>轉向量!I270</f>
        <v>0</v>
      </c>
      <c r="AE87" s="210">
        <f>轉向量!J270</f>
        <v>0</v>
      </c>
      <c r="AF87" s="210">
        <f>轉向量!L270</f>
        <v>0</v>
      </c>
      <c r="AG87" s="211">
        <f>轉向量!M270</f>
        <v>0</v>
      </c>
      <c r="AH87" s="210">
        <f>轉向量!N270</f>
        <v>0</v>
      </c>
      <c r="AI87" s="210">
        <f>轉向量!O270</f>
        <v>0</v>
      </c>
      <c r="AJ87" s="210">
        <f>轉向量!Q270</f>
        <v>0</v>
      </c>
      <c r="AK87" s="211">
        <f>轉向量!R270</f>
        <v>0</v>
      </c>
      <c r="AL87" s="221">
        <f>轉向量!D366</f>
        <v>0</v>
      </c>
      <c r="AM87" s="222">
        <f>轉向量!E366</f>
        <v>0</v>
      </c>
      <c r="AN87" s="222">
        <f>轉向量!F366</f>
        <v>0</v>
      </c>
      <c r="AO87" s="223">
        <f>轉向量!H366</f>
        <v>0</v>
      </c>
      <c r="AP87" s="222">
        <f>轉向量!I366</f>
        <v>0</v>
      </c>
      <c r="AQ87" s="222">
        <f>轉向量!J366</f>
        <v>0</v>
      </c>
      <c r="AR87" s="222">
        <f>轉向量!K366</f>
        <v>0</v>
      </c>
      <c r="AS87" s="223">
        <f>轉向量!M366</f>
        <v>0</v>
      </c>
      <c r="AT87" s="222">
        <f>轉向量!N366</f>
        <v>0</v>
      </c>
      <c r="AU87" s="222">
        <f>轉向量!O366</f>
        <v>0</v>
      </c>
      <c r="AV87" s="222">
        <f>轉向量!P366</f>
        <v>0</v>
      </c>
      <c r="AW87" s="223">
        <f>轉向量!R366</f>
        <v>0</v>
      </c>
      <c r="AX87" s="234">
        <f>轉向量!D462</f>
        <v>0</v>
      </c>
      <c r="AY87" s="235">
        <f>轉向量!E462</f>
        <v>0</v>
      </c>
      <c r="AZ87" s="235">
        <f>轉向量!F462</f>
        <v>0</v>
      </c>
      <c r="BA87" s="236">
        <f>轉向量!G462</f>
        <v>0</v>
      </c>
      <c r="BB87" s="235">
        <f>轉向量!I462</f>
        <v>0</v>
      </c>
      <c r="BC87" s="235">
        <f>轉向量!J462</f>
        <v>0</v>
      </c>
      <c r="BD87" s="235">
        <f>轉向量!K462</f>
        <v>0</v>
      </c>
      <c r="BE87" s="236">
        <f>轉向量!L462</f>
        <v>0</v>
      </c>
      <c r="BF87" s="235">
        <f>轉向量!N462</f>
        <v>0</v>
      </c>
      <c r="BG87" s="235">
        <f>轉向量!O462</f>
        <v>0</v>
      </c>
      <c r="BH87" s="235">
        <f>轉向量!P462</f>
        <v>0</v>
      </c>
      <c r="BI87" s="236">
        <f>轉向量!Q462</f>
        <v>0</v>
      </c>
      <c r="BK87" s="2"/>
    </row>
    <row r="88" spans="1:63">
      <c r="A88" s="28">
        <v>1915</v>
      </c>
      <c r="B88" s="184">
        <f>轉向量!E79</f>
        <v>0</v>
      </c>
      <c r="C88" s="184">
        <f>轉向量!F79</f>
        <v>0</v>
      </c>
      <c r="D88" s="184">
        <f>轉向量!G79</f>
        <v>0</v>
      </c>
      <c r="E88" s="185">
        <f>轉向量!H79</f>
        <v>0</v>
      </c>
      <c r="F88" s="186">
        <f>轉向量!J79</f>
        <v>0</v>
      </c>
      <c r="G88" s="184">
        <f>轉向量!K79</f>
        <v>0</v>
      </c>
      <c r="H88" s="184">
        <f>轉向量!L79</f>
        <v>0</v>
      </c>
      <c r="I88" s="185">
        <f>轉向量!M79</f>
        <v>0</v>
      </c>
      <c r="J88" s="186">
        <f>轉向量!O79</f>
        <v>0</v>
      </c>
      <c r="K88" s="184">
        <f>轉向量!P79</f>
        <v>0</v>
      </c>
      <c r="L88" s="184">
        <f>轉向量!Q79</f>
        <v>0</v>
      </c>
      <c r="M88" s="185">
        <f>轉向量!R79</f>
        <v>0</v>
      </c>
      <c r="N88" s="187">
        <f>轉向量!D175</f>
        <v>0</v>
      </c>
      <c r="O88" s="188">
        <f>轉向量!F175</f>
        <v>0</v>
      </c>
      <c r="P88" s="188">
        <f>轉向量!G175</f>
        <v>0</v>
      </c>
      <c r="Q88" s="189">
        <f>轉向量!H175</f>
        <v>0</v>
      </c>
      <c r="R88" s="187">
        <f>轉向量!I175</f>
        <v>0</v>
      </c>
      <c r="S88" s="188">
        <f>轉向量!K175</f>
        <v>0</v>
      </c>
      <c r="T88" s="188">
        <f>轉向量!L175</f>
        <v>0</v>
      </c>
      <c r="U88" s="189">
        <f>轉向量!M175</f>
        <v>0</v>
      </c>
      <c r="V88" s="188">
        <f>轉向量!N175</f>
        <v>0</v>
      </c>
      <c r="W88" s="188">
        <f>轉向量!P175</f>
        <v>0</v>
      </c>
      <c r="X88" s="188">
        <f>轉向量!Q175</f>
        <v>0</v>
      </c>
      <c r="Y88" s="189">
        <f>轉向量!R175</f>
        <v>0</v>
      </c>
      <c r="Z88" s="209">
        <f>轉向量!D271</f>
        <v>0</v>
      </c>
      <c r="AA88" s="210">
        <f>轉向量!E271</f>
        <v>0</v>
      </c>
      <c r="AB88" s="210">
        <f>轉向量!G271</f>
        <v>0</v>
      </c>
      <c r="AC88" s="211">
        <f>轉向量!H271</f>
        <v>0</v>
      </c>
      <c r="AD88" s="210">
        <f>轉向量!I271</f>
        <v>0</v>
      </c>
      <c r="AE88" s="210">
        <f>轉向量!J271</f>
        <v>0</v>
      </c>
      <c r="AF88" s="210">
        <f>轉向量!L271</f>
        <v>0</v>
      </c>
      <c r="AG88" s="211">
        <f>轉向量!M271</f>
        <v>0</v>
      </c>
      <c r="AH88" s="210">
        <f>轉向量!N271</f>
        <v>0</v>
      </c>
      <c r="AI88" s="210">
        <f>轉向量!O271</f>
        <v>0</v>
      </c>
      <c r="AJ88" s="210">
        <f>轉向量!Q271</f>
        <v>0</v>
      </c>
      <c r="AK88" s="211">
        <f>轉向量!R271</f>
        <v>0</v>
      </c>
      <c r="AL88" s="221">
        <f>轉向量!D367</f>
        <v>0</v>
      </c>
      <c r="AM88" s="222">
        <f>轉向量!E367</f>
        <v>0</v>
      </c>
      <c r="AN88" s="222">
        <f>轉向量!F367</f>
        <v>0</v>
      </c>
      <c r="AO88" s="223">
        <f>轉向量!H367</f>
        <v>0</v>
      </c>
      <c r="AP88" s="222">
        <f>轉向量!I367</f>
        <v>0</v>
      </c>
      <c r="AQ88" s="222">
        <f>轉向量!J367</f>
        <v>0</v>
      </c>
      <c r="AR88" s="222">
        <f>轉向量!K367</f>
        <v>0</v>
      </c>
      <c r="AS88" s="223">
        <f>轉向量!M367</f>
        <v>0</v>
      </c>
      <c r="AT88" s="222">
        <f>轉向量!N367</f>
        <v>0</v>
      </c>
      <c r="AU88" s="222">
        <f>轉向量!O367</f>
        <v>0</v>
      </c>
      <c r="AV88" s="222">
        <f>轉向量!P367</f>
        <v>0</v>
      </c>
      <c r="AW88" s="223">
        <f>轉向量!R367</f>
        <v>0</v>
      </c>
      <c r="AX88" s="234">
        <f>轉向量!D463</f>
        <v>0</v>
      </c>
      <c r="AY88" s="235">
        <f>轉向量!E463</f>
        <v>0</v>
      </c>
      <c r="AZ88" s="235">
        <f>轉向量!F463</f>
        <v>0</v>
      </c>
      <c r="BA88" s="236">
        <f>轉向量!G463</f>
        <v>0</v>
      </c>
      <c r="BB88" s="235">
        <f>轉向量!I463</f>
        <v>0</v>
      </c>
      <c r="BC88" s="235">
        <f>轉向量!J463</f>
        <v>0</v>
      </c>
      <c r="BD88" s="235">
        <f>轉向量!K463</f>
        <v>0</v>
      </c>
      <c r="BE88" s="236">
        <f>轉向量!L463</f>
        <v>0</v>
      </c>
      <c r="BF88" s="235">
        <f>轉向量!N463</f>
        <v>0</v>
      </c>
      <c r="BG88" s="235">
        <f>轉向量!O463</f>
        <v>0</v>
      </c>
      <c r="BH88" s="235">
        <f>轉向量!P463</f>
        <v>0</v>
      </c>
      <c r="BI88" s="236">
        <f>轉向量!Q463</f>
        <v>0</v>
      </c>
      <c r="BK88" s="2"/>
    </row>
    <row r="89" spans="1:63">
      <c r="A89" s="28">
        <v>1930</v>
      </c>
      <c r="B89" s="184">
        <f>轉向量!E80</f>
        <v>0</v>
      </c>
      <c r="C89" s="184">
        <f>轉向量!F80</f>
        <v>0</v>
      </c>
      <c r="D89" s="184">
        <f>轉向量!G80</f>
        <v>0</v>
      </c>
      <c r="E89" s="185">
        <f>轉向量!H80</f>
        <v>0</v>
      </c>
      <c r="F89" s="186">
        <f>轉向量!J80</f>
        <v>0</v>
      </c>
      <c r="G89" s="184">
        <f>轉向量!K80</f>
        <v>0</v>
      </c>
      <c r="H89" s="184">
        <f>轉向量!L80</f>
        <v>0</v>
      </c>
      <c r="I89" s="185">
        <f>轉向量!M80</f>
        <v>0</v>
      </c>
      <c r="J89" s="186">
        <f>轉向量!O80</f>
        <v>0</v>
      </c>
      <c r="K89" s="184">
        <f>轉向量!P80</f>
        <v>0</v>
      </c>
      <c r="L89" s="184">
        <f>轉向量!Q80</f>
        <v>0</v>
      </c>
      <c r="M89" s="185">
        <f>轉向量!R80</f>
        <v>0</v>
      </c>
      <c r="N89" s="187">
        <f>轉向量!D176</f>
        <v>0</v>
      </c>
      <c r="O89" s="188">
        <f>轉向量!F176</f>
        <v>0</v>
      </c>
      <c r="P89" s="188">
        <f>轉向量!G176</f>
        <v>0</v>
      </c>
      <c r="Q89" s="189">
        <f>轉向量!H176</f>
        <v>0</v>
      </c>
      <c r="R89" s="187">
        <f>轉向量!I176</f>
        <v>0</v>
      </c>
      <c r="S89" s="188">
        <f>轉向量!K176</f>
        <v>0</v>
      </c>
      <c r="T89" s="188">
        <f>轉向量!L176</f>
        <v>0</v>
      </c>
      <c r="U89" s="189">
        <f>轉向量!M176</f>
        <v>0</v>
      </c>
      <c r="V89" s="188">
        <f>轉向量!N176</f>
        <v>0</v>
      </c>
      <c r="W89" s="188">
        <f>轉向量!P176</f>
        <v>0</v>
      </c>
      <c r="X89" s="188">
        <f>轉向量!Q176</f>
        <v>0</v>
      </c>
      <c r="Y89" s="189">
        <f>轉向量!R176</f>
        <v>0</v>
      </c>
      <c r="Z89" s="209">
        <f>轉向量!D272</f>
        <v>0</v>
      </c>
      <c r="AA89" s="210">
        <f>轉向量!E272</f>
        <v>0</v>
      </c>
      <c r="AB89" s="210">
        <f>轉向量!G272</f>
        <v>0</v>
      </c>
      <c r="AC89" s="211">
        <f>轉向量!H272</f>
        <v>0</v>
      </c>
      <c r="AD89" s="210">
        <f>轉向量!I272</f>
        <v>0</v>
      </c>
      <c r="AE89" s="210">
        <f>轉向量!J272</f>
        <v>0</v>
      </c>
      <c r="AF89" s="210">
        <f>轉向量!L272</f>
        <v>0</v>
      </c>
      <c r="AG89" s="211">
        <f>轉向量!M272</f>
        <v>0</v>
      </c>
      <c r="AH89" s="210">
        <f>轉向量!N272</f>
        <v>0</v>
      </c>
      <c r="AI89" s="210">
        <f>轉向量!O272</f>
        <v>0</v>
      </c>
      <c r="AJ89" s="210">
        <f>轉向量!Q272</f>
        <v>0</v>
      </c>
      <c r="AK89" s="211">
        <f>轉向量!R272</f>
        <v>0</v>
      </c>
      <c r="AL89" s="221">
        <f>轉向量!D368</f>
        <v>0</v>
      </c>
      <c r="AM89" s="222">
        <f>轉向量!E368</f>
        <v>0</v>
      </c>
      <c r="AN89" s="222">
        <f>轉向量!F368</f>
        <v>0</v>
      </c>
      <c r="AO89" s="223">
        <f>轉向量!H368</f>
        <v>0</v>
      </c>
      <c r="AP89" s="222">
        <f>轉向量!I368</f>
        <v>0</v>
      </c>
      <c r="AQ89" s="222">
        <f>轉向量!J368</f>
        <v>0</v>
      </c>
      <c r="AR89" s="222">
        <f>轉向量!K368</f>
        <v>0</v>
      </c>
      <c r="AS89" s="223">
        <f>轉向量!M368</f>
        <v>0</v>
      </c>
      <c r="AT89" s="222">
        <f>轉向量!N368</f>
        <v>0</v>
      </c>
      <c r="AU89" s="222">
        <f>轉向量!O368</f>
        <v>0</v>
      </c>
      <c r="AV89" s="222">
        <f>轉向量!P368</f>
        <v>0</v>
      </c>
      <c r="AW89" s="223">
        <f>轉向量!R368</f>
        <v>0</v>
      </c>
      <c r="AX89" s="234">
        <f>轉向量!D464</f>
        <v>0</v>
      </c>
      <c r="AY89" s="235">
        <f>轉向量!E464</f>
        <v>0</v>
      </c>
      <c r="AZ89" s="235">
        <f>轉向量!F464</f>
        <v>0</v>
      </c>
      <c r="BA89" s="236">
        <f>轉向量!G464</f>
        <v>0</v>
      </c>
      <c r="BB89" s="235">
        <f>轉向量!I464</f>
        <v>0</v>
      </c>
      <c r="BC89" s="235">
        <f>轉向量!J464</f>
        <v>0</v>
      </c>
      <c r="BD89" s="235">
        <f>轉向量!K464</f>
        <v>0</v>
      </c>
      <c r="BE89" s="236">
        <f>轉向量!L464</f>
        <v>0</v>
      </c>
      <c r="BF89" s="235">
        <f>轉向量!N464</f>
        <v>0</v>
      </c>
      <c r="BG89" s="235">
        <f>轉向量!O464</f>
        <v>0</v>
      </c>
      <c r="BH89" s="235">
        <f>轉向量!P464</f>
        <v>0</v>
      </c>
      <c r="BI89" s="236">
        <f>轉向量!Q464</f>
        <v>0</v>
      </c>
      <c r="BK89" s="2"/>
    </row>
    <row r="90" spans="1:63">
      <c r="A90" s="28">
        <v>1945</v>
      </c>
      <c r="B90" s="184">
        <f>轉向量!E81</f>
        <v>0</v>
      </c>
      <c r="C90" s="184">
        <f>轉向量!F81</f>
        <v>0</v>
      </c>
      <c r="D90" s="184">
        <f>轉向量!G81</f>
        <v>0</v>
      </c>
      <c r="E90" s="185">
        <f>轉向量!H81</f>
        <v>0</v>
      </c>
      <c r="F90" s="186">
        <f>轉向量!J81</f>
        <v>0</v>
      </c>
      <c r="G90" s="184">
        <f>轉向量!K81</f>
        <v>0</v>
      </c>
      <c r="H90" s="184">
        <f>轉向量!L81</f>
        <v>0</v>
      </c>
      <c r="I90" s="185">
        <f>轉向量!M81</f>
        <v>0</v>
      </c>
      <c r="J90" s="186">
        <f>轉向量!O81</f>
        <v>0</v>
      </c>
      <c r="K90" s="184">
        <f>轉向量!P81</f>
        <v>0</v>
      </c>
      <c r="L90" s="184">
        <f>轉向量!Q81</f>
        <v>0</v>
      </c>
      <c r="M90" s="185">
        <f>轉向量!R81</f>
        <v>0</v>
      </c>
      <c r="N90" s="187">
        <f>轉向量!D177</f>
        <v>0</v>
      </c>
      <c r="O90" s="188">
        <f>轉向量!F177</f>
        <v>0</v>
      </c>
      <c r="P90" s="188">
        <f>轉向量!G177</f>
        <v>0</v>
      </c>
      <c r="Q90" s="189">
        <f>轉向量!H177</f>
        <v>0</v>
      </c>
      <c r="R90" s="187">
        <f>轉向量!I177</f>
        <v>0</v>
      </c>
      <c r="S90" s="188">
        <f>轉向量!K177</f>
        <v>0</v>
      </c>
      <c r="T90" s="188">
        <f>轉向量!L177</f>
        <v>0</v>
      </c>
      <c r="U90" s="189">
        <f>轉向量!M177</f>
        <v>0</v>
      </c>
      <c r="V90" s="188">
        <f>轉向量!N177</f>
        <v>0</v>
      </c>
      <c r="W90" s="188">
        <f>轉向量!P177</f>
        <v>0</v>
      </c>
      <c r="X90" s="188">
        <f>轉向量!Q177</f>
        <v>0</v>
      </c>
      <c r="Y90" s="189">
        <f>轉向量!R177</f>
        <v>0</v>
      </c>
      <c r="Z90" s="209">
        <f>轉向量!D273</f>
        <v>0</v>
      </c>
      <c r="AA90" s="210">
        <f>轉向量!E273</f>
        <v>0</v>
      </c>
      <c r="AB90" s="210">
        <f>轉向量!G273</f>
        <v>0</v>
      </c>
      <c r="AC90" s="211">
        <f>轉向量!H273</f>
        <v>0</v>
      </c>
      <c r="AD90" s="210">
        <f>轉向量!I273</f>
        <v>0</v>
      </c>
      <c r="AE90" s="210">
        <f>轉向量!J273</f>
        <v>0</v>
      </c>
      <c r="AF90" s="210">
        <f>轉向量!L273</f>
        <v>0</v>
      </c>
      <c r="AG90" s="211">
        <f>轉向量!M273</f>
        <v>0</v>
      </c>
      <c r="AH90" s="210">
        <f>轉向量!N273</f>
        <v>0</v>
      </c>
      <c r="AI90" s="210">
        <f>轉向量!O273</f>
        <v>0</v>
      </c>
      <c r="AJ90" s="210">
        <f>轉向量!Q273</f>
        <v>0</v>
      </c>
      <c r="AK90" s="211">
        <f>轉向量!R273</f>
        <v>0</v>
      </c>
      <c r="AL90" s="221">
        <f>轉向量!D369</f>
        <v>0</v>
      </c>
      <c r="AM90" s="222">
        <f>轉向量!E369</f>
        <v>0</v>
      </c>
      <c r="AN90" s="222">
        <f>轉向量!F369</f>
        <v>0</v>
      </c>
      <c r="AO90" s="223">
        <f>轉向量!H369</f>
        <v>0</v>
      </c>
      <c r="AP90" s="222">
        <f>轉向量!I369</f>
        <v>0</v>
      </c>
      <c r="AQ90" s="222">
        <f>轉向量!J369</f>
        <v>0</v>
      </c>
      <c r="AR90" s="222">
        <f>轉向量!K369</f>
        <v>0</v>
      </c>
      <c r="AS90" s="223">
        <f>轉向量!M369</f>
        <v>0</v>
      </c>
      <c r="AT90" s="222">
        <f>轉向量!N369</f>
        <v>0</v>
      </c>
      <c r="AU90" s="222">
        <f>轉向量!O369</f>
        <v>0</v>
      </c>
      <c r="AV90" s="222">
        <f>轉向量!P369</f>
        <v>0</v>
      </c>
      <c r="AW90" s="223">
        <f>轉向量!R369</f>
        <v>0</v>
      </c>
      <c r="AX90" s="234">
        <f>轉向量!D465</f>
        <v>0</v>
      </c>
      <c r="AY90" s="235">
        <f>轉向量!E465</f>
        <v>0</v>
      </c>
      <c r="AZ90" s="235">
        <f>轉向量!F465</f>
        <v>0</v>
      </c>
      <c r="BA90" s="236">
        <f>轉向量!G465</f>
        <v>0</v>
      </c>
      <c r="BB90" s="235">
        <f>轉向量!I465</f>
        <v>0</v>
      </c>
      <c r="BC90" s="235">
        <f>轉向量!J465</f>
        <v>0</v>
      </c>
      <c r="BD90" s="235">
        <f>轉向量!K465</f>
        <v>0</v>
      </c>
      <c r="BE90" s="236">
        <f>轉向量!L465</f>
        <v>0</v>
      </c>
      <c r="BF90" s="235">
        <f>轉向量!N465</f>
        <v>0</v>
      </c>
      <c r="BG90" s="235">
        <f>轉向量!O465</f>
        <v>0</v>
      </c>
      <c r="BH90" s="235">
        <f>轉向量!P465</f>
        <v>0</v>
      </c>
      <c r="BI90" s="236">
        <f>轉向量!Q465</f>
        <v>0</v>
      </c>
      <c r="BK90" s="2"/>
    </row>
    <row r="91" spans="1:63">
      <c r="A91" s="28">
        <v>2000</v>
      </c>
      <c r="B91" s="184">
        <f>轉向量!E82</f>
        <v>0</v>
      </c>
      <c r="C91" s="184">
        <f>轉向量!F82</f>
        <v>0</v>
      </c>
      <c r="D91" s="184">
        <f>轉向量!G82</f>
        <v>0</v>
      </c>
      <c r="E91" s="185">
        <f>轉向量!H82</f>
        <v>0</v>
      </c>
      <c r="F91" s="186">
        <f>轉向量!J82</f>
        <v>0</v>
      </c>
      <c r="G91" s="184">
        <f>轉向量!K82</f>
        <v>0</v>
      </c>
      <c r="H91" s="184">
        <f>轉向量!L82</f>
        <v>0</v>
      </c>
      <c r="I91" s="185">
        <f>轉向量!M82</f>
        <v>0</v>
      </c>
      <c r="J91" s="186">
        <f>轉向量!O82</f>
        <v>0</v>
      </c>
      <c r="K91" s="184">
        <f>轉向量!P82</f>
        <v>0</v>
      </c>
      <c r="L91" s="184">
        <f>轉向量!Q82</f>
        <v>0</v>
      </c>
      <c r="M91" s="185">
        <f>轉向量!R82</f>
        <v>0</v>
      </c>
      <c r="N91" s="187">
        <f>轉向量!D178</f>
        <v>0</v>
      </c>
      <c r="O91" s="188">
        <f>轉向量!F178</f>
        <v>0</v>
      </c>
      <c r="P91" s="188">
        <f>轉向量!G178</f>
        <v>0</v>
      </c>
      <c r="Q91" s="189">
        <f>轉向量!H178</f>
        <v>0</v>
      </c>
      <c r="R91" s="187">
        <f>轉向量!I178</f>
        <v>0</v>
      </c>
      <c r="S91" s="188">
        <f>轉向量!K178</f>
        <v>0</v>
      </c>
      <c r="T91" s="188">
        <f>轉向量!L178</f>
        <v>0</v>
      </c>
      <c r="U91" s="189">
        <f>轉向量!M178</f>
        <v>0</v>
      </c>
      <c r="V91" s="188">
        <f>轉向量!N178</f>
        <v>0</v>
      </c>
      <c r="W91" s="188">
        <f>轉向量!P178</f>
        <v>0</v>
      </c>
      <c r="X91" s="188">
        <f>轉向量!Q178</f>
        <v>0</v>
      </c>
      <c r="Y91" s="189">
        <f>轉向量!R178</f>
        <v>0</v>
      </c>
      <c r="Z91" s="209">
        <f>轉向量!D274</f>
        <v>0</v>
      </c>
      <c r="AA91" s="210">
        <f>轉向量!E274</f>
        <v>0</v>
      </c>
      <c r="AB91" s="210">
        <f>轉向量!G274</f>
        <v>0</v>
      </c>
      <c r="AC91" s="211">
        <f>轉向量!H274</f>
        <v>0</v>
      </c>
      <c r="AD91" s="210">
        <f>轉向量!I274</f>
        <v>0</v>
      </c>
      <c r="AE91" s="210">
        <f>轉向量!J274</f>
        <v>0</v>
      </c>
      <c r="AF91" s="210">
        <f>轉向量!L274</f>
        <v>0</v>
      </c>
      <c r="AG91" s="211">
        <f>轉向量!M274</f>
        <v>0</v>
      </c>
      <c r="AH91" s="210">
        <f>轉向量!N274</f>
        <v>0</v>
      </c>
      <c r="AI91" s="210">
        <f>轉向量!O274</f>
        <v>0</v>
      </c>
      <c r="AJ91" s="210">
        <f>轉向量!Q274</f>
        <v>0</v>
      </c>
      <c r="AK91" s="211">
        <f>轉向量!R274</f>
        <v>0</v>
      </c>
      <c r="AL91" s="221">
        <f>轉向量!D370</f>
        <v>0</v>
      </c>
      <c r="AM91" s="222">
        <f>轉向量!E370</f>
        <v>0</v>
      </c>
      <c r="AN91" s="222">
        <f>轉向量!F370</f>
        <v>0</v>
      </c>
      <c r="AO91" s="223">
        <f>轉向量!H370</f>
        <v>0</v>
      </c>
      <c r="AP91" s="222">
        <f>轉向量!I370</f>
        <v>0</v>
      </c>
      <c r="AQ91" s="222">
        <f>轉向量!J370</f>
        <v>0</v>
      </c>
      <c r="AR91" s="222">
        <f>轉向量!K370</f>
        <v>0</v>
      </c>
      <c r="AS91" s="223">
        <f>轉向量!M370</f>
        <v>0</v>
      </c>
      <c r="AT91" s="222">
        <f>轉向量!N370</f>
        <v>0</v>
      </c>
      <c r="AU91" s="222">
        <f>轉向量!O370</f>
        <v>0</v>
      </c>
      <c r="AV91" s="222">
        <f>轉向量!P370</f>
        <v>0</v>
      </c>
      <c r="AW91" s="223">
        <f>轉向量!R370</f>
        <v>0</v>
      </c>
      <c r="AX91" s="234">
        <f>轉向量!D466</f>
        <v>0</v>
      </c>
      <c r="AY91" s="235">
        <f>轉向量!E466</f>
        <v>0</v>
      </c>
      <c r="AZ91" s="235">
        <f>轉向量!F466</f>
        <v>0</v>
      </c>
      <c r="BA91" s="236">
        <f>轉向量!G466</f>
        <v>0</v>
      </c>
      <c r="BB91" s="235">
        <f>轉向量!I466</f>
        <v>0</v>
      </c>
      <c r="BC91" s="235">
        <f>轉向量!J466</f>
        <v>0</v>
      </c>
      <c r="BD91" s="235">
        <f>轉向量!K466</f>
        <v>0</v>
      </c>
      <c r="BE91" s="236">
        <f>轉向量!L466</f>
        <v>0</v>
      </c>
      <c r="BF91" s="235">
        <f>轉向量!N466</f>
        <v>0</v>
      </c>
      <c r="BG91" s="235">
        <f>轉向量!O466</f>
        <v>0</v>
      </c>
      <c r="BH91" s="235">
        <f>轉向量!P466</f>
        <v>0</v>
      </c>
      <c r="BI91" s="236">
        <f>轉向量!Q466</f>
        <v>0</v>
      </c>
      <c r="BK91" s="2"/>
    </row>
    <row r="92" spans="1:63">
      <c r="A92" s="28">
        <v>2015</v>
      </c>
      <c r="B92" s="184">
        <f>轉向量!E83</f>
        <v>0</v>
      </c>
      <c r="C92" s="184">
        <f>轉向量!F83</f>
        <v>0</v>
      </c>
      <c r="D92" s="184">
        <f>轉向量!G83</f>
        <v>0</v>
      </c>
      <c r="E92" s="185">
        <f>轉向量!H83</f>
        <v>0</v>
      </c>
      <c r="F92" s="186">
        <f>轉向量!J83</f>
        <v>0</v>
      </c>
      <c r="G92" s="184">
        <f>轉向量!K83</f>
        <v>0</v>
      </c>
      <c r="H92" s="184">
        <f>轉向量!L83</f>
        <v>0</v>
      </c>
      <c r="I92" s="185">
        <f>轉向量!M83</f>
        <v>0</v>
      </c>
      <c r="J92" s="186">
        <f>轉向量!O83</f>
        <v>0</v>
      </c>
      <c r="K92" s="184">
        <f>轉向量!P83</f>
        <v>0</v>
      </c>
      <c r="L92" s="184">
        <f>轉向量!Q83</f>
        <v>0</v>
      </c>
      <c r="M92" s="185">
        <f>轉向量!R83</f>
        <v>0</v>
      </c>
      <c r="N92" s="187">
        <f>轉向量!D179</f>
        <v>0</v>
      </c>
      <c r="O92" s="188">
        <f>轉向量!F179</f>
        <v>0</v>
      </c>
      <c r="P92" s="188">
        <f>轉向量!G179</f>
        <v>0</v>
      </c>
      <c r="Q92" s="189">
        <f>轉向量!H179</f>
        <v>0</v>
      </c>
      <c r="R92" s="187">
        <f>轉向量!I179</f>
        <v>0</v>
      </c>
      <c r="S92" s="188">
        <f>轉向量!K179</f>
        <v>0</v>
      </c>
      <c r="T92" s="188">
        <f>轉向量!L179</f>
        <v>0</v>
      </c>
      <c r="U92" s="189">
        <f>轉向量!M179</f>
        <v>0</v>
      </c>
      <c r="V92" s="188">
        <f>轉向量!N179</f>
        <v>0</v>
      </c>
      <c r="W92" s="188">
        <f>轉向量!P179</f>
        <v>0</v>
      </c>
      <c r="X92" s="188">
        <f>轉向量!Q179</f>
        <v>0</v>
      </c>
      <c r="Y92" s="189">
        <f>轉向量!R179</f>
        <v>0</v>
      </c>
      <c r="Z92" s="209">
        <f>轉向量!D275</f>
        <v>0</v>
      </c>
      <c r="AA92" s="210">
        <f>轉向量!E275</f>
        <v>0</v>
      </c>
      <c r="AB92" s="210">
        <f>轉向量!G275</f>
        <v>0</v>
      </c>
      <c r="AC92" s="211">
        <f>轉向量!H275</f>
        <v>0</v>
      </c>
      <c r="AD92" s="210">
        <f>轉向量!I275</f>
        <v>0</v>
      </c>
      <c r="AE92" s="210">
        <f>轉向量!J275</f>
        <v>0</v>
      </c>
      <c r="AF92" s="210">
        <f>轉向量!L275</f>
        <v>0</v>
      </c>
      <c r="AG92" s="211">
        <f>轉向量!M275</f>
        <v>0</v>
      </c>
      <c r="AH92" s="210">
        <f>轉向量!N275</f>
        <v>0</v>
      </c>
      <c r="AI92" s="210">
        <f>轉向量!O275</f>
        <v>0</v>
      </c>
      <c r="AJ92" s="210">
        <f>轉向量!Q275</f>
        <v>0</v>
      </c>
      <c r="AK92" s="211">
        <f>轉向量!R275</f>
        <v>0</v>
      </c>
      <c r="AL92" s="221">
        <f>轉向量!D371</f>
        <v>0</v>
      </c>
      <c r="AM92" s="222">
        <f>轉向量!E371</f>
        <v>0</v>
      </c>
      <c r="AN92" s="222">
        <f>轉向量!F371</f>
        <v>0</v>
      </c>
      <c r="AO92" s="223">
        <f>轉向量!H371</f>
        <v>0</v>
      </c>
      <c r="AP92" s="222">
        <f>轉向量!I371</f>
        <v>0</v>
      </c>
      <c r="AQ92" s="222">
        <f>轉向量!J371</f>
        <v>0</v>
      </c>
      <c r="AR92" s="222">
        <f>轉向量!K371</f>
        <v>0</v>
      </c>
      <c r="AS92" s="223">
        <f>轉向量!M371</f>
        <v>0</v>
      </c>
      <c r="AT92" s="222">
        <f>轉向量!N371</f>
        <v>0</v>
      </c>
      <c r="AU92" s="222">
        <f>轉向量!O371</f>
        <v>0</v>
      </c>
      <c r="AV92" s="222">
        <f>轉向量!P371</f>
        <v>0</v>
      </c>
      <c r="AW92" s="223">
        <f>轉向量!R371</f>
        <v>0</v>
      </c>
      <c r="AX92" s="234">
        <f>轉向量!D467</f>
        <v>0</v>
      </c>
      <c r="AY92" s="235">
        <f>轉向量!E467</f>
        <v>0</v>
      </c>
      <c r="AZ92" s="235">
        <f>轉向量!F467</f>
        <v>0</v>
      </c>
      <c r="BA92" s="236">
        <f>轉向量!G467</f>
        <v>0</v>
      </c>
      <c r="BB92" s="235">
        <f>轉向量!I467</f>
        <v>0</v>
      </c>
      <c r="BC92" s="235">
        <f>轉向量!J467</f>
        <v>0</v>
      </c>
      <c r="BD92" s="235">
        <f>轉向量!K467</f>
        <v>0</v>
      </c>
      <c r="BE92" s="236">
        <f>轉向量!L467</f>
        <v>0</v>
      </c>
      <c r="BF92" s="235">
        <f>轉向量!N467</f>
        <v>0</v>
      </c>
      <c r="BG92" s="235">
        <f>轉向量!O467</f>
        <v>0</v>
      </c>
      <c r="BH92" s="235">
        <f>轉向量!P467</f>
        <v>0</v>
      </c>
      <c r="BI92" s="236">
        <f>轉向量!Q467</f>
        <v>0</v>
      </c>
      <c r="BK92" s="2"/>
    </row>
    <row r="93" spans="1:63">
      <c r="A93" s="28">
        <v>2030</v>
      </c>
      <c r="B93" s="184">
        <f>轉向量!E84</f>
        <v>0</v>
      </c>
      <c r="C93" s="184">
        <f>轉向量!F84</f>
        <v>0</v>
      </c>
      <c r="D93" s="184">
        <f>轉向量!G84</f>
        <v>0</v>
      </c>
      <c r="E93" s="185">
        <f>轉向量!H84</f>
        <v>0</v>
      </c>
      <c r="F93" s="186">
        <f>轉向量!J84</f>
        <v>0</v>
      </c>
      <c r="G93" s="184">
        <f>轉向量!K84</f>
        <v>0</v>
      </c>
      <c r="H93" s="184">
        <f>轉向量!L84</f>
        <v>0</v>
      </c>
      <c r="I93" s="185">
        <f>轉向量!M84</f>
        <v>0</v>
      </c>
      <c r="J93" s="186">
        <f>轉向量!O84</f>
        <v>0</v>
      </c>
      <c r="K93" s="184">
        <f>轉向量!P84</f>
        <v>0</v>
      </c>
      <c r="L93" s="184">
        <f>轉向量!Q84</f>
        <v>0</v>
      </c>
      <c r="M93" s="185">
        <f>轉向量!R84</f>
        <v>0</v>
      </c>
      <c r="N93" s="187">
        <f>轉向量!D180</f>
        <v>0</v>
      </c>
      <c r="O93" s="188">
        <f>轉向量!F180</f>
        <v>0</v>
      </c>
      <c r="P93" s="188">
        <f>轉向量!G180</f>
        <v>0</v>
      </c>
      <c r="Q93" s="189">
        <f>轉向量!H180</f>
        <v>0</v>
      </c>
      <c r="R93" s="187">
        <f>轉向量!I180</f>
        <v>0</v>
      </c>
      <c r="S93" s="188">
        <f>轉向量!K180</f>
        <v>0</v>
      </c>
      <c r="T93" s="188">
        <f>轉向量!L180</f>
        <v>0</v>
      </c>
      <c r="U93" s="189">
        <f>轉向量!M180</f>
        <v>0</v>
      </c>
      <c r="V93" s="188">
        <f>轉向量!N180</f>
        <v>0</v>
      </c>
      <c r="W93" s="188">
        <f>轉向量!P180</f>
        <v>0</v>
      </c>
      <c r="X93" s="188">
        <f>轉向量!Q180</f>
        <v>0</v>
      </c>
      <c r="Y93" s="189">
        <f>轉向量!R180</f>
        <v>0</v>
      </c>
      <c r="Z93" s="209">
        <f>轉向量!D276</f>
        <v>0</v>
      </c>
      <c r="AA93" s="210">
        <f>轉向量!E276</f>
        <v>0</v>
      </c>
      <c r="AB93" s="210">
        <f>轉向量!G276</f>
        <v>0</v>
      </c>
      <c r="AC93" s="211">
        <f>轉向量!H276</f>
        <v>0</v>
      </c>
      <c r="AD93" s="210">
        <f>轉向量!I276</f>
        <v>0</v>
      </c>
      <c r="AE93" s="210">
        <f>轉向量!J276</f>
        <v>0</v>
      </c>
      <c r="AF93" s="210">
        <f>轉向量!L276</f>
        <v>0</v>
      </c>
      <c r="AG93" s="211">
        <f>轉向量!M276</f>
        <v>0</v>
      </c>
      <c r="AH93" s="210">
        <f>轉向量!N276</f>
        <v>0</v>
      </c>
      <c r="AI93" s="210">
        <f>轉向量!O276</f>
        <v>0</v>
      </c>
      <c r="AJ93" s="210">
        <f>轉向量!Q276</f>
        <v>0</v>
      </c>
      <c r="AK93" s="211">
        <f>轉向量!R276</f>
        <v>0</v>
      </c>
      <c r="AL93" s="221">
        <f>轉向量!D372</f>
        <v>0</v>
      </c>
      <c r="AM93" s="222">
        <f>轉向量!E372</f>
        <v>0</v>
      </c>
      <c r="AN93" s="222">
        <f>轉向量!F372</f>
        <v>0</v>
      </c>
      <c r="AO93" s="223">
        <f>轉向量!H372</f>
        <v>0</v>
      </c>
      <c r="AP93" s="222">
        <f>轉向量!I372</f>
        <v>0</v>
      </c>
      <c r="AQ93" s="222">
        <f>轉向量!J372</f>
        <v>0</v>
      </c>
      <c r="AR93" s="222">
        <f>轉向量!K372</f>
        <v>0</v>
      </c>
      <c r="AS93" s="223">
        <f>轉向量!M372</f>
        <v>0</v>
      </c>
      <c r="AT93" s="222">
        <f>轉向量!N372</f>
        <v>0</v>
      </c>
      <c r="AU93" s="222">
        <f>轉向量!O372</f>
        <v>0</v>
      </c>
      <c r="AV93" s="222">
        <f>轉向量!P372</f>
        <v>0</v>
      </c>
      <c r="AW93" s="223">
        <f>轉向量!R372</f>
        <v>0</v>
      </c>
      <c r="AX93" s="234">
        <f>轉向量!D468</f>
        <v>0</v>
      </c>
      <c r="AY93" s="235">
        <f>轉向量!E468</f>
        <v>0</v>
      </c>
      <c r="AZ93" s="235">
        <f>轉向量!F468</f>
        <v>0</v>
      </c>
      <c r="BA93" s="236">
        <f>轉向量!G468</f>
        <v>0</v>
      </c>
      <c r="BB93" s="235">
        <f>轉向量!I468</f>
        <v>0</v>
      </c>
      <c r="BC93" s="235">
        <f>轉向量!J468</f>
        <v>0</v>
      </c>
      <c r="BD93" s="235">
        <f>轉向量!K468</f>
        <v>0</v>
      </c>
      <c r="BE93" s="236">
        <f>轉向量!L468</f>
        <v>0</v>
      </c>
      <c r="BF93" s="235">
        <f>轉向量!N468</f>
        <v>0</v>
      </c>
      <c r="BG93" s="235">
        <f>轉向量!O468</f>
        <v>0</v>
      </c>
      <c r="BH93" s="235">
        <f>轉向量!P468</f>
        <v>0</v>
      </c>
      <c r="BI93" s="236">
        <f>轉向量!Q468</f>
        <v>0</v>
      </c>
      <c r="BK93" s="2"/>
    </row>
    <row r="94" spans="1:63">
      <c r="A94" s="28">
        <v>2045</v>
      </c>
      <c r="B94" s="184">
        <f>轉向量!E85</f>
        <v>0</v>
      </c>
      <c r="C94" s="184">
        <f>轉向量!F85</f>
        <v>0</v>
      </c>
      <c r="D94" s="184">
        <f>轉向量!G85</f>
        <v>0</v>
      </c>
      <c r="E94" s="185">
        <f>轉向量!H85</f>
        <v>0</v>
      </c>
      <c r="F94" s="186">
        <f>轉向量!J85</f>
        <v>0</v>
      </c>
      <c r="G94" s="184">
        <f>轉向量!K85</f>
        <v>0</v>
      </c>
      <c r="H94" s="184">
        <f>轉向量!L85</f>
        <v>0</v>
      </c>
      <c r="I94" s="185">
        <f>轉向量!M85</f>
        <v>0</v>
      </c>
      <c r="J94" s="186">
        <f>轉向量!O85</f>
        <v>0</v>
      </c>
      <c r="K94" s="184">
        <f>轉向量!P85</f>
        <v>0</v>
      </c>
      <c r="L94" s="184">
        <f>轉向量!Q85</f>
        <v>0</v>
      </c>
      <c r="M94" s="185">
        <f>轉向量!R85</f>
        <v>0</v>
      </c>
      <c r="N94" s="187">
        <f>轉向量!D181</f>
        <v>0</v>
      </c>
      <c r="O94" s="188">
        <f>轉向量!F181</f>
        <v>0</v>
      </c>
      <c r="P94" s="188">
        <f>轉向量!G181</f>
        <v>0</v>
      </c>
      <c r="Q94" s="189">
        <f>轉向量!H181</f>
        <v>0</v>
      </c>
      <c r="R94" s="187">
        <f>轉向量!I181</f>
        <v>0</v>
      </c>
      <c r="S94" s="188">
        <f>轉向量!K181</f>
        <v>0</v>
      </c>
      <c r="T94" s="188">
        <f>轉向量!L181</f>
        <v>0</v>
      </c>
      <c r="U94" s="189">
        <f>轉向量!M181</f>
        <v>0</v>
      </c>
      <c r="V94" s="188">
        <f>轉向量!N181</f>
        <v>0</v>
      </c>
      <c r="W94" s="188">
        <f>轉向量!P181</f>
        <v>0</v>
      </c>
      <c r="X94" s="188">
        <f>轉向量!Q181</f>
        <v>0</v>
      </c>
      <c r="Y94" s="189">
        <f>轉向量!R181</f>
        <v>0</v>
      </c>
      <c r="Z94" s="209">
        <f>轉向量!D277</f>
        <v>0</v>
      </c>
      <c r="AA94" s="210">
        <f>轉向量!E277</f>
        <v>0</v>
      </c>
      <c r="AB94" s="210">
        <f>轉向量!G277</f>
        <v>0</v>
      </c>
      <c r="AC94" s="211">
        <f>轉向量!H277</f>
        <v>0</v>
      </c>
      <c r="AD94" s="210">
        <f>轉向量!I277</f>
        <v>0</v>
      </c>
      <c r="AE94" s="210">
        <f>轉向量!J277</f>
        <v>0</v>
      </c>
      <c r="AF94" s="210">
        <f>轉向量!L277</f>
        <v>0</v>
      </c>
      <c r="AG94" s="211">
        <f>轉向量!M277</f>
        <v>0</v>
      </c>
      <c r="AH94" s="210">
        <f>轉向量!N277</f>
        <v>0</v>
      </c>
      <c r="AI94" s="210">
        <f>轉向量!O277</f>
        <v>0</v>
      </c>
      <c r="AJ94" s="210">
        <f>轉向量!Q277</f>
        <v>0</v>
      </c>
      <c r="AK94" s="211">
        <f>轉向量!R277</f>
        <v>0</v>
      </c>
      <c r="AL94" s="221">
        <f>轉向量!D373</f>
        <v>0</v>
      </c>
      <c r="AM94" s="222">
        <f>轉向量!E373</f>
        <v>0</v>
      </c>
      <c r="AN94" s="222">
        <f>轉向量!F373</f>
        <v>0</v>
      </c>
      <c r="AO94" s="223">
        <f>轉向量!H373</f>
        <v>0</v>
      </c>
      <c r="AP94" s="222">
        <f>轉向量!I373</f>
        <v>0</v>
      </c>
      <c r="AQ94" s="222">
        <f>轉向量!J373</f>
        <v>0</v>
      </c>
      <c r="AR94" s="222">
        <f>轉向量!K373</f>
        <v>0</v>
      </c>
      <c r="AS94" s="223">
        <f>轉向量!M373</f>
        <v>0</v>
      </c>
      <c r="AT94" s="222">
        <f>轉向量!N373</f>
        <v>0</v>
      </c>
      <c r="AU94" s="222">
        <f>轉向量!O373</f>
        <v>0</v>
      </c>
      <c r="AV94" s="222">
        <f>轉向量!P373</f>
        <v>0</v>
      </c>
      <c r="AW94" s="223">
        <f>轉向量!R373</f>
        <v>0</v>
      </c>
      <c r="AX94" s="234">
        <f>轉向量!D469</f>
        <v>0</v>
      </c>
      <c r="AY94" s="235">
        <f>轉向量!E469</f>
        <v>0</v>
      </c>
      <c r="AZ94" s="235">
        <f>轉向量!F469</f>
        <v>0</v>
      </c>
      <c r="BA94" s="236">
        <f>轉向量!G469</f>
        <v>0</v>
      </c>
      <c r="BB94" s="235">
        <f>轉向量!I469</f>
        <v>0</v>
      </c>
      <c r="BC94" s="235">
        <f>轉向量!J469</f>
        <v>0</v>
      </c>
      <c r="BD94" s="235">
        <f>轉向量!K469</f>
        <v>0</v>
      </c>
      <c r="BE94" s="236">
        <f>轉向量!L469</f>
        <v>0</v>
      </c>
      <c r="BF94" s="235">
        <f>轉向量!N469</f>
        <v>0</v>
      </c>
      <c r="BG94" s="235">
        <f>轉向量!O469</f>
        <v>0</v>
      </c>
      <c r="BH94" s="235">
        <f>轉向量!P469</f>
        <v>0</v>
      </c>
      <c r="BI94" s="236">
        <f>轉向量!Q469</f>
        <v>0</v>
      </c>
      <c r="BK94" s="2"/>
    </row>
    <row r="95" spans="1:63">
      <c r="A95" s="28">
        <v>2100</v>
      </c>
      <c r="B95" s="184">
        <f>轉向量!E86</f>
        <v>0</v>
      </c>
      <c r="C95" s="184">
        <f>轉向量!F86</f>
        <v>0</v>
      </c>
      <c r="D95" s="184">
        <f>轉向量!G86</f>
        <v>0</v>
      </c>
      <c r="E95" s="185">
        <f>轉向量!H86</f>
        <v>0</v>
      </c>
      <c r="F95" s="186">
        <f>轉向量!J86</f>
        <v>0</v>
      </c>
      <c r="G95" s="184">
        <f>轉向量!K86</f>
        <v>0</v>
      </c>
      <c r="H95" s="184">
        <f>轉向量!L86</f>
        <v>0</v>
      </c>
      <c r="I95" s="185">
        <f>轉向量!M86</f>
        <v>0</v>
      </c>
      <c r="J95" s="186">
        <f>轉向量!O86</f>
        <v>0</v>
      </c>
      <c r="K95" s="184">
        <f>轉向量!P86</f>
        <v>0</v>
      </c>
      <c r="L95" s="184">
        <f>轉向量!Q86</f>
        <v>0</v>
      </c>
      <c r="M95" s="185">
        <f>轉向量!R86</f>
        <v>0</v>
      </c>
      <c r="N95" s="187">
        <f>轉向量!D182</f>
        <v>0</v>
      </c>
      <c r="O95" s="188">
        <f>轉向量!F182</f>
        <v>0</v>
      </c>
      <c r="P95" s="188">
        <f>轉向量!G182</f>
        <v>0</v>
      </c>
      <c r="Q95" s="189">
        <f>轉向量!H182</f>
        <v>0</v>
      </c>
      <c r="R95" s="187">
        <f>轉向量!I182</f>
        <v>0</v>
      </c>
      <c r="S95" s="188">
        <f>轉向量!K182</f>
        <v>0</v>
      </c>
      <c r="T95" s="188">
        <f>轉向量!L182</f>
        <v>0</v>
      </c>
      <c r="U95" s="189">
        <f>轉向量!M182</f>
        <v>0</v>
      </c>
      <c r="V95" s="188">
        <f>轉向量!N182</f>
        <v>0</v>
      </c>
      <c r="W95" s="188">
        <f>轉向量!P182</f>
        <v>0</v>
      </c>
      <c r="X95" s="188">
        <f>轉向量!Q182</f>
        <v>0</v>
      </c>
      <c r="Y95" s="189">
        <f>轉向量!R182</f>
        <v>0</v>
      </c>
      <c r="Z95" s="209">
        <f>轉向量!D278</f>
        <v>0</v>
      </c>
      <c r="AA95" s="210">
        <f>轉向量!E278</f>
        <v>0</v>
      </c>
      <c r="AB95" s="210">
        <f>轉向量!G278</f>
        <v>0</v>
      </c>
      <c r="AC95" s="211">
        <f>轉向量!H278</f>
        <v>0</v>
      </c>
      <c r="AD95" s="210">
        <f>轉向量!I278</f>
        <v>0</v>
      </c>
      <c r="AE95" s="210">
        <f>轉向量!J278</f>
        <v>0</v>
      </c>
      <c r="AF95" s="210">
        <f>轉向量!L278</f>
        <v>0</v>
      </c>
      <c r="AG95" s="211">
        <f>轉向量!M278</f>
        <v>0</v>
      </c>
      <c r="AH95" s="210">
        <f>轉向量!N278</f>
        <v>0</v>
      </c>
      <c r="AI95" s="210">
        <f>轉向量!O278</f>
        <v>0</v>
      </c>
      <c r="AJ95" s="210">
        <f>轉向量!Q278</f>
        <v>0</v>
      </c>
      <c r="AK95" s="211">
        <f>轉向量!R278</f>
        <v>0</v>
      </c>
      <c r="AL95" s="221">
        <f>轉向量!D374</f>
        <v>0</v>
      </c>
      <c r="AM95" s="222">
        <f>轉向量!E374</f>
        <v>0</v>
      </c>
      <c r="AN95" s="222">
        <f>轉向量!F374</f>
        <v>0</v>
      </c>
      <c r="AO95" s="223">
        <f>轉向量!H374</f>
        <v>0</v>
      </c>
      <c r="AP95" s="222">
        <f>轉向量!I374</f>
        <v>0</v>
      </c>
      <c r="AQ95" s="222">
        <f>轉向量!J374</f>
        <v>0</v>
      </c>
      <c r="AR95" s="222">
        <f>轉向量!K374</f>
        <v>0</v>
      </c>
      <c r="AS95" s="223">
        <f>轉向量!M374</f>
        <v>0</v>
      </c>
      <c r="AT95" s="222">
        <f>轉向量!N374</f>
        <v>0</v>
      </c>
      <c r="AU95" s="222">
        <f>轉向量!O374</f>
        <v>0</v>
      </c>
      <c r="AV95" s="222">
        <f>轉向量!P374</f>
        <v>0</v>
      </c>
      <c r="AW95" s="223">
        <f>轉向量!R374</f>
        <v>0</v>
      </c>
      <c r="AX95" s="234">
        <f>轉向量!D470</f>
        <v>0</v>
      </c>
      <c r="AY95" s="235">
        <f>轉向量!E470</f>
        <v>0</v>
      </c>
      <c r="AZ95" s="235">
        <f>轉向量!F470</f>
        <v>0</v>
      </c>
      <c r="BA95" s="236">
        <f>轉向量!G470</f>
        <v>0</v>
      </c>
      <c r="BB95" s="235">
        <f>轉向量!I470</f>
        <v>0</v>
      </c>
      <c r="BC95" s="235">
        <f>轉向量!J470</f>
        <v>0</v>
      </c>
      <c r="BD95" s="235">
        <f>轉向量!K470</f>
        <v>0</v>
      </c>
      <c r="BE95" s="236">
        <f>轉向量!L470</f>
        <v>0</v>
      </c>
      <c r="BF95" s="235">
        <f>轉向量!N470</f>
        <v>0</v>
      </c>
      <c r="BG95" s="235">
        <f>轉向量!O470</f>
        <v>0</v>
      </c>
      <c r="BH95" s="235">
        <f>轉向量!P470</f>
        <v>0</v>
      </c>
      <c r="BI95" s="236">
        <f>轉向量!Q470</f>
        <v>0</v>
      </c>
      <c r="BK95" s="2"/>
    </row>
    <row r="96" spans="1:63">
      <c r="A96" s="28">
        <v>2115</v>
      </c>
      <c r="B96" s="184">
        <f>轉向量!E87</f>
        <v>0</v>
      </c>
      <c r="C96" s="184">
        <f>轉向量!F87</f>
        <v>0</v>
      </c>
      <c r="D96" s="184">
        <f>轉向量!G87</f>
        <v>0</v>
      </c>
      <c r="E96" s="185">
        <f>轉向量!H87</f>
        <v>0</v>
      </c>
      <c r="F96" s="186">
        <f>轉向量!J87</f>
        <v>0</v>
      </c>
      <c r="G96" s="184">
        <f>轉向量!K87</f>
        <v>0</v>
      </c>
      <c r="H96" s="184">
        <f>轉向量!L87</f>
        <v>0</v>
      </c>
      <c r="I96" s="185">
        <f>轉向量!M87</f>
        <v>0</v>
      </c>
      <c r="J96" s="186">
        <f>轉向量!O87</f>
        <v>0</v>
      </c>
      <c r="K96" s="184">
        <f>轉向量!P87</f>
        <v>0</v>
      </c>
      <c r="L96" s="184">
        <f>轉向量!Q87</f>
        <v>0</v>
      </c>
      <c r="M96" s="185">
        <f>轉向量!R87</f>
        <v>0</v>
      </c>
      <c r="N96" s="187">
        <f>轉向量!D183</f>
        <v>0</v>
      </c>
      <c r="O96" s="188">
        <f>轉向量!F183</f>
        <v>0</v>
      </c>
      <c r="P96" s="188">
        <f>轉向量!G183</f>
        <v>0</v>
      </c>
      <c r="Q96" s="189">
        <f>轉向量!H183</f>
        <v>0</v>
      </c>
      <c r="R96" s="187">
        <f>轉向量!I183</f>
        <v>0</v>
      </c>
      <c r="S96" s="188">
        <f>轉向量!K183</f>
        <v>0</v>
      </c>
      <c r="T96" s="188">
        <f>轉向量!L183</f>
        <v>0</v>
      </c>
      <c r="U96" s="189">
        <f>轉向量!M183</f>
        <v>0</v>
      </c>
      <c r="V96" s="188">
        <f>轉向量!N183</f>
        <v>0</v>
      </c>
      <c r="W96" s="188">
        <f>轉向量!P183</f>
        <v>0</v>
      </c>
      <c r="X96" s="188">
        <f>轉向量!Q183</f>
        <v>0</v>
      </c>
      <c r="Y96" s="189">
        <f>轉向量!R183</f>
        <v>0</v>
      </c>
      <c r="Z96" s="209">
        <f>轉向量!D279</f>
        <v>0</v>
      </c>
      <c r="AA96" s="210">
        <f>轉向量!E279</f>
        <v>0</v>
      </c>
      <c r="AB96" s="210">
        <f>轉向量!G279</f>
        <v>0</v>
      </c>
      <c r="AC96" s="211">
        <f>轉向量!H279</f>
        <v>0</v>
      </c>
      <c r="AD96" s="210">
        <f>轉向量!I279</f>
        <v>0</v>
      </c>
      <c r="AE96" s="210">
        <f>轉向量!J279</f>
        <v>0</v>
      </c>
      <c r="AF96" s="210">
        <f>轉向量!L279</f>
        <v>0</v>
      </c>
      <c r="AG96" s="211">
        <f>轉向量!M279</f>
        <v>0</v>
      </c>
      <c r="AH96" s="210">
        <f>轉向量!N279</f>
        <v>0</v>
      </c>
      <c r="AI96" s="210">
        <f>轉向量!O279</f>
        <v>0</v>
      </c>
      <c r="AJ96" s="210">
        <f>轉向量!Q279</f>
        <v>0</v>
      </c>
      <c r="AK96" s="211">
        <f>轉向量!R279</f>
        <v>0</v>
      </c>
      <c r="AL96" s="221">
        <f>轉向量!D375</f>
        <v>0</v>
      </c>
      <c r="AM96" s="222">
        <f>轉向量!E375</f>
        <v>0</v>
      </c>
      <c r="AN96" s="222">
        <f>轉向量!F375</f>
        <v>0</v>
      </c>
      <c r="AO96" s="223">
        <f>轉向量!H375</f>
        <v>0</v>
      </c>
      <c r="AP96" s="222">
        <f>轉向量!I375</f>
        <v>0</v>
      </c>
      <c r="AQ96" s="222">
        <f>轉向量!J375</f>
        <v>0</v>
      </c>
      <c r="AR96" s="222">
        <f>轉向量!K375</f>
        <v>0</v>
      </c>
      <c r="AS96" s="223">
        <f>轉向量!M375</f>
        <v>0</v>
      </c>
      <c r="AT96" s="222">
        <f>轉向量!N375</f>
        <v>0</v>
      </c>
      <c r="AU96" s="222">
        <f>轉向量!O375</f>
        <v>0</v>
      </c>
      <c r="AV96" s="222">
        <f>轉向量!P375</f>
        <v>0</v>
      </c>
      <c r="AW96" s="223">
        <f>轉向量!R375</f>
        <v>0</v>
      </c>
      <c r="AX96" s="234">
        <f>轉向量!D471</f>
        <v>0</v>
      </c>
      <c r="AY96" s="235">
        <f>轉向量!E471</f>
        <v>0</v>
      </c>
      <c r="AZ96" s="235">
        <f>轉向量!F471</f>
        <v>0</v>
      </c>
      <c r="BA96" s="236">
        <f>轉向量!G471</f>
        <v>0</v>
      </c>
      <c r="BB96" s="235">
        <f>轉向量!I471</f>
        <v>0</v>
      </c>
      <c r="BC96" s="235">
        <f>轉向量!J471</f>
        <v>0</v>
      </c>
      <c r="BD96" s="235">
        <f>轉向量!K471</f>
        <v>0</v>
      </c>
      <c r="BE96" s="236">
        <f>轉向量!L471</f>
        <v>0</v>
      </c>
      <c r="BF96" s="235">
        <f>轉向量!N471</f>
        <v>0</v>
      </c>
      <c r="BG96" s="235">
        <f>轉向量!O471</f>
        <v>0</v>
      </c>
      <c r="BH96" s="235">
        <f>轉向量!P471</f>
        <v>0</v>
      </c>
      <c r="BI96" s="236">
        <f>轉向量!Q471</f>
        <v>0</v>
      </c>
      <c r="BK96" s="2"/>
    </row>
    <row r="97" spans="1:63">
      <c r="A97" s="28">
        <v>2130</v>
      </c>
      <c r="B97" s="184">
        <f>轉向量!E88</f>
        <v>0</v>
      </c>
      <c r="C97" s="184">
        <f>轉向量!F88</f>
        <v>0</v>
      </c>
      <c r="D97" s="184">
        <f>轉向量!G88</f>
        <v>0</v>
      </c>
      <c r="E97" s="185">
        <f>轉向量!H88</f>
        <v>0</v>
      </c>
      <c r="F97" s="186">
        <f>轉向量!J88</f>
        <v>0</v>
      </c>
      <c r="G97" s="184">
        <f>轉向量!K88</f>
        <v>0</v>
      </c>
      <c r="H97" s="184">
        <f>轉向量!L88</f>
        <v>0</v>
      </c>
      <c r="I97" s="185">
        <f>轉向量!M88</f>
        <v>0</v>
      </c>
      <c r="J97" s="186">
        <f>轉向量!O88</f>
        <v>0</v>
      </c>
      <c r="K97" s="184">
        <f>轉向量!P88</f>
        <v>0</v>
      </c>
      <c r="L97" s="184">
        <f>轉向量!Q88</f>
        <v>0</v>
      </c>
      <c r="M97" s="185">
        <f>轉向量!R88</f>
        <v>0</v>
      </c>
      <c r="N97" s="187">
        <f>轉向量!D184</f>
        <v>0</v>
      </c>
      <c r="O97" s="188">
        <f>轉向量!F184</f>
        <v>0</v>
      </c>
      <c r="P97" s="188">
        <f>轉向量!G184</f>
        <v>0</v>
      </c>
      <c r="Q97" s="189">
        <f>轉向量!H184</f>
        <v>0</v>
      </c>
      <c r="R97" s="187">
        <f>轉向量!I184</f>
        <v>0</v>
      </c>
      <c r="S97" s="188">
        <f>轉向量!K184</f>
        <v>0</v>
      </c>
      <c r="T97" s="188">
        <f>轉向量!L184</f>
        <v>0</v>
      </c>
      <c r="U97" s="189">
        <f>轉向量!M184</f>
        <v>0</v>
      </c>
      <c r="V97" s="188">
        <f>轉向量!N184</f>
        <v>0</v>
      </c>
      <c r="W97" s="188">
        <f>轉向量!P184</f>
        <v>0</v>
      </c>
      <c r="X97" s="188">
        <f>轉向量!Q184</f>
        <v>0</v>
      </c>
      <c r="Y97" s="189">
        <f>轉向量!R184</f>
        <v>0</v>
      </c>
      <c r="Z97" s="209">
        <f>轉向量!D280</f>
        <v>0</v>
      </c>
      <c r="AA97" s="210">
        <f>轉向量!E280</f>
        <v>0</v>
      </c>
      <c r="AB97" s="210">
        <f>轉向量!G280</f>
        <v>0</v>
      </c>
      <c r="AC97" s="211">
        <f>轉向量!H280</f>
        <v>0</v>
      </c>
      <c r="AD97" s="210">
        <f>轉向量!I280</f>
        <v>0</v>
      </c>
      <c r="AE97" s="210">
        <f>轉向量!J280</f>
        <v>0</v>
      </c>
      <c r="AF97" s="210">
        <f>轉向量!L280</f>
        <v>0</v>
      </c>
      <c r="AG97" s="211">
        <f>轉向量!M280</f>
        <v>0</v>
      </c>
      <c r="AH97" s="210">
        <f>轉向量!N280</f>
        <v>0</v>
      </c>
      <c r="AI97" s="210">
        <f>轉向量!O280</f>
        <v>0</v>
      </c>
      <c r="AJ97" s="210">
        <f>轉向量!Q280</f>
        <v>0</v>
      </c>
      <c r="AK97" s="211">
        <f>轉向量!R280</f>
        <v>0</v>
      </c>
      <c r="AL97" s="221">
        <f>轉向量!D376</f>
        <v>0</v>
      </c>
      <c r="AM97" s="222">
        <f>轉向量!E376</f>
        <v>0</v>
      </c>
      <c r="AN97" s="222">
        <f>轉向量!F376</f>
        <v>0</v>
      </c>
      <c r="AO97" s="223">
        <f>轉向量!H376</f>
        <v>0</v>
      </c>
      <c r="AP97" s="222">
        <f>轉向量!I376</f>
        <v>0</v>
      </c>
      <c r="AQ97" s="222">
        <f>轉向量!J376</f>
        <v>0</v>
      </c>
      <c r="AR97" s="222">
        <f>轉向量!K376</f>
        <v>0</v>
      </c>
      <c r="AS97" s="223">
        <f>轉向量!M376</f>
        <v>0</v>
      </c>
      <c r="AT97" s="222">
        <f>轉向量!N376</f>
        <v>0</v>
      </c>
      <c r="AU97" s="222">
        <f>轉向量!O376</f>
        <v>0</v>
      </c>
      <c r="AV97" s="222">
        <f>轉向量!P376</f>
        <v>0</v>
      </c>
      <c r="AW97" s="223">
        <f>轉向量!R376</f>
        <v>0</v>
      </c>
      <c r="AX97" s="234">
        <f>轉向量!D472</f>
        <v>0</v>
      </c>
      <c r="AY97" s="235">
        <f>轉向量!E472</f>
        <v>0</v>
      </c>
      <c r="AZ97" s="235">
        <f>轉向量!F472</f>
        <v>0</v>
      </c>
      <c r="BA97" s="236">
        <f>轉向量!G472</f>
        <v>0</v>
      </c>
      <c r="BB97" s="235">
        <f>轉向量!I472</f>
        <v>0</v>
      </c>
      <c r="BC97" s="235">
        <f>轉向量!J472</f>
        <v>0</v>
      </c>
      <c r="BD97" s="235">
        <f>轉向量!K472</f>
        <v>0</v>
      </c>
      <c r="BE97" s="236">
        <f>轉向量!L472</f>
        <v>0</v>
      </c>
      <c r="BF97" s="235">
        <f>轉向量!N472</f>
        <v>0</v>
      </c>
      <c r="BG97" s="235">
        <f>轉向量!O472</f>
        <v>0</v>
      </c>
      <c r="BH97" s="235">
        <f>轉向量!P472</f>
        <v>0</v>
      </c>
      <c r="BI97" s="236">
        <f>轉向量!Q472</f>
        <v>0</v>
      </c>
      <c r="BK97" s="2"/>
    </row>
    <row r="98" spans="1:63">
      <c r="A98" s="28">
        <v>2145</v>
      </c>
      <c r="B98" s="184">
        <f>轉向量!E89</f>
        <v>0</v>
      </c>
      <c r="C98" s="184">
        <f>轉向量!F89</f>
        <v>0</v>
      </c>
      <c r="D98" s="184">
        <f>轉向量!G89</f>
        <v>0</v>
      </c>
      <c r="E98" s="185">
        <f>轉向量!H89</f>
        <v>0</v>
      </c>
      <c r="F98" s="186">
        <f>轉向量!J89</f>
        <v>0</v>
      </c>
      <c r="G98" s="184">
        <f>轉向量!K89</f>
        <v>0</v>
      </c>
      <c r="H98" s="184">
        <f>轉向量!L89</f>
        <v>0</v>
      </c>
      <c r="I98" s="185">
        <f>轉向量!M89</f>
        <v>0</v>
      </c>
      <c r="J98" s="186">
        <f>轉向量!O89</f>
        <v>0</v>
      </c>
      <c r="K98" s="184">
        <f>轉向量!P89</f>
        <v>0</v>
      </c>
      <c r="L98" s="184">
        <f>轉向量!Q89</f>
        <v>0</v>
      </c>
      <c r="M98" s="185">
        <f>轉向量!R89</f>
        <v>0</v>
      </c>
      <c r="N98" s="187">
        <f>轉向量!D185</f>
        <v>0</v>
      </c>
      <c r="O98" s="188">
        <f>轉向量!F185</f>
        <v>0</v>
      </c>
      <c r="P98" s="188">
        <f>轉向量!G185</f>
        <v>0</v>
      </c>
      <c r="Q98" s="189">
        <f>轉向量!H185</f>
        <v>0</v>
      </c>
      <c r="R98" s="187">
        <f>轉向量!I185</f>
        <v>0</v>
      </c>
      <c r="S98" s="188">
        <f>轉向量!K185</f>
        <v>0</v>
      </c>
      <c r="T98" s="188">
        <f>轉向量!L185</f>
        <v>0</v>
      </c>
      <c r="U98" s="189">
        <f>轉向量!M185</f>
        <v>0</v>
      </c>
      <c r="V98" s="188">
        <f>轉向量!N185</f>
        <v>0</v>
      </c>
      <c r="W98" s="188">
        <f>轉向量!P185</f>
        <v>0</v>
      </c>
      <c r="X98" s="188">
        <f>轉向量!Q185</f>
        <v>0</v>
      </c>
      <c r="Y98" s="189">
        <f>轉向量!R185</f>
        <v>0</v>
      </c>
      <c r="Z98" s="209">
        <f>轉向量!D281</f>
        <v>0</v>
      </c>
      <c r="AA98" s="210">
        <f>轉向量!E281</f>
        <v>0</v>
      </c>
      <c r="AB98" s="210">
        <f>轉向量!G281</f>
        <v>0</v>
      </c>
      <c r="AC98" s="211">
        <f>轉向量!H281</f>
        <v>0</v>
      </c>
      <c r="AD98" s="210">
        <f>轉向量!I281</f>
        <v>0</v>
      </c>
      <c r="AE98" s="210">
        <f>轉向量!J281</f>
        <v>0</v>
      </c>
      <c r="AF98" s="210">
        <f>轉向量!L281</f>
        <v>0</v>
      </c>
      <c r="AG98" s="211">
        <f>轉向量!M281</f>
        <v>0</v>
      </c>
      <c r="AH98" s="210">
        <f>轉向量!N281</f>
        <v>0</v>
      </c>
      <c r="AI98" s="210">
        <f>轉向量!O281</f>
        <v>0</v>
      </c>
      <c r="AJ98" s="210">
        <f>轉向量!Q281</f>
        <v>0</v>
      </c>
      <c r="AK98" s="211">
        <f>轉向量!R281</f>
        <v>0</v>
      </c>
      <c r="AL98" s="221">
        <f>轉向量!D377</f>
        <v>0</v>
      </c>
      <c r="AM98" s="222">
        <f>轉向量!E377</f>
        <v>0</v>
      </c>
      <c r="AN98" s="222">
        <f>轉向量!F377</f>
        <v>0</v>
      </c>
      <c r="AO98" s="223">
        <f>轉向量!H377</f>
        <v>0</v>
      </c>
      <c r="AP98" s="222">
        <f>轉向量!I377</f>
        <v>0</v>
      </c>
      <c r="AQ98" s="222">
        <f>轉向量!J377</f>
        <v>0</v>
      </c>
      <c r="AR98" s="222">
        <f>轉向量!K377</f>
        <v>0</v>
      </c>
      <c r="AS98" s="223">
        <f>轉向量!M377</f>
        <v>0</v>
      </c>
      <c r="AT98" s="222">
        <f>轉向量!N377</f>
        <v>0</v>
      </c>
      <c r="AU98" s="222">
        <f>轉向量!O377</f>
        <v>0</v>
      </c>
      <c r="AV98" s="222">
        <f>轉向量!P377</f>
        <v>0</v>
      </c>
      <c r="AW98" s="223">
        <f>轉向量!R377</f>
        <v>0</v>
      </c>
      <c r="AX98" s="234">
        <f>轉向量!D473</f>
        <v>0</v>
      </c>
      <c r="AY98" s="235">
        <f>轉向量!E473</f>
        <v>0</v>
      </c>
      <c r="AZ98" s="235">
        <f>轉向量!F473</f>
        <v>0</v>
      </c>
      <c r="BA98" s="236">
        <f>轉向量!G473</f>
        <v>0</v>
      </c>
      <c r="BB98" s="235">
        <f>轉向量!I473</f>
        <v>0</v>
      </c>
      <c r="BC98" s="235">
        <f>轉向量!J473</f>
        <v>0</v>
      </c>
      <c r="BD98" s="235">
        <f>轉向量!K473</f>
        <v>0</v>
      </c>
      <c r="BE98" s="236">
        <f>轉向量!L473</f>
        <v>0</v>
      </c>
      <c r="BF98" s="235">
        <f>轉向量!N473</f>
        <v>0</v>
      </c>
      <c r="BG98" s="235">
        <f>轉向量!O473</f>
        <v>0</v>
      </c>
      <c r="BH98" s="235">
        <f>轉向量!P473</f>
        <v>0</v>
      </c>
      <c r="BI98" s="236">
        <f>轉向量!Q473</f>
        <v>0</v>
      </c>
      <c r="BK98" s="2"/>
    </row>
    <row r="99" spans="1:63">
      <c r="A99" s="17">
        <v>2200</v>
      </c>
      <c r="B99" s="184">
        <f>轉向量!E90</f>
        <v>0</v>
      </c>
      <c r="C99" s="184">
        <f>轉向量!F90</f>
        <v>0</v>
      </c>
      <c r="D99" s="184">
        <f>轉向量!G90</f>
        <v>0</v>
      </c>
      <c r="E99" s="185">
        <f>轉向量!H90</f>
        <v>0</v>
      </c>
      <c r="F99" s="186">
        <f>轉向量!J90</f>
        <v>0</v>
      </c>
      <c r="G99" s="184">
        <f>轉向量!K90</f>
        <v>0</v>
      </c>
      <c r="H99" s="184">
        <f>轉向量!L90</f>
        <v>0</v>
      </c>
      <c r="I99" s="185">
        <f>轉向量!M90</f>
        <v>0</v>
      </c>
      <c r="J99" s="186">
        <f>轉向量!O90</f>
        <v>0</v>
      </c>
      <c r="K99" s="184">
        <f>轉向量!P90</f>
        <v>0</v>
      </c>
      <c r="L99" s="184">
        <f>轉向量!Q90</f>
        <v>0</v>
      </c>
      <c r="M99" s="185">
        <f>轉向量!R90</f>
        <v>0</v>
      </c>
      <c r="N99" s="187">
        <f>轉向量!D186</f>
        <v>0</v>
      </c>
      <c r="O99" s="188">
        <f>轉向量!F186</f>
        <v>0</v>
      </c>
      <c r="P99" s="188">
        <f>轉向量!G186</f>
        <v>0</v>
      </c>
      <c r="Q99" s="189">
        <f>轉向量!H186</f>
        <v>0</v>
      </c>
      <c r="R99" s="187">
        <f>轉向量!I186</f>
        <v>0</v>
      </c>
      <c r="S99" s="188">
        <f>轉向量!K186</f>
        <v>0</v>
      </c>
      <c r="T99" s="188">
        <f>轉向量!L186</f>
        <v>0</v>
      </c>
      <c r="U99" s="189">
        <f>轉向量!M186</f>
        <v>0</v>
      </c>
      <c r="V99" s="188">
        <f>轉向量!N186</f>
        <v>0</v>
      </c>
      <c r="W99" s="188">
        <f>轉向量!P186</f>
        <v>0</v>
      </c>
      <c r="X99" s="188">
        <f>轉向量!Q186</f>
        <v>0</v>
      </c>
      <c r="Y99" s="189">
        <f>轉向量!R186</f>
        <v>0</v>
      </c>
      <c r="Z99" s="209">
        <f>轉向量!D282</f>
        <v>0</v>
      </c>
      <c r="AA99" s="210">
        <f>轉向量!E282</f>
        <v>0</v>
      </c>
      <c r="AB99" s="210">
        <f>轉向量!G282</f>
        <v>0</v>
      </c>
      <c r="AC99" s="211">
        <f>轉向量!H282</f>
        <v>0</v>
      </c>
      <c r="AD99" s="210">
        <f>轉向量!I282</f>
        <v>0</v>
      </c>
      <c r="AE99" s="210">
        <f>轉向量!J282</f>
        <v>0</v>
      </c>
      <c r="AF99" s="210">
        <f>轉向量!L282</f>
        <v>0</v>
      </c>
      <c r="AG99" s="211">
        <f>轉向量!M282</f>
        <v>0</v>
      </c>
      <c r="AH99" s="210">
        <f>轉向量!N282</f>
        <v>0</v>
      </c>
      <c r="AI99" s="210">
        <f>轉向量!O282</f>
        <v>0</v>
      </c>
      <c r="AJ99" s="210">
        <f>轉向量!Q282</f>
        <v>0</v>
      </c>
      <c r="AK99" s="211">
        <f>轉向量!R282</f>
        <v>0</v>
      </c>
      <c r="AL99" s="221">
        <f>轉向量!D378</f>
        <v>0</v>
      </c>
      <c r="AM99" s="222">
        <f>轉向量!E378</f>
        <v>0</v>
      </c>
      <c r="AN99" s="222">
        <f>轉向量!F378</f>
        <v>0</v>
      </c>
      <c r="AO99" s="223">
        <f>轉向量!H378</f>
        <v>0</v>
      </c>
      <c r="AP99" s="222">
        <f>轉向量!I378</f>
        <v>0</v>
      </c>
      <c r="AQ99" s="222">
        <f>轉向量!J378</f>
        <v>0</v>
      </c>
      <c r="AR99" s="222">
        <f>轉向量!K378</f>
        <v>0</v>
      </c>
      <c r="AS99" s="223">
        <f>轉向量!M378</f>
        <v>0</v>
      </c>
      <c r="AT99" s="222">
        <f>轉向量!N378</f>
        <v>0</v>
      </c>
      <c r="AU99" s="222">
        <f>轉向量!O378</f>
        <v>0</v>
      </c>
      <c r="AV99" s="222">
        <f>轉向量!P378</f>
        <v>0</v>
      </c>
      <c r="AW99" s="223">
        <f>轉向量!R378</f>
        <v>0</v>
      </c>
      <c r="AX99" s="234">
        <f>轉向量!D474</f>
        <v>0</v>
      </c>
      <c r="AY99" s="235">
        <f>轉向量!E474</f>
        <v>0</v>
      </c>
      <c r="AZ99" s="235">
        <f>轉向量!F474</f>
        <v>0</v>
      </c>
      <c r="BA99" s="236">
        <f>轉向量!G474</f>
        <v>0</v>
      </c>
      <c r="BB99" s="235">
        <f>轉向量!I474</f>
        <v>0</v>
      </c>
      <c r="BC99" s="235">
        <f>轉向量!J474</f>
        <v>0</v>
      </c>
      <c r="BD99" s="235">
        <f>轉向量!K474</f>
        <v>0</v>
      </c>
      <c r="BE99" s="236">
        <f>轉向量!L474</f>
        <v>0</v>
      </c>
      <c r="BF99" s="235">
        <f>轉向量!N474</f>
        <v>0</v>
      </c>
      <c r="BG99" s="235">
        <f>轉向量!O474</f>
        <v>0</v>
      </c>
      <c r="BH99" s="235">
        <f>轉向量!P474</f>
        <v>0</v>
      </c>
      <c r="BI99" s="236">
        <f>轉向量!Q474</f>
        <v>0</v>
      </c>
      <c r="BK99" s="2"/>
    </row>
    <row r="100" spans="1:63">
      <c r="A100" s="17">
        <v>2215</v>
      </c>
      <c r="B100" s="184">
        <f>轉向量!E91</f>
        <v>0</v>
      </c>
      <c r="C100" s="184">
        <f>轉向量!F91</f>
        <v>0</v>
      </c>
      <c r="D100" s="184">
        <f>轉向量!G91</f>
        <v>0</v>
      </c>
      <c r="E100" s="185">
        <f>轉向量!H91</f>
        <v>0</v>
      </c>
      <c r="F100" s="186">
        <f>轉向量!J91</f>
        <v>0</v>
      </c>
      <c r="G100" s="184">
        <f>轉向量!K91</f>
        <v>0</v>
      </c>
      <c r="H100" s="184">
        <f>轉向量!L91</f>
        <v>0</v>
      </c>
      <c r="I100" s="185">
        <f>轉向量!M91</f>
        <v>0</v>
      </c>
      <c r="J100" s="186">
        <f>轉向量!O91</f>
        <v>0</v>
      </c>
      <c r="K100" s="184">
        <f>轉向量!P91</f>
        <v>0</v>
      </c>
      <c r="L100" s="184">
        <f>轉向量!Q91</f>
        <v>0</v>
      </c>
      <c r="M100" s="185">
        <f>轉向量!R91</f>
        <v>0</v>
      </c>
      <c r="N100" s="187">
        <f>轉向量!D187</f>
        <v>0</v>
      </c>
      <c r="O100" s="188">
        <f>轉向量!F187</f>
        <v>0</v>
      </c>
      <c r="P100" s="188">
        <f>轉向量!G187</f>
        <v>0</v>
      </c>
      <c r="Q100" s="189">
        <f>轉向量!H187</f>
        <v>0</v>
      </c>
      <c r="R100" s="187">
        <f>轉向量!I187</f>
        <v>0</v>
      </c>
      <c r="S100" s="188">
        <f>轉向量!K187</f>
        <v>0</v>
      </c>
      <c r="T100" s="188">
        <f>轉向量!L187</f>
        <v>0</v>
      </c>
      <c r="U100" s="189">
        <f>轉向量!M187</f>
        <v>0</v>
      </c>
      <c r="V100" s="188">
        <f>轉向量!N187</f>
        <v>0</v>
      </c>
      <c r="W100" s="188">
        <f>轉向量!P187</f>
        <v>0</v>
      </c>
      <c r="X100" s="188">
        <f>轉向量!Q187</f>
        <v>0</v>
      </c>
      <c r="Y100" s="189">
        <f>轉向量!R187</f>
        <v>0</v>
      </c>
      <c r="Z100" s="209">
        <f>轉向量!D283</f>
        <v>0</v>
      </c>
      <c r="AA100" s="210">
        <f>轉向量!E283</f>
        <v>0</v>
      </c>
      <c r="AB100" s="210">
        <f>轉向量!G283</f>
        <v>0</v>
      </c>
      <c r="AC100" s="211">
        <f>轉向量!H283</f>
        <v>0</v>
      </c>
      <c r="AD100" s="210">
        <f>轉向量!I283</f>
        <v>0</v>
      </c>
      <c r="AE100" s="210">
        <f>轉向量!J283</f>
        <v>0</v>
      </c>
      <c r="AF100" s="210">
        <f>轉向量!L283</f>
        <v>0</v>
      </c>
      <c r="AG100" s="211">
        <f>轉向量!M283</f>
        <v>0</v>
      </c>
      <c r="AH100" s="210">
        <f>轉向量!N283</f>
        <v>0</v>
      </c>
      <c r="AI100" s="210">
        <f>轉向量!O283</f>
        <v>0</v>
      </c>
      <c r="AJ100" s="210">
        <f>轉向量!Q283</f>
        <v>0</v>
      </c>
      <c r="AK100" s="211">
        <f>轉向量!R283</f>
        <v>0</v>
      </c>
      <c r="AL100" s="221">
        <f>轉向量!D379</f>
        <v>0</v>
      </c>
      <c r="AM100" s="222">
        <f>轉向量!E379</f>
        <v>0</v>
      </c>
      <c r="AN100" s="222">
        <f>轉向量!F379</f>
        <v>0</v>
      </c>
      <c r="AO100" s="223">
        <f>轉向量!H379</f>
        <v>0</v>
      </c>
      <c r="AP100" s="222">
        <f>轉向量!I379</f>
        <v>0</v>
      </c>
      <c r="AQ100" s="222">
        <f>轉向量!J379</f>
        <v>0</v>
      </c>
      <c r="AR100" s="222">
        <f>轉向量!K379</f>
        <v>0</v>
      </c>
      <c r="AS100" s="223">
        <f>轉向量!M379</f>
        <v>0</v>
      </c>
      <c r="AT100" s="222">
        <f>轉向量!N379</f>
        <v>0</v>
      </c>
      <c r="AU100" s="222">
        <f>轉向量!O379</f>
        <v>0</v>
      </c>
      <c r="AV100" s="222">
        <f>轉向量!P379</f>
        <v>0</v>
      </c>
      <c r="AW100" s="223">
        <f>轉向量!R379</f>
        <v>0</v>
      </c>
      <c r="AX100" s="234">
        <f>轉向量!D475</f>
        <v>0</v>
      </c>
      <c r="AY100" s="235">
        <f>轉向量!E475</f>
        <v>0</v>
      </c>
      <c r="AZ100" s="235">
        <f>轉向量!F475</f>
        <v>0</v>
      </c>
      <c r="BA100" s="236">
        <f>轉向量!G475</f>
        <v>0</v>
      </c>
      <c r="BB100" s="235">
        <f>轉向量!I475</f>
        <v>0</v>
      </c>
      <c r="BC100" s="235">
        <f>轉向量!J475</f>
        <v>0</v>
      </c>
      <c r="BD100" s="235">
        <f>轉向量!K475</f>
        <v>0</v>
      </c>
      <c r="BE100" s="236">
        <f>轉向量!L475</f>
        <v>0</v>
      </c>
      <c r="BF100" s="235">
        <f>轉向量!N475</f>
        <v>0</v>
      </c>
      <c r="BG100" s="235">
        <f>轉向量!O475</f>
        <v>0</v>
      </c>
      <c r="BH100" s="235">
        <f>轉向量!P475</f>
        <v>0</v>
      </c>
      <c r="BI100" s="236">
        <f>轉向量!Q475</f>
        <v>0</v>
      </c>
      <c r="BK100" s="2"/>
    </row>
    <row r="101" spans="1:63">
      <c r="A101" s="17">
        <v>2230</v>
      </c>
      <c r="B101" s="184">
        <f>轉向量!E92</f>
        <v>0</v>
      </c>
      <c r="C101" s="184">
        <f>轉向量!F92</f>
        <v>0</v>
      </c>
      <c r="D101" s="184">
        <f>轉向量!G92</f>
        <v>0</v>
      </c>
      <c r="E101" s="185">
        <f>轉向量!H92</f>
        <v>0</v>
      </c>
      <c r="F101" s="186">
        <f>轉向量!J92</f>
        <v>0</v>
      </c>
      <c r="G101" s="184">
        <f>轉向量!K92</f>
        <v>0</v>
      </c>
      <c r="H101" s="184">
        <f>轉向量!L92</f>
        <v>0</v>
      </c>
      <c r="I101" s="185">
        <f>轉向量!M92</f>
        <v>0</v>
      </c>
      <c r="J101" s="186">
        <f>轉向量!O92</f>
        <v>0</v>
      </c>
      <c r="K101" s="184">
        <f>轉向量!P92</f>
        <v>0</v>
      </c>
      <c r="L101" s="184">
        <f>轉向量!Q92</f>
        <v>0</v>
      </c>
      <c r="M101" s="185">
        <f>轉向量!R92</f>
        <v>0</v>
      </c>
      <c r="N101" s="187">
        <f>轉向量!D188</f>
        <v>0</v>
      </c>
      <c r="O101" s="188">
        <f>轉向量!F188</f>
        <v>0</v>
      </c>
      <c r="P101" s="188">
        <f>轉向量!G188</f>
        <v>0</v>
      </c>
      <c r="Q101" s="189">
        <f>轉向量!H188</f>
        <v>0</v>
      </c>
      <c r="R101" s="187">
        <f>轉向量!I188</f>
        <v>0</v>
      </c>
      <c r="S101" s="188">
        <f>轉向量!K188</f>
        <v>0</v>
      </c>
      <c r="T101" s="188">
        <f>轉向量!L188</f>
        <v>0</v>
      </c>
      <c r="U101" s="189">
        <f>轉向量!M188</f>
        <v>0</v>
      </c>
      <c r="V101" s="188">
        <f>轉向量!N188</f>
        <v>0</v>
      </c>
      <c r="W101" s="188">
        <f>轉向量!P188</f>
        <v>0</v>
      </c>
      <c r="X101" s="188">
        <f>轉向量!Q188</f>
        <v>0</v>
      </c>
      <c r="Y101" s="189">
        <f>轉向量!R188</f>
        <v>0</v>
      </c>
      <c r="Z101" s="209">
        <f>轉向量!D284</f>
        <v>0</v>
      </c>
      <c r="AA101" s="210">
        <f>轉向量!E284</f>
        <v>0</v>
      </c>
      <c r="AB101" s="210">
        <f>轉向量!G284</f>
        <v>0</v>
      </c>
      <c r="AC101" s="211">
        <f>轉向量!H284</f>
        <v>0</v>
      </c>
      <c r="AD101" s="210">
        <f>轉向量!I284</f>
        <v>0</v>
      </c>
      <c r="AE101" s="210">
        <f>轉向量!J284</f>
        <v>0</v>
      </c>
      <c r="AF101" s="210">
        <f>轉向量!L284</f>
        <v>0</v>
      </c>
      <c r="AG101" s="211">
        <f>轉向量!M284</f>
        <v>0</v>
      </c>
      <c r="AH101" s="210">
        <f>轉向量!N284</f>
        <v>0</v>
      </c>
      <c r="AI101" s="210">
        <f>轉向量!O284</f>
        <v>0</v>
      </c>
      <c r="AJ101" s="210">
        <f>轉向量!Q284</f>
        <v>0</v>
      </c>
      <c r="AK101" s="211">
        <f>轉向量!R284</f>
        <v>0</v>
      </c>
      <c r="AL101" s="221">
        <f>轉向量!D380</f>
        <v>0</v>
      </c>
      <c r="AM101" s="222">
        <f>轉向量!E380</f>
        <v>0</v>
      </c>
      <c r="AN101" s="222">
        <f>轉向量!F380</f>
        <v>0</v>
      </c>
      <c r="AO101" s="223">
        <f>轉向量!H380</f>
        <v>0</v>
      </c>
      <c r="AP101" s="222">
        <f>轉向量!I380</f>
        <v>0</v>
      </c>
      <c r="AQ101" s="222">
        <f>轉向量!J380</f>
        <v>0</v>
      </c>
      <c r="AR101" s="222">
        <f>轉向量!K380</f>
        <v>0</v>
      </c>
      <c r="AS101" s="223">
        <f>轉向量!M380</f>
        <v>0</v>
      </c>
      <c r="AT101" s="222">
        <f>轉向量!N380</f>
        <v>0</v>
      </c>
      <c r="AU101" s="222">
        <f>轉向量!O380</f>
        <v>0</v>
      </c>
      <c r="AV101" s="222">
        <f>轉向量!P380</f>
        <v>0</v>
      </c>
      <c r="AW101" s="223">
        <f>轉向量!R380</f>
        <v>0</v>
      </c>
      <c r="AX101" s="234">
        <f>轉向量!D476</f>
        <v>0</v>
      </c>
      <c r="AY101" s="235">
        <f>轉向量!E476</f>
        <v>0</v>
      </c>
      <c r="AZ101" s="235">
        <f>轉向量!F476</f>
        <v>0</v>
      </c>
      <c r="BA101" s="236">
        <f>轉向量!G476</f>
        <v>0</v>
      </c>
      <c r="BB101" s="235">
        <f>轉向量!I476</f>
        <v>0</v>
      </c>
      <c r="BC101" s="235">
        <f>轉向量!J476</f>
        <v>0</v>
      </c>
      <c r="BD101" s="235">
        <f>轉向量!K476</f>
        <v>0</v>
      </c>
      <c r="BE101" s="236">
        <f>轉向量!L476</f>
        <v>0</v>
      </c>
      <c r="BF101" s="235">
        <f>轉向量!N476</f>
        <v>0</v>
      </c>
      <c r="BG101" s="235">
        <f>轉向量!O476</f>
        <v>0</v>
      </c>
      <c r="BH101" s="235">
        <f>轉向量!P476</f>
        <v>0</v>
      </c>
      <c r="BI101" s="236">
        <f>轉向量!Q476</f>
        <v>0</v>
      </c>
      <c r="BK101" s="2"/>
    </row>
    <row r="102" spans="1:63">
      <c r="A102" s="17">
        <v>2245</v>
      </c>
      <c r="B102" s="184">
        <f>轉向量!E93</f>
        <v>0</v>
      </c>
      <c r="C102" s="184">
        <f>轉向量!F93</f>
        <v>0</v>
      </c>
      <c r="D102" s="184">
        <f>轉向量!G93</f>
        <v>0</v>
      </c>
      <c r="E102" s="185">
        <f>轉向量!H93</f>
        <v>0</v>
      </c>
      <c r="F102" s="186">
        <f>轉向量!J93</f>
        <v>0</v>
      </c>
      <c r="G102" s="184">
        <f>轉向量!K93</f>
        <v>0</v>
      </c>
      <c r="H102" s="184">
        <f>轉向量!L93</f>
        <v>0</v>
      </c>
      <c r="I102" s="185">
        <f>轉向量!M93</f>
        <v>0</v>
      </c>
      <c r="J102" s="186">
        <f>轉向量!O93</f>
        <v>0</v>
      </c>
      <c r="K102" s="184">
        <f>轉向量!P93</f>
        <v>0</v>
      </c>
      <c r="L102" s="184">
        <f>轉向量!Q93</f>
        <v>0</v>
      </c>
      <c r="M102" s="185">
        <f>轉向量!R93</f>
        <v>0</v>
      </c>
      <c r="N102" s="187">
        <f>轉向量!D189</f>
        <v>0</v>
      </c>
      <c r="O102" s="188">
        <f>轉向量!F189</f>
        <v>0</v>
      </c>
      <c r="P102" s="188">
        <f>轉向量!G189</f>
        <v>0</v>
      </c>
      <c r="Q102" s="189">
        <f>轉向量!H189</f>
        <v>0</v>
      </c>
      <c r="R102" s="187">
        <f>轉向量!I189</f>
        <v>0</v>
      </c>
      <c r="S102" s="188">
        <f>轉向量!K189</f>
        <v>0</v>
      </c>
      <c r="T102" s="188">
        <f>轉向量!L189</f>
        <v>0</v>
      </c>
      <c r="U102" s="189">
        <f>轉向量!M189</f>
        <v>0</v>
      </c>
      <c r="V102" s="188">
        <f>轉向量!N189</f>
        <v>0</v>
      </c>
      <c r="W102" s="188">
        <f>轉向量!P189</f>
        <v>0</v>
      </c>
      <c r="X102" s="188">
        <f>轉向量!Q189</f>
        <v>0</v>
      </c>
      <c r="Y102" s="189">
        <f>轉向量!R189</f>
        <v>0</v>
      </c>
      <c r="Z102" s="209">
        <f>轉向量!D285</f>
        <v>0</v>
      </c>
      <c r="AA102" s="210">
        <f>轉向量!E285</f>
        <v>0</v>
      </c>
      <c r="AB102" s="210">
        <f>轉向量!G285</f>
        <v>0</v>
      </c>
      <c r="AC102" s="211">
        <f>轉向量!H285</f>
        <v>0</v>
      </c>
      <c r="AD102" s="210">
        <f>轉向量!I285</f>
        <v>0</v>
      </c>
      <c r="AE102" s="210">
        <f>轉向量!J285</f>
        <v>0</v>
      </c>
      <c r="AF102" s="210">
        <f>轉向量!L285</f>
        <v>0</v>
      </c>
      <c r="AG102" s="211">
        <f>轉向量!M285</f>
        <v>0</v>
      </c>
      <c r="AH102" s="210">
        <f>轉向量!N285</f>
        <v>0</v>
      </c>
      <c r="AI102" s="210">
        <f>轉向量!O285</f>
        <v>0</v>
      </c>
      <c r="AJ102" s="210">
        <f>轉向量!Q285</f>
        <v>0</v>
      </c>
      <c r="AK102" s="211">
        <f>轉向量!R285</f>
        <v>0</v>
      </c>
      <c r="AL102" s="221">
        <f>轉向量!D381</f>
        <v>0</v>
      </c>
      <c r="AM102" s="222">
        <f>轉向量!E381</f>
        <v>0</v>
      </c>
      <c r="AN102" s="222">
        <f>轉向量!F381</f>
        <v>0</v>
      </c>
      <c r="AO102" s="223">
        <f>轉向量!H381</f>
        <v>0</v>
      </c>
      <c r="AP102" s="222">
        <f>轉向量!I381</f>
        <v>0</v>
      </c>
      <c r="AQ102" s="222">
        <f>轉向量!J381</f>
        <v>0</v>
      </c>
      <c r="AR102" s="222">
        <f>轉向量!K381</f>
        <v>0</v>
      </c>
      <c r="AS102" s="223">
        <f>轉向量!M381</f>
        <v>0</v>
      </c>
      <c r="AT102" s="222">
        <f>轉向量!N381</f>
        <v>0</v>
      </c>
      <c r="AU102" s="222">
        <f>轉向量!O381</f>
        <v>0</v>
      </c>
      <c r="AV102" s="222">
        <f>轉向量!P381</f>
        <v>0</v>
      </c>
      <c r="AW102" s="223">
        <f>轉向量!R381</f>
        <v>0</v>
      </c>
      <c r="AX102" s="234">
        <f>轉向量!D477</f>
        <v>0</v>
      </c>
      <c r="AY102" s="235">
        <f>轉向量!E477</f>
        <v>0</v>
      </c>
      <c r="AZ102" s="235">
        <f>轉向量!F477</f>
        <v>0</v>
      </c>
      <c r="BA102" s="236">
        <f>轉向量!G477</f>
        <v>0</v>
      </c>
      <c r="BB102" s="235">
        <f>轉向量!I477</f>
        <v>0</v>
      </c>
      <c r="BC102" s="235">
        <f>轉向量!J477</f>
        <v>0</v>
      </c>
      <c r="BD102" s="235">
        <f>轉向量!K477</f>
        <v>0</v>
      </c>
      <c r="BE102" s="236">
        <f>轉向量!L477</f>
        <v>0</v>
      </c>
      <c r="BF102" s="235">
        <f>轉向量!N477</f>
        <v>0</v>
      </c>
      <c r="BG102" s="235">
        <f>轉向量!O477</f>
        <v>0</v>
      </c>
      <c r="BH102" s="235">
        <f>轉向量!P477</f>
        <v>0</v>
      </c>
      <c r="BI102" s="236">
        <f>轉向量!Q477</f>
        <v>0</v>
      </c>
    </row>
    <row r="103" spans="1:63">
      <c r="A103" s="17">
        <v>2300</v>
      </c>
      <c r="B103" s="184">
        <f>轉向量!E94</f>
        <v>0</v>
      </c>
      <c r="C103" s="184">
        <f>轉向量!F94</f>
        <v>0</v>
      </c>
      <c r="D103" s="184">
        <f>轉向量!G94</f>
        <v>0</v>
      </c>
      <c r="E103" s="185">
        <f>轉向量!H94</f>
        <v>0</v>
      </c>
      <c r="F103" s="186">
        <f>轉向量!J94</f>
        <v>0</v>
      </c>
      <c r="G103" s="184">
        <f>轉向量!K94</f>
        <v>0</v>
      </c>
      <c r="H103" s="184">
        <f>轉向量!L94</f>
        <v>0</v>
      </c>
      <c r="I103" s="185">
        <f>轉向量!M94</f>
        <v>0</v>
      </c>
      <c r="J103" s="186">
        <f>轉向量!O94</f>
        <v>0</v>
      </c>
      <c r="K103" s="184">
        <f>轉向量!P94</f>
        <v>0</v>
      </c>
      <c r="L103" s="184">
        <f>轉向量!Q94</f>
        <v>0</v>
      </c>
      <c r="M103" s="185">
        <f>轉向量!R94</f>
        <v>0</v>
      </c>
      <c r="N103" s="187">
        <f>轉向量!D190</f>
        <v>0</v>
      </c>
      <c r="O103" s="188">
        <f>轉向量!F190</f>
        <v>0</v>
      </c>
      <c r="P103" s="188">
        <f>轉向量!G190</f>
        <v>0</v>
      </c>
      <c r="Q103" s="189">
        <f>轉向量!H190</f>
        <v>0</v>
      </c>
      <c r="R103" s="187">
        <f>轉向量!I190</f>
        <v>0</v>
      </c>
      <c r="S103" s="188">
        <f>轉向量!K190</f>
        <v>0</v>
      </c>
      <c r="T103" s="188">
        <f>轉向量!L190</f>
        <v>0</v>
      </c>
      <c r="U103" s="189">
        <f>轉向量!M190</f>
        <v>0</v>
      </c>
      <c r="V103" s="188">
        <f>轉向量!N190</f>
        <v>0</v>
      </c>
      <c r="W103" s="188">
        <f>轉向量!P190</f>
        <v>0</v>
      </c>
      <c r="X103" s="188">
        <f>轉向量!Q190</f>
        <v>0</v>
      </c>
      <c r="Y103" s="189">
        <f>轉向量!R190</f>
        <v>0</v>
      </c>
      <c r="Z103" s="209">
        <f>轉向量!D286</f>
        <v>0</v>
      </c>
      <c r="AA103" s="210">
        <f>轉向量!E286</f>
        <v>0</v>
      </c>
      <c r="AB103" s="210">
        <f>轉向量!G286</f>
        <v>0</v>
      </c>
      <c r="AC103" s="211">
        <f>轉向量!H286</f>
        <v>0</v>
      </c>
      <c r="AD103" s="210">
        <f>轉向量!I286</f>
        <v>0</v>
      </c>
      <c r="AE103" s="210">
        <f>轉向量!J286</f>
        <v>0</v>
      </c>
      <c r="AF103" s="210">
        <f>轉向量!L286</f>
        <v>0</v>
      </c>
      <c r="AG103" s="211">
        <f>轉向量!M286</f>
        <v>0</v>
      </c>
      <c r="AH103" s="210">
        <f>轉向量!N286</f>
        <v>0</v>
      </c>
      <c r="AI103" s="210">
        <f>轉向量!O286</f>
        <v>0</v>
      </c>
      <c r="AJ103" s="210">
        <f>轉向量!Q286</f>
        <v>0</v>
      </c>
      <c r="AK103" s="211">
        <f>轉向量!R286</f>
        <v>0</v>
      </c>
      <c r="AL103" s="221">
        <f>轉向量!D382</f>
        <v>0</v>
      </c>
      <c r="AM103" s="222">
        <f>轉向量!E382</f>
        <v>0</v>
      </c>
      <c r="AN103" s="222">
        <f>轉向量!F382</f>
        <v>0</v>
      </c>
      <c r="AO103" s="223">
        <f>轉向量!H382</f>
        <v>0</v>
      </c>
      <c r="AP103" s="222">
        <f>轉向量!I382</f>
        <v>0</v>
      </c>
      <c r="AQ103" s="222">
        <f>轉向量!J382</f>
        <v>0</v>
      </c>
      <c r="AR103" s="222">
        <f>轉向量!K382</f>
        <v>0</v>
      </c>
      <c r="AS103" s="223">
        <f>轉向量!M382</f>
        <v>0</v>
      </c>
      <c r="AT103" s="222">
        <f>轉向量!N382</f>
        <v>0</v>
      </c>
      <c r="AU103" s="222">
        <f>轉向量!O382</f>
        <v>0</v>
      </c>
      <c r="AV103" s="222">
        <f>轉向量!P382</f>
        <v>0</v>
      </c>
      <c r="AW103" s="223">
        <f>轉向量!R382</f>
        <v>0</v>
      </c>
      <c r="AX103" s="234">
        <f>轉向量!D478</f>
        <v>0</v>
      </c>
      <c r="AY103" s="235">
        <f>轉向量!E478</f>
        <v>0</v>
      </c>
      <c r="AZ103" s="235">
        <f>轉向量!F478</f>
        <v>0</v>
      </c>
      <c r="BA103" s="236">
        <f>轉向量!G478</f>
        <v>0</v>
      </c>
      <c r="BB103" s="235">
        <f>轉向量!I478</f>
        <v>0</v>
      </c>
      <c r="BC103" s="235">
        <f>轉向量!J478</f>
        <v>0</v>
      </c>
      <c r="BD103" s="235">
        <f>轉向量!K478</f>
        <v>0</v>
      </c>
      <c r="BE103" s="236">
        <f>轉向量!L478</f>
        <v>0</v>
      </c>
      <c r="BF103" s="235">
        <f>轉向量!N478</f>
        <v>0</v>
      </c>
      <c r="BG103" s="235">
        <f>轉向量!O478</f>
        <v>0</v>
      </c>
      <c r="BH103" s="235">
        <f>轉向量!P478</f>
        <v>0</v>
      </c>
      <c r="BI103" s="236">
        <f>轉向量!Q478</f>
        <v>0</v>
      </c>
    </row>
    <row r="104" spans="1:63">
      <c r="A104" s="17">
        <v>2315</v>
      </c>
      <c r="B104" s="184">
        <f>轉向量!E95</f>
        <v>0</v>
      </c>
      <c r="C104" s="184">
        <f>轉向量!F95</f>
        <v>0</v>
      </c>
      <c r="D104" s="184">
        <f>轉向量!G95</f>
        <v>0</v>
      </c>
      <c r="E104" s="185">
        <f>轉向量!H95</f>
        <v>0</v>
      </c>
      <c r="F104" s="186">
        <f>轉向量!J95</f>
        <v>0</v>
      </c>
      <c r="G104" s="184">
        <f>轉向量!K95</f>
        <v>0</v>
      </c>
      <c r="H104" s="184">
        <f>轉向量!L95</f>
        <v>0</v>
      </c>
      <c r="I104" s="185">
        <f>轉向量!M95</f>
        <v>0</v>
      </c>
      <c r="J104" s="186">
        <f>轉向量!O95</f>
        <v>0</v>
      </c>
      <c r="K104" s="184">
        <f>轉向量!P95</f>
        <v>0</v>
      </c>
      <c r="L104" s="184">
        <f>轉向量!Q95</f>
        <v>0</v>
      </c>
      <c r="M104" s="185">
        <f>轉向量!R95</f>
        <v>0</v>
      </c>
      <c r="N104" s="187">
        <f>轉向量!D191</f>
        <v>0</v>
      </c>
      <c r="O104" s="188">
        <f>轉向量!F191</f>
        <v>0</v>
      </c>
      <c r="P104" s="188">
        <f>轉向量!G191</f>
        <v>0</v>
      </c>
      <c r="Q104" s="189">
        <f>轉向量!H191</f>
        <v>0</v>
      </c>
      <c r="R104" s="187">
        <f>轉向量!I191</f>
        <v>0</v>
      </c>
      <c r="S104" s="188">
        <f>轉向量!K191</f>
        <v>0</v>
      </c>
      <c r="T104" s="188">
        <f>轉向量!L191</f>
        <v>0</v>
      </c>
      <c r="U104" s="189">
        <f>轉向量!M191</f>
        <v>0</v>
      </c>
      <c r="V104" s="188">
        <f>轉向量!N191</f>
        <v>0</v>
      </c>
      <c r="W104" s="188">
        <f>轉向量!P191</f>
        <v>0</v>
      </c>
      <c r="X104" s="188">
        <f>轉向量!Q191</f>
        <v>0</v>
      </c>
      <c r="Y104" s="189">
        <f>轉向量!R191</f>
        <v>0</v>
      </c>
      <c r="Z104" s="209">
        <f>轉向量!D287</f>
        <v>0</v>
      </c>
      <c r="AA104" s="210">
        <f>轉向量!E287</f>
        <v>0</v>
      </c>
      <c r="AB104" s="210">
        <f>轉向量!G287</f>
        <v>0</v>
      </c>
      <c r="AC104" s="211">
        <f>轉向量!H287</f>
        <v>0</v>
      </c>
      <c r="AD104" s="210">
        <f>轉向量!I287</f>
        <v>0</v>
      </c>
      <c r="AE104" s="210">
        <f>轉向量!J287</f>
        <v>0</v>
      </c>
      <c r="AF104" s="210">
        <f>轉向量!L287</f>
        <v>0</v>
      </c>
      <c r="AG104" s="211">
        <f>轉向量!M287</f>
        <v>0</v>
      </c>
      <c r="AH104" s="210">
        <f>轉向量!N287</f>
        <v>0</v>
      </c>
      <c r="AI104" s="210">
        <f>轉向量!O287</f>
        <v>0</v>
      </c>
      <c r="AJ104" s="210">
        <f>轉向量!Q287</f>
        <v>0</v>
      </c>
      <c r="AK104" s="211">
        <f>轉向量!R287</f>
        <v>0</v>
      </c>
      <c r="AL104" s="221">
        <f>轉向量!D383</f>
        <v>0</v>
      </c>
      <c r="AM104" s="222">
        <f>轉向量!E383</f>
        <v>0</v>
      </c>
      <c r="AN104" s="222">
        <f>轉向量!F383</f>
        <v>0</v>
      </c>
      <c r="AO104" s="223">
        <f>轉向量!H383</f>
        <v>0</v>
      </c>
      <c r="AP104" s="222">
        <f>轉向量!I383</f>
        <v>0</v>
      </c>
      <c r="AQ104" s="222">
        <f>轉向量!J383</f>
        <v>0</v>
      </c>
      <c r="AR104" s="222">
        <f>轉向量!K383</f>
        <v>0</v>
      </c>
      <c r="AS104" s="223">
        <f>轉向量!M383</f>
        <v>0</v>
      </c>
      <c r="AT104" s="222">
        <f>轉向量!N383</f>
        <v>0</v>
      </c>
      <c r="AU104" s="222">
        <f>轉向量!O383</f>
        <v>0</v>
      </c>
      <c r="AV104" s="222">
        <f>轉向量!P383</f>
        <v>0</v>
      </c>
      <c r="AW104" s="223">
        <f>轉向量!R383</f>
        <v>0</v>
      </c>
      <c r="AX104" s="234">
        <f>轉向量!D479</f>
        <v>0</v>
      </c>
      <c r="AY104" s="235">
        <f>轉向量!E479</f>
        <v>0</v>
      </c>
      <c r="AZ104" s="235">
        <f>轉向量!F479</f>
        <v>0</v>
      </c>
      <c r="BA104" s="236">
        <f>轉向量!G479</f>
        <v>0</v>
      </c>
      <c r="BB104" s="235">
        <f>轉向量!I479</f>
        <v>0</v>
      </c>
      <c r="BC104" s="235">
        <f>轉向量!J479</f>
        <v>0</v>
      </c>
      <c r="BD104" s="235">
        <f>轉向量!K479</f>
        <v>0</v>
      </c>
      <c r="BE104" s="236">
        <f>轉向量!L479</f>
        <v>0</v>
      </c>
      <c r="BF104" s="235">
        <f>轉向量!N479</f>
        <v>0</v>
      </c>
      <c r="BG104" s="235">
        <f>轉向量!O479</f>
        <v>0</v>
      </c>
      <c r="BH104" s="235">
        <f>轉向量!P479</f>
        <v>0</v>
      </c>
      <c r="BI104" s="236">
        <f>轉向量!Q479</f>
        <v>0</v>
      </c>
    </row>
    <row r="105" spans="1:63">
      <c r="A105" s="17">
        <v>2330</v>
      </c>
      <c r="B105" s="184">
        <f>轉向量!E96</f>
        <v>0</v>
      </c>
      <c r="C105" s="184">
        <f>轉向量!F96</f>
        <v>0</v>
      </c>
      <c r="D105" s="184">
        <f>轉向量!G96</f>
        <v>0</v>
      </c>
      <c r="E105" s="185">
        <f>轉向量!H96</f>
        <v>0</v>
      </c>
      <c r="F105" s="186">
        <f>轉向量!J96</f>
        <v>0</v>
      </c>
      <c r="G105" s="184">
        <f>轉向量!K96</f>
        <v>0</v>
      </c>
      <c r="H105" s="184">
        <f>轉向量!L96</f>
        <v>0</v>
      </c>
      <c r="I105" s="185">
        <f>轉向量!M96</f>
        <v>0</v>
      </c>
      <c r="J105" s="186">
        <f>轉向量!O96</f>
        <v>0</v>
      </c>
      <c r="K105" s="184">
        <f>轉向量!P96</f>
        <v>0</v>
      </c>
      <c r="L105" s="184">
        <f>轉向量!Q96</f>
        <v>0</v>
      </c>
      <c r="M105" s="185">
        <f>轉向量!R96</f>
        <v>0</v>
      </c>
      <c r="N105" s="187">
        <f>轉向量!D192</f>
        <v>0</v>
      </c>
      <c r="O105" s="188">
        <f>轉向量!F192</f>
        <v>0</v>
      </c>
      <c r="P105" s="188">
        <f>轉向量!G192</f>
        <v>0</v>
      </c>
      <c r="Q105" s="189">
        <f>轉向量!H192</f>
        <v>0</v>
      </c>
      <c r="R105" s="187">
        <f>轉向量!I192</f>
        <v>0</v>
      </c>
      <c r="S105" s="188">
        <f>轉向量!K192</f>
        <v>0</v>
      </c>
      <c r="T105" s="188">
        <f>轉向量!L192</f>
        <v>0</v>
      </c>
      <c r="U105" s="189">
        <f>轉向量!M192</f>
        <v>0</v>
      </c>
      <c r="V105" s="188">
        <f>轉向量!N192</f>
        <v>0</v>
      </c>
      <c r="W105" s="188">
        <f>轉向量!P192</f>
        <v>0</v>
      </c>
      <c r="X105" s="188">
        <f>轉向量!Q192</f>
        <v>0</v>
      </c>
      <c r="Y105" s="189">
        <f>轉向量!R192</f>
        <v>0</v>
      </c>
      <c r="Z105" s="209">
        <f>轉向量!D288</f>
        <v>0</v>
      </c>
      <c r="AA105" s="210">
        <f>轉向量!E288</f>
        <v>0</v>
      </c>
      <c r="AB105" s="210">
        <f>轉向量!G288</f>
        <v>0</v>
      </c>
      <c r="AC105" s="211">
        <f>轉向量!H288</f>
        <v>0</v>
      </c>
      <c r="AD105" s="210">
        <f>轉向量!I288</f>
        <v>0</v>
      </c>
      <c r="AE105" s="210">
        <f>轉向量!J288</f>
        <v>0</v>
      </c>
      <c r="AF105" s="210">
        <f>轉向量!L288</f>
        <v>0</v>
      </c>
      <c r="AG105" s="211">
        <f>轉向量!M288</f>
        <v>0</v>
      </c>
      <c r="AH105" s="210">
        <f>轉向量!N288</f>
        <v>0</v>
      </c>
      <c r="AI105" s="210">
        <f>轉向量!O288</f>
        <v>0</v>
      </c>
      <c r="AJ105" s="210">
        <f>轉向量!Q288</f>
        <v>0</v>
      </c>
      <c r="AK105" s="211">
        <f>轉向量!R288</f>
        <v>0</v>
      </c>
      <c r="AL105" s="221">
        <f>轉向量!D384</f>
        <v>0</v>
      </c>
      <c r="AM105" s="222">
        <f>轉向量!E384</f>
        <v>0</v>
      </c>
      <c r="AN105" s="222">
        <f>轉向量!F384</f>
        <v>0</v>
      </c>
      <c r="AO105" s="223">
        <f>轉向量!H384</f>
        <v>0</v>
      </c>
      <c r="AP105" s="222">
        <f>轉向量!I384</f>
        <v>0</v>
      </c>
      <c r="AQ105" s="222">
        <f>轉向量!J384</f>
        <v>0</v>
      </c>
      <c r="AR105" s="222">
        <f>轉向量!K384</f>
        <v>0</v>
      </c>
      <c r="AS105" s="223">
        <f>轉向量!M384</f>
        <v>0</v>
      </c>
      <c r="AT105" s="222">
        <f>轉向量!N384</f>
        <v>0</v>
      </c>
      <c r="AU105" s="222">
        <f>轉向量!O384</f>
        <v>0</v>
      </c>
      <c r="AV105" s="222">
        <f>轉向量!P384</f>
        <v>0</v>
      </c>
      <c r="AW105" s="223">
        <f>轉向量!R384</f>
        <v>0</v>
      </c>
      <c r="AX105" s="234">
        <f>轉向量!D480</f>
        <v>0</v>
      </c>
      <c r="AY105" s="235">
        <f>轉向量!E480</f>
        <v>0</v>
      </c>
      <c r="AZ105" s="235">
        <f>轉向量!F480</f>
        <v>0</v>
      </c>
      <c r="BA105" s="236">
        <f>轉向量!G480</f>
        <v>0</v>
      </c>
      <c r="BB105" s="235">
        <f>轉向量!I480</f>
        <v>0</v>
      </c>
      <c r="BC105" s="235">
        <f>轉向量!J480</f>
        <v>0</v>
      </c>
      <c r="BD105" s="235">
        <f>轉向量!K480</f>
        <v>0</v>
      </c>
      <c r="BE105" s="236">
        <f>轉向量!L480</f>
        <v>0</v>
      </c>
      <c r="BF105" s="235">
        <f>轉向量!N480</f>
        <v>0</v>
      </c>
      <c r="BG105" s="235">
        <f>轉向量!O480</f>
        <v>0</v>
      </c>
      <c r="BH105" s="235">
        <f>轉向量!P480</f>
        <v>0</v>
      </c>
      <c r="BI105" s="236">
        <f>轉向量!Q480</f>
        <v>0</v>
      </c>
    </row>
    <row r="106" spans="1:63">
      <c r="A106" s="17">
        <v>2345</v>
      </c>
      <c r="B106" s="184">
        <f>轉向量!E97</f>
        <v>0</v>
      </c>
      <c r="C106" s="184">
        <f>轉向量!F97</f>
        <v>0</v>
      </c>
      <c r="D106" s="184">
        <f>轉向量!G97</f>
        <v>0</v>
      </c>
      <c r="E106" s="185">
        <f>轉向量!H97</f>
        <v>0</v>
      </c>
      <c r="F106" s="186">
        <f>轉向量!J97</f>
        <v>0</v>
      </c>
      <c r="G106" s="184">
        <f>轉向量!K97</f>
        <v>0</v>
      </c>
      <c r="H106" s="184">
        <f>轉向量!L97</f>
        <v>0</v>
      </c>
      <c r="I106" s="185">
        <f>轉向量!M97</f>
        <v>0</v>
      </c>
      <c r="J106" s="186">
        <f>轉向量!O97</f>
        <v>0</v>
      </c>
      <c r="K106" s="184">
        <f>轉向量!P97</f>
        <v>0</v>
      </c>
      <c r="L106" s="184">
        <f>轉向量!Q97</f>
        <v>0</v>
      </c>
      <c r="M106" s="185">
        <f>轉向量!R97</f>
        <v>0</v>
      </c>
      <c r="N106" s="187">
        <f>轉向量!D193</f>
        <v>0</v>
      </c>
      <c r="O106" s="188">
        <f>轉向量!F193</f>
        <v>0</v>
      </c>
      <c r="P106" s="188">
        <f>轉向量!G193</f>
        <v>0</v>
      </c>
      <c r="Q106" s="189">
        <f>轉向量!H193</f>
        <v>0</v>
      </c>
      <c r="R106" s="187">
        <f>轉向量!I193</f>
        <v>0</v>
      </c>
      <c r="S106" s="188">
        <f>轉向量!K193</f>
        <v>0</v>
      </c>
      <c r="T106" s="188">
        <f>轉向量!L193</f>
        <v>0</v>
      </c>
      <c r="U106" s="189">
        <f>轉向量!M193</f>
        <v>0</v>
      </c>
      <c r="V106" s="188">
        <f>轉向量!N193</f>
        <v>0</v>
      </c>
      <c r="W106" s="188">
        <f>轉向量!P193</f>
        <v>0</v>
      </c>
      <c r="X106" s="188">
        <f>轉向量!Q193</f>
        <v>0</v>
      </c>
      <c r="Y106" s="189">
        <f>轉向量!R193</f>
        <v>0</v>
      </c>
      <c r="Z106" s="209">
        <f>轉向量!D289</f>
        <v>0</v>
      </c>
      <c r="AA106" s="210">
        <f>轉向量!E289</f>
        <v>0</v>
      </c>
      <c r="AB106" s="210">
        <f>轉向量!G289</f>
        <v>0</v>
      </c>
      <c r="AC106" s="211">
        <f>轉向量!H289</f>
        <v>0</v>
      </c>
      <c r="AD106" s="210">
        <f>轉向量!I289</f>
        <v>0</v>
      </c>
      <c r="AE106" s="210">
        <f>轉向量!J289</f>
        <v>0</v>
      </c>
      <c r="AF106" s="210">
        <f>轉向量!L289</f>
        <v>0</v>
      </c>
      <c r="AG106" s="211">
        <f>轉向量!M289</f>
        <v>0</v>
      </c>
      <c r="AH106" s="210">
        <f>轉向量!N289</f>
        <v>0</v>
      </c>
      <c r="AI106" s="210">
        <f>轉向量!O289</f>
        <v>0</v>
      </c>
      <c r="AJ106" s="210">
        <f>轉向量!Q289</f>
        <v>0</v>
      </c>
      <c r="AK106" s="211">
        <f>轉向量!R289</f>
        <v>0</v>
      </c>
      <c r="AL106" s="221">
        <f>轉向量!D385</f>
        <v>0</v>
      </c>
      <c r="AM106" s="222">
        <f>轉向量!E385</f>
        <v>0</v>
      </c>
      <c r="AN106" s="222">
        <f>轉向量!F385</f>
        <v>0</v>
      </c>
      <c r="AO106" s="223">
        <f>轉向量!H385</f>
        <v>0</v>
      </c>
      <c r="AP106" s="222">
        <f>轉向量!I385</f>
        <v>0</v>
      </c>
      <c r="AQ106" s="222">
        <f>轉向量!J385</f>
        <v>0</v>
      </c>
      <c r="AR106" s="222">
        <f>轉向量!K385</f>
        <v>0</v>
      </c>
      <c r="AS106" s="223">
        <f>轉向量!M385</f>
        <v>0</v>
      </c>
      <c r="AT106" s="222">
        <f>轉向量!N385</f>
        <v>0</v>
      </c>
      <c r="AU106" s="222">
        <f>轉向量!O385</f>
        <v>0</v>
      </c>
      <c r="AV106" s="222">
        <f>轉向量!P385</f>
        <v>0</v>
      </c>
      <c r="AW106" s="223">
        <f>轉向量!R385</f>
        <v>0</v>
      </c>
      <c r="AX106" s="234">
        <f>轉向量!D481</f>
        <v>0</v>
      </c>
      <c r="AY106" s="235">
        <f>轉向量!E481</f>
        <v>0</v>
      </c>
      <c r="AZ106" s="235">
        <f>轉向量!F481</f>
        <v>0</v>
      </c>
      <c r="BA106" s="236">
        <f>轉向量!G481</f>
        <v>0</v>
      </c>
      <c r="BB106" s="235">
        <f>轉向量!I481</f>
        <v>0</v>
      </c>
      <c r="BC106" s="235">
        <f>轉向量!J481</f>
        <v>0</v>
      </c>
      <c r="BD106" s="235">
        <f>轉向量!K481</f>
        <v>0</v>
      </c>
      <c r="BE106" s="236">
        <f>轉向量!L481</f>
        <v>0</v>
      </c>
      <c r="BF106" s="235">
        <f>轉向量!N481</f>
        <v>0</v>
      </c>
      <c r="BG106" s="235">
        <f>轉向量!O481</f>
        <v>0</v>
      </c>
      <c r="BH106" s="235">
        <f>轉向量!P481</f>
        <v>0</v>
      </c>
      <c r="BI106" s="236">
        <f>轉向量!Q481</f>
        <v>0</v>
      </c>
    </row>
    <row r="107" spans="1:63"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</sheetData>
  <mergeCells count="7">
    <mergeCell ref="AY8:BA8"/>
    <mergeCell ref="B3:M6"/>
    <mergeCell ref="AM8:AO8"/>
    <mergeCell ref="A9:A10"/>
    <mergeCell ref="C8:E8"/>
    <mergeCell ref="O8:Q8"/>
    <mergeCell ref="AA8:AC8"/>
  </mergeCells>
  <phoneticPr fontId="2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100" max="16383" man="1"/>
  </rowBreaks>
  <ignoredErrors>
    <ignoredError sqref="H3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  <pageSetUpPr fitToPage="1"/>
  </sheetPr>
  <dimension ref="A1:FT100"/>
  <sheetViews>
    <sheetView tabSelected="1" topLeftCell="Y1" zoomScaleNormal="100" workbookViewId="0">
      <pane ySplit="4" topLeftCell="A65" activePane="bottomLeft" state="frozen"/>
      <selection pane="bottomLeft" activeCell="AV72" sqref="AV72"/>
    </sheetView>
  </sheetViews>
  <sheetFormatPr defaultColWidth="8.875" defaultRowHeight="16.5"/>
  <cols>
    <col min="1" max="1" width="7.75" style="55" customWidth="1"/>
    <col min="2" max="27" width="7.625" style="50" customWidth="1"/>
    <col min="28" max="28" width="2.125" style="50" customWidth="1"/>
    <col min="29" max="29" width="7.625" style="50" customWidth="1"/>
    <col min="30" max="30" width="7.625" style="51" customWidth="1"/>
    <col min="31" max="31" width="7.625" style="50" customWidth="1"/>
    <col min="32" max="32" width="9.375" style="50" customWidth="1"/>
    <col min="33" max="38" width="10.875" style="51" customWidth="1"/>
    <col min="39" max="39" width="9.25" style="51" customWidth="1"/>
    <col min="40" max="40" width="7.625" style="51" customWidth="1"/>
    <col min="41" max="41" width="7.625" style="51" bestFit="1" customWidth="1"/>
    <col min="42" max="45" width="7.625" style="50" customWidth="1"/>
    <col min="46" max="46" width="7.625" style="56" customWidth="1"/>
    <col min="47" max="50" width="7.625" style="50" customWidth="1"/>
    <col min="51" max="56" width="7.625" style="56" customWidth="1"/>
    <col min="57" max="60" width="7.625" style="50" customWidth="1"/>
    <col min="61" max="61" width="7.625" style="56" customWidth="1"/>
    <col min="62" max="62" width="7.625" style="50" customWidth="1"/>
    <col min="63" max="63" width="7.625" style="56" customWidth="1"/>
    <col min="64" max="64" width="7.625" style="50" customWidth="1"/>
    <col min="65" max="65" width="7.625" style="56" customWidth="1"/>
    <col min="66" max="66" width="7.625" style="50" customWidth="1"/>
    <col min="67" max="67" width="7.625" style="56" customWidth="1"/>
    <col min="68" max="72" width="7.625" style="50" customWidth="1"/>
    <col min="73" max="73" width="7.625" style="56" customWidth="1"/>
    <col min="74" max="77" width="7.625" style="50" customWidth="1"/>
    <col min="78" max="83" width="7.625" style="56" customWidth="1"/>
    <col min="84" max="87" width="7.625" style="50" customWidth="1"/>
    <col min="88" max="88" width="7.625" style="56" customWidth="1"/>
    <col min="89" max="89" width="7.625" style="50" customWidth="1"/>
    <col min="90" max="90" width="7.625" style="56" customWidth="1"/>
    <col min="91" max="91" width="7.625" style="50" customWidth="1"/>
    <col min="92" max="92" width="7.625" style="56" customWidth="1"/>
    <col min="93" max="93" width="7.625" style="50" customWidth="1"/>
    <col min="94" max="94" width="7.625" style="56" customWidth="1"/>
    <col min="95" max="99" width="7.625" style="50" customWidth="1"/>
    <col min="100" max="100" width="7.625" style="56" customWidth="1"/>
    <col min="101" max="104" width="7.625" style="50" customWidth="1"/>
    <col min="105" max="110" width="7.625" style="56" customWidth="1"/>
    <col min="111" max="114" width="7.625" style="50" customWidth="1"/>
    <col min="115" max="115" width="7.625" style="56" customWidth="1"/>
    <col min="116" max="116" width="7.625" style="50" customWidth="1"/>
    <col min="117" max="117" width="7.625" style="56" customWidth="1"/>
    <col min="118" max="118" width="7.625" style="50" customWidth="1"/>
    <col min="119" max="119" width="7.625" style="56" customWidth="1"/>
    <col min="120" max="120" width="7.625" style="50" customWidth="1"/>
    <col min="121" max="121" width="7.625" style="56" customWidth="1"/>
    <col min="122" max="126" width="7.625" style="50" customWidth="1"/>
    <col min="127" max="127" width="7.625" style="56" customWidth="1"/>
    <col min="128" max="131" width="7.625" style="50" customWidth="1"/>
    <col min="132" max="137" width="7.625" style="56" customWidth="1"/>
    <col min="138" max="141" width="7.625" style="50" customWidth="1"/>
    <col min="142" max="142" width="7.625" style="56" customWidth="1"/>
    <col min="143" max="143" width="7.625" style="51" customWidth="1"/>
    <col min="144" max="144" width="7.625" style="56" customWidth="1"/>
    <col min="145" max="145" width="7.625" style="51" customWidth="1"/>
    <col min="146" max="146" width="7.625" style="56" customWidth="1"/>
    <col min="147" max="147" width="7.625" style="51" customWidth="1"/>
    <col min="148" max="148" width="7.625" style="56" customWidth="1"/>
    <col min="149" max="149" width="7.625" style="50" customWidth="1"/>
    <col min="150" max="176" width="7.625" style="51" customWidth="1"/>
    <col min="177" max="183" width="8.875" style="51" customWidth="1"/>
    <col min="184" max="193" width="8.875" style="51"/>
    <col min="194" max="194" width="7.75" style="51" customWidth="1"/>
    <col min="195" max="220" width="7.625" style="51" customWidth="1"/>
    <col min="221" max="221" width="2.125" style="51" customWidth="1"/>
    <col min="222" max="224" width="7.625" style="51" customWidth="1"/>
    <col min="225" max="225" width="9.375" style="51" customWidth="1"/>
    <col min="226" max="230" width="10.875" style="51" customWidth="1"/>
    <col min="231" max="231" width="9.25" style="51" customWidth="1"/>
    <col min="232" max="232" width="7.625" style="51" customWidth="1"/>
    <col min="233" max="233" width="7.625" style="51" bestFit="1" customWidth="1"/>
    <col min="234" max="432" width="7.625" style="51" customWidth="1"/>
    <col min="433" max="439" width="8.875" style="51" customWidth="1"/>
    <col min="440" max="449" width="8.875" style="51"/>
    <col min="450" max="450" width="7.75" style="51" customWidth="1"/>
    <col min="451" max="476" width="7.625" style="51" customWidth="1"/>
    <col min="477" max="477" width="2.125" style="51" customWidth="1"/>
    <col min="478" max="480" width="7.625" style="51" customWidth="1"/>
    <col min="481" max="481" width="9.375" style="51" customWidth="1"/>
    <col min="482" max="486" width="10.875" style="51" customWidth="1"/>
    <col min="487" max="487" width="9.25" style="51" customWidth="1"/>
    <col min="488" max="488" width="7.625" style="51" customWidth="1"/>
    <col min="489" max="489" width="7.625" style="51" bestFit="1" customWidth="1"/>
    <col min="490" max="688" width="7.625" style="51" customWidth="1"/>
    <col min="689" max="695" width="8.875" style="51" customWidth="1"/>
    <col min="696" max="705" width="8.875" style="51"/>
    <col min="706" max="706" width="7.75" style="51" customWidth="1"/>
    <col min="707" max="732" width="7.625" style="51" customWidth="1"/>
    <col min="733" max="733" width="2.125" style="51" customWidth="1"/>
    <col min="734" max="736" width="7.625" style="51" customWidth="1"/>
    <col min="737" max="737" width="9.375" style="51" customWidth="1"/>
    <col min="738" max="742" width="10.875" style="51" customWidth="1"/>
    <col min="743" max="743" width="9.25" style="51" customWidth="1"/>
    <col min="744" max="744" width="7.625" style="51" customWidth="1"/>
    <col min="745" max="745" width="7.625" style="51" bestFit="1" customWidth="1"/>
    <col min="746" max="944" width="7.625" style="51" customWidth="1"/>
    <col min="945" max="951" width="8.875" style="51" customWidth="1"/>
    <col min="952" max="961" width="8.875" style="51"/>
    <col min="962" max="962" width="7.75" style="51" customWidth="1"/>
    <col min="963" max="988" width="7.625" style="51" customWidth="1"/>
    <col min="989" max="989" width="2.125" style="51" customWidth="1"/>
    <col min="990" max="992" width="7.625" style="51" customWidth="1"/>
    <col min="993" max="993" width="9.375" style="51" customWidth="1"/>
    <col min="994" max="998" width="10.875" style="51" customWidth="1"/>
    <col min="999" max="999" width="9.25" style="51" customWidth="1"/>
    <col min="1000" max="1000" width="7.625" style="51" customWidth="1"/>
    <col min="1001" max="1001" width="7.625" style="51" bestFit="1" customWidth="1"/>
    <col min="1002" max="1200" width="7.625" style="51" customWidth="1"/>
    <col min="1201" max="1207" width="8.875" style="51" customWidth="1"/>
    <col min="1208" max="1217" width="8.875" style="51"/>
    <col min="1218" max="1218" width="7.75" style="51" customWidth="1"/>
    <col min="1219" max="1244" width="7.625" style="51" customWidth="1"/>
    <col min="1245" max="1245" width="2.125" style="51" customWidth="1"/>
    <col min="1246" max="1248" width="7.625" style="51" customWidth="1"/>
    <col min="1249" max="1249" width="9.375" style="51" customWidth="1"/>
    <col min="1250" max="1254" width="10.875" style="51" customWidth="1"/>
    <col min="1255" max="1255" width="9.25" style="51" customWidth="1"/>
    <col min="1256" max="1256" width="7.625" style="51" customWidth="1"/>
    <col min="1257" max="1257" width="7.625" style="51" bestFit="1" customWidth="1"/>
    <col min="1258" max="1456" width="7.625" style="51" customWidth="1"/>
    <col min="1457" max="1463" width="8.875" style="51" customWidth="1"/>
    <col min="1464" max="1473" width="8.875" style="51"/>
    <col min="1474" max="1474" width="7.75" style="51" customWidth="1"/>
    <col min="1475" max="1500" width="7.625" style="51" customWidth="1"/>
    <col min="1501" max="1501" width="2.125" style="51" customWidth="1"/>
    <col min="1502" max="1504" width="7.625" style="51" customWidth="1"/>
    <col min="1505" max="1505" width="9.375" style="51" customWidth="1"/>
    <col min="1506" max="1510" width="10.875" style="51" customWidth="1"/>
    <col min="1511" max="1511" width="9.25" style="51" customWidth="1"/>
    <col min="1512" max="1512" width="7.625" style="51" customWidth="1"/>
    <col min="1513" max="1513" width="7.625" style="51" bestFit="1" customWidth="1"/>
    <col min="1514" max="1712" width="7.625" style="51" customWidth="1"/>
    <col min="1713" max="1719" width="8.875" style="51" customWidth="1"/>
    <col min="1720" max="1729" width="8.875" style="51"/>
    <col min="1730" max="1730" width="7.75" style="51" customWidth="1"/>
    <col min="1731" max="1756" width="7.625" style="51" customWidth="1"/>
    <col min="1757" max="1757" width="2.125" style="51" customWidth="1"/>
    <col min="1758" max="1760" width="7.625" style="51" customWidth="1"/>
    <col min="1761" max="1761" width="9.375" style="51" customWidth="1"/>
    <col min="1762" max="1766" width="10.875" style="51" customWidth="1"/>
    <col min="1767" max="1767" width="9.25" style="51" customWidth="1"/>
    <col min="1768" max="1768" width="7.625" style="51" customWidth="1"/>
    <col min="1769" max="1769" width="7.625" style="51" bestFit="1" customWidth="1"/>
    <col min="1770" max="1968" width="7.625" style="51" customWidth="1"/>
    <col min="1969" max="1975" width="8.875" style="51" customWidth="1"/>
    <col min="1976" max="1985" width="8.875" style="51"/>
    <col min="1986" max="1986" width="7.75" style="51" customWidth="1"/>
    <col min="1987" max="2012" width="7.625" style="51" customWidth="1"/>
    <col min="2013" max="2013" width="2.125" style="51" customWidth="1"/>
    <col min="2014" max="2016" width="7.625" style="51" customWidth="1"/>
    <col min="2017" max="2017" width="9.375" style="51" customWidth="1"/>
    <col min="2018" max="2022" width="10.875" style="51" customWidth="1"/>
    <col min="2023" max="2023" width="9.25" style="51" customWidth="1"/>
    <col min="2024" max="2024" width="7.625" style="51" customWidth="1"/>
    <col min="2025" max="2025" width="7.625" style="51" bestFit="1" customWidth="1"/>
    <col min="2026" max="2224" width="7.625" style="51" customWidth="1"/>
    <col min="2225" max="2231" width="8.875" style="51" customWidth="1"/>
    <col min="2232" max="2241" width="8.875" style="51"/>
    <col min="2242" max="2242" width="7.75" style="51" customWidth="1"/>
    <col min="2243" max="2268" width="7.625" style="51" customWidth="1"/>
    <col min="2269" max="2269" width="2.125" style="51" customWidth="1"/>
    <col min="2270" max="2272" width="7.625" style="51" customWidth="1"/>
    <col min="2273" max="2273" width="9.375" style="51" customWidth="1"/>
    <col min="2274" max="2278" width="10.875" style="51" customWidth="1"/>
    <col min="2279" max="2279" width="9.25" style="51" customWidth="1"/>
    <col min="2280" max="2280" width="7.625" style="51" customWidth="1"/>
    <col min="2281" max="2281" width="7.625" style="51" bestFit="1" customWidth="1"/>
    <col min="2282" max="2480" width="7.625" style="51" customWidth="1"/>
    <col min="2481" max="2487" width="8.875" style="51" customWidth="1"/>
    <col min="2488" max="2497" width="8.875" style="51"/>
    <col min="2498" max="2498" width="7.75" style="51" customWidth="1"/>
    <col min="2499" max="2524" width="7.625" style="51" customWidth="1"/>
    <col min="2525" max="2525" width="2.125" style="51" customWidth="1"/>
    <col min="2526" max="2528" width="7.625" style="51" customWidth="1"/>
    <col min="2529" max="2529" width="9.375" style="51" customWidth="1"/>
    <col min="2530" max="2534" width="10.875" style="51" customWidth="1"/>
    <col min="2535" max="2535" width="9.25" style="51" customWidth="1"/>
    <col min="2536" max="2536" width="7.625" style="51" customWidth="1"/>
    <col min="2537" max="2537" width="7.625" style="51" bestFit="1" customWidth="1"/>
    <col min="2538" max="2736" width="7.625" style="51" customWidth="1"/>
    <col min="2737" max="2743" width="8.875" style="51" customWidth="1"/>
    <col min="2744" max="2753" width="8.875" style="51"/>
    <col min="2754" max="2754" width="7.75" style="51" customWidth="1"/>
    <col min="2755" max="2780" width="7.625" style="51" customWidth="1"/>
    <col min="2781" max="2781" width="2.125" style="51" customWidth="1"/>
    <col min="2782" max="2784" width="7.625" style="51" customWidth="1"/>
    <col min="2785" max="2785" width="9.375" style="51" customWidth="1"/>
    <col min="2786" max="2790" width="10.875" style="51" customWidth="1"/>
    <col min="2791" max="2791" width="9.25" style="51" customWidth="1"/>
    <col min="2792" max="2792" width="7.625" style="51" customWidth="1"/>
    <col min="2793" max="2793" width="7.625" style="51" bestFit="1" customWidth="1"/>
    <col min="2794" max="2992" width="7.625" style="51" customWidth="1"/>
    <col min="2993" max="2999" width="8.875" style="51" customWidth="1"/>
    <col min="3000" max="3009" width="8.875" style="51"/>
    <col min="3010" max="3010" width="7.75" style="51" customWidth="1"/>
    <col min="3011" max="3036" width="7.625" style="51" customWidth="1"/>
    <col min="3037" max="3037" width="2.125" style="51" customWidth="1"/>
    <col min="3038" max="3040" width="7.625" style="51" customWidth="1"/>
    <col min="3041" max="3041" width="9.375" style="51" customWidth="1"/>
    <col min="3042" max="3046" width="10.875" style="51" customWidth="1"/>
    <col min="3047" max="3047" width="9.25" style="51" customWidth="1"/>
    <col min="3048" max="3048" width="7.625" style="51" customWidth="1"/>
    <col min="3049" max="3049" width="7.625" style="51" bestFit="1" customWidth="1"/>
    <col min="3050" max="3248" width="7.625" style="51" customWidth="1"/>
    <col min="3249" max="3255" width="8.875" style="51" customWidth="1"/>
    <col min="3256" max="3265" width="8.875" style="51"/>
    <col min="3266" max="3266" width="7.75" style="51" customWidth="1"/>
    <col min="3267" max="3292" width="7.625" style="51" customWidth="1"/>
    <col min="3293" max="3293" width="2.125" style="51" customWidth="1"/>
    <col min="3294" max="3296" width="7.625" style="51" customWidth="1"/>
    <col min="3297" max="3297" width="9.375" style="51" customWidth="1"/>
    <col min="3298" max="3302" width="10.875" style="51" customWidth="1"/>
    <col min="3303" max="3303" width="9.25" style="51" customWidth="1"/>
    <col min="3304" max="3304" width="7.625" style="51" customWidth="1"/>
    <col min="3305" max="3305" width="7.625" style="51" bestFit="1" customWidth="1"/>
    <col min="3306" max="3504" width="7.625" style="51" customWidth="1"/>
    <col min="3505" max="3511" width="8.875" style="51" customWidth="1"/>
    <col min="3512" max="3521" width="8.875" style="51"/>
    <col min="3522" max="3522" width="7.75" style="51" customWidth="1"/>
    <col min="3523" max="3548" width="7.625" style="51" customWidth="1"/>
    <col min="3549" max="3549" width="2.125" style="51" customWidth="1"/>
    <col min="3550" max="3552" width="7.625" style="51" customWidth="1"/>
    <col min="3553" max="3553" width="9.375" style="51" customWidth="1"/>
    <col min="3554" max="3558" width="10.875" style="51" customWidth="1"/>
    <col min="3559" max="3559" width="9.25" style="51" customWidth="1"/>
    <col min="3560" max="3560" width="7.625" style="51" customWidth="1"/>
    <col min="3561" max="3561" width="7.625" style="51" bestFit="1" customWidth="1"/>
    <col min="3562" max="3760" width="7.625" style="51" customWidth="1"/>
    <col min="3761" max="3767" width="8.875" style="51" customWidth="1"/>
    <col min="3768" max="3777" width="8.875" style="51"/>
    <col min="3778" max="3778" width="7.75" style="51" customWidth="1"/>
    <col min="3779" max="3804" width="7.625" style="51" customWidth="1"/>
    <col min="3805" max="3805" width="2.125" style="51" customWidth="1"/>
    <col min="3806" max="3808" width="7.625" style="51" customWidth="1"/>
    <col min="3809" max="3809" width="9.375" style="51" customWidth="1"/>
    <col min="3810" max="3814" width="10.875" style="51" customWidth="1"/>
    <col min="3815" max="3815" width="9.25" style="51" customWidth="1"/>
    <col min="3816" max="3816" width="7.625" style="51" customWidth="1"/>
    <col min="3817" max="3817" width="7.625" style="51" bestFit="1" customWidth="1"/>
    <col min="3818" max="4016" width="7.625" style="51" customWidth="1"/>
    <col min="4017" max="4023" width="8.875" style="51" customWidth="1"/>
    <col min="4024" max="4033" width="8.875" style="51"/>
    <col min="4034" max="4034" width="7.75" style="51" customWidth="1"/>
    <col min="4035" max="4060" width="7.625" style="51" customWidth="1"/>
    <col min="4061" max="4061" width="2.125" style="51" customWidth="1"/>
    <col min="4062" max="4064" width="7.625" style="51" customWidth="1"/>
    <col min="4065" max="4065" width="9.375" style="51" customWidth="1"/>
    <col min="4066" max="4070" width="10.875" style="51" customWidth="1"/>
    <col min="4071" max="4071" width="9.25" style="51" customWidth="1"/>
    <col min="4072" max="4072" width="7.625" style="51" customWidth="1"/>
    <col min="4073" max="4073" width="7.625" style="51" bestFit="1" customWidth="1"/>
    <col min="4074" max="4272" width="7.625" style="51" customWidth="1"/>
    <col min="4273" max="4279" width="8.875" style="51" customWidth="1"/>
    <col min="4280" max="4289" width="8.875" style="51"/>
    <col min="4290" max="4290" width="7.75" style="51" customWidth="1"/>
    <col min="4291" max="4316" width="7.625" style="51" customWidth="1"/>
    <col min="4317" max="4317" width="2.125" style="51" customWidth="1"/>
    <col min="4318" max="4320" width="7.625" style="51" customWidth="1"/>
    <col min="4321" max="4321" width="9.375" style="51" customWidth="1"/>
    <col min="4322" max="4326" width="10.875" style="51" customWidth="1"/>
    <col min="4327" max="4327" width="9.25" style="51" customWidth="1"/>
    <col min="4328" max="4328" width="7.625" style="51" customWidth="1"/>
    <col min="4329" max="4329" width="7.625" style="51" bestFit="1" customWidth="1"/>
    <col min="4330" max="4528" width="7.625" style="51" customWidth="1"/>
    <col min="4529" max="4535" width="8.875" style="51" customWidth="1"/>
    <col min="4536" max="4545" width="8.875" style="51"/>
    <col min="4546" max="4546" width="7.75" style="51" customWidth="1"/>
    <col min="4547" max="4572" width="7.625" style="51" customWidth="1"/>
    <col min="4573" max="4573" width="2.125" style="51" customWidth="1"/>
    <col min="4574" max="4576" width="7.625" style="51" customWidth="1"/>
    <col min="4577" max="4577" width="9.375" style="51" customWidth="1"/>
    <col min="4578" max="4582" width="10.875" style="51" customWidth="1"/>
    <col min="4583" max="4583" width="9.25" style="51" customWidth="1"/>
    <col min="4584" max="4584" width="7.625" style="51" customWidth="1"/>
    <col min="4585" max="4585" width="7.625" style="51" bestFit="1" customWidth="1"/>
    <col min="4586" max="4784" width="7.625" style="51" customWidth="1"/>
    <col min="4785" max="4791" width="8.875" style="51" customWidth="1"/>
    <col min="4792" max="4801" width="8.875" style="51"/>
    <col min="4802" max="4802" width="7.75" style="51" customWidth="1"/>
    <col min="4803" max="4828" width="7.625" style="51" customWidth="1"/>
    <col min="4829" max="4829" width="2.125" style="51" customWidth="1"/>
    <col min="4830" max="4832" width="7.625" style="51" customWidth="1"/>
    <col min="4833" max="4833" width="9.375" style="51" customWidth="1"/>
    <col min="4834" max="4838" width="10.875" style="51" customWidth="1"/>
    <col min="4839" max="4839" width="9.25" style="51" customWidth="1"/>
    <col min="4840" max="4840" width="7.625" style="51" customWidth="1"/>
    <col min="4841" max="4841" width="7.625" style="51" bestFit="1" customWidth="1"/>
    <col min="4842" max="5040" width="7.625" style="51" customWidth="1"/>
    <col min="5041" max="5047" width="8.875" style="51" customWidth="1"/>
    <col min="5048" max="5057" width="8.875" style="51"/>
    <col min="5058" max="5058" width="7.75" style="51" customWidth="1"/>
    <col min="5059" max="5084" width="7.625" style="51" customWidth="1"/>
    <col min="5085" max="5085" width="2.125" style="51" customWidth="1"/>
    <col min="5086" max="5088" width="7.625" style="51" customWidth="1"/>
    <col min="5089" max="5089" width="9.375" style="51" customWidth="1"/>
    <col min="5090" max="5094" width="10.875" style="51" customWidth="1"/>
    <col min="5095" max="5095" width="9.25" style="51" customWidth="1"/>
    <col min="5096" max="5096" width="7.625" style="51" customWidth="1"/>
    <col min="5097" max="5097" width="7.625" style="51" bestFit="1" customWidth="1"/>
    <col min="5098" max="5296" width="7.625" style="51" customWidth="1"/>
    <col min="5297" max="5303" width="8.875" style="51" customWidth="1"/>
    <col min="5304" max="5313" width="8.875" style="51"/>
    <col min="5314" max="5314" width="7.75" style="51" customWidth="1"/>
    <col min="5315" max="5340" width="7.625" style="51" customWidth="1"/>
    <col min="5341" max="5341" width="2.125" style="51" customWidth="1"/>
    <col min="5342" max="5344" width="7.625" style="51" customWidth="1"/>
    <col min="5345" max="5345" width="9.375" style="51" customWidth="1"/>
    <col min="5346" max="5350" width="10.875" style="51" customWidth="1"/>
    <col min="5351" max="5351" width="9.25" style="51" customWidth="1"/>
    <col min="5352" max="5352" width="7.625" style="51" customWidth="1"/>
    <col min="5353" max="5353" width="7.625" style="51" bestFit="1" customWidth="1"/>
    <col min="5354" max="5552" width="7.625" style="51" customWidth="1"/>
    <col min="5553" max="5559" width="8.875" style="51" customWidth="1"/>
    <col min="5560" max="5569" width="8.875" style="51"/>
    <col min="5570" max="5570" width="7.75" style="51" customWidth="1"/>
    <col min="5571" max="5596" width="7.625" style="51" customWidth="1"/>
    <col min="5597" max="5597" width="2.125" style="51" customWidth="1"/>
    <col min="5598" max="5600" width="7.625" style="51" customWidth="1"/>
    <col min="5601" max="5601" width="9.375" style="51" customWidth="1"/>
    <col min="5602" max="5606" width="10.875" style="51" customWidth="1"/>
    <col min="5607" max="5607" width="9.25" style="51" customWidth="1"/>
    <col min="5608" max="5608" width="7.625" style="51" customWidth="1"/>
    <col min="5609" max="5609" width="7.625" style="51" bestFit="1" customWidth="1"/>
    <col min="5610" max="5808" width="7.625" style="51" customWidth="1"/>
    <col min="5809" max="5815" width="8.875" style="51" customWidth="1"/>
    <col min="5816" max="5825" width="8.875" style="51"/>
    <col min="5826" max="5826" width="7.75" style="51" customWidth="1"/>
    <col min="5827" max="5852" width="7.625" style="51" customWidth="1"/>
    <col min="5853" max="5853" width="2.125" style="51" customWidth="1"/>
    <col min="5854" max="5856" width="7.625" style="51" customWidth="1"/>
    <col min="5857" max="5857" width="9.375" style="51" customWidth="1"/>
    <col min="5858" max="5862" width="10.875" style="51" customWidth="1"/>
    <col min="5863" max="5863" width="9.25" style="51" customWidth="1"/>
    <col min="5864" max="5864" width="7.625" style="51" customWidth="1"/>
    <col min="5865" max="5865" width="7.625" style="51" bestFit="1" customWidth="1"/>
    <col min="5866" max="6064" width="7.625" style="51" customWidth="1"/>
    <col min="6065" max="6071" width="8.875" style="51" customWidth="1"/>
    <col min="6072" max="6081" width="8.875" style="51"/>
    <col min="6082" max="6082" width="7.75" style="51" customWidth="1"/>
    <col min="6083" max="6108" width="7.625" style="51" customWidth="1"/>
    <col min="6109" max="6109" width="2.125" style="51" customWidth="1"/>
    <col min="6110" max="6112" width="7.625" style="51" customWidth="1"/>
    <col min="6113" max="6113" width="9.375" style="51" customWidth="1"/>
    <col min="6114" max="6118" width="10.875" style="51" customWidth="1"/>
    <col min="6119" max="6119" width="9.25" style="51" customWidth="1"/>
    <col min="6120" max="6120" width="7.625" style="51" customWidth="1"/>
    <col min="6121" max="6121" width="7.625" style="51" bestFit="1" customWidth="1"/>
    <col min="6122" max="6320" width="7.625" style="51" customWidth="1"/>
    <col min="6321" max="6327" width="8.875" style="51" customWidth="1"/>
    <col min="6328" max="6337" width="8.875" style="51"/>
    <col min="6338" max="6338" width="7.75" style="51" customWidth="1"/>
    <col min="6339" max="6364" width="7.625" style="51" customWidth="1"/>
    <col min="6365" max="6365" width="2.125" style="51" customWidth="1"/>
    <col min="6366" max="6368" width="7.625" style="51" customWidth="1"/>
    <col min="6369" max="6369" width="9.375" style="51" customWidth="1"/>
    <col min="6370" max="6374" width="10.875" style="51" customWidth="1"/>
    <col min="6375" max="6375" width="9.25" style="51" customWidth="1"/>
    <col min="6376" max="6376" width="7.625" style="51" customWidth="1"/>
    <col min="6377" max="6377" width="7.625" style="51" bestFit="1" customWidth="1"/>
    <col min="6378" max="6576" width="7.625" style="51" customWidth="1"/>
    <col min="6577" max="6583" width="8.875" style="51" customWidth="1"/>
    <col min="6584" max="6593" width="8.875" style="51"/>
    <col min="6594" max="6594" width="7.75" style="51" customWidth="1"/>
    <col min="6595" max="6620" width="7.625" style="51" customWidth="1"/>
    <col min="6621" max="6621" width="2.125" style="51" customWidth="1"/>
    <col min="6622" max="6624" width="7.625" style="51" customWidth="1"/>
    <col min="6625" max="6625" width="9.375" style="51" customWidth="1"/>
    <col min="6626" max="6630" width="10.875" style="51" customWidth="1"/>
    <col min="6631" max="6631" width="9.25" style="51" customWidth="1"/>
    <col min="6632" max="6632" width="7.625" style="51" customWidth="1"/>
    <col min="6633" max="6633" width="7.625" style="51" bestFit="1" customWidth="1"/>
    <col min="6634" max="6832" width="7.625" style="51" customWidth="1"/>
    <col min="6833" max="6839" width="8.875" style="51" customWidth="1"/>
    <col min="6840" max="6849" width="8.875" style="51"/>
    <col min="6850" max="6850" width="7.75" style="51" customWidth="1"/>
    <col min="6851" max="6876" width="7.625" style="51" customWidth="1"/>
    <col min="6877" max="6877" width="2.125" style="51" customWidth="1"/>
    <col min="6878" max="6880" width="7.625" style="51" customWidth="1"/>
    <col min="6881" max="6881" width="9.375" style="51" customWidth="1"/>
    <col min="6882" max="6886" width="10.875" style="51" customWidth="1"/>
    <col min="6887" max="6887" width="9.25" style="51" customWidth="1"/>
    <col min="6888" max="6888" width="7.625" style="51" customWidth="1"/>
    <col min="6889" max="6889" width="7.625" style="51" bestFit="1" customWidth="1"/>
    <col min="6890" max="7088" width="7.625" style="51" customWidth="1"/>
    <col min="7089" max="7095" width="8.875" style="51" customWidth="1"/>
    <col min="7096" max="7105" width="8.875" style="51"/>
    <col min="7106" max="7106" width="7.75" style="51" customWidth="1"/>
    <col min="7107" max="7132" width="7.625" style="51" customWidth="1"/>
    <col min="7133" max="7133" width="2.125" style="51" customWidth="1"/>
    <col min="7134" max="7136" width="7.625" style="51" customWidth="1"/>
    <col min="7137" max="7137" width="9.375" style="51" customWidth="1"/>
    <col min="7138" max="7142" width="10.875" style="51" customWidth="1"/>
    <col min="7143" max="7143" width="9.25" style="51" customWidth="1"/>
    <col min="7144" max="7144" width="7.625" style="51" customWidth="1"/>
    <col min="7145" max="7145" width="7.625" style="51" bestFit="1" customWidth="1"/>
    <col min="7146" max="7344" width="7.625" style="51" customWidth="1"/>
    <col min="7345" max="7351" width="8.875" style="51" customWidth="1"/>
    <col min="7352" max="7361" width="8.875" style="51"/>
    <col min="7362" max="7362" width="7.75" style="51" customWidth="1"/>
    <col min="7363" max="7388" width="7.625" style="51" customWidth="1"/>
    <col min="7389" max="7389" width="2.125" style="51" customWidth="1"/>
    <col min="7390" max="7392" width="7.625" style="51" customWidth="1"/>
    <col min="7393" max="7393" width="9.375" style="51" customWidth="1"/>
    <col min="7394" max="7398" width="10.875" style="51" customWidth="1"/>
    <col min="7399" max="7399" width="9.25" style="51" customWidth="1"/>
    <col min="7400" max="7400" width="7.625" style="51" customWidth="1"/>
    <col min="7401" max="7401" width="7.625" style="51" bestFit="1" customWidth="1"/>
    <col min="7402" max="7600" width="7.625" style="51" customWidth="1"/>
    <col min="7601" max="7607" width="8.875" style="51" customWidth="1"/>
    <col min="7608" max="7617" width="8.875" style="51"/>
    <col min="7618" max="7618" width="7.75" style="51" customWidth="1"/>
    <col min="7619" max="7644" width="7.625" style="51" customWidth="1"/>
    <col min="7645" max="7645" width="2.125" style="51" customWidth="1"/>
    <col min="7646" max="7648" width="7.625" style="51" customWidth="1"/>
    <col min="7649" max="7649" width="9.375" style="51" customWidth="1"/>
    <col min="7650" max="7654" width="10.875" style="51" customWidth="1"/>
    <col min="7655" max="7655" width="9.25" style="51" customWidth="1"/>
    <col min="7656" max="7656" width="7.625" style="51" customWidth="1"/>
    <col min="7657" max="7657" width="7.625" style="51" bestFit="1" customWidth="1"/>
    <col min="7658" max="7856" width="7.625" style="51" customWidth="1"/>
    <col min="7857" max="7863" width="8.875" style="51" customWidth="1"/>
    <col min="7864" max="7873" width="8.875" style="51"/>
    <col min="7874" max="7874" width="7.75" style="51" customWidth="1"/>
    <col min="7875" max="7900" width="7.625" style="51" customWidth="1"/>
    <col min="7901" max="7901" width="2.125" style="51" customWidth="1"/>
    <col min="7902" max="7904" width="7.625" style="51" customWidth="1"/>
    <col min="7905" max="7905" width="9.375" style="51" customWidth="1"/>
    <col min="7906" max="7910" width="10.875" style="51" customWidth="1"/>
    <col min="7911" max="7911" width="9.25" style="51" customWidth="1"/>
    <col min="7912" max="7912" width="7.625" style="51" customWidth="1"/>
    <col min="7913" max="7913" width="7.625" style="51" bestFit="1" customWidth="1"/>
    <col min="7914" max="8112" width="7.625" style="51" customWidth="1"/>
    <col min="8113" max="8119" width="8.875" style="51" customWidth="1"/>
    <col min="8120" max="8129" width="8.875" style="51"/>
    <col min="8130" max="8130" width="7.75" style="51" customWidth="1"/>
    <col min="8131" max="8156" width="7.625" style="51" customWidth="1"/>
    <col min="8157" max="8157" width="2.125" style="51" customWidth="1"/>
    <col min="8158" max="8160" width="7.625" style="51" customWidth="1"/>
    <col min="8161" max="8161" width="9.375" style="51" customWidth="1"/>
    <col min="8162" max="8166" width="10.875" style="51" customWidth="1"/>
    <col min="8167" max="8167" width="9.25" style="51" customWidth="1"/>
    <col min="8168" max="8168" width="7.625" style="51" customWidth="1"/>
    <col min="8169" max="8169" width="7.625" style="51" bestFit="1" customWidth="1"/>
    <col min="8170" max="8368" width="7.625" style="51" customWidth="1"/>
    <col min="8369" max="8375" width="8.875" style="51" customWidth="1"/>
    <col min="8376" max="8385" width="8.875" style="51"/>
    <col min="8386" max="8386" width="7.75" style="51" customWidth="1"/>
    <col min="8387" max="8412" width="7.625" style="51" customWidth="1"/>
    <col min="8413" max="8413" width="2.125" style="51" customWidth="1"/>
    <col min="8414" max="8416" width="7.625" style="51" customWidth="1"/>
    <col min="8417" max="8417" width="9.375" style="51" customWidth="1"/>
    <col min="8418" max="8422" width="10.875" style="51" customWidth="1"/>
    <col min="8423" max="8423" width="9.25" style="51" customWidth="1"/>
    <col min="8424" max="8424" width="7.625" style="51" customWidth="1"/>
    <col min="8425" max="8425" width="7.625" style="51" bestFit="1" customWidth="1"/>
    <col min="8426" max="8624" width="7.625" style="51" customWidth="1"/>
    <col min="8625" max="8631" width="8.875" style="51" customWidth="1"/>
    <col min="8632" max="8641" width="8.875" style="51"/>
    <col min="8642" max="8642" width="7.75" style="51" customWidth="1"/>
    <col min="8643" max="8668" width="7.625" style="51" customWidth="1"/>
    <col min="8669" max="8669" width="2.125" style="51" customWidth="1"/>
    <col min="8670" max="8672" width="7.625" style="51" customWidth="1"/>
    <col min="8673" max="8673" width="9.375" style="51" customWidth="1"/>
    <col min="8674" max="8678" width="10.875" style="51" customWidth="1"/>
    <col min="8679" max="8679" width="9.25" style="51" customWidth="1"/>
    <col min="8680" max="8680" width="7.625" style="51" customWidth="1"/>
    <col min="8681" max="8681" width="7.625" style="51" bestFit="1" customWidth="1"/>
    <col min="8682" max="8880" width="7.625" style="51" customWidth="1"/>
    <col min="8881" max="8887" width="8.875" style="51" customWidth="1"/>
    <col min="8888" max="8897" width="8.875" style="51"/>
    <col min="8898" max="8898" width="7.75" style="51" customWidth="1"/>
    <col min="8899" max="8924" width="7.625" style="51" customWidth="1"/>
    <col min="8925" max="8925" width="2.125" style="51" customWidth="1"/>
    <col min="8926" max="8928" width="7.625" style="51" customWidth="1"/>
    <col min="8929" max="8929" width="9.375" style="51" customWidth="1"/>
    <col min="8930" max="8934" width="10.875" style="51" customWidth="1"/>
    <col min="8935" max="8935" width="9.25" style="51" customWidth="1"/>
    <col min="8936" max="8936" width="7.625" style="51" customWidth="1"/>
    <col min="8937" max="8937" width="7.625" style="51" bestFit="1" customWidth="1"/>
    <col min="8938" max="9136" width="7.625" style="51" customWidth="1"/>
    <col min="9137" max="9143" width="8.875" style="51" customWidth="1"/>
    <col min="9144" max="9153" width="8.875" style="51"/>
    <col min="9154" max="9154" width="7.75" style="51" customWidth="1"/>
    <col min="9155" max="9180" width="7.625" style="51" customWidth="1"/>
    <col min="9181" max="9181" width="2.125" style="51" customWidth="1"/>
    <col min="9182" max="9184" width="7.625" style="51" customWidth="1"/>
    <col min="9185" max="9185" width="9.375" style="51" customWidth="1"/>
    <col min="9186" max="9190" width="10.875" style="51" customWidth="1"/>
    <col min="9191" max="9191" width="9.25" style="51" customWidth="1"/>
    <col min="9192" max="9192" width="7.625" style="51" customWidth="1"/>
    <col min="9193" max="9193" width="7.625" style="51" bestFit="1" customWidth="1"/>
    <col min="9194" max="9392" width="7.625" style="51" customWidth="1"/>
    <col min="9393" max="9399" width="8.875" style="51" customWidth="1"/>
    <col min="9400" max="9409" width="8.875" style="51"/>
    <col min="9410" max="9410" width="7.75" style="51" customWidth="1"/>
    <col min="9411" max="9436" width="7.625" style="51" customWidth="1"/>
    <col min="9437" max="9437" width="2.125" style="51" customWidth="1"/>
    <col min="9438" max="9440" width="7.625" style="51" customWidth="1"/>
    <col min="9441" max="9441" width="9.375" style="51" customWidth="1"/>
    <col min="9442" max="9446" width="10.875" style="51" customWidth="1"/>
    <col min="9447" max="9447" width="9.25" style="51" customWidth="1"/>
    <col min="9448" max="9448" width="7.625" style="51" customWidth="1"/>
    <col min="9449" max="9449" width="7.625" style="51" bestFit="1" customWidth="1"/>
    <col min="9450" max="9648" width="7.625" style="51" customWidth="1"/>
    <col min="9649" max="9655" width="8.875" style="51" customWidth="1"/>
    <col min="9656" max="9665" width="8.875" style="51"/>
    <col min="9666" max="9666" width="7.75" style="51" customWidth="1"/>
    <col min="9667" max="9692" width="7.625" style="51" customWidth="1"/>
    <col min="9693" max="9693" width="2.125" style="51" customWidth="1"/>
    <col min="9694" max="9696" width="7.625" style="51" customWidth="1"/>
    <col min="9697" max="9697" width="9.375" style="51" customWidth="1"/>
    <col min="9698" max="9702" width="10.875" style="51" customWidth="1"/>
    <col min="9703" max="9703" width="9.25" style="51" customWidth="1"/>
    <col min="9704" max="9704" width="7.625" style="51" customWidth="1"/>
    <col min="9705" max="9705" width="7.625" style="51" bestFit="1" customWidth="1"/>
    <col min="9706" max="9904" width="7.625" style="51" customWidth="1"/>
    <col min="9905" max="9911" width="8.875" style="51" customWidth="1"/>
    <col min="9912" max="9921" width="8.875" style="51"/>
    <col min="9922" max="9922" width="7.75" style="51" customWidth="1"/>
    <col min="9923" max="9948" width="7.625" style="51" customWidth="1"/>
    <col min="9949" max="9949" width="2.125" style="51" customWidth="1"/>
    <col min="9950" max="9952" width="7.625" style="51" customWidth="1"/>
    <col min="9953" max="9953" width="9.375" style="51" customWidth="1"/>
    <col min="9954" max="9958" width="10.875" style="51" customWidth="1"/>
    <col min="9959" max="9959" width="9.25" style="51" customWidth="1"/>
    <col min="9960" max="9960" width="7.625" style="51" customWidth="1"/>
    <col min="9961" max="9961" width="7.625" style="51" bestFit="1" customWidth="1"/>
    <col min="9962" max="10160" width="7.625" style="51" customWidth="1"/>
    <col min="10161" max="10167" width="8.875" style="51" customWidth="1"/>
    <col min="10168" max="10177" width="8.875" style="51"/>
    <col min="10178" max="10178" width="7.75" style="51" customWidth="1"/>
    <col min="10179" max="10204" width="7.625" style="51" customWidth="1"/>
    <col min="10205" max="10205" width="2.125" style="51" customWidth="1"/>
    <col min="10206" max="10208" width="7.625" style="51" customWidth="1"/>
    <col min="10209" max="10209" width="9.375" style="51" customWidth="1"/>
    <col min="10210" max="10214" width="10.875" style="51" customWidth="1"/>
    <col min="10215" max="10215" width="9.25" style="51" customWidth="1"/>
    <col min="10216" max="10216" width="7.625" style="51" customWidth="1"/>
    <col min="10217" max="10217" width="7.625" style="51" bestFit="1" customWidth="1"/>
    <col min="10218" max="10416" width="7.625" style="51" customWidth="1"/>
    <col min="10417" max="10423" width="8.875" style="51" customWidth="1"/>
    <col min="10424" max="10433" width="8.875" style="51"/>
    <col min="10434" max="10434" width="7.75" style="51" customWidth="1"/>
    <col min="10435" max="10460" width="7.625" style="51" customWidth="1"/>
    <col min="10461" max="10461" width="2.125" style="51" customWidth="1"/>
    <col min="10462" max="10464" width="7.625" style="51" customWidth="1"/>
    <col min="10465" max="10465" width="9.375" style="51" customWidth="1"/>
    <col min="10466" max="10470" width="10.875" style="51" customWidth="1"/>
    <col min="10471" max="10471" width="9.25" style="51" customWidth="1"/>
    <col min="10472" max="10472" width="7.625" style="51" customWidth="1"/>
    <col min="10473" max="10473" width="7.625" style="51" bestFit="1" customWidth="1"/>
    <col min="10474" max="10672" width="7.625" style="51" customWidth="1"/>
    <col min="10673" max="10679" width="8.875" style="51" customWidth="1"/>
    <col min="10680" max="10689" width="8.875" style="51"/>
    <col min="10690" max="10690" width="7.75" style="51" customWidth="1"/>
    <col min="10691" max="10716" width="7.625" style="51" customWidth="1"/>
    <col min="10717" max="10717" width="2.125" style="51" customWidth="1"/>
    <col min="10718" max="10720" width="7.625" style="51" customWidth="1"/>
    <col min="10721" max="10721" width="9.375" style="51" customWidth="1"/>
    <col min="10722" max="10726" width="10.875" style="51" customWidth="1"/>
    <col min="10727" max="10727" width="9.25" style="51" customWidth="1"/>
    <col min="10728" max="10728" width="7.625" style="51" customWidth="1"/>
    <col min="10729" max="10729" width="7.625" style="51" bestFit="1" customWidth="1"/>
    <col min="10730" max="10928" width="7.625" style="51" customWidth="1"/>
    <col min="10929" max="10935" width="8.875" style="51" customWidth="1"/>
    <col min="10936" max="10945" width="8.875" style="51"/>
    <col min="10946" max="10946" width="7.75" style="51" customWidth="1"/>
    <col min="10947" max="10972" width="7.625" style="51" customWidth="1"/>
    <col min="10973" max="10973" width="2.125" style="51" customWidth="1"/>
    <col min="10974" max="10976" width="7.625" style="51" customWidth="1"/>
    <col min="10977" max="10977" width="9.375" style="51" customWidth="1"/>
    <col min="10978" max="10982" width="10.875" style="51" customWidth="1"/>
    <col min="10983" max="10983" width="9.25" style="51" customWidth="1"/>
    <col min="10984" max="10984" width="7.625" style="51" customWidth="1"/>
    <col min="10985" max="10985" width="7.625" style="51" bestFit="1" customWidth="1"/>
    <col min="10986" max="11184" width="7.625" style="51" customWidth="1"/>
    <col min="11185" max="11191" width="8.875" style="51" customWidth="1"/>
    <col min="11192" max="11201" width="8.875" style="51"/>
    <col min="11202" max="11202" width="7.75" style="51" customWidth="1"/>
    <col min="11203" max="11228" width="7.625" style="51" customWidth="1"/>
    <col min="11229" max="11229" width="2.125" style="51" customWidth="1"/>
    <col min="11230" max="11232" width="7.625" style="51" customWidth="1"/>
    <col min="11233" max="11233" width="9.375" style="51" customWidth="1"/>
    <col min="11234" max="11238" width="10.875" style="51" customWidth="1"/>
    <col min="11239" max="11239" width="9.25" style="51" customWidth="1"/>
    <col min="11240" max="11240" width="7.625" style="51" customWidth="1"/>
    <col min="11241" max="11241" width="7.625" style="51" bestFit="1" customWidth="1"/>
    <col min="11242" max="11440" width="7.625" style="51" customWidth="1"/>
    <col min="11441" max="11447" width="8.875" style="51" customWidth="1"/>
    <col min="11448" max="11457" width="8.875" style="51"/>
    <col min="11458" max="11458" width="7.75" style="51" customWidth="1"/>
    <col min="11459" max="11484" width="7.625" style="51" customWidth="1"/>
    <col min="11485" max="11485" width="2.125" style="51" customWidth="1"/>
    <col min="11486" max="11488" width="7.625" style="51" customWidth="1"/>
    <col min="11489" max="11489" width="9.375" style="51" customWidth="1"/>
    <col min="11490" max="11494" width="10.875" style="51" customWidth="1"/>
    <col min="11495" max="11495" width="9.25" style="51" customWidth="1"/>
    <col min="11496" max="11496" width="7.625" style="51" customWidth="1"/>
    <col min="11497" max="11497" width="7.625" style="51" bestFit="1" customWidth="1"/>
    <col min="11498" max="11696" width="7.625" style="51" customWidth="1"/>
    <col min="11697" max="11703" width="8.875" style="51" customWidth="1"/>
    <col min="11704" max="11713" width="8.875" style="51"/>
    <col min="11714" max="11714" width="7.75" style="51" customWidth="1"/>
    <col min="11715" max="11740" width="7.625" style="51" customWidth="1"/>
    <col min="11741" max="11741" width="2.125" style="51" customWidth="1"/>
    <col min="11742" max="11744" width="7.625" style="51" customWidth="1"/>
    <col min="11745" max="11745" width="9.375" style="51" customWidth="1"/>
    <col min="11746" max="11750" width="10.875" style="51" customWidth="1"/>
    <col min="11751" max="11751" width="9.25" style="51" customWidth="1"/>
    <col min="11752" max="11752" width="7.625" style="51" customWidth="1"/>
    <col min="11753" max="11753" width="7.625" style="51" bestFit="1" customWidth="1"/>
    <col min="11754" max="11952" width="7.625" style="51" customWidth="1"/>
    <col min="11953" max="11959" width="8.875" style="51" customWidth="1"/>
    <col min="11960" max="11969" width="8.875" style="51"/>
    <col min="11970" max="11970" width="7.75" style="51" customWidth="1"/>
    <col min="11971" max="11996" width="7.625" style="51" customWidth="1"/>
    <col min="11997" max="11997" width="2.125" style="51" customWidth="1"/>
    <col min="11998" max="12000" width="7.625" style="51" customWidth="1"/>
    <col min="12001" max="12001" width="9.375" style="51" customWidth="1"/>
    <col min="12002" max="12006" width="10.875" style="51" customWidth="1"/>
    <col min="12007" max="12007" width="9.25" style="51" customWidth="1"/>
    <col min="12008" max="12008" width="7.625" style="51" customWidth="1"/>
    <col min="12009" max="12009" width="7.625" style="51" bestFit="1" customWidth="1"/>
    <col min="12010" max="12208" width="7.625" style="51" customWidth="1"/>
    <col min="12209" max="12215" width="8.875" style="51" customWidth="1"/>
    <col min="12216" max="12225" width="8.875" style="51"/>
    <col min="12226" max="12226" width="7.75" style="51" customWidth="1"/>
    <col min="12227" max="12252" width="7.625" style="51" customWidth="1"/>
    <col min="12253" max="12253" width="2.125" style="51" customWidth="1"/>
    <col min="12254" max="12256" width="7.625" style="51" customWidth="1"/>
    <col min="12257" max="12257" width="9.375" style="51" customWidth="1"/>
    <col min="12258" max="12262" width="10.875" style="51" customWidth="1"/>
    <col min="12263" max="12263" width="9.25" style="51" customWidth="1"/>
    <col min="12264" max="12264" width="7.625" style="51" customWidth="1"/>
    <col min="12265" max="12265" width="7.625" style="51" bestFit="1" customWidth="1"/>
    <col min="12266" max="12464" width="7.625" style="51" customWidth="1"/>
    <col min="12465" max="12471" width="8.875" style="51" customWidth="1"/>
    <col min="12472" max="12481" width="8.875" style="51"/>
    <col min="12482" max="12482" width="7.75" style="51" customWidth="1"/>
    <col min="12483" max="12508" width="7.625" style="51" customWidth="1"/>
    <col min="12509" max="12509" width="2.125" style="51" customWidth="1"/>
    <col min="12510" max="12512" width="7.625" style="51" customWidth="1"/>
    <col min="12513" max="12513" width="9.375" style="51" customWidth="1"/>
    <col min="12514" max="12518" width="10.875" style="51" customWidth="1"/>
    <col min="12519" max="12519" width="9.25" style="51" customWidth="1"/>
    <col min="12520" max="12520" width="7.625" style="51" customWidth="1"/>
    <col min="12521" max="12521" width="7.625" style="51" bestFit="1" customWidth="1"/>
    <col min="12522" max="12720" width="7.625" style="51" customWidth="1"/>
    <col min="12721" max="12727" width="8.875" style="51" customWidth="1"/>
    <col min="12728" max="12737" width="8.875" style="51"/>
    <col min="12738" max="12738" width="7.75" style="51" customWidth="1"/>
    <col min="12739" max="12764" width="7.625" style="51" customWidth="1"/>
    <col min="12765" max="12765" width="2.125" style="51" customWidth="1"/>
    <col min="12766" max="12768" width="7.625" style="51" customWidth="1"/>
    <col min="12769" max="12769" width="9.375" style="51" customWidth="1"/>
    <col min="12770" max="12774" width="10.875" style="51" customWidth="1"/>
    <col min="12775" max="12775" width="9.25" style="51" customWidth="1"/>
    <col min="12776" max="12776" width="7.625" style="51" customWidth="1"/>
    <col min="12777" max="12777" width="7.625" style="51" bestFit="1" customWidth="1"/>
    <col min="12778" max="12976" width="7.625" style="51" customWidth="1"/>
    <col min="12977" max="12983" width="8.875" style="51" customWidth="1"/>
    <col min="12984" max="12993" width="8.875" style="51"/>
    <col min="12994" max="12994" width="7.75" style="51" customWidth="1"/>
    <col min="12995" max="13020" width="7.625" style="51" customWidth="1"/>
    <col min="13021" max="13021" width="2.125" style="51" customWidth="1"/>
    <col min="13022" max="13024" width="7.625" style="51" customWidth="1"/>
    <col min="13025" max="13025" width="9.375" style="51" customWidth="1"/>
    <col min="13026" max="13030" width="10.875" style="51" customWidth="1"/>
    <col min="13031" max="13031" width="9.25" style="51" customWidth="1"/>
    <col min="13032" max="13032" width="7.625" style="51" customWidth="1"/>
    <col min="13033" max="13033" width="7.625" style="51" bestFit="1" customWidth="1"/>
    <col min="13034" max="13232" width="7.625" style="51" customWidth="1"/>
    <col min="13233" max="13239" width="8.875" style="51" customWidth="1"/>
    <col min="13240" max="13249" width="8.875" style="51"/>
    <col min="13250" max="13250" width="7.75" style="51" customWidth="1"/>
    <col min="13251" max="13276" width="7.625" style="51" customWidth="1"/>
    <col min="13277" max="13277" width="2.125" style="51" customWidth="1"/>
    <col min="13278" max="13280" width="7.625" style="51" customWidth="1"/>
    <col min="13281" max="13281" width="9.375" style="51" customWidth="1"/>
    <col min="13282" max="13286" width="10.875" style="51" customWidth="1"/>
    <col min="13287" max="13287" width="9.25" style="51" customWidth="1"/>
    <col min="13288" max="13288" width="7.625" style="51" customWidth="1"/>
    <col min="13289" max="13289" width="7.625" style="51" bestFit="1" customWidth="1"/>
    <col min="13290" max="13488" width="7.625" style="51" customWidth="1"/>
    <col min="13489" max="13495" width="8.875" style="51" customWidth="1"/>
    <col min="13496" max="13505" width="8.875" style="51"/>
    <col min="13506" max="13506" width="7.75" style="51" customWidth="1"/>
    <col min="13507" max="13532" width="7.625" style="51" customWidth="1"/>
    <col min="13533" max="13533" width="2.125" style="51" customWidth="1"/>
    <col min="13534" max="13536" width="7.625" style="51" customWidth="1"/>
    <col min="13537" max="13537" width="9.375" style="51" customWidth="1"/>
    <col min="13538" max="13542" width="10.875" style="51" customWidth="1"/>
    <col min="13543" max="13543" width="9.25" style="51" customWidth="1"/>
    <col min="13544" max="13544" width="7.625" style="51" customWidth="1"/>
    <col min="13545" max="13545" width="7.625" style="51" bestFit="1" customWidth="1"/>
    <col min="13546" max="13744" width="7.625" style="51" customWidth="1"/>
    <col min="13745" max="13751" width="8.875" style="51" customWidth="1"/>
    <col min="13752" max="13761" width="8.875" style="51"/>
    <col min="13762" max="13762" width="7.75" style="51" customWidth="1"/>
    <col min="13763" max="13788" width="7.625" style="51" customWidth="1"/>
    <col min="13789" max="13789" width="2.125" style="51" customWidth="1"/>
    <col min="13790" max="13792" width="7.625" style="51" customWidth="1"/>
    <col min="13793" max="13793" width="9.375" style="51" customWidth="1"/>
    <col min="13794" max="13798" width="10.875" style="51" customWidth="1"/>
    <col min="13799" max="13799" width="9.25" style="51" customWidth="1"/>
    <col min="13800" max="13800" width="7.625" style="51" customWidth="1"/>
    <col min="13801" max="13801" width="7.625" style="51" bestFit="1" customWidth="1"/>
    <col min="13802" max="14000" width="7.625" style="51" customWidth="1"/>
    <col min="14001" max="14007" width="8.875" style="51" customWidth="1"/>
    <col min="14008" max="14017" width="8.875" style="51"/>
    <col min="14018" max="14018" width="7.75" style="51" customWidth="1"/>
    <col min="14019" max="14044" width="7.625" style="51" customWidth="1"/>
    <col min="14045" max="14045" width="2.125" style="51" customWidth="1"/>
    <col min="14046" max="14048" width="7.625" style="51" customWidth="1"/>
    <col min="14049" max="14049" width="9.375" style="51" customWidth="1"/>
    <col min="14050" max="14054" width="10.875" style="51" customWidth="1"/>
    <col min="14055" max="14055" width="9.25" style="51" customWidth="1"/>
    <col min="14056" max="14056" width="7.625" style="51" customWidth="1"/>
    <col min="14057" max="14057" width="7.625" style="51" bestFit="1" customWidth="1"/>
    <col min="14058" max="14256" width="7.625" style="51" customWidth="1"/>
    <col min="14257" max="14263" width="8.875" style="51" customWidth="1"/>
    <col min="14264" max="14273" width="8.875" style="51"/>
    <col min="14274" max="14274" width="7.75" style="51" customWidth="1"/>
    <col min="14275" max="14300" width="7.625" style="51" customWidth="1"/>
    <col min="14301" max="14301" width="2.125" style="51" customWidth="1"/>
    <col min="14302" max="14304" width="7.625" style="51" customWidth="1"/>
    <col min="14305" max="14305" width="9.375" style="51" customWidth="1"/>
    <col min="14306" max="14310" width="10.875" style="51" customWidth="1"/>
    <col min="14311" max="14311" width="9.25" style="51" customWidth="1"/>
    <col min="14312" max="14312" width="7.625" style="51" customWidth="1"/>
    <col min="14313" max="14313" width="7.625" style="51" bestFit="1" customWidth="1"/>
    <col min="14314" max="14512" width="7.625" style="51" customWidth="1"/>
    <col min="14513" max="14519" width="8.875" style="51" customWidth="1"/>
    <col min="14520" max="14529" width="8.875" style="51"/>
    <col min="14530" max="14530" width="7.75" style="51" customWidth="1"/>
    <col min="14531" max="14556" width="7.625" style="51" customWidth="1"/>
    <col min="14557" max="14557" width="2.125" style="51" customWidth="1"/>
    <col min="14558" max="14560" width="7.625" style="51" customWidth="1"/>
    <col min="14561" max="14561" width="9.375" style="51" customWidth="1"/>
    <col min="14562" max="14566" width="10.875" style="51" customWidth="1"/>
    <col min="14567" max="14567" width="9.25" style="51" customWidth="1"/>
    <col min="14568" max="14568" width="7.625" style="51" customWidth="1"/>
    <col min="14569" max="14569" width="7.625" style="51" bestFit="1" customWidth="1"/>
    <col min="14570" max="14768" width="7.625" style="51" customWidth="1"/>
    <col min="14769" max="14775" width="8.875" style="51" customWidth="1"/>
    <col min="14776" max="14785" width="8.875" style="51"/>
    <col min="14786" max="14786" width="7.75" style="51" customWidth="1"/>
    <col min="14787" max="14812" width="7.625" style="51" customWidth="1"/>
    <col min="14813" max="14813" width="2.125" style="51" customWidth="1"/>
    <col min="14814" max="14816" width="7.625" style="51" customWidth="1"/>
    <col min="14817" max="14817" width="9.375" style="51" customWidth="1"/>
    <col min="14818" max="14822" width="10.875" style="51" customWidth="1"/>
    <col min="14823" max="14823" width="9.25" style="51" customWidth="1"/>
    <col min="14824" max="14824" width="7.625" style="51" customWidth="1"/>
    <col min="14825" max="14825" width="7.625" style="51" bestFit="1" customWidth="1"/>
    <col min="14826" max="15024" width="7.625" style="51" customWidth="1"/>
    <col min="15025" max="15031" width="8.875" style="51" customWidth="1"/>
    <col min="15032" max="15041" width="8.875" style="51"/>
    <col min="15042" max="15042" width="7.75" style="51" customWidth="1"/>
    <col min="15043" max="15068" width="7.625" style="51" customWidth="1"/>
    <col min="15069" max="15069" width="2.125" style="51" customWidth="1"/>
    <col min="15070" max="15072" width="7.625" style="51" customWidth="1"/>
    <col min="15073" max="15073" width="9.375" style="51" customWidth="1"/>
    <col min="15074" max="15078" width="10.875" style="51" customWidth="1"/>
    <col min="15079" max="15079" width="9.25" style="51" customWidth="1"/>
    <col min="15080" max="15080" width="7.625" style="51" customWidth="1"/>
    <col min="15081" max="15081" width="7.625" style="51" bestFit="1" customWidth="1"/>
    <col min="15082" max="15280" width="7.625" style="51" customWidth="1"/>
    <col min="15281" max="15287" width="8.875" style="51" customWidth="1"/>
    <col min="15288" max="15297" width="8.875" style="51"/>
    <col min="15298" max="15298" width="7.75" style="51" customWidth="1"/>
    <col min="15299" max="15324" width="7.625" style="51" customWidth="1"/>
    <col min="15325" max="15325" width="2.125" style="51" customWidth="1"/>
    <col min="15326" max="15328" width="7.625" style="51" customWidth="1"/>
    <col min="15329" max="15329" width="9.375" style="51" customWidth="1"/>
    <col min="15330" max="15334" width="10.875" style="51" customWidth="1"/>
    <col min="15335" max="15335" width="9.25" style="51" customWidth="1"/>
    <col min="15336" max="15336" width="7.625" style="51" customWidth="1"/>
    <col min="15337" max="15337" width="7.625" style="51" bestFit="1" customWidth="1"/>
    <col min="15338" max="15536" width="7.625" style="51" customWidth="1"/>
    <col min="15537" max="15543" width="8.875" style="51" customWidth="1"/>
    <col min="15544" max="15553" width="8.875" style="51"/>
    <col min="15554" max="15554" width="7.75" style="51" customWidth="1"/>
    <col min="15555" max="15580" width="7.625" style="51" customWidth="1"/>
    <col min="15581" max="15581" width="2.125" style="51" customWidth="1"/>
    <col min="15582" max="15584" width="7.625" style="51" customWidth="1"/>
    <col min="15585" max="15585" width="9.375" style="51" customWidth="1"/>
    <col min="15586" max="15590" width="10.875" style="51" customWidth="1"/>
    <col min="15591" max="15591" width="9.25" style="51" customWidth="1"/>
    <col min="15592" max="15592" width="7.625" style="51" customWidth="1"/>
    <col min="15593" max="15593" width="7.625" style="51" bestFit="1" customWidth="1"/>
    <col min="15594" max="15792" width="7.625" style="51" customWidth="1"/>
    <col min="15793" max="15799" width="8.875" style="51" customWidth="1"/>
    <col min="15800" max="15809" width="8.875" style="51"/>
    <col min="15810" max="15810" width="7.75" style="51" customWidth="1"/>
    <col min="15811" max="15836" width="7.625" style="51" customWidth="1"/>
    <col min="15837" max="15837" width="2.125" style="51" customWidth="1"/>
    <col min="15838" max="15840" width="7.625" style="51" customWidth="1"/>
    <col min="15841" max="15841" width="9.375" style="51" customWidth="1"/>
    <col min="15842" max="15846" width="10.875" style="51" customWidth="1"/>
    <col min="15847" max="15847" width="9.25" style="51" customWidth="1"/>
    <col min="15848" max="15848" width="7.625" style="51" customWidth="1"/>
    <col min="15849" max="15849" width="7.625" style="51" bestFit="1" customWidth="1"/>
    <col min="15850" max="16048" width="7.625" style="51" customWidth="1"/>
    <col min="16049" max="16055" width="8.875" style="51" customWidth="1"/>
    <col min="16056" max="16065" width="8.875" style="51"/>
    <col min="16066" max="16066" width="7.75" style="51" customWidth="1"/>
    <col min="16067" max="16092" width="7.625" style="51" customWidth="1"/>
    <col min="16093" max="16093" width="2.125" style="51" customWidth="1"/>
    <col min="16094" max="16096" width="7.625" style="51" customWidth="1"/>
    <col min="16097" max="16097" width="9.375" style="51" customWidth="1"/>
    <col min="16098" max="16102" width="10.875" style="51" customWidth="1"/>
    <col min="16103" max="16103" width="9.25" style="51" customWidth="1"/>
    <col min="16104" max="16104" width="7.625" style="51" customWidth="1"/>
    <col min="16105" max="16105" width="7.625" style="51" bestFit="1" customWidth="1"/>
    <col min="16106" max="16304" width="7.625" style="51" customWidth="1"/>
    <col min="16305" max="16311" width="8.875" style="51" customWidth="1"/>
    <col min="16312" max="16384" width="8.875" style="51"/>
  </cols>
  <sheetData>
    <row r="1" spans="1:176" ht="17.25" thickBot="1">
      <c r="AP1" s="261" t="s">
        <v>10</v>
      </c>
      <c r="AQ1" s="261"/>
      <c r="AR1" s="261"/>
      <c r="AS1" s="261"/>
      <c r="AT1" s="262"/>
      <c r="AU1" s="261"/>
      <c r="AV1" s="261"/>
      <c r="AW1" s="261"/>
      <c r="AX1" s="261"/>
      <c r="AY1" s="262"/>
      <c r="AZ1" s="262"/>
      <c r="BA1" s="262"/>
      <c r="BB1" s="262"/>
      <c r="BC1" s="262"/>
      <c r="BD1" s="262"/>
      <c r="BE1" s="261"/>
      <c r="BF1" s="261"/>
      <c r="BG1" s="261"/>
      <c r="BH1" s="261"/>
      <c r="BI1" s="262"/>
      <c r="BJ1" s="327" t="s">
        <v>0</v>
      </c>
      <c r="BK1" s="262"/>
      <c r="BL1" s="327"/>
      <c r="BM1" s="262"/>
      <c r="BN1" s="327"/>
      <c r="BO1" s="262"/>
      <c r="BP1" s="261"/>
      <c r="BQ1" s="264" t="s">
        <v>11</v>
      </c>
      <c r="BR1" s="264"/>
      <c r="BS1" s="264"/>
      <c r="BT1" s="264"/>
      <c r="BU1" s="263"/>
      <c r="BV1" s="264"/>
      <c r="BW1" s="264"/>
      <c r="BX1" s="264"/>
      <c r="BY1" s="264"/>
      <c r="BZ1" s="263"/>
      <c r="CA1" s="263"/>
      <c r="CB1" s="263"/>
      <c r="CC1" s="263"/>
      <c r="CD1" s="263"/>
      <c r="CE1" s="263"/>
      <c r="CF1" s="264"/>
      <c r="CG1" s="264"/>
      <c r="CH1" s="264"/>
      <c r="CI1" s="264"/>
      <c r="CJ1" s="263"/>
      <c r="CK1" s="264" t="s">
        <v>0</v>
      </c>
      <c r="CL1" s="263"/>
      <c r="CM1" s="264"/>
      <c r="CN1" s="263"/>
      <c r="CO1" s="264"/>
      <c r="CP1" s="263"/>
      <c r="CQ1" s="264"/>
      <c r="CR1" s="334" t="s">
        <v>120</v>
      </c>
      <c r="CS1" s="266"/>
      <c r="CT1" s="266"/>
      <c r="CU1" s="266"/>
      <c r="CV1" s="265"/>
      <c r="CW1" s="266"/>
      <c r="CX1" s="266"/>
      <c r="CY1" s="266"/>
      <c r="CZ1" s="266"/>
      <c r="DA1" s="265"/>
      <c r="DB1" s="265"/>
      <c r="DC1" s="265"/>
      <c r="DD1" s="265"/>
      <c r="DE1" s="265"/>
      <c r="DF1" s="265"/>
      <c r="DG1" s="266"/>
      <c r="DH1" s="266"/>
      <c r="DI1" s="266"/>
      <c r="DJ1" s="266"/>
      <c r="DK1" s="265"/>
      <c r="DL1" s="266" t="s">
        <v>0</v>
      </c>
      <c r="DM1" s="265"/>
      <c r="DN1" s="266"/>
      <c r="DO1" s="265"/>
      <c r="DP1" s="266"/>
      <c r="DQ1" s="265"/>
      <c r="DR1" s="266"/>
      <c r="DS1" s="335" t="s">
        <v>122</v>
      </c>
      <c r="DT1" s="268"/>
      <c r="DU1" s="268"/>
      <c r="DV1" s="268"/>
      <c r="DW1" s="267"/>
      <c r="DX1" s="268"/>
      <c r="DY1" s="268"/>
      <c r="DZ1" s="268"/>
      <c r="EA1" s="268"/>
      <c r="EB1" s="267"/>
      <c r="EC1" s="267"/>
      <c r="ED1" s="267"/>
      <c r="EE1" s="267"/>
      <c r="EF1" s="267"/>
      <c r="EG1" s="267"/>
      <c r="EH1" s="268"/>
      <c r="EI1" s="268"/>
      <c r="EJ1" s="268"/>
      <c r="EK1" s="268"/>
      <c r="EL1" s="267"/>
      <c r="EM1" s="331" t="s">
        <v>0</v>
      </c>
      <c r="EN1" s="267"/>
      <c r="EO1" s="331"/>
      <c r="EP1" s="267"/>
      <c r="EQ1" s="331"/>
      <c r="ER1" s="267"/>
      <c r="ES1" s="268"/>
      <c r="ET1" s="336" t="s">
        <v>97</v>
      </c>
      <c r="EU1" s="270"/>
      <c r="EV1" s="270"/>
      <c r="EW1" s="270"/>
      <c r="EX1" s="269"/>
      <c r="EY1" s="270"/>
      <c r="EZ1" s="270"/>
      <c r="FA1" s="270"/>
      <c r="FB1" s="270"/>
      <c r="FC1" s="269"/>
      <c r="FD1" s="269"/>
      <c r="FE1" s="269"/>
      <c r="FF1" s="269"/>
      <c r="FG1" s="269"/>
      <c r="FH1" s="269"/>
      <c r="FI1" s="270"/>
      <c r="FJ1" s="270"/>
      <c r="FK1" s="270"/>
      <c r="FL1" s="270"/>
      <c r="FM1" s="269"/>
      <c r="FN1" s="333" t="s">
        <v>0</v>
      </c>
      <c r="FO1" s="269"/>
      <c r="FP1" s="333"/>
      <c r="FQ1" s="269"/>
      <c r="FR1" s="333"/>
      <c r="FS1" s="269"/>
      <c r="FT1" s="270"/>
    </row>
    <row r="2" spans="1:176">
      <c r="A2" s="273"/>
      <c r="B2" s="291" t="s">
        <v>10</v>
      </c>
      <c r="C2" s="292"/>
      <c r="D2" s="291"/>
      <c r="E2" s="291"/>
      <c r="F2" s="293"/>
      <c r="G2" s="299" t="s">
        <v>11</v>
      </c>
      <c r="H2" s="300"/>
      <c r="I2" s="299"/>
      <c r="J2" s="299"/>
      <c r="K2" s="301"/>
      <c r="L2" s="306" t="s">
        <v>120</v>
      </c>
      <c r="M2" s="307"/>
      <c r="N2" s="308"/>
      <c r="O2" s="308"/>
      <c r="P2" s="309"/>
      <c r="Q2" s="283" t="s">
        <v>121</v>
      </c>
      <c r="R2" s="284"/>
      <c r="S2" s="285"/>
      <c r="T2" s="285"/>
      <c r="U2" s="286"/>
      <c r="V2" s="276" t="s">
        <v>97</v>
      </c>
      <c r="W2" s="277"/>
      <c r="X2" s="276"/>
      <c r="Y2" s="276"/>
      <c r="Z2" s="278"/>
      <c r="AA2" s="271" t="s">
        <v>52</v>
      </c>
      <c r="AC2" s="345"/>
      <c r="AD2" s="346"/>
      <c r="AE2" s="337" t="s">
        <v>53</v>
      </c>
      <c r="AF2" s="337" t="s">
        <v>54</v>
      </c>
      <c r="AG2" s="346" t="s">
        <v>55</v>
      </c>
      <c r="AH2" s="347" t="s">
        <v>56</v>
      </c>
      <c r="AI2" s="347" t="s">
        <v>57</v>
      </c>
      <c r="AJ2" s="347" t="s">
        <v>58</v>
      </c>
      <c r="AK2" s="347" t="s">
        <v>59</v>
      </c>
      <c r="AL2" s="348" t="s">
        <v>109</v>
      </c>
      <c r="AM2" s="346" t="s">
        <v>54</v>
      </c>
      <c r="AN2" s="346" t="s">
        <v>60</v>
      </c>
      <c r="AO2" s="349" t="s">
        <v>12</v>
      </c>
      <c r="AP2" s="326" t="s">
        <v>21</v>
      </c>
      <c r="AQ2" s="326"/>
      <c r="AR2" s="326"/>
      <c r="AS2" s="326"/>
      <c r="AT2" s="262" t="s">
        <v>4</v>
      </c>
      <c r="AU2" s="326" t="s">
        <v>22</v>
      </c>
      <c r="AV2" s="261"/>
      <c r="AW2" s="261"/>
      <c r="AX2" s="261"/>
      <c r="AY2" s="262" t="s">
        <v>4</v>
      </c>
      <c r="AZ2" s="326" t="s">
        <v>18</v>
      </c>
      <c r="BA2" s="261"/>
      <c r="BB2" s="261"/>
      <c r="BC2" s="261"/>
      <c r="BD2" s="262" t="s">
        <v>4</v>
      </c>
      <c r="BE2" s="326" t="s">
        <v>94</v>
      </c>
      <c r="BF2" s="261"/>
      <c r="BG2" s="261"/>
      <c r="BH2" s="261"/>
      <c r="BI2" s="262" t="s">
        <v>4</v>
      </c>
      <c r="BJ2" s="327"/>
      <c r="BK2" s="262" t="s">
        <v>9</v>
      </c>
      <c r="BL2" s="327"/>
      <c r="BM2" s="262" t="s">
        <v>9</v>
      </c>
      <c r="BN2" s="327"/>
      <c r="BO2" s="262" t="s">
        <v>9</v>
      </c>
      <c r="BP2" s="261"/>
      <c r="BQ2" s="328" t="s">
        <v>20</v>
      </c>
      <c r="BR2" s="328"/>
      <c r="BS2" s="328"/>
      <c r="BT2" s="328"/>
      <c r="BU2" s="263" t="s">
        <v>4</v>
      </c>
      <c r="BV2" s="328" t="s">
        <v>22</v>
      </c>
      <c r="BW2" s="264"/>
      <c r="BX2" s="264"/>
      <c r="BY2" s="264"/>
      <c r="BZ2" s="263" t="s">
        <v>4</v>
      </c>
      <c r="CA2" s="328" t="s">
        <v>18</v>
      </c>
      <c r="CB2" s="264"/>
      <c r="CC2" s="264"/>
      <c r="CD2" s="264"/>
      <c r="CE2" s="263" t="s">
        <v>4</v>
      </c>
      <c r="CF2" s="328" t="s">
        <v>94</v>
      </c>
      <c r="CG2" s="264"/>
      <c r="CH2" s="264"/>
      <c r="CI2" s="264"/>
      <c r="CJ2" s="263" t="s">
        <v>4</v>
      </c>
      <c r="CK2" s="264"/>
      <c r="CL2" s="263" t="s">
        <v>9</v>
      </c>
      <c r="CM2" s="264"/>
      <c r="CN2" s="263" t="s">
        <v>9</v>
      </c>
      <c r="CO2" s="264"/>
      <c r="CP2" s="263" t="s">
        <v>9</v>
      </c>
      <c r="CQ2" s="264"/>
      <c r="CR2" s="329" t="s">
        <v>20</v>
      </c>
      <c r="CS2" s="329"/>
      <c r="CT2" s="329"/>
      <c r="CU2" s="329"/>
      <c r="CV2" s="265" t="s">
        <v>4</v>
      </c>
      <c r="CW2" s="329" t="s">
        <v>21</v>
      </c>
      <c r="CX2" s="266"/>
      <c r="CY2" s="266"/>
      <c r="CZ2" s="266"/>
      <c r="DA2" s="265" t="s">
        <v>4</v>
      </c>
      <c r="DB2" s="329" t="s">
        <v>18</v>
      </c>
      <c r="DC2" s="266"/>
      <c r="DD2" s="266"/>
      <c r="DE2" s="266"/>
      <c r="DF2" s="265" t="s">
        <v>4</v>
      </c>
      <c r="DG2" s="329" t="s">
        <v>94</v>
      </c>
      <c r="DH2" s="266"/>
      <c r="DI2" s="266"/>
      <c r="DJ2" s="266"/>
      <c r="DK2" s="265" t="s">
        <v>4</v>
      </c>
      <c r="DL2" s="266"/>
      <c r="DM2" s="265" t="s">
        <v>9</v>
      </c>
      <c r="DN2" s="266"/>
      <c r="DO2" s="265" t="s">
        <v>9</v>
      </c>
      <c r="DP2" s="266"/>
      <c r="DQ2" s="265" t="s">
        <v>9</v>
      </c>
      <c r="DR2" s="266"/>
      <c r="DS2" s="330" t="s">
        <v>20</v>
      </c>
      <c r="DT2" s="330"/>
      <c r="DU2" s="330"/>
      <c r="DV2" s="330"/>
      <c r="DW2" s="267" t="s">
        <v>4</v>
      </c>
      <c r="DX2" s="330" t="s">
        <v>21</v>
      </c>
      <c r="DY2" s="268"/>
      <c r="DZ2" s="268"/>
      <c r="EA2" s="268"/>
      <c r="EB2" s="267" t="s">
        <v>4</v>
      </c>
      <c r="EC2" s="330" t="s">
        <v>22</v>
      </c>
      <c r="ED2" s="268"/>
      <c r="EE2" s="268"/>
      <c r="EF2" s="268"/>
      <c r="EG2" s="267" t="s">
        <v>4</v>
      </c>
      <c r="EH2" s="330" t="s">
        <v>94</v>
      </c>
      <c r="EI2" s="268"/>
      <c r="EJ2" s="268"/>
      <c r="EK2" s="268"/>
      <c r="EL2" s="267" t="s">
        <v>4</v>
      </c>
      <c r="EM2" s="268"/>
      <c r="EN2" s="267" t="s">
        <v>9</v>
      </c>
      <c r="EO2" s="331"/>
      <c r="EP2" s="267" t="s">
        <v>9</v>
      </c>
      <c r="EQ2" s="331"/>
      <c r="ER2" s="267" t="s">
        <v>9</v>
      </c>
      <c r="ES2" s="268"/>
      <c r="ET2" s="332" t="s">
        <v>20</v>
      </c>
      <c r="EU2" s="332"/>
      <c r="EV2" s="332"/>
      <c r="EW2" s="332"/>
      <c r="EX2" s="269" t="s">
        <v>4</v>
      </c>
      <c r="EY2" s="332" t="s">
        <v>21</v>
      </c>
      <c r="EZ2" s="270"/>
      <c r="FA2" s="270"/>
      <c r="FB2" s="270"/>
      <c r="FC2" s="269" t="s">
        <v>4</v>
      </c>
      <c r="FD2" s="332" t="s">
        <v>22</v>
      </c>
      <c r="FE2" s="270"/>
      <c r="FF2" s="270"/>
      <c r="FG2" s="270"/>
      <c r="FH2" s="269" t="s">
        <v>4</v>
      </c>
      <c r="FI2" s="332" t="s">
        <v>18</v>
      </c>
      <c r="FJ2" s="270"/>
      <c r="FK2" s="270"/>
      <c r="FL2" s="270"/>
      <c r="FM2" s="269" t="s">
        <v>4</v>
      </c>
      <c r="FN2" s="270"/>
      <c r="FO2" s="269" t="s">
        <v>9</v>
      </c>
      <c r="FP2" s="333"/>
      <c r="FQ2" s="269" t="s">
        <v>9</v>
      </c>
      <c r="FR2" s="333"/>
      <c r="FS2" s="269" t="s">
        <v>9</v>
      </c>
      <c r="FT2" s="270"/>
    </row>
    <row r="3" spans="1:176">
      <c r="A3" s="274"/>
      <c r="B3" s="294" t="s">
        <v>1</v>
      </c>
      <c r="C3" s="295" t="s">
        <v>21</v>
      </c>
      <c r="D3" s="295" t="s">
        <v>22</v>
      </c>
      <c r="E3" s="295" t="s">
        <v>18</v>
      </c>
      <c r="F3" s="296" t="s">
        <v>94</v>
      </c>
      <c r="G3" s="302" t="s">
        <v>1</v>
      </c>
      <c r="H3" s="303" t="s">
        <v>20</v>
      </c>
      <c r="I3" s="303" t="s">
        <v>22</v>
      </c>
      <c r="J3" s="303" t="s">
        <v>18</v>
      </c>
      <c r="K3" s="304" t="s">
        <v>94</v>
      </c>
      <c r="L3" s="310" t="s">
        <v>1</v>
      </c>
      <c r="M3" s="311" t="s">
        <v>20</v>
      </c>
      <c r="N3" s="311" t="s">
        <v>21</v>
      </c>
      <c r="O3" s="311" t="s">
        <v>18</v>
      </c>
      <c r="P3" s="312" t="s">
        <v>94</v>
      </c>
      <c r="Q3" s="287" t="s">
        <v>1</v>
      </c>
      <c r="R3" s="288" t="s">
        <v>20</v>
      </c>
      <c r="S3" s="288" t="s">
        <v>21</v>
      </c>
      <c r="T3" s="288" t="s">
        <v>22</v>
      </c>
      <c r="U3" s="289" t="s">
        <v>94</v>
      </c>
      <c r="V3" s="279" t="s">
        <v>1</v>
      </c>
      <c r="W3" s="280" t="s">
        <v>20</v>
      </c>
      <c r="X3" s="280" t="s">
        <v>21</v>
      </c>
      <c r="Y3" s="280" t="s">
        <v>22</v>
      </c>
      <c r="Z3" s="281" t="s">
        <v>18</v>
      </c>
      <c r="AA3" s="272" t="s">
        <v>61</v>
      </c>
      <c r="AC3" s="251"/>
      <c r="AE3" s="50" t="s">
        <v>62</v>
      </c>
      <c r="AF3" s="50" t="s">
        <v>62</v>
      </c>
      <c r="AG3" s="51" t="s">
        <v>62</v>
      </c>
      <c r="AH3" s="50" t="s">
        <v>63</v>
      </c>
      <c r="AI3" s="50" t="s">
        <v>63</v>
      </c>
      <c r="AJ3" s="50" t="s">
        <v>63</v>
      </c>
      <c r="AK3" s="50" t="s">
        <v>63</v>
      </c>
      <c r="AL3" s="50" t="s">
        <v>63</v>
      </c>
      <c r="AM3" s="50" t="s">
        <v>63</v>
      </c>
      <c r="AN3" s="51" t="s">
        <v>64</v>
      </c>
      <c r="AO3" s="350" t="s">
        <v>65</v>
      </c>
      <c r="AP3" s="261" t="s">
        <v>1</v>
      </c>
      <c r="AQ3" s="261" t="s">
        <v>115</v>
      </c>
      <c r="AR3" s="261" t="s">
        <v>2</v>
      </c>
      <c r="AS3" s="261" t="s">
        <v>3</v>
      </c>
      <c r="AT3" s="262" t="s">
        <v>5</v>
      </c>
      <c r="AU3" s="261" t="s">
        <v>1</v>
      </c>
      <c r="AV3" s="261" t="s">
        <v>115</v>
      </c>
      <c r="AW3" s="261" t="s">
        <v>2</v>
      </c>
      <c r="AX3" s="261" t="s">
        <v>3</v>
      </c>
      <c r="AY3" s="262" t="s">
        <v>5</v>
      </c>
      <c r="AZ3" s="261" t="s">
        <v>1</v>
      </c>
      <c r="BA3" s="261" t="s">
        <v>115</v>
      </c>
      <c r="BB3" s="261" t="s">
        <v>2</v>
      </c>
      <c r="BC3" s="261" t="s">
        <v>3</v>
      </c>
      <c r="BD3" s="262" t="s">
        <v>5</v>
      </c>
      <c r="BE3" s="261" t="s">
        <v>1</v>
      </c>
      <c r="BF3" s="261" t="s">
        <v>115</v>
      </c>
      <c r="BG3" s="261" t="s">
        <v>2</v>
      </c>
      <c r="BH3" s="261" t="s">
        <v>3</v>
      </c>
      <c r="BI3" s="262" t="s">
        <v>5</v>
      </c>
      <c r="BJ3" s="261" t="s">
        <v>115</v>
      </c>
      <c r="BK3" s="262" t="s">
        <v>5</v>
      </c>
      <c r="BL3" s="261" t="s">
        <v>2</v>
      </c>
      <c r="BM3" s="262" t="s">
        <v>5</v>
      </c>
      <c r="BN3" s="261" t="s">
        <v>3</v>
      </c>
      <c r="BO3" s="262" t="s">
        <v>5</v>
      </c>
      <c r="BP3" s="261" t="s">
        <v>0</v>
      </c>
      <c r="BQ3" s="264" t="s">
        <v>1</v>
      </c>
      <c r="BR3" s="264" t="s">
        <v>115</v>
      </c>
      <c r="BS3" s="264" t="s">
        <v>2</v>
      </c>
      <c r="BT3" s="264" t="s">
        <v>3</v>
      </c>
      <c r="BU3" s="263" t="s">
        <v>5</v>
      </c>
      <c r="BV3" s="264" t="s">
        <v>1</v>
      </c>
      <c r="BW3" s="264" t="s">
        <v>115</v>
      </c>
      <c r="BX3" s="264" t="s">
        <v>2</v>
      </c>
      <c r="BY3" s="264" t="s">
        <v>3</v>
      </c>
      <c r="BZ3" s="263" t="s">
        <v>5</v>
      </c>
      <c r="CA3" s="264" t="s">
        <v>1</v>
      </c>
      <c r="CB3" s="264" t="s">
        <v>115</v>
      </c>
      <c r="CC3" s="264" t="s">
        <v>2</v>
      </c>
      <c r="CD3" s="264" t="s">
        <v>3</v>
      </c>
      <c r="CE3" s="263" t="s">
        <v>5</v>
      </c>
      <c r="CF3" s="264" t="s">
        <v>1</v>
      </c>
      <c r="CG3" s="264" t="s">
        <v>115</v>
      </c>
      <c r="CH3" s="264" t="s">
        <v>2</v>
      </c>
      <c r="CI3" s="264" t="s">
        <v>3</v>
      </c>
      <c r="CJ3" s="263" t="s">
        <v>5</v>
      </c>
      <c r="CK3" s="264" t="s">
        <v>115</v>
      </c>
      <c r="CL3" s="263" t="s">
        <v>5</v>
      </c>
      <c r="CM3" s="264" t="s">
        <v>2</v>
      </c>
      <c r="CN3" s="263" t="s">
        <v>5</v>
      </c>
      <c r="CO3" s="264" t="s">
        <v>3</v>
      </c>
      <c r="CP3" s="263" t="s">
        <v>5</v>
      </c>
      <c r="CQ3" s="264" t="s">
        <v>0</v>
      </c>
      <c r="CR3" s="266" t="s">
        <v>1</v>
      </c>
      <c r="CS3" s="266" t="s">
        <v>115</v>
      </c>
      <c r="CT3" s="266" t="s">
        <v>2</v>
      </c>
      <c r="CU3" s="266" t="s">
        <v>3</v>
      </c>
      <c r="CV3" s="265" t="s">
        <v>5</v>
      </c>
      <c r="CW3" s="266" t="s">
        <v>1</v>
      </c>
      <c r="CX3" s="266" t="s">
        <v>115</v>
      </c>
      <c r="CY3" s="266" t="s">
        <v>2</v>
      </c>
      <c r="CZ3" s="266" t="s">
        <v>3</v>
      </c>
      <c r="DA3" s="265" t="s">
        <v>5</v>
      </c>
      <c r="DB3" s="266" t="s">
        <v>1</v>
      </c>
      <c r="DC3" s="266" t="s">
        <v>115</v>
      </c>
      <c r="DD3" s="266" t="s">
        <v>2</v>
      </c>
      <c r="DE3" s="266" t="s">
        <v>3</v>
      </c>
      <c r="DF3" s="265" t="s">
        <v>5</v>
      </c>
      <c r="DG3" s="266" t="s">
        <v>1</v>
      </c>
      <c r="DH3" s="266" t="s">
        <v>115</v>
      </c>
      <c r="DI3" s="266" t="s">
        <v>2</v>
      </c>
      <c r="DJ3" s="266" t="s">
        <v>3</v>
      </c>
      <c r="DK3" s="265" t="s">
        <v>5</v>
      </c>
      <c r="DL3" s="266" t="s">
        <v>115</v>
      </c>
      <c r="DM3" s="265" t="s">
        <v>5</v>
      </c>
      <c r="DN3" s="266" t="s">
        <v>2</v>
      </c>
      <c r="DO3" s="265" t="s">
        <v>5</v>
      </c>
      <c r="DP3" s="266" t="s">
        <v>3</v>
      </c>
      <c r="DQ3" s="265" t="s">
        <v>5</v>
      </c>
      <c r="DR3" s="266" t="s">
        <v>0</v>
      </c>
      <c r="DS3" s="268" t="s">
        <v>1</v>
      </c>
      <c r="DT3" s="268" t="s">
        <v>115</v>
      </c>
      <c r="DU3" s="268" t="s">
        <v>2</v>
      </c>
      <c r="DV3" s="268" t="s">
        <v>3</v>
      </c>
      <c r="DW3" s="267" t="s">
        <v>5</v>
      </c>
      <c r="DX3" s="268" t="s">
        <v>1</v>
      </c>
      <c r="DY3" s="268" t="s">
        <v>115</v>
      </c>
      <c r="DZ3" s="268" t="s">
        <v>2</v>
      </c>
      <c r="EA3" s="268" t="s">
        <v>3</v>
      </c>
      <c r="EB3" s="267" t="s">
        <v>5</v>
      </c>
      <c r="EC3" s="268" t="s">
        <v>1</v>
      </c>
      <c r="ED3" s="268" t="s">
        <v>115</v>
      </c>
      <c r="EE3" s="268" t="s">
        <v>2</v>
      </c>
      <c r="EF3" s="268" t="s">
        <v>3</v>
      </c>
      <c r="EG3" s="267" t="s">
        <v>5</v>
      </c>
      <c r="EH3" s="268" t="s">
        <v>1</v>
      </c>
      <c r="EI3" s="268" t="s">
        <v>115</v>
      </c>
      <c r="EJ3" s="268" t="s">
        <v>2</v>
      </c>
      <c r="EK3" s="268" t="s">
        <v>3</v>
      </c>
      <c r="EL3" s="267" t="s">
        <v>5</v>
      </c>
      <c r="EM3" s="268" t="s">
        <v>115</v>
      </c>
      <c r="EN3" s="267" t="s">
        <v>5</v>
      </c>
      <c r="EO3" s="268" t="s">
        <v>2</v>
      </c>
      <c r="EP3" s="267" t="s">
        <v>5</v>
      </c>
      <c r="EQ3" s="268" t="s">
        <v>3</v>
      </c>
      <c r="ER3" s="267" t="s">
        <v>5</v>
      </c>
      <c r="ES3" s="268" t="s">
        <v>0</v>
      </c>
      <c r="ET3" s="270" t="s">
        <v>1</v>
      </c>
      <c r="EU3" s="270" t="s">
        <v>115</v>
      </c>
      <c r="EV3" s="270" t="s">
        <v>2</v>
      </c>
      <c r="EW3" s="270" t="s">
        <v>3</v>
      </c>
      <c r="EX3" s="269" t="s">
        <v>5</v>
      </c>
      <c r="EY3" s="270" t="s">
        <v>1</v>
      </c>
      <c r="EZ3" s="270" t="s">
        <v>115</v>
      </c>
      <c r="FA3" s="270" t="s">
        <v>2</v>
      </c>
      <c r="FB3" s="270" t="s">
        <v>3</v>
      </c>
      <c r="FC3" s="269" t="s">
        <v>5</v>
      </c>
      <c r="FD3" s="270" t="s">
        <v>1</v>
      </c>
      <c r="FE3" s="270" t="s">
        <v>115</v>
      </c>
      <c r="FF3" s="270" t="s">
        <v>2</v>
      </c>
      <c r="FG3" s="270" t="s">
        <v>3</v>
      </c>
      <c r="FH3" s="269" t="s">
        <v>5</v>
      </c>
      <c r="FI3" s="270" t="s">
        <v>1</v>
      </c>
      <c r="FJ3" s="270" t="s">
        <v>115</v>
      </c>
      <c r="FK3" s="270" t="s">
        <v>2</v>
      </c>
      <c r="FL3" s="270" t="s">
        <v>3</v>
      </c>
      <c r="FM3" s="269" t="s">
        <v>5</v>
      </c>
      <c r="FN3" s="270" t="s">
        <v>115</v>
      </c>
      <c r="FO3" s="269" t="s">
        <v>5</v>
      </c>
      <c r="FP3" s="270" t="s">
        <v>2</v>
      </c>
      <c r="FQ3" s="269" t="s">
        <v>5</v>
      </c>
      <c r="FR3" s="270" t="s">
        <v>3</v>
      </c>
      <c r="FS3" s="269" t="s">
        <v>5</v>
      </c>
      <c r="FT3" s="270" t="s">
        <v>0</v>
      </c>
    </row>
    <row r="4" spans="1:176">
      <c r="A4" s="274"/>
      <c r="B4" s="297" t="s">
        <v>29</v>
      </c>
      <c r="C4" s="294" t="s">
        <v>29</v>
      </c>
      <c r="D4" s="294" t="s">
        <v>29</v>
      </c>
      <c r="E4" s="294" t="s">
        <v>29</v>
      </c>
      <c r="F4" s="298" t="s">
        <v>29</v>
      </c>
      <c r="G4" s="302" t="s">
        <v>29</v>
      </c>
      <c r="H4" s="302" t="s">
        <v>29</v>
      </c>
      <c r="I4" s="302" t="s">
        <v>29</v>
      </c>
      <c r="J4" s="302" t="s">
        <v>29</v>
      </c>
      <c r="K4" s="305" t="s">
        <v>29</v>
      </c>
      <c r="L4" s="310" t="s">
        <v>29</v>
      </c>
      <c r="M4" s="310" t="s">
        <v>29</v>
      </c>
      <c r="N4" s="310" t="s">
        <v>29</v>
      </c>
      <c r="O4" s="310" t="s">
        <v>29</v>
      </c>
      <c r="P4" s="313" t="s">
        <v>29</v>
      </c>
      <c r="Q4" s="287" t="s">
        <v>29</v>
      </c>
      <c r="R4" s="287" t="s">
        <v>29</v>
      </c>
      <c r="S4" s="287" t="s">
        <v>29</v>
      </c>
      <c r="T4" s="287" t="s">
        <v>29</v>
      </c>
      <c r="U4" s="290" t="s">
        <v>29</v>
      </c>
      <c r="V4" s="279" t="s">
        <v>29</v>
      </c>
      <c r="W4" s="279" t="s">
        <v>29</v>
      </c>
      <c r="X4" s="279" t="s">
        <v>29</v>
      </c>
      <c r="Y4" s="279" t="s">
        <v>29</v>
      </c>
      <c r="Z4" s="282" t="s">
        <v>29</v>
      </c>
      <c r="AA4" s="272" t="s">
        <v>29</v>
      </c>
      <c r="AC4" s="251"/>
      <c r="AE4" s="50" t="s">
        <v>6</v>
      </c>
      <c r="AF4" s="50" t="s">
        <v>6</v>
      </c>
      <c r="AG4" s="50" t="s">
        <v>6</v>
      </c>
      <c r="AH4" s="50" t="s">
        <v>66</v>
      </c>
      <c r="AI4" s="50" t="s">
        <v>66</v>
      </c>
      <c r="AJ4" s="50" t="s">
        <v>66</v>
      </c>
      <c r="AK4" s="50" t="s">
        <v>66</v>
      </c>
      <c r="AL4" s="50" t="s">
        <v>66</v>
      </c>
      <c r="AM4" s="50" t="s">
        <v>66</v>
      </c>
      <c r="AO4" s="350"/>
      <c r="AP4" s="261" t="s">
        <v>6</v>
      </c>
      <c r="AQ4" s="261" t="s">
        <v>7</v>
      </c>
      <c r="AR4" s="261" t="s">
        <v>7</v>
      </c>
      <c r="AS4" s="261" t="s">
        <v>7</v>
      </c>
      <c r="AT4" s="262" t="s">
        <v>8</v>
      </c>
      <c r="AU4" s="261" t="s">
        <v>6</v>
      </c>
      <c r="AV4" s="261" t="s">
        <v>7</v>
      </c>
      <c r="AW4" s="261" t="s">
        <v>7</v>
      </c>
      <c r="AX4" s="261" t="s">
        <v>7</v>
      </c>
      <c r="AY4" s="262" t="s">
        <v>8</v>
      </c>
      <c r="AZ4" s="261" t="s">
        <v>6</v>
      </c>
      <c r="BA4" s="261" t="s">
        <v>7</v>
      </c>
      <c r="BB4" s="261" t="s">
        <v>7</v>
      </c>
      <c r="BC4" s="261" t="s">
        <v>7</v>
      </c>
      <c r="BD4" s="262" t="s">
        <v>8</v>
      </c>
      <c r="BE4" s="261" t="s">
        <v>6</v>
      </c>
      <c r="BF4" s="261" t="s">
        <v>7</v>
      </c>
      <c r="BG4" s="261" t="s">
        <v>7</v>
      </c>
      <c r="BH4" s="261" t="s">
        <v>7</v>
      </c>
      <c r="BI4" s="262" t="s">
        <v>8</v>
      </c>
      <c r="BJ4" s="261" t="s">
        <v>7</v>
      </c>
      <c r="BK4" s="262" t="s">
        <v>8</v>
      </c>
      <c r="BL4" s="261" t="s">
        <v>7</v>
      </c>
      <c r="BM4" s="262" t="s">
        <v>8</v>
      </c>
      <c r="BN4" s="261" t="s">
        <v>7</v>
      </c>
      <c r="BO4" s="262" t="s">
        <v>8</v>
      </c>
      <c r="BP4" s="261" t="s">
        <v>6</v>
      </c>
      <c r="BQ4" s="264" t="s">
        <v>6</v>
      </c>
      <c r="BR4" s="264" t="s">
        <v>7</v>
      </c>
      <c r="BS4" s="264" t="s">
        <v>7</v>
      </c>
      <c r="BT4" s="264" t="s">
        <v>7</v>
      </c>
      <c r="BU4" s="263" t="s">
        <v>8</v>
      </c>
      <c r="BV4" s="264" t="s">
        <v>6</v>
      </c>
      <c r="BW4" s="264" t="s">
        <v>7</v>
      </c>
      <c r="BX4" s="264" t="s">
        <v>7</v>
      </c>
      <c r="BY4" s="264" t="s">
        <v>7</v>
      </c>
      <c r="BZ4" s="263" t="s">
        <v>8</v>
      </c>
      <c r="CA4" s="264" t="s">
        <v>6</v>
      </c>
      <c r="CB4" s="264" t="s">
        <v>7</v>
      </c>
      <c r="CC4" s="264" t="s">
        <v>7</v>
      </c>
      <c r="CD4" s="264" t="s">
        <v>7</v>
      </c>
      <c r="CE4" s="263" t="s">
        <v>8</v>
      </c>
      <c r="CF4" s="264" t="s">
        <v>6</v>
      </c>
      <c r="CG4" s="264" t="s">
        <v>7</v>
      </c>
      <c r="CH4" s="264" t="s">
        <v>7</v>
      </c>
      <c r="CI4" s="264" t="s">
        <v>7</v>
      </c>
      <c r="CJ4" s="263" t="s">
        <v>8</v>
      </c>
      <c r="CK4" s="264" t="s">
        <v>7</v>
      </c>
      <c r="CL4" s="263" t="s">
        <v>8</v>
      </c>
      <c r="CM4" s="264" t="s">
        <v>7</v>
      </c>
      <c r="CN4" s="263" t="s">
        <v>8</v>
      </c>
      <c r="CO4" s="264" t="s">
        <v>7</v>
      </c>
      <c r="CP4" s="263" t="s">
        <v>8</v>
      </c>
      <c r="CQ4" s="264" t="s">
        <v>6</v>
      </c>
      <c r="CR4" s="266" t="s">
        <v>6</v>
      </c>
      <c r="CS4" s="266" t="s">
        <v>7</v>
      </c>
      <c r="CT4" s="266" t="s">
        <v>7</v>
      </c>
      <c r="CU4" s="266" t="s">
        <v>7</v>
      </c>
      <c r="CV4" s="265" t="s">
        <v>8</v>
      </c>
      <c r="CW4" s="266" t="s">
        <v>6</v>
      </c>
      <c r="CX4" s="266" t="s">
        <v>7</v>
      </c>
      <c r="CY4" s="266" t="s">
        <v>7</v>
      </c>
      <c r="CZ4" s="266" t="s">
        <v>7</v>
      </c>
      <c r="DA4" s="265" t="s">
        <v>8</v>
      </c>
      <c r="DB4" s="266" t="s">
        <v>6</v>
      </c>
      <c r="DC4" s="266" t="s">
        <v>7</v>
      </c>
      <c r="DD4" s="266" t="s">
        <v>7</v>
      </c>
      <c r="DE4" s="266" t="s">
        <v>7</v>
      </c>
      <c r="DF4" s="265" t="s">
        <v>8</v>
      </c>
      <c r="DG4" s="266" t="s">
        <v>6</v>
      </c>
      <c r="DH4" s="266" t="s">
        <v>7</v>
      </c>
      <c r="DI4" s="266" t="s">
        <v>7</v>
      </c>
      <c r="DJ4" s="266" t="s">
        <v>7</v>
      </c>
      <c r="DK4" s="265" t="s">
        <v>8</v>
      </c>
      <c r="DL4" s="266" t="s">
        <v>7</v>
      </c>
      <c r="DM4" s="265" t="s">
        <v>8</v>
      </c>
      <c r="DN4" s="266" t="s">
        <v>7</v>
      </c>
      <c r="DO4" s="265" t="s">
        <v>8</v>
      </c>
      <c r="DP4" s="266" t="s">
        <v>7</v>
      </c>
      <c r="DQ4" s="265" t="s">
        <v>8</v>
      </c>
      <c r="DR4" s="266" t="s">
        <v>6</v>
      </c>
      <c r="DS4" s="268" t="s">
        <v>6</v>
      </c>
      <c r="DT4" s="268" t="s">
        <v>7</v>
      </c>
      <c r="DU4" s="268" t="s">
        <v>7</v>
      </c>
      <c r="DV4" s="268" t="s">
        <v>7</v>
      </c>
      <c r="DW4" s="267" t="s">
        <v>8</v>
      </c>
      <c r="DX4" s="268" t="s">
        <v>6</v>
      </c>
      <c r="DY4" s="268" t="s">
        <v>7</v>
      </c>
      <c r="DZ4" s="268" t="s">
        <v>7</v>
      </c>
      <c r="EA4" s="268" t="s">
        <v>7</v>
      </c>
      <c r="EB4" s="267" t="s">
        <v>8</v>
      </c>
      <c r="EC4" s="268" t="s">
        <v>6</v>
      </c>
      <c r="ED4" s="268" t="s">
        <v>7</v>
      </c>
      <c r="EE4" s="268" t="s">
        <v>7</v>
      </c>
      <c r="EF4" s="268" t="s">
        <v>7</v>
      </c>
      <c r="EG4" s="267" t="s">
        <v>8</v>
      </c>
      <c r="EH4" s="268" t="s">
        <v>6</v>
      </c>
      <c r="EI4" s="268" t="s">
        <v>7</v>
      </c>
      <c r="EJ4" s="268" t="s">
        <v>7</v>
      </c>
      <c r="EK4" s="268" t="s">
        <v>7</v>
      </c>
      <c r="EL4" s="267" t="s">
        <v>8</v>
      </c>
      <c r="EM4" s="268" t="s">
        <v>7</v>
      </c>
      <c r="EN4" s="267" t="s">
        <v>8</v>
      </c>
      <c r="EO4" s="268" t="s">
        <v>7</v>
      </c>
      <c r="EP4" s="267" t="s">
        <v>8</v>
      </c>
      <c r="EQ4" s="268" t="s">
        <v>7</v>
      </c>
      <c r="ER4" s="267" t="s">
        <v>8</v>
      </c>
      <c r="ES4" s="268" t="s">
        <v>6</v>
      </c>
      <c r="ET4" s="270" t="s">
        <v>6</v>
      </c>
      <c r="EU4" s="270" t="s">
        <v>7</v>
      </c>
      <c r="EV4" s="270" t="s">
        <v>7</v>
      </c>
      <c r="EW4" s="270" t="s">
        <v>7</v>
      </c>
      <c r="EX4" s="269" t="s">
        <v>8</v>
      </c>
      <c r="EY4" s="270" t="s">
        <v>6</v>
      </c>
      <c r="EZ4" s="270" t="s">
        <v>7</v>
      </c>
      <c r="FA4" s="270" t="s">
        <v>7</v>
      </c>
      <c r="FB4" s="270" t="s">
        <v>7</v>
      </c>
      <c r="FC4" s="269" t="s">
        <v>8</v>
      </c>
      <c r="FD4" s="270" t="s">
        <v>6</v>
      </c>
      <c r="FE4" s="270" t="s">
        <v>7</v>
      </c>
      <c r="FF4" s="270" t="s">
        <v>7</v>
      </c>
      <c r="FG4" s="270" t="s">
        <v>7</v>
      </c>
      <c r="FH4" s="269" t="s">
        <v>8</v>
      </c>
      <c r="FI4" s="270" t="s">
        <v>6</v>
      </c>
      <c r="FJ4" s="270" t="s">
        <v>7</v>
      </c>
      <c r="FK4" s="270" t="s">
        <v>7</v>
      </c>
      <c r="FL4" s="270" t="s">
        <v>7</v>
      </c>
      <c r="FM4" s="269" t="s">
        <v>8</v>
      </c>
      <c r="FN4" s="270" t="s">
        <v>7</v>
      </c>
      <c r="FO4" s="269" t="s">
        <v>8</v>
      </c>
      <c r="FP4" s="270" t="s">
        <v>7</v>
      </c>
      <c r="FQ4" s="269" t="s">
        <v>8</v>
      </c>
      <c r="FR4" s="270" t="s">
        <v>7</v>
      </c>
      <c r="FS4" s="269" t="s">
        <v>8</v>
      </c>
      <c r="FT4" s="270" t="s">
        <v>6</v>
      </c>
    </row>
    <row r="5" spans="1:176">
      <c r="A5" s="274">
        <f>'調查資料(OUT)'!A11</f>
        <v>0</v>
      </c>
      <c r="B5" s="50">
        <f>SUM(C5:F5)</f>
        <v>0</v>
      </c>
      <c r="C5" s="50">
        <f>IFERROR('調查資料(OUT)'!$B$1*'調查資料(OUT)'!B11,0)+IFERROR('調查資料(OUT)'!$F$1*'調查資料(OUT)'!F11,0)+IFERROR('調查資料(OUT)'!$J$1*'調查資料(OUT)'!J11,0)</f>
        <v>0</v>
      </c>
      <c r="D5" s="50">
        <f>IFERROR('調查資料(OUT)'!$C$1*'調查資料(OUT)'!C11,0)+IFERROR('調查資料(OUT)'!$G$1*'調查資料(OUT)'!G11,0)+IFERROR('調查資料(OUT)'!$K$1*'調查資料(OUT)'!K11,0)</f>
        <v>0</v>
      </c>
      <c r="E5" s="50">
        <f>IFERROR('調查資料(OUT)'!$D$1*'調查資料(OUT)'!D11,0)+IFERROR('調查資料(OUT)'!$H$1*'調查資料(OUT)'!H11,0)+IFERROR('調查資料(OUT)'!$L$1*'調查資料(OUT)'!L11,0)</f>
        <v>0</v>
      </c>
      <c r="F5" s="252">
        <f>IFERROR('調查資料(OUT)'!$E$1*'調查資料(OUT)'!E11,0)+IFERROR('調查資料(OUT)'!$I$1*'調查資料(OUT)'!I11,0)+IFERROR('調查資料(OUT)'!$M$1*'調查資料(OUT)'!M11,0)</f>
        <v>0</v>
      </c>
      <c r="G5" s="50">
        <f>SUM(H5:K5)</f>
        <v>0</v>
      </c>
      <c r="H5" s="50">
        <f>IFERROR('調查資料(OUT)'!$N$1*'調查資料(OUT)'!N11,0)+IFERROR('調查資料(OUT)'!$R$1*'調查資料(OUT)'!R11,0)+IFERROR('調查資料(OUT)'!$V$1*'調查資料(OUT)'!V11,0)</f>
        <v>0</v>
      </c>
      <c r="I5" s="50">
        <f>IFERROR('調查資料(OUT)'!$O$1*'調查資料(OUT)'!O11,0)+IFERROR('調查資料(OUT)'!$S$1*'調查資料(OUT)'!S11,0)+IFERROR('調查資料(OUT)'!$W$1*'調查資料(OUT)'!W11,0)</f>
        <v>0</v>
      </c>
      <c r="J5" s="50">
        <f>IFERROR('調查資料(OUT)'!$P$1*'調查資料(OUT)'!P11,0)+IFERROR('調查資料(OUT)'!$T$1*'調查資料(OUT)'!T11,0)+IFERROR('調查資料(OUT)'!$X$1*'調查資料(OUT)'!X11,0)</f>
        <v>0</v>
      </c>
      <c r="K5" s="252">
        <f>IFERROR('調查資料(OUT)'!$Q$1*'調查資料(OUT)'!Q11,0)+IFERROR('調查資料(OUT)'!$U$1*'調查資料(OUT)'!U11,0)+IFERROR('調查資料(OUT)'!$Y$1*'調查資料(OUT)'!Y11,0)</f>
        <v>0</v>
      </c>
      <c r="L5" s="50">
        <f>SUM(M5:P5)</f>
        <v>0</v>
      </c>
      <c r="M5" s="50">
        <f>IFERROR('調查資料(OUT)'!$Z$1*'調查資料(OUT)'!Z11,0)+IFERROR('調查資料(OUT)'!$AD$1*'調查資料(OUT)'!AD11,0)+IFERROR('調查資料(OUT)'!$AH$1*'調查資料(OUT)'!AH11,0)</f>
        <v>0</v>
      </c>
      <c r="N5" s="50">
        <f>IFERROR('調查資料(OUT)'!$AA$1*'調查資料(OUT)'!AA11,0)+IFERROR('調查資料(OUT)'!$AE$1*'調查資料(OUT)'!AE11,0)+IFERROR('調查資料(OUT)'!$AI$1*'調查資料(OUT)'!AI11,0)</f>
        <v>0</v>
      </c>
      <c r="O5" s="50">
        <f>IFERROR('調查資料(OUT)'!$AB$1*'調查資料(OUT)'!AB11,0)+IFERROR('調查資料(OUT)'!$AF$1*'調查資料(OUT)'!AF11,0)+IFERROR('調查資料(OUT)'!$AJ$1*'調查資料(OUT)'!AJ11,0)</f>
        <v>0</v>
      </c>
      <c r="P5" s="252">
        <f>IFERROR('調查資料(OUT)'!$AC$1*'調查資料(OUT)'!AC11,0)+IFERROR('調查資料(OUT)'!$AG$1*'調查資料(OUT)'!AG11,0)+IFERROR('調查資料(OUT)'!$AK$1*'調查資料(OUT)'!AK11,0)</f>
        <v>0</v>
      </c>
      <c r="Q5" s="50">
        <f>SUM(R5:U5)</f>
        <v>0</v>
      </c>
      <c r="R5" s="50">
        <f>IFERROR('調查資料(OUT)'!$AL$1*'調查資料(OUT)'!AL11,0)+IFERROR('調查資料(OUT)'!$AP$1*'調查資料(OUT)'!AP11,0)+IFERROR('調查資料(OUT)'!$AT$1*'調查資料(OUT)'!AT11,0)</f>
        <v>0</v>
      </c>
      <c r="S5" s="50">
        <f>IFERROR('調查資料(OUT)'!$AM$1*'調查資料(OUT)'!AM11,0)+IFERROR('調查資料(OUT)'!$AQ$1*'調查資料(OUT)'!AQ11,0)+IFERROR('調查資料(OUT)'!$AU$1*'調查資料(OUT)'!AU11,0)</f>
        <v>0</v>
      </c>
      <c r="T5" s="50">
        <f>IFERROR('調查資料(OUT)'!$AN$1*'調查資料(OUT)'!AN11,0)+IFERROR('調查資料(OUT)'!$AR$1*'調查資料(OUT)'!AR11,0)+IFERROR('調查資料(OUT)'!$AV$1*'調查資料(OUT)'!AV11,0)</f>
        <v>0</v>
      </c>
      <c r="U5" s="252">
        <f>IFERROR('調查資料(OUT)'!$AO$1*'調查資料(OUT)'!AO11,0)+IFERROR('調查資料(OUT)'!$AS$1*'調查資料(OUT)'!AS11,0)+IFERROR('調查資料(OUT)'!$AW$1*'調查資料(OUT)'!AW11,0)</f>
        <v>0</v>
      </c>
      <c r="V5" s="50">
        <f>SUM(W5:Z5)</f>
        <v>0</v>
      </c>
      <c r="W5" s="50">
        <f>IFERROR('調查資料(OUT)'!$AX$1*'調查資料(OUT)'!AX11,0)+IFERROR('調查資料(OUT)'!$BB$1*'調查資料(OUT)'!BB11,0)+IFERROR('調查資料(OUT)'!$BF$1*'調查資料(OUT)'!BF11,0)</f>
        <v>0</v>
      </c>
      <c r="X5" s="50">
        <f>IFERROR('調查資料(OUT)'!$AY$1*'調查資料(OUT)'!AY11,0)+IFERROR('調查資料(OUT)'!$BC$1*'調查資料(OUT)'!BC11,0)+IFERROR('調查資料(OUT)'!$BG$1*'調查資料(OUT)'!BG11,0)</f>
        <v>0</v>
      </c>
      <c r="Y5" s="50">
        <f>IFERROR('調查資料(OUT)'!$AZ$1*'調查資料(OUT)'!AZ11,0)+IFERROR('調查資料(OUT)'!$BD$1*'調查資料(OUT)'!BD11,0)+IFERROR('調查資料(OUT)'!$BH$1*'調查資料(OUT)'!BH11,0)</f>
        <v>0</v>
      </c>
      <c r="Z5" s="252">
        <f>IFERROR('調查資料(OUT)'!$BA$1*'調查資料(OUT)'!BA11,0)+IFERROR('調查資料(OUT)'!$BE$1*'調查資料(OUT)'!BE11,0)+IFERROR('調查資料(OUT)'!$BI$1*'調查資料(OUT)'!BI11,0)</f>
        <v>0</v>
      </c>
      <c r="AA5" s="253">
        <f>B5+G5+L5+Q5+V5</f>
        <v>0</v>
      </c>
      <c r="AC5" s="251">
        <f>'調查資料(OUT)'!A11</f>
        <v>0</v>
      </c>
      <c r="AD5" s="254">
        <f t="shared" ref="AD5:AD9" si="0">AC5+100</f>
        <v>100</v>
      </c>
      <c r="AE5" s="50">
        <f>SUM(AA5:AA8)</f>
        <v>0</v>
      </c>
      <c r="AF5" s="255">
        <f>MAX(AE29:AE41)</f>
        <v>0</v>
      </c>
      <c r="AG5" s="50">
        <f t="shared" ref="AG5:AG40" si="1">IF($AE5=$AF$5,MAX(AA5:AA8),0)</f>
        <v>0</v>
      </c>
      <c r="AH5" s="256" t="e">
        <f t="shared" ref="AH5:AH40" si="2">IF($AE5=AF$5,SUM(B5:B8)/(4*(MAX(B5:B8))),0)</f>
        <v>#DIV/0!</v>
      </c>
      <c r="AI5" s="256" t="e">
        <f t="shared" ref="AI5:AI40" si="3">IF($AE5=AF$5,SUM(G5:G8)/(4*(MAX(G5:G8))),0)</f>
        <v>#DIV/0!</v>
      </c>
      <c r="AJ5" s="256" t="e">
        <f t="shared" ref="AJ5:AJ40" si="4">IF($AE5=AF$5,SUM(L5:L8)/(4*(MAX(L5:L8))),0)</f>
        <v>#DIV/0!</v>
      </c>
      <c r="AK5" s="256" t="e">
        <f t="shared" ref="AK5:AK40" si="5">IF($AE5=AF$5,SUM(Q5:Q8)/(4*(MAX(Q5:Q8))),0)</f>
        <v>#DIV/0!</v>
      </c>
      <c r="AL5" s="256" t="e">
        <f t="shared" ref="AL5:AL40" si="6">IF($AE5=AF$5,SUM(V5:V8)/(4*(MAX(V5:V8))),0)</f>
        <v>#DIV/0!</v>
      </c>
      <c r="AM5" s="257" t="e">
        <f>$AF$5/(4*MAX(AG5:AG17))</f>
        <v>#DIV/0!</v>
      </c>
      <c r="AN5" s="50">
        <f t="shared" ref="AN5:AN40" si="7">IF(AE5=AF$5,$AC5,"N")</f>
        <v>0</v>
      </c>
      <c r="AO5" s="252">
        <f t="shared" ref="AO5:AO40" si="8">IF(AE5=AF$5,$AD5,"N")</f>
        <v>100</v>
      </c>
      <c r="AP5" s="50">
        <f>IF($AN5="N","N",SUM(C5:C8))</f>
        <v>0</v>
      </c>
      <c r="AQ5" s="50">
        <f>IF($AN5="N","N",SUM('調查資料(OUT)'!B11:B14))</f>
        <v>0</v>
      </c>
      <c r="AR5" s="50">
        <f>IF($AN5="N","N",SUM('調查資料(OUT)'!F11:F14))</f>
        <v>0</v>
      </c>
      <c r="AS5" s="50">
        <f>IF($AN5="N","N",SUM('調查資料(OUT)'!J11:J14))</f>
        <v>0</v>
      </c>
      <c r="AT5" s="56" t="e">
        <f>IF($AN5="N","N",(AP5/$BP5)*100)</f>
        <v>#DIV/0!</v>
      </c>
      <c r="AU5" s="50">
        <f t="shared" ref="AU5:AU9" si="9">IF($AN5="N","N",SUM(D5:D8))</f>
        <v>0</v>
      </c>
      <c r="AV5" s="50">
        <f>IF($AN5="N","N",SUM('調查資料(OUT)'!C11:C14))</f>
        <v>0</v>
      </c>
      <c r="AW5" s="50">
        <f>IF($AN5="N","N",SUM('調查資料(OUT)'!G11:G14))</f>
        <v>0</v>
      </c>
      <c r="AX5" s="50">
        <f>IF($AN5="N","N",SUM('調查資料(OUT)'!K11:K14))</f>
        <v>0</v>
      </c>
      <c r="AY5" s="56" t="e">
        <f>IF($AN5="N","N",(AU5/$BP5)*100)</f>
        <v>#DIV/0!</v>
      </c>
      <c r="AZ5" s="50">
        <f t="shared" ref="AZ5:AZ9" si="10">IF($AN5="N","N",SUM(E5:E8))</f>
        <v>0</v>
      </c>
      <c r="BA5" s="50">
        <f>IF($AN5="N","N",SUM('調查資料(OUT)'!D11:D14))</f>
        <v>0</v>
      </c>
      <c r="BB5" s="50">
        <f>IF($AN5="N","N",SUM('調查資料(OUT)'!H11:H14))</f>
        <v>0</v>
      </c>
      <c r="BC5" s="50">
        <f>IF($AN5="N","N",SUM('調查資料(OUT)'!L11:L14))</f>
        <v>0</v>
      </c>
      <c r="BD5" s="56" t="e">
        <f t="shared" ref="BD5:BD9" si="11">IF($AN5="N","N",(AZ5/$BP5)*100)</f>
        <v>#DIV/0!</v>
      </c>
      <c r="BE5" s="50">
        <f t="shared" ref="BE5:BE9" si="12">IF($AN5="N","N",SUM(F5:F8))</f>
        <v>0</v>
      </c>
      <c r="BF5" s="50">
        <f>IF($AN5="N","N",SUM('調查資料(OUT)'!E11:E14))</f>
        <v>0</v>
      </c>
      <c r="BG5" s="50">
        <f>IF($AN5="N","N",SUM('調查資料(OUT)'!I11:I14))</f>
        <v>0</v>
      </c>
      <c r="BH5" s="50">
        <f>IF($AN5="N","N",SUM('調查資料(OUT)'!M11:M14))</f>
        <v>0</v>
      </c>
      <c r="BI5" s="56" t="e">
        <f t="shared" ref="BI5:BI9" si="13">IF($AN5="N","N",(BE5/$BP5)*100)</f>
        <v>#DIV/0!</v>
      </c>
      <c r="BJ5" s="50">
        <f t="shared" ref="BJ5:BJ9" si="14">IF($AN5="N","N",AQ5+AV5+BA5+BF5)</f>
        <v>0</v>
      </c>
      <c r="BK5" s="56" t="e">
        <f t="shared" ref="BK5:BK9" si="15">IF($AN5="N","N",(BJ5/($BJ5+$BL5+$BN5))*100)</f>
        <v>#DIV/0!</v>
      </c>
      <c r="BL5" s="50">
        <f t="shared" ref="BL5:BL9" si="16">IF($AN5="N","N",AR5+AW5+BB5+BG5)</f>
        <v>0</v>
      </c>
      <c r="BM5" s="56" t="e">
        <f t="shared" ref="BM5:BM9" si="17">IF($AN5="N","N",(BL5/($BJ5+$BL5+$BN5))*100)</f>
        <v>#DIV/0!</v>
      </c>
      <c r="BN5" s="50">
        <f t="shared" ref="BN5:BN9" si="18">IF($AN5="N","N",AS5+AX5+BC5+BH5)</f>
        <v>0</v>
      </c>
      <c r="BO5" s="56" t="e">
        <f t="shared" ref="BO5:BO9" si="19">IF($AN5="N","N",(BN5/($BJ5+$BL5+$BN5))*100)</f>
        <v>#DIV/0!</v>
      </c>
      <c r="BP5" s="50">
        <f t="shared" ref="BP5:BP9" si="20">IF($AN5="N","N",AP5+AU5+AZ5+BE5)</f>
        <v>0</v>
      </c>
      <c r="BQ5" s="50">
        <f t="shared" ref="BQ5:BQ9" si="21">IF($AN5="N","N",SUM(H5:H8))</f>
        <v>0</v>
      </c>
      <c r="BR5" s="50">
        <f>IF($AN5="N","N",SUM('調查資料(OUT)'!N11:N14))</f>
        <v>0</v>
      </c>
      <c r="BS5" s="50">
        <f>IF($AN5="N","N",SUM('調查資料(OUT)'!R11:R14))</f>
        <v>0</v>
      </c>
      <c r="BT5" s="50">
        <f>IF($AN5="N","N",SUM('調查資料(OUT)'!V11:V14))</f>
        <v>0</v>
      </c>
      <c r="BU5" s="56" t="e">
        <f t="shared" ref="BU5:BU9" si="22">IF($AN5="N","N",(BQ5/CQ5)*100)</f>
        <v>#DIV/0!</v>
      </c>
      <c r="BV5" s="50">
        <f t="shared" ref="BV5:BV9" si="23">IF($AN5="N","N",SUM(I5:I8))</f>
        <v>0</v>
      </c>
      <c r="BW5" s="50">
        <f>IF($AN5="N","N",SUM('調查資料(OUT)'!O11:O14))</f>
        <v>0</v>
      </c>
      <c r="BX5" s="50">
        <f>IF($AN5="N","N",SUM('調查資料(OUT)'!S11:S14))</f>
        <v>0</v>
      </c>
      <c r="BY5" s="50">
        <f>IF($AN5="N","N",SUM('調查資料(OUT)'!W11:W14))</f>
        <v>0</v>
      </c>
      <c r="BZ5" s="56" t="e">
        <f t="shared" ref="BZ5:BZ9" si="24">IF($AN5="N","N",(BV5/$CQ5)*100)</f>
        <v>#DIV/0!</v>
      </c>
      <c r="CA5" s="50">
        <f t="shared" ref="CA5:CA9" si="25">IF($AN5="N","N",SUM(J5:J8))</f>
        <v>0</v>
      </c>
      <c r="CB5" s="50">
        <f>IF($AN5="N","N",SUM('調查資料(OUT)'!P11:P14))</f>
        <v>0</v>
      </c>
      <c r="CC5" s="50">
        <f>IF($AN5="N","N",SUM('調查資料(OUT)'!T11:T14))</f>
        <v>0</v>
      </c>
      <c r="CD5" s="50">
        <f>IF($AN5="N","N",SUM('調查資料(OUT)'!X11:X14))</f>
        <v>0</v>
      </c>
      <c r="CE5" s="56" t="e">
        <f t="shared" ref="CE5:CE9" si="26">IF($AN5="N","N",(CA5/$CQ5)*100)</f>
        <v>#DIV/0!</v>
      </c>
      <c r="CF5" s="50">
        <f t="shared" ref="CF5:CF9" si="27">IF($AN5="N","N",SUM(K5:K8))</f>
        <v>0</v>
      </c>
      <c r="CG5" s="50">
        <f>IF($AN5="N","N",SUM('調查資料(OUT)'!Q11:Q14))</f>
        <v>0</v>
      </c>
      <c r="CH5" s="50">
        <f>IF($AN5="N","N",SUM('調查資料(OUT)'!U11:U14))</f>
        <v>0</v>
      </c>
      <c r="CI5" s="50">
        <f>IF($AN5="N","N",SUM('調查資料(OUT)'!Y11:Y14))</f>
        <v>0</v>
      </c>
      <c r="CJ5" s="56" t="e">
        <f t="shared" ref="CJ5:CJ9" si="28">IF($AN5="N","N",(CF5/CQ5)*100)</f>
        <v>#DIV/0!</v>
      </c>
      <c r="CK5" s="50">
        <f t="shared" ref="CK5:CK9" si="29">IF($AN5="N","N",BR5+BW5+CB5+CG5)</f>
        <v>0</v>
      </c>
      <c r="CL5" s="56" t="e">
        <f t="shared" ref="CL5:CL9" si="30">IF($AN5="N","N",(CK5/($CK5+$CM5+$CO5))*100)</f>
        <v>#DIV/0!</v>
      </c>
      <c r="CM5" s="50">
        <f t="shared" ref="CM5:CM9" si="31">IF($AN5="N","N",BS5+BX5+CC5+CH5)</f>
        <v>0</v>
      </c>
      <c r="CN5" s="56" t="e">
        <f t="shared" ref="CN5:CN9" si="32">IF($AN5="N","N",(CM5/($CK5+$CM5+$CO5))*100)</f>
        <v>#DIV/0!</v>
      </c>
      <c r="CO5" s="50">
        <f t="shared" ref="CO5:CO9" si="33">IF($AN5="N","N",BT5+BY5+CD5+CI5)</f>
        <v>0</v>
      </c>
      <c r="CP5" s="56" t="e">
        <f t="shared" ref="CP5:CP9" si="34">IF($AN5="N","N",(CO5/($CK5+$CM5+$CO5))*100)</f>
        <v>#DIV/0!</v>
      </c>
      <c r="CQ5" s="50">
        <f t="shared" ref="CQ5:CQ9" si="35">IF($AN5="N","N",BQ5+BV5+CA5+CF5)</f>
        <v>0</v>
      </c>
      <c r="CR5" s="50">
        <f t="shared" ref="CR5:CR9" si="36">IF($AN5="N","N",SUM(M5:M8))</f>
        <v>0</v>
      </c>
      <c r="CS5" s="50">
        <f>IF($AN5="N","N",SUM('調查資料(OUT)'!Z11:Z14))</f>
        <v>0</v>
      </c>
      <c r="CT5" s="50">
        <f>IF($AN5="N","N",SUM('調查資料(OUT)'!AD11:AD14))</f>
        <v>0</v>
      </c>
      <c r="CU5" s="50">
        <f>IF($AN5="N","N",SUM('調查資料(OUT)'!AH11:AH14))</f>
        <v>0</v>
      </c>
      <c r="CV5" s="56" t="e">
        <f t="shared" ref="CV5:CV9" si="37">IF($AN5="N","N",(CR5/DR5)*100)</f>
        <v>#DIV/0!</v>
      </c>
      <c r="CW5" s="50">
        <f t="shared" ref="CW5:CW9" si="38">IF($AN5="N","N",SUM(N5:N8))</f>
        <v>0</v>
      </c>
      <c r="CX5" s="50">
        <f>IF($AN5="N","N",SUM('調查資料(OUT)'!AA11:AA14))</f>
        <v>0</v>
      </c>
      <c r="CY5" s="50">
        <f>IF($AN5="N","N",SUM('調查資料(OUT)'!AE11:AE14))</f>
        <v>0</v>
      </c>
      <c r="CZ5" s="50">
        <f>IF($AN5="N","N",SUM('調查資料(OUT)'!AI11:AI14))</f>
        <v>0</v>
      </c>
      <c r="DA5" s="56" t="e">
        <f t="shared" ref="DA5:DA9" si="39">IF($AN5="N","N",(CW5/$DR5)*100)</f>
        <v>#DIV/0!</v>
      </c>
      <c r="DB5" s="50">
        <f t="shared" ref="DB5:DB9" si="40">IF($AN5="N","N",SUM(O5:O8))</f>
        <v>0</v>
      </c>
      <c r="DC5" s="50">
        <f>IF($AN5="N","N",SUM('調查資料(OUT)'!AB11:AB14))</f>
        <v>0</v>
      </c>
      <c r="DD5" s="50">
        <f>IF($AN5="N","N",SUM('調查資料(OUT)'!AF11:AF14))</f>
        <v>0</v>
      </c>
      <c r="DE5" s="50">
        <f>IF($AN5="N","N",SUM('調查資料(OUT)'!AJ11:AJ14))</f>
        <v>0</v>
      </c>
      <c r="DF5" s="56" t="e">
        <f t="shared" ref="DF5:DF9" si="41">IF($AN5="N","N",(DB5/$DR5)*100)</f>
        <v>#DIV/0!</v>
      </c>
      <c r="DG5" s="50">
        <f t="shared" ref="DG5:DG9" si="42">IF($AN5="N","N",SUM(P5:P8))</f>
        <v>0</v>
      </c>
      <c r="DH5" s="50">
        <f>IF($AN5="N","N",SUM('調查資料(OUT)'!AC11:AC14))</f>
        <v>0</v>
      </c>
      <c r="DI5" s="50">
        <f>IF($AN5="N","N",SUM('調查資料(OUT)'!AG11:AG14))</f>
        <v>0</v>
      </c>
      <c r="DJ5" s="50">
        <f>IF($AN5="N","N",SUM('調查資料(OUT)'!AK11:AK14))</f>
        <v>0</v>
      </c>
      <c r="DK5" s="56" t="e">
        <f t="shared" ref="DK5:DK9" si="43">IF($AN5="N","N",(DG5/DR5)*100)</f>
        <v>#DIV/0!</v>
      </c>
      <c r="DL5" s="50">
        <f t="shared" ref="DL5:DL9" si="44">IF($AN5="N","N",CS5+CX5+DC5+DH5)</f>
        <v>0</v>
      </c>
      <c r="DM5" s="56" t="e">
        <f t="shared" ref="DM5:DM9" si="45">IF($AN5="N","N",(DL5/($DL5+$DN5+$DP5))*100)</f>
        <v>#DIV/0!</v>
      </c>
      <c r="DN5" s="50">
        <f t="shared" ref="DN5:DN9" si="46">IF($AN5="N","N",CT5+CY5+DD5+DI5)</f>
        <v>0</v>
      </c>
      <c r="DO5" s="56" t="e">
        <f t="shared" ref="DO5:DO9" si="47">IF($AN5="N","N",(DN5/($DL5+$DN5+$DP5))*100)</f>
        <v>#DIV/0!</v>
      </c>
      <c r="DP5" s="50">
        <f t="shared" ref="DP5:DP9" si="48">IF($AN5="N","N",CU5+CZ5+DE5+DJ5)</f>
        <v>0</v>
      </c>
      <c r="DQ5" s="56" t="e">
        <f t="shared" ref="DQ5:DQ9" si="49">IF($AN5="N","N",(DP5/($DL5+$DN5+$DP5))*100)</f>
        <v>#DIV/0!</v>
      </c>
      <c r="DR5" s="50">
        <f t="shared" ref="DR5:DR9" si="50">IF($AN5="N","N",CR5+CW5+DB5+DG5)</f>
        <v>0</v>
      </c>
      <c r="DS5" s="50">
        <f t="shared" ref="DS5:DS9" si="51">IF($AN5="N","N",SUM(R5:R8))</f>
        <v>0</v>
      </c>
      <c r="DT5" s="50">
        <f>IF($AN5="N","N",SUM('調查資料(OUT)'!AL11:AL14))</f>
        <v>0</v>
      </c>
      <c r="DU5" s="50">
        <f>IF($AN5="N","N",SUM('調查資料(OUT)'!AP11:AP14))</f>
        <v>0</v>
      </c>
      <c r="DV5" s="50">
        <f>IF($AN5="N","N",SUM('調查資料(OUT)'!AT11:AT14))</f>
        <v>0</v>
      </c>
      <c r="DW5" s="56" t="e">
        <f t="shared" ref="DW5:DW9" si="52">IF($AN5="N","N",(DS5/ES5)*100)</f>
        <v>#DIV/0!</v>
      </c>
      <c r="DX5" s="50">
        <f t="shared" ref="DX5:DX9" si="53">IF($AN5="N","N",SUM(S5:S8))</f>
        <v>0</v>
      </c>
      <c r="DY5" s="50">
        <f>IF($AN5="N","N",SUM('調查資料(OUT)'!AM11:AM14))</f>
        <v>0</v>
      </c>
      <c r="DZ5" s="50">
        <f>IF($AN5="N","N",SUM('調查資料(OUT)'!AQ11:AQ14))</f>
        <v>0</v>
      </c>
      <c r="EA5" s="50">
        <f>IF($AN5="N","N",SUM('調查資料(OUT)'!AU11:AU14))</f>
        <v>0</v>
      </c>
      <c r="EB5" s="56" t="e">
        <f t="shared" ref="EB5:EB9" si="54">IF($AN5="N","N",(DX5/$ES5)*100)</f>
        <v>#DIV/0!</v>
      </c>
      <c r="EC5" s="50">
        <f t="shared" ref="EC5:EC9" si="55">IF($AN5="N","N",SUM(T5:T8))</f>
        <v>0</v>
      </c>
      <c r="ED5" s="50">
        <f>IF($AN5="N","N",SUM('調查資料(OUT)'!AN11:AN14))</f>
        <v>0</v>
      </c>
      <c r="EE5" s="50">
        <f>IF($AN5="N","N",SUM('調查資料(OUT)'!AR11:AR14))</f>
        <v>0</v>
      </c>
      <c r="EF5" s="50">
        <f>IF($AN5="N","N",SUM('調查資料(OUT)'!AV11:AV14))</f>
        <v>0</v>
      </c>
      <c r="EG5" s="56" t="e">
        <f t="shared" ref="EG5:EG9" si="56">IF($AN5="N","N",(EC5/$ES5)*100)</f>
        <v>#DIV/0!</v>
      </c>
      <c r="EH5" s="50">
        <f t="shared" ref="EH5:EH9" si="57">IF($AN5="N","N",SUM(U5:U8))</f>
        <v>0</v>
      </c>
      <c r="EI5" s="50">
        <f>IF($AN5="N","N",SUM('調查資料(OUT)'!AO11:AO14))</f>
        <v>0</v>
      </c>
      <c r="EJ5" s="50">
        <f>IF($AN5="N","N",SUM('調查資料(OUT)'!AS11:AS14))</f>
        <v>0</v>
      </c>
      <c r="EK5" s="50">
        <f>IF($AN5="N","N",SUM('調查資料(OUT)'!AW11:AW14))</f>
        <v>0</v>
      </c>
      <c r="EL5" s="56" t="e">
        <f t="shared" ref="EL5:EL9" si="58">IF($AN5="N","N",(EH5/ES5)*100)</f>
        <v>#DIV/0!</v>
      </c>
      <c r="EM5" s="50">
        <f t="shared" ref="EM5:EM9" si="59">IF($AN5="N","N",DT5+DY5+ED5+EI5)</f>
        <v>0</v>
      </c>
      <c r="EN5" s="56" t="e">
        <f t="shared" ref="EN5:EN9" si="60">IF($AN5="N","N",(EM5/($EM5+$EO5+$EQ5))*100)</f>
        <v>#DIV/0!</v>
      </c>
      <c r="EO5" s="50">
        <f t="shared" ref="EO5:EO9" si="61">IF($AN5="N","N",DU5+DZ5+EE5+EJ5)</f>
        <v>0</v>
      </c>
      <c r="EP5" s="56" t="e">
        <f t="shared" ref="EP5:EP9" si="62">IF($AN5="N","N",(EO5/($EM5+$EO5+$EQ5))*100)</f>
        <v>#DIV/0!</v>
      </c>
      <c r="EQ5" s="50">
        <f t="shared" ref="EQ5:EQ9" si="63">IF($AN5="N","N",DV5+EA5+EF5+EK5)</f>
        <v>0</v>
      </c>
      <c r="ER5" s="56" t="e">
        <f t="shared" ref="ER5:ER9" si="64">IF($AN5="N","N",(EQ5/($EM5+$EO5+$EQ5))*100)</f>
        <v>#DIV/0!</v>
      </c>
      <c r="ES5" s="50">
        <f t="shared" ref="ES5:ES9" si="65">IF($AN5="N","N",DS5+DX5+EC5+EH5)</f>
        <v>0</v>
      </c>
      <c r="ET5" s="50">
        <f t="shared" ref="ET5:ET9" si="66">IF($AN5="N","N",SUM(W5:W8))</f>
        <v>0</v>
      </c>
      <c r="EU5" s="50">
        <f>IF($AN5="N","N",SUM('調查資料(OUT)'!AX11:AX14))</f>
        <v>0</v>
      </c>
      <c r="EV5" s="50">
        <f>IF($AN5="N","N",SUM('調查資料(OUT)'!BB11:BB14))</f>
        <v>0</v>
      </c>
      <c r="EW5" s="50">
        <f>IF($AN5="N","N",SUM('調查資料(OUT)'!BF11:BF14))</f>
        <v>0</v>
      </c>
      <c r="EX5" s="56" t="e">
        <f t="shared" ref="EX5:EX9" si="67">IF($AN5="N","N",(ET5/FT5)*100)</f>
        <v>#DIV/0!</v>
      </c>
      <c r="EY5" s="50">
        <f t="shared" ref="EY5:EY9" si="68">IF($AN5="N","N",SUM(X5:X8))</f>
        <v>0</v>
      </c>
      <c r="EZ5" s="50">
        <f>IF($AN5="N","N",SUM('調查資料(OUT)'!AY11:AY14))</f>
        <v>0</v>
      </c>
      <c r="FA5" s="50">
        <f>IF($AN5="N","N",SUM('調查資料(OUT)'!BC11:BC14))</f>
        <v>0</v>
      </c>
      <c r="FB5" s="50">
        <f>IF($AN5="N","N",SUM('調查資料(OUT)'!BG11:BG14))</f>
        <v>0</v>
      </c>
      <c r="FC5" s="56" t="e">
        <f t="shared" ref="FC5:FC9" si="69">IF($AN5="N","N",(EY5/$FT5)*100)</f>
        <v>#DIV/0!</v>
      </c>
      <c r="FD5" s="50">
        <f t="shared" ref="FD5:FD9" si="70">IF($AN5="N","N",SUM(Y5:Y8))</f>
        <v>0</v>
      </c>
      <c r="FE5" s="50">
        <f>IF($AN5="N","N",SUM('調查資料(OUT)'!AZ11:AZ14))</f>
        <v>0</v>
      </c>
      <c r="FF5" s="50">
        <f>IF($AN5="N","N",SUM('調查資料(OUT)'!BD11:BD14))</f>
        <v>0</v>
      </c>
      <c r="FG5" s="50">
        <f>IF($AN5="N","N",SUM('調查資料(OUT)'!BH11:BH14))</f>
        <v>0</v>
      </c>
      <c r="FH5" s="56" t="e">
        <f t="shared" ref="FH5:FH9" si="71">IF($AN5="N","N",(FD5/$FT5)*100)</f>
        <v>#DIV/0!</v>
      </c>
      <c r="FI5" s="50">
        <f t="shared" ref="FI5:FI9" si="72">IF($AN5="N","N",SUM(Z5:Z8))</f>
        <v>0</v>
      </c>
      <c r="FJ5" s="50">
        <f>IF($AN5="N","N",SUM('調查資料(OUT)'!BA11:BA14))</f>
        <v>0</v>
      </c>
      <c r="FK5" s="50">
        <f>IF($AN5="N","N",SUM('調查資料(OUT)'!BE11:BE14))</f>
        <v>0</v>
      </c>
      <c r="FL5" s="50">
        <f>IF($AN5="N","N",SUM('調查資料(OUT)'!BI11:BI14))</f>
        <v>0</v>
      </c>
      <c r="FM5" s="56" t="e">
        <f t="shared" ref="FM5:FM9" si="73">IF($AN5="N","N",(FI5/FT5)*100)</f>
        <v>#DIV/0!</v>
      </c>
      <c r="FN5" s="50">
        <f t="shared" ref="FN5:FN9" si="74">IF($AN5="N","N",EU5+EZ5+FE5+FJ5)</f>
        <v>0</v>
      </c>
      <c r="FO5" s="56" t="e">
        <f t="shared" ref="FO5:FO9" si="75">IF($AN5="N","N",(FN5/($FN5+$FP5+$FR5))*100)</f>
        <v>#DIV/0!</v>
      </c>
      <c r="FP5" s="50">
        <f t="shared" ref="FP5:FP9" si="76">IF($AN5="N","N",EV5+FA5+FF5+FK5)</f>
        <v>0</v>
      </c>
      <c r="FQ5" s="56" t="e">
        <f t="shared" ref="FQ5:FQ9" si="77">IF($AN5="N","N",(FP5/($FN5+$FP5+$FR5))*100)</f>
        <v>#DIV/0!</v>
      </c>
      <c r="FR5" s="50">
        <f t="shared" ref="FR5:FR9" si="78">IF($AN5="N","N",EW5+FB5+FG5+FL5)</f>
        <v>0</v>
      </c>
      <c r="FS5" s="56" t="e">
        <f t="shared" ref="FS5:FS9" si="79">IF($AN5="N","N",(FR5/($FN5+$FP5+$FR5))*100)</f>
        <v>#DIV/0!</v>
      </c>
      <c r="FT5" s="50">
        <f t="shared" ref="FT5:FT9" si="80">IF($AN5="N","N",ET5+EY5+FD5+FI5)</f>
        <v>0</v>
      </c>
    </row>
    <row r="6" spans="1:176">
      <c r="A6" s="274">
        <f>'調查資料(OUT)'!A12</f>
        <v>15</v>
      </c>
      <c r="B6" s="50">
        <f t="shared" ref="B6:B28" si="81">SUM(C6:F6)</f>
        <v>0</v>
      </c>
      <c r="C6" s="50">
        <f>IFERROR('調查資料(OUT)'!$B$1*'調查資料(OUT)'!B12,0)+IFERROR('調查資料(OUT)'!$F$1*'調查資料(OUT)'!F12,0)+IFERROR('調查資料(OUT)'!$J$1*'調查資料(OUT)'!J12,0)</f>
        <v>0</v>
      </c>
      <c r="D6" s="50">
        <f>IFERROR('調查資料(OUT)'!$C$1*'調查資料(OUT)'!C12,0)+IFERROR('調查資料(OUT)'!$G$1*'調查資料(OUT)'!G12,0)+IFERROR('調查資料(OUT)'!$K$1*'調查資料(OUT)'!K12,0)</f>
        <v>0</v>
      </c>
      <c r="E6" s="50">
        <f>IFERROR('調查資料(OUT)'!$D$1*'調查資料(OUT)'!D12,0)+IFERROR('調查資料(OUT)'!$H$1*'調查資料(OUT)'!H12,0)+IFERROR('調查資料(OUT)'!$L$1*'調查資料(OUT)'!L12,0)</f>
        <v>0</v>
      </c>
      <c r="F6" s="252">
        <f>IFERROR('調查資料(OUT)'!$E$1*'調查資料(OUT)'!E12,0)+IFERROR('調查資料(OUT)'!$I$1*'調查資料(OUT)'!I12,0)+IFERROR('調查資料(OUT)'!$M$1*'調查資料(OUT)'!M12,0)</f>
        <v>0</v>
      </c>
      <c r="G6" s="50">
        <f t="shared" ref="G6:G28" si="82">SUM(H6:K6)</f>
        <v>0</v>
      </c>
      <c r="H6" s="50">
        <f>IFERROR('調查資料(OUT)'!$N$1*'調查資料(OUT)'!N12,0)+IFERROR('調查資料(OUT)'!$R$1*'調查資料(OUT)'!R12,0)+IFERROR('調查資料(OUT)'!$V$1*'調查資料(OUT)'!V12,0)</f>
        <v>0</v>
      </c>
      <c r="I6" s="50">
        <f>IFERROR('調查資料(OUT)'!$O$1*'調查資料(OUT)'!O12,0)+IFERROR('調查資料(OUT)'!$S$1*'調查資料(OUT)'!S12,0)+IFERROR('調查資料(OUT)'!$W$1*'調查資料(OUT)'!W12,0)</f>
        <v>0</v>
      </c>
      <c r="J6" s="50">
        <f>IFERROR('調查資料(OUT)'!$P$1*'調查資料(OUT)'!P12,0)+IFERROR('調查資料(OUT)'!$T$1*'調查資料(OUT)'!T12,0)+IFERROR('調查資料(OUT)'!$X$1*'調查資料(OUT)'!X12,0)</f>
        <v>0</v>
      </c>
      <c r="K6" s="252">
        <f>IFERROR('調查資料(OUT)'!$Q$1*'調查資料(OUT)'!Q12,0)+IFERROR('調查資料(OUT)'!$U$1*'調查資料(OUT)'!U12,0)+IFERROR('調查資料(OUT)'!$Y$1*'調查資料(OUT)'!Y12,0)</f>
        <v>0</v>
      </c>
      <c r="L6" s="50">
        <f t="shared" ref="L6:L28" si="83">SUM(M6:P6)</f>
        <v>0</v>
      </c>
      <c r="M6" s="50">
        <f>IFERROR('調查資料(OUT)'!$Z$1*'調查資料(OUT)'!Z12,0)+IFERROR('調查資料(OUT)'!$AD$1*'調查資料(OUT)'!AD12,0)+IFERROR('調查資料(OUT)'!$AH$1*'調查資料(OUT)'!AH12,0)</f>
        <v>0</v>
      </c>
      <c r="N6" s="50">
        <f>IFERROR('調查資料(OUT)'!$AA$1*'調查資料(OUT)'!AA12,0)+IFERROR('調查資料(OUT)'!$AE$1*'調查資料(OUT)'!AE12,0)+IFERROR('調查資料(OUT)'!$AI$1*'調查資料(OUT)'!AI12,0)</f>
        <v>0</v>
      </c>
      <c r="O6" s="50">
        <f>IFERROR('調查資料(OUT)'!$AB$1*'調查資料(OUT)'!AB12,0)+IFERROR('調查資料(OUT)'!$AF$1*'調查資料(OUT)'!AF12,0)+IFERROR('調查資料(OUT)'!$AJ$1*'調查資料(OUT)'!AJ12,0)</f>
        <v>0</v>
      </c>
      <c r="P6" s="252">
        <f>IFERROR('調查資料(OUT)'!$AC$1*'調查資料(OUT)'!AC12,0)+IFERROR('調查資料(OUT)'!$AG$1*'調查資料(OUT)'!AG12,0)+IFERROR('調查資料(OUT)'!$AK$1*'調查資料(OUT)'!AK12,0)</f>
        <v>0</v>
      </c>
      <c r="Q6" s="50">
        <f t="shared" ref="Q6:Q28" si="84">SUM(R6:U6)</f>
        <v>0</v>
      </c>
      <c r="R6" s="50">
        <f>IFERROR('調查資料(OUT)'!$AL$1*'調查資料(OUT)'!AL12,0)+IFERROR('調查資料(OUT)'!$AP$1*'調查資料(OUT)'!AP12,0)+IFERROR('調查資料(OUT)'!$AT$1*'調查資料(OUT)'!AT12,0)</f>
        <v>0</v>
      </c>
      <c r="S6" s="50">
        <f>IFERROR('調查資料(OUT)'!$AM$1*'調查資料(OUT)'!AM12,0)+IFERROR('調查資料(OUT)'!$AQ$1*'調查資料(OUT)'!AQ12,0)+IFERROR('調查資料(OUT)'!$AU$1*'調查資料(OUT)'!AU12,0)</f>
        <v>0</v>
      </c>
      <c r="T6" s="50">
        <f>IFERROR('調查資料(OUT)'!$AN$1*'調查資料(OUT)'!AN12,0)+IFERROR('調查資料(OUT)'!$AR$1*'調查資料(OUT)'!AR12,0)+IFERROR('調查資料(OUT)'!$AV$1*'調查資料(OUT)'!AV12,0)</f>
        <v>0</v>
      </c>
      <c r="U6" s="252">
        <f>IFERROR('調查資料(OUT)'!$AO$1*'調查資料(OUT)'!AO12,0)+IFERROR('調查資料(OUT)'!$AS$1*'調查資料(OUT)'!AS12,0)+IFERROR('調查資料(OUT)'!$AW$1*'調查資料(OUT)'!AW12,0)</f>
        <v>0</v>
      </c>
      <c r="V6" s="50">
        <f t="shared" ref="V6:V28" si="85">SUM(W6:Z6)</f>
        <v>0</v>
      </c>
      <c r="W6" s="50">
        <f>IFERROR('調查資料(OUT)'!$AX$1*'調查資料(OUT)'!AX12,0)+IFERROR('調查資料(OUT)'!$BB$1*'調查資料(OUT)'!BB12,0)+IFERROR('調查資料(OUT)'!$BF$1*'調查資料(OUT)'!BF12,0)</f>
        <v>0</v>
      </c>
      <c r="X6" s="50">
        <f>IFERROR('調查資料(OUT)'!$AY$1*'調查資料(OUT)'!AY12,0)+IFERROR('調查資料(OUT)'!$BC$1*'調查資料(OUT)'!BC12,0)+IFERROR('調查資料(OUT)'!$BG$1*'調查資料(OUT)'!BG12,0)</f>
        <v>0</v>
      </c>
      <c r="Y6" s="50">
        <f>IFERROR('調查資料(OUT)'!$AZ$1*'調查資料(OUT)'!AZ12,0)+IFERROR('調查資料(OUT)'!$BD$1*'調查資料(OUT)'!BD12,0)+IFERROR('調查資料(OUT)'!$BH$1*'調查資料(OUT)'!BH12,0)</f>
        <v>0</v>
      </c>
      <c r="Z6" s="252">
        <f>IFERROR('調查資料(OUT)'!$BA$1*'調查資料(OUT)'!BA12,0)+IFERROR('調查資料(OUT)'!$BE$1*'調查資料(OUT)'!BE12,0)+IFERROR('調查資料(OUT)'!$BI$1*'調查資料(OUT)'!BI12,0)</f>
        <v>0</v>
      </c>
      <c r="AA6" s="253">
        <f t="shared" ref="AA6:AA28" si="86">B6+G6+L6+Q6+V6</f>
        <v>0</v>
      </c>
      <c r="AC6" s="251">
        <f>'調查資料(OUT)'!A12</f>
        <v>15</v>
      </c>
      <c r="AD6" s="254">
        <f t="shared" si="0"/>
        <v>115</v>
      </c>
      <c r="AE6" s="50">
        <f>SUM(AA6:AA9)</f>
        <v>0</v>
      </c>
      <c r="AF6" s="255"/>
      <c r="AG6" s="50">
        <f t="shared" si="1"/>
        <v>0</v>
      </c>
      <c r="AH6" s="256" t="e">
        <f t="shared" si="2"/>
        <v>#DIV/0!</v>
      </c>
      <c r="AI6" s="256" t="e">
        <f t="shared" si="3"/>
        <v>#DIV/0!</v>
      </c>
      <c r="AJ6" s="256" t="e">
        <f t="shared" si="4"/>
        <v>#DIV/0!</v>
      </c>
      <c r="AK6" s="256" t="e">
        <f t="shared" si="5"/>
        <v>#DIV/0!</v>
      </c>
      <c r="AL6" s="256" t="e">
        <f t="shared" si="6"/>
        <v>#DIV/0!</v>
      </c>
      <c r="AM6" s="257"/>
      <c r="AN6" s="50">
        <f t="shared" si="7"/>
        <v>15</v>
      </c>
      <c r="AO6" s="252">
        <f t="shared" si="8"/>
        <v>115</v>
      </c>
      <c r="AP6" s="50">
        <f t="shared" ref="AP6:AP9" si="87">IF($AN6="N","N",SUM(C6:C9))</f>
        <v>0</v>
      </c>
      <c r="AQ6" s="50">
        <f>IF($AN6="N","N",SUM('調查資料(OUT)'!B12:B15))</f>
        <v>0</v>
      </c>
      <c r="AR6" s="50">
        <f>IF($AN6="N","N",SUM('調查資料(OUT)'!F12:F15))</f>
        <v>0</v>
      </c>
      <c r="AS6" s="50">
        <f>IF($AN6="N","N",SUM('調查資料(OUT)'!J12:J15))</f>
        <v>0</v>
      </c>
      <c r="AT6" s="56" t="e">
        <f>IF($AN6="N","N",(AP6/$BP6)*100)</f>
        <v>#DIV/0!</v>
      </c>
      <c r="AU6" s="50">
        <f t="shared" si="9"/>
        <v>0</v>
      </c>
      <c r="AV6" s="50">
        <f>IF($AN6="N","N",SUM('調查資料(OUT)'!C12:C15))</f>
        <v>0</v>
      </c>
      <c r="AW6" s="50">
        <f>IF($AN6="N","N",SUM('調查資料(OUT)'!G12:G15))</f>
        <v>0</v>
      </c>
      <c r="AX6" s="50">
        <f>IF($AN6="N","N",SUM('調查資料(OUT)'!K12:K15))</f>
        <v>0</v>
      </c>
      <c r="AY6" s="56" t="e">
        <f>IF($AN6="N","N",(AU6/$BP6)*100)</f>
        <v>#DIV/0!</v>
      </c>
      <c r="AZ6" s="50">
        <f t="shared" si="10"/>
        <v>0</v>
      </c>
      <c r="BA6" s="50">
        <f>IF($AN6="N","N",SUM('調查資料(OUT)'!D12:D15))</f>
        <v>0</v>
      </c>
      <c r="BB6" s="50">
        <f>IF($AN6="N","N",SUM('調查資料(OUT)'!H12:H15))</f>
        <v>0</v>
      </c>
      <c r="BC6" s="50">
        <f>IF($AN6="N","N",SUM('調查資料(OUT)'!L12:L15))</f>
        <v>0</v>
      </c>
      <c r="BD6" s="56" t="e">
        <f t="shared" si="11"/>
        <v>#DIV/0!</v>
      </c>
      <c r="BE6" s="50">
        <f t="shared" si="12"/>
        <v>0</v>
      </c>
      <c r="BF6" s="50">
        <f>IF($AN6="N","N",SUM('調查資料(OUT)'!E12:E15))</f>
        <v>0</v>
      </c>
      <c r="BG6" s="50">
        <f>IF($AN6="N","N",SUM('調查資料(OUT)'!I12:I15))</f>
        <v>0</v>
      </c>
      <c r="BH6" s="50">
        <f>IF($AN6="N","N",SUM('調查資料(OUT)'!M12:M15))</f>
        <v>0</v>
      </c>
      <c r="BI6" s="56" t="e">
        <f t="shared" si="13"/>
        <v>#DIV/0!</v>
      </c>
      <c r="BJ6" s="50">
        <f t="shared" si="14"/>
        <v>0</v>
      </c>
      <c r="BK6" s="56" t="e">
        <f t="shared" si="15"/>
        <v>#DIV/0!</v>
      </c>
      <c r="BL6" s="50">
        <f t="shared" si="16"/>
        <v>0</v>
      </c>
      <c r="BM6" s="56" t="e">
        <f t="shared" si="17"/>
        <v>#DIV/0!</v>
      </c>
      <c r="BN6" s="50">
        <f t="shared" si="18"/>
        <v>0</v>
      </c>
      <c r="BO6" s="56" t="e">
        <f t="shared" si="19"/>
        <v>#DIV/0!</v>
      </c>
      <c r="BP6" s="50">
        <f t="shared" si="20"/>
        <v>0</v>
      </c>
      <c r="BQ6" s="50">
        <f t="shared" si="21"/>
        <v>0</v>
      </c>
      <c r="BR6" s="50">
        <f>IF($AN6="N","N",SUM('調查資料(OUT)'!N12:N15))</f>
        <v>0</v>
      </c>
      <c r="BS6" s="50">
        <f>IF($AN6="N","N",SUM('調查資料(OUT)'!R12:R15))</f>
        <v>0</v>
      </c>
      <c r="BT6" s="50">
        <f>IF($AN6="N","N",SUM('調查資料(OUT)'!V12:V15))</f>
        <v>0</v>
      </c>
      <c r="BU6" s="56" t="e">
        <f t="shared" si="22"/>
        <v>#DIV/0!</v>
      </c>
      <c r="BV6" s="50">
        <f t="shared" si="23"/>
        <v>0</v>
      </c>
      <c r="BW6" s="50">
        <f>IF($AN6="N","N",SUM('調查資料(OUT)'!O12:O15))</f>
        <v>0</v>
      </c>
      <c r="BX6" s="50">
        <f>IF($AN6="N","N",SUM('調查資料(OUT)'!S12:S15))</f>
        <v>0</v>
      </c>
      <c r="BY6" s="50">
        <f>IF($AN6="N","N",SUM('調查資料(OUT)'!W12:W15))</f>
        <v>0</v>
      </c>
      <c r="BZ6" s="56" t="e">
        <f t="shared" si="24"/>
        <v>#DIV/0!</v>
      </c>
      <c r="CA6" s="50">
        <f t="shared" si="25"/>
        <v>0</v>
      </c>
      <c r="CB6" s="50">
        <f>IF($AN6="N","N",SUM('調查資料(OUT)'!P12:P15))</f>
        <v>0</v>
      </c>
      <c r="CC6" s="50">
        <f>IF($AN6="N","N",SUM('調查資料(OUT)'!T12:T15))</f>
        <v>0</v>
      </c>
      <c r="CD6" s="50">
        <f>IF($AN6="N","N",SUM('調查資料(OUT)'!X12:X15))</f>
        <v>0</v>
      </c>
      <c r="CE6" s="56" t="e">
        <f t="shared" si="26"/>
        <v>#DIV/0!</v>
      </c>
      <c r="CF6" s="50">
        <f t="shared" si="27"/>
        <v>0</v>
      </c>
      <c r="CG6" s="50">
        <f>IF($AN6="N","N",SUM('調查資料(OUT)'!Q12:Q15))</f>
        <v>0</v>
      </c>
      <c r="CH6" s="50">
        <f>IF($AN6="N","N",SUM('調查資料(OUT)'!U12:U15))</f>
        <v>0</v>
      </c>
      <c r="CI6" s="50">
        <f>IF($AN6="N","N",SUM('調查資料(OUT)'!Y12:Y15))</f>
        <v>0</v>
      </c>
      <c r="CJ6" s="56" t="e">
        <f t="shared" si="28"/>
        <v>#DIV/0!</v>
      </c>
      <c r="CK6" s="50">
        <f t="shared" si="29"/>
        <v>0</v>
      </c>
      <c r="CL6" s="56" t="e">
        <f t="shared" si="30"/>
        <v>#DIV/0!</v>
      </c>
      <c r="CM6" s="50">
        <f t="shared" si="31"/>
        <v>0</v>
      </c>
      <c r="CN6" s="56" t="e">
        <f t="shared" si="32"/>
        <v>#DIV/0!</v>
      </c>
      <c r="CO6" s="50">
        <f t="shared" si="33"/>
        <v>0</v>
      </c>
      <c r="CP6" s="56" t="e">
        <f t="shared" si="34"/>
        <v>#DIV/0!</v>
      </c>
      <c r="CQ6" s="50">
        <f t="shared" si="35"/>
        <v>0</v>
      </c>
      <c r="CR6" s="50">
        <f t="shared" si="36"/>
        <v>0</v>
      </c>
      <c r="CS6" s="50">
        <f>IF($AN6="N","N",SUM('調查資料(OUT)'!Z12:Z15))</f>
        <v>0</v>
      </c>
      <c r="CT6" s="50">
        <f>IF($AN6="N","N",SUM('調查資料(OUT)'!AD12:AD15))</f>
        <v>0</v>
      </c>
      <c r="CU6" s="50">
        <f>IF($AN6="N","N",SUM('調查資料(OUT)'!AH12:AH15))</f>
        <v>0</v>
      </c>
      <c r="CV6" s="56" t="e">
        <f t="shared" si="37"/>
        <v>#DIV/0!</v>
      </c>
      <c r="CW6" s="50">
        <f t="shared" si="38"/>
        <v>0</v>
      </c>
      <c r="CX6" s="50">
        <f>IF($AN6="N","N",SUM('調查資料(OUT)'!AA12:AA15))</f>
        <v>0</v>
      </c>
      <c r="CY6" s="50">
        <f>IF($AN6="N","N",SUM('調查資料(OUT)'!AE12:AE15))</f>
        <v>0</v>
      </c>
      <c r="CZ6" s="50">
        <f>IF($AN6="N","N",SUM('調查資料(OUT)'!AI12:AI15))</f>
        <v>0</v>
      </c>
      <c r="DA6" s="56" t="e">
        <f t="shared" si="39"/>
        <v>#DIV/0!</v>
      </c>
      <c r="DB6" s="50">
        <f t="shared" si="40"/>
        <v>0</v>
      </c>
      <c r="DC6" s="50">
        <f>IF($AN6="N","N",SUM('調查資料(OUT)'!AB12:AB15))</f>
        <v>0</v>
      </c>
      <c r="DD6" s="50">
        <f>IF($AN6="N","N",SUM('調查資料(OUT)'!AF12:AF15))</f>
        <v>0</v>
      </c>
      <c r="DE6" s="50">
        <f>IF($AN6="N","N",SUM('調查資料(OUT)'!AJ12:AJ15))</f>
        <v>0</v>
      </c>
      <c r="DF6" s="56" t="e">
        <f t="shared" si="41"/>
        <v>#DIV/0!</v>
      </c>
      <c r="DG6" s="50">
        <f t="shared" si="42"/>
        <v>0</v>
      </c>
      <c r="DH6" s="50">
        <f>IF($AN6="N","N",SUM('調查資料(OUT)'!AC12:AC15))</f>
        <v>0</v>
      </c>
      <c r="DI6" s="50">
        <f>IF($AN6="N","N",SUM('調查資料(OUT)'!AG12:AG15))</f>
        <v>0</v>
      </c>
      <c r="DJ6" s="50">
        <f>IF($AN6="N","N",SUM('調查資料(OUT)'!AK12:AK15))</f>
        <v>0</v>
      </c>
      <c r="DK6" s="56" t="e">
        <f t="shared" si="43"/>
        <v>#DIV/0!</v>
      </c>
      <c r="DL6" s="50">
        <f t="shared" si="44"/>
        <v>0</v>
      </c>
      <c r="DM6" s="56" t="e">
        <f t="shared" si="45"/>
        <v>#DIV/0!</v>
      </c>
      <c r="DN6" s="50">
        <f t="shared" si="46"/>
        <v>0</v>
      </c>
      <c r="DO6" s="56" t="e">
        <f t="shared" si="47"/>
        <v>#DIV/0!</v>
      </c>
      <c r="DP6" s="50">
        <f t="shared" si="48"/>
        <v>0</v>
      </c>
      <c r="DQ6" s="56" t="e">
        <f t="shared" si="49"/>
        <v>#DIV/0!</v>
      </c>
      <c r="DR6" s="50">
        <f t="shared" si="50"/>
        <v>0</v>
      </c>
      <c r="DS6" s="50">
        <f t="shared" si="51"/>
        <v>0</v>
      </c>
      <c r="DT6" s="50">
        <f>IF($AN6="N","N",SUM('調查資料(OUT)'!AL12:AL15))</f>
        <v>0</v>
      </c>
      <c r="DU6" s="50">
        <f>IF($AN6="N","N",SUM('調查資料(OUT)'!AP12:AP15))</f>
        <v>0</v>
      </c>
      <c r="DV6" s="50">
        <f>IF($AN6="N","N",SUM('調查資料(OUT)'!AT12:AT15))</f>
        <v>0</v>
      </c>
      <c r="DW6" s="56" t="e">
        <f t="shared" si="52"/>
        <v>#DIV/0!</v>
      </c>
      <c r="DX6" s="50">
        <f t="shared" si="53"/>
        <v>0</v>
      </c>
      <c r="DY6" s="50">
        <f>IF($AN6="N","N",SUM('調查資料(OUT)'!AM12:AM15))</f>
        <v>0</v>
      </c>
      <c r="DZ6" s="50">
        <f>IF($AN6="N","N",SUM('調查資料(OUT)'!AQ12:AQ15))</f>
        <v>0</v>
      </c>
      <c r="EA6" s="50">
        <f>IF($AN6="N","N",SUM('調查資料(OUT)'!AU12:AU15))</f>
        <v>0</v>
      </c>
      <c r="EB6" s="56" t="e">
        <f t="shared" si="54"/>
        <v>#DIV/0!</v>
      </c>
      <c r="EC6" s="50">
        <f t="shared" si="55"/>
        <v>0</v>
      </c>
      <c r="ED6" s="50">
        <f>IF($AN6="N","N",SUM('調查資料(OUT)'!AN12:AN15))</f>
        <v>0</v>
      </c>
      <c r="EE6" s="50">
        <f>IF($AN6="N","N",SUM('調查資料(OUT)'!AR12:AR15))</f>
        <v>0</v>
      </c>
      <c r="EF6" s="50">
        <f>IF($AN6="N","N",SUM('調查資料(OUT)'!AV12:AV15))</f>
        <v>0</v>
      </c>
      <c r="EG6" s="56" t="e">
        <f t="shared" si="56"/>
        <v>#DIV/0!</v>
      </c>
      <c r="EH6" s="50">
        <f t="shared" si="57"/>
        <v>0</v>
      </c>
      <c r="EI6" s="50">
        <f>IF($AN6="N","N",SUM('調查資料(OUT)'!AO12:AO15))</f>
        <v>0</v>
      </c>
      <c r="EJ6" s="50">
        <f>IF($AN6="N","N",SUM('調查資料(OUT)'!AS12:AS15))</f>
        <v>0</v>
      </c>
      <c r="EK6" s="50">
        <f>IF($AN6="N","N",SUM('調查資料(OUT)'!AW12:AW15))</f>
        <v>0</v>
      </c>
      <c r="EL6" s="56" t="e">
        <f t="shared" si="58"/>
        <v>#DIV/0!</v>
      </c>
      <c r="EM6" s="50">
        <f t="shared" si="59"/>
        <v>0</v>
      </c>
      <c r="EN6" s="56" t="e">
        <f t="shared" si="60"/>
        <v>#DIV/0!</v>
      </c>
      <c r="EO6" s="50">
        <f t="shared" si="61"/>
        <v>0</v>
      </c>
      <c r="EP6" s="56" t="e">
        <f t="shared" si="62"/>
        <v>#DIV/0!</v>
      </c>
      <c r="EQ6" s="50">
        <f t="shared" si="63"/>
        <v>0</v>
      </c>
      <c r="ER6" s="56" t="e">
        <f t="shared" si="64"/>
        <v>#DIV/0!</v>
      </c>
      <c r="ES6" s="50">
        <f t="shared" si="65"/>
        <v>0</v>
      </c>
      <c r="ET6" s="50">
        <f t="shared" si="66"/>
        <v>0</v>
      </c>
      <c r="EU6" s="50">
        <f>IF($AN6="N","N",SUM('調查資料(OUT)'!AX12:AX15))</f>
        <v>0</v>
      </c>
      <c r="EV6" s="50">
        <f>IF($AN6="N","N",SUM('調查資料(OUT)'!BB12:BB15))</f>
        <v>0</v>
      </c>
      <c r="EW6" s="50">
        <f>IF($AN6="N","N",SUM('調查資料(OUT)'!BF12:BF15))</f>
        <v>0</v>
      </c>
      <c r="EX6" s="56" t="e">
        <f t="shared" si="67"/>
        <v>#DIV/0!</v>
      </c>
      <c r="EY6" s="50">
        <f t="shared" si="68"/>
        <v>0</v>
      </c>
      <c r="EZ6" s="50">
        <f>IF($AN6="N","N",SUM('調查資料(OUT)'!AY12:AY15))</f>
        <v>0</v>
      </c>
      <c r="FA6" s="50">
        <f>IF($AN6="N","N",SUM('調查資料(OUT)'!BC12:BC15))</f>
        <v>0</v>
      </c>
      <c r="FB6" s="50">
        <f>IF($AN6="N","N",SUM('調查資料(OUT)'!BG12:BG15))</f>
        <v>0</v>
      </c>
      <c r="FC6" s="56" t="e">
        <f t="shared" si="69"/>
        <v>#DIV/0!</v>
      </c>
      <c r="FD6" s="50">
        <f t="shared" si="70"/>
        <v>0</v>
      </c>
      <c r="FE6" s="50">
        <f>IF($AN6="N","N",SUM('調查資料(OUT)'!AZ12:AZ15))</f>
        <v>0</v>
      </c>
      <c r="FF6" s="50">
        <f>IF($AN6="N","N",SUM('調查資料(OUT)'!BD12:BD15))</f>
        <v>0</v>
      </c>
      <c r="FG6" s="50">
        <f>IF($AN6="N","N",SUM('調查資料(OUT)'!BH12:BH15))</f>
        <v>0</v>
      </c>
      <c r="FH6" s="56" t="e">
        <f t="shared" si="71"/>
        <v>#DIV/0!</v>
      </c>
      <c r="FI6" s="50">
        <f t="shared" si="72"/>
        <v>0</v>
      </c>
      <c r="FJ6" s="50">
        <f>IF($AN6="N","N",SUM('調查資料(OUT)'!BA12:BA15))</f>
        <v>0</v>
      </c>
      <c r="FK6" s="50">
        <f>IF($AN6="N","N",SUM('調查資料(OUT)'!BE12:BE15))</f>
        <v>0</v>
      </c>
      <c r="FL6" s="50">
        <f>IF($AN6="N","N",SUM('調查資料(OUT)'!BI12:BI15))</f>
        <v>0</v>
      </c>
      <c r="FM6" s="56" t="e">
        <f t="shared" si="73"/>
        <v>#DIV/0!</v>
      </c>
      <c r="FN6" s="50">
        <f t="shared" si="74"/>
        <v>0</v>
      </c>
      <c r="FO6" s="56" t="e">
        <f t="shared" si="75"/>
        <v>#DIV/0!</v>
      </c>
      <c r="FP6" s="50">
        <f t="shared" si="76"/>
        <v>0</v>
      </c>
      <c r="FQ6" s="56" t="e">
        <f t="shared" si="77"/>
        <v>#DIV/0!</v>
      </c>
      <c r="FR6" s="50">
        <f t="shared" si="78"/>
        <v>0</v>
      </c>
      <c r="FS6" s="56" t="e">
        <f t="shared" si="79"/>
        <v>#DIV/0!</v>
      </c>
      <c r="FT6" s="50">
        <f t="shared" si="80"/>
        <v>0</v>
      </c>
    </row>
    <row r="7" spans="1:176">
      <c r="A7" s="274">
        <f>'調查資料(OUT)'!A13</f>
        <v>30</v>
      </c>
      <c r="B7" s="50">
        <f t="shared" si="81"/>
        <v>0</v>
      </c>
      <c r="C7" s="50">
        <f>IFERROR('調查資料(OUT)'!$B$1*'調查資料(OUT)'!B13,0)+IFERROR('調查資料(OUT)'!$F$1*'調查資料(OUT)'!F13,0)+IFERROR('調查資料(OUT)'!$J$1*'調查資料(OUT)'!J13,0)</f>
        <v>0</v>
      </c>
      <c r="D7" s="50">
        <f>IFERROR('調查資料(OUT)'!$C$1*'調查資料(OUT)'!C13,0)+IFERROR('調查資料(OUT)'!$G$1*'調查資料(OUT)'!G13,0)+IFERROR('調查資料(OUT)'!$K$1*'調查資料(OUT)'!K13,0)</f>
        <v>0</v>
      </c>
      <c r="E7" s="50">
        <f>IFERROR('調查資料(OUT)'!$D$1*'調查資料(OUT)'!D13,0)+IFERROR('調查資料(OUT)'!$H$1*'調查資料(OUT)'!H13,0)+IFERROR('調查資料(OUT)'!$L$1*'調查資料(OUT)'!L13,0)</f>
        <v>0</v>
      </c>
      <c r="F7" s="252">
        <f>IFERROR('調查資料(OUT)'!$E$1*'調查資料(OUT)'!E13,0)+IFERROR('調查資料(OUT)'!$I$1*'調查資料(OUT)'!I13,0)+IFERROR('調查資料(OUT)'!$M$1*'調查資料(OUT)'!M13,0)</f>
        <v>0</v>
      </c>
      <c r="G7" s="50">
        <f t="shared" si="82"/>
        <v>0</v>
      </c>
      <c r="H7" s="50">
        <f>IFERROR('調查資料(OUT)'!$N$1*'調查資料(OUT)'!N13,0)+IFERROR('調查資料(OUT)'!$R$1*'調查資料(OUT)'!R13,0)+IFERROR('調查資料(OUT)'!$V$1*'調查資料(OUT)'!V13,0)</f>
        <v>0</v>
      </c>
      <c r="I7" s="50">
        <f>IFERROR('調查資料(OUT)'!$O$1*'調查資料(OUT)'!O13,0)+IFERROR('調查資料(OUT)'!$S$1*'調查資料(OUT)'!S13,0)+IFERROR('調查資料(OUT)'!$W$1*'調查資料(OUT)'!W13,0)</f>
        <v>0</v>
      </c>
      <c r="J7" s="50">
        <f>IFERROR('調查資料(OUT)'!$P$1*'調查資料(OUT)'!P13,0)+IFERROR('調查資料(OUT)'!$T$1*'調查資料(OUT)'!T13,0)+IFERROR('調查資料(OUT)'!$X$1*'調查資料(OUT)'!X13,0)</f>
        <v>0</v>
      </c>
      <c r="K7" s="252">
        <f>IFERROR('調查資料(OUT)'!$Q$1*'調查資料(OUT)'!Q13,0)+IFERROR('調查資料(OUT)'!$U$1*'調查資料(OUT)'!U13,0)+IFERROR('調查資料(OUT)'!$Y$1*'調查資料(OUT)'!Y13,0)</f>
        <v>0</v>
      </c>
      <c r="L7" s="50">
        <f t="shared" si="83"/>
        <v>0</v>
      </c>
      <c r="M7" s="50">
        <f>IFERROR('調查資料(OUT)'!$Z$1*'調查資料(OUT)'!Z13,0)+IFERROR('調查資料(OUT)'!$AD$1*'調查資料(OUT)'!AD13,0)+IFERROR('調查資料(OUT)'!$AH$1*'調查資料(OUT)'!AH13,0)</f>
        <v>0</v>
      </c>
      <c r="N7" s="50">
        <f>IFERROR('調查資料(OUT)'!$AA$1*'調查資料(OUT)'!AA13,0)+IFERROR('調查資料(OUT)'!$AE$1*'調查資料(OUT)'!AE13,0)+IFERROR('調查資料(OUT)'!$AI$1*'調查資料(OUT)'!AI13,0)</f>
        <v>0</v>
      </c>
      <c r="O7" s="50">
        <f>IFERROR('調查資料(OUT)'!$AB$1*'調查資料(OUT)'!AB13,0)+IFERROR('調查資料(OUT)'!$AF$1*'調查資料(OUT)'!AF13,0)+IFERROR('調查資料(OUT)'!$AJ$1*'調查資料(OUT)'!AJ13,0)</f>
        <v>0</v>
      </c>
      <c r="P7" s="252">
        <f>IFERROR('調查資料(OUT)'!$AC$1*'調查資料(OUT)'!AC13,0)+IFERROR('調查資料(OUT)'!$AG$1*'調查資料(OUT)'!AG13,0)+IFERROR('調查資料(OUT)'!$AK$1*'調查資料(OUT)'!AK13,0)</f>
        <v>0</v>
      </c>
      <c r="Q7" s="50">
        <f t="shared" si="84"/>
        <v>0</v>
      </c>
      <c r="R7" s="50">
        <f>IFERROR('調查資料(OUT)'!$AL$1*'調查資料(OUT)'!AL13,0)+IFERROR('調查資料(OUT)'!$AP$1*'調查資料(OUT)'!AP13,0)+IFERROR('調查資料(OUT)'!$AT$1*'調查資料(OUT)'!AT13,0)</f>
        <v>0</v>
      </c>
      <c r="S7" s="50">
        <f>IFERROR('調查資料(OUT)'!$AM$1*'調查資料(OUT)'!AM13,0)+IFERROR('調查資料(OUT)'!$AQ$1*'調查資料(OUT)'!AQ13,0)+IFERROR('調查資料(OUT)'!$AU$1*'調查資料(OUT)'!AU13,0)</f>
        <v>0</v>
      </c>
      <c r="T7" s="50">
        <f>IFERROR('調查資料(OUT)'!$AN$1*'調查資料(OUT)'!AN13,0)+IFERROR('調查資料(OUT)'!$AR$1*'調查資料(OUT)'!AR13,0)+IFERROR('調查資料(OUT)'!$AV$1*'調查資料(OUT)'!AV13,0)</f>
        <v>0</v>
      </c>
      <c r="U7" s="252">
        <f>IFERROR('調查資料(OUT)'!$AO$1*'調查資料(OUT)'!AO13,0)+IFERROR('調查資料(OUT)'!$AS$1*'調查資料(OUT)'!AS13,0)+IFERROR('調查資料(OUT)'!$AW$1*'調查資料(OUT)'!AW13,0)</f>
        <v>0</v>
      </c>
      <c r="V7" s="50">
        <f t="shared" si="85"/>
        <v>0</v>
      </c>
      <c r="W7" s="50">
        <f>IFERROR('調查資料(OUT)'!$AX$1*'調查資料(OUT)'!AX13,0)+IFERROR('調查資料(OUT)'!$BB$1*'調查資料(OUT)'!BB13,0)+IFERROR('調查資料(OUT)'!$BF$1*'調查資料(OUT)'!BF13,0)</f>
        <v>0</v>
      </c>
      <c r="X7" s="50">
        <f>IFERROR('調查資料(OUT)'!$AY$1*'調查資料(OUT)'!AY13,0)+IFERROR('調查資料(OUT)'!$BC$1*'調查資料(OUT)'!BC13,0)+IFERROR('調查資料(OUT)'!$BG$1*'調查資料(OUT)'!BG13,0)</f>
        <v>0</v>
      </c>
      <c r="Y7" s="50">
        <f>IFERROR('調查資料(OUT)'!$AZ$1*'調查資料(OUT)'!AZ13,0)+IFERROR('調查資料(OUT)'!$BD$1*'調查資料(OUT)'!BD13,0)+IFERROR('調查資料(OUT)'!$BH$1*'調查資料(OUT)'!BH13,0)</f>
        <v>0</v>
      </c>
      <c r="Z7" s="252">
        <f>IFERROR('調查資料(OUT)'!$BA$1*'調查資料(OUT)'!BA13,0)+IFERROR('調查資料(OUT)'!$BE$1*'調查資料(OUT)'!BE13,0)+IFERROR('調查資料(OUT)'!$BI$1*'調查資料(OUT)'!BI13,0)</f>
        <v>0</v>
      </c>
      <c r="AA7" s="253">
        <f t="shared" si="86"/>
        <v>0</v>
      </c>
      <c r="AC7" s="251">
        <f>'調查資料(OUT)'!A13</f>
        <v>30</v>
      </c>
      <c r="AD7" s="254">
        <f t="shared" si="0"/>
        <v>130</v>
      </c>
      <c r="AE7" s="50">
        <f>SUM(AA7:AA10)</f>
        <v>0</v>
      </c>
      <c r="AF7" s="255"/>
      <c r="AG7" s="50">
        <f t="shared" si="1"/>
        <v>0</v>
      </c>
      <c r="AH7" s="256" t="e">
        <f t="shared" si="2"/>
        <v>#DIV/0!</v>
      </c>
      <c r="AI7" s="256" t="e">
        <f t="shared" si="3"/>
        <v>#DIV/0!</v>
      </c>
      <c r="AJ7" s="256" t="e">
        <f t="shared" si="4"/>
        <v>#DIV/0!</v>
      </c>
      <c r="AK7" s="256" t="e">
        <f t="shared" si="5"/>
        <v>#DIV/0!</v>
      </c>
      <c r="AL7" s="256" t="e">
        <f t="shared" si="6"/>
        <v>#DIV/0!</v>
      </c>
      <c r="AM7" s="257"/>
      <c r="AN7" s="50">
        <f t="shared" si="7"/>
        <v>30</v>
      </c>
      <c r="AO7" s="252">
        <f t="shared" si="8"/>
        <v>130</v>
      </c>
      <c r="AP7" s="50">
        <f t="shared" si="87"/>
        <v>0</v>
      </c>
      <c r="AQ7" s="50">
        <f>IF($AN7="N","N",SUM('調查資料(OUT)'!B13:B16))</f>
        <v>0</v>
      </c>
      <c r="AR7" s="50">
        <f>IF($AN7="N","N",SUM('調查資料(OUT)'!F13:F16))</f>
        <v>0</v>
      </c>
      <c r="AS7" s="50">
        <f>IF($AN7="N","N",SUM('調查資料(OUT)'!J13:J16))</f>
        <v>0</v>
      </c>
      <c r="AT7" s="56" t="e">
        <f>IF($AN7="N","N",(AP7/$BP7)*100)</f>
        <v>#DIV/0!</v>
      </c>
      <c r="AU7" s="50">
        <f t="shared" si="9"/>
        <v>0</v>
      </c>
      <c r="AV7" s="50">
        <f>IF($AN7="N","N",SUM('調查資料(OUT)'!C13:C16))</f>
        <v>0</v>
      </c>
      <c r="AW7" s="50">
        <f>IF($AN7="N","N",SUM('調查資料(OUT)'!G13:G16))</f>
        <v>0</v>
      </c>
      <c r="AX7" s="50">
        <f>IF($AN7="N","N",SUM('調查資料(OUT)'!K13:K16))</f>
        <v>0</v>
      </c>
      <c r="AY7" s="56" t="e">
        <f t="shared" ref="AY7:AY9" si="88">IF($AN7="N","N",(AU7/$BP7)*100)</f>
        <v>#DIV/0!</v>
      </c>
      <c r="AZ7" s="50">
        <f t="shared" si="10"/>
        <v>0</v>
      </c>
      <c r="BA7" s="50">
        <f>IF($AN7="N","N",SUM('調查資料(OUT)'!D13:D16))</f>
        <v>0</v>
      </c>
      <c r="BB7" s="50">
        <f>IF($AN7="N","N",SUM('調查資料(OUT)'!H13:H16))</f>
        <v>0</v>
      </c>
      <c r="BC7" s="50">
        <f>IF($AN7="N","N",SUM('調查資料(OUT)'!L13:L16))</f>
        <v>0</v>
      </c>
      <c r="BD7" s="56" t="e">
        <f t="shared" si="11"/>
        <v>#DIV/0!</v>
      </c>
      <c r="BE7" s="50">
        <f t="shared" si="12"/>
        <v>0</v>
      </c>
      <c r="BF7" s="50">
        <f>IF($AN7="N","N",SUM('調查資料(OUT)'!E13:E16))</f>
        <v>0</v>
      </c>
      <c r="BG7" s="50">
        <f>IF($AN7="N","N",SUM('調查資料(OUT)'!I13:I16))</f>
        <v>0</v>
      </c>
      <c r="BH7" s="50">
        <f>IF($AN7="N","N",SUM('調查資料(OUT)'!M13:M16))</f>
        <v>0</v>
      </c>
      <c r="BI7" s="56" t="e">
        <f t="shared" si="13"/>
        <v>#DIV/0!</v>
      </c>
      <c r="BJ7" s="50">
        <f t="shared" si="14"/>
        <v>0</v>
      </c>
      <c r="BK7" s="56" t="e">
        <f t="shared" si="15"/>
        <v>#DIV/0!</v>
      </c>
      <c r="BL7" s="50">
        <f t="shared" si="16"/>
        <v>0</v>
      </c>
      <c r="BM7" s="56" t="e">
        <f t="shared" si="17"/>
        <v>#DIV/0!</v>
      </c>
      <c r="BN7" s="50">
        <f t="shared" si="18"/>
        <v>0</v>
      </c>
      <c r="BO7" s="56" t="e">
        <f t="shared" si="19"/>
        <v>#DIV/0!</v>
      </c>
      <c r="BP7" s="50">
        <f t="shared" si="20"/>
        <v>0</v>
      </c>
      <c r="BQ7" s="50">
        <f t="shared" si="21"/>
        <v>0</v>
      </c>
      <c r="BR7" s="50">
        <f>IF($AN7="N","N",SUM('調查資料(OUT)'!N13:N16))</f>
        <v>0</v>
      </c>
      <c r="BS7" s="50">
        <f>IF($AN7="N","N",SUM('調查資料(OUT)'!R13:R16))</f>
        <v>0</v>
      </c>
      <c r="BT7" s="50">
        <f>IF($AN7="N","N",SUM('調查資料(OUT)'!V13:V16))</f>
        <v>0</v>
      </c>
      <c r="BU7" s="56" t="e">
        <f t="shared" si="22"/>
        <v>#DIV/0!</v>
      </c>
      <c r="BV7" s="50">
        <f t="shared" si="23"/>
        <v>0</v>
      </c>
      <c r="BW7" s="50">
        <f>IF($AN7="N","N",SUM('調查資料(OUT)'!O13:O16))</f>
        <v>0</v>
      </c>
      <c r="BX7" s="50">
        <f>IF($AN7="N","N",SUM('調查資料(OUT)'!S13:S16))</f>
        <v>0</v>
      </c>
      <c r="BY7" s="50">
        <f>IF($AN7="N","N",SUM('調查資料(OUT)'!W13:W16))</f>
        <v>0</v>
      </c>
      <c r="BZ7" s="56" t="e">
        <f t="shared" si="24"/>
        <v>#DIV/0!</v>
      </c>
      <c r="CA7" s="50">
        <f t="shared" si="25"/>
        <v>0</v>
      </c>
      <c r="CB7" s="50">
        <f>IF($AN7="N","N",SUM('調查資料(OUT)'!P13:P16))</f>
        <v>0</v>
      </c>
      <c r="CC7" s="50">
        <f>IF($AN7="N","N",SUM('調查資料(OUT)'!T13:T16))</f>
        <v>0</v>
      </c>
      <c r="CD7" s="50">
        <f>IF($AN7="N","N",SUM('調查資料(OUT)'!X13:X16))</f>
        <v>0</v>
      </c>
      <c r="CE7" s="56" t="e">
        <f t="shared" si="26"/>
        <v>#DIV/0!</v>
      </c>
      <c r="CF7" s="50">
        <f t="shared" si="27"/>
        <v>0</v>
      </c>
      <c r="CG7" s="50">
        <f>IF($AN7="N","N",SUM('調查資料(OUT)'!Q13:Q16))</f>
        <v>0</v>
      </c>
      <c r="CH7" s="50">
        <f>IF($AN7="N","N",SUM('調查資料(OUT)'!U13:U16))</f>
        <v>0</v>
      </c>
      <c r="CI7" s="50">
        <f>IF($AN7="N","N",SUM('調查資料(OUT)'!Y13:Y16))</f>
        <v>0</v>
      </c>
      <c r="CJ7" s="56" t="e">
        <f t="shared" si="28"/>
        <v>#DIV/0!</v>
      </c>
      <c r="CK7" s="50">
        <f t="shared" si="29"/>
        <v>0</v>
      </c>
      <c r="CL7" s="56" t="e">
        <f t="shared" si="30"/>
        <v>#DIV/0!</v>
      </c>
      <c r="CM7" s="50">
        <f t="shared" si="31"/>
        <v>0</v>
      </c>
      <c r="CN7" s="56" t="e">
        <f t="shared" si="32"/>
        <v>#DIV/0!</v>
      </c>
      <c r="CO7" s="50">
        <f t="shared" si="33"/>
        <v>0</v>
      </c>
      <c r="CP7" s="56" t="e">
        <f t="shared" si="34"/>
        <v>#DIV/0!</v>
      </c>
      <c r="CQ7" s="50">
        <f t="shared" si="35"/>
        <v>0</v>
      </c>
      <c r="CR7" s="50">
        <f t="shared" si="36"/>
        <v>0</v>
      </c>
      <c r="CS7" s="50">
        <f>IF($AN7="N","N",SUM('調查資料(OUT)'!Z13:Z16))</f>
        <v>0</v>
      </c>
      <c r="CT7" s="50">
        <f>IF($AN7="N","N",SUM('調查資料(OUT)'!AD13:AD16))</f>
        <v>0</v>
      </c>
      <c r="CU7" s="50">
        <f>IF($AN7="N","N",SUM('調查資料(OUT)'!AH13:AH16))</f>
        <v>0</v>
      </c>
      <c r="CV7" s="56" t="e">
        <f t="shared" si="37"/>
        <v>#DIV/0!</v>
      </c>
      <c r="CW7" s="50">
        <f t="shared" si="38"/>
        <v>0</v>
      </c>
      <c r="CX7" s="50">
        <f>IF($AN7="N","N",SUM('調查資料(OUT)'!AA13:AA16))</f>
        <v>0</v>
      </c>
      <c r="CY7" s="50">
        <f>IF($AN7="N","N",SUM('調查資料(OUT)'!AE13:AE16))</f>
        <v>0</v>
      </c>
      <c r="CZ7" s="50">
        <f>IF($AN7="N","N",SUM('調查資料(OUT)'!AI13:AI16))</f>
        <v>0</v>
      </c>
      <c r="DA7" s="56" t="e">
        <f t="shared" si="39"/>
        <v>#DIV/0!</v>
      </c>
      <c r="DB7" s="50">
        <f t="shared" si="40"/>
        <v>0</v>
      </c>
      <c r="DC7" s="50">
        <f>IF($AN7="N","N",SUM('調查資料(OUT)'!AB13:AB16))</f>
        <v>0</v>
      </c>
      <c r="DD7" s="50">
        <f>IF($AN7="N","N",SUM('調查資料(OUT)'!AF13:AF16))</f>
        <v>0</v>
      </c>
      <c r="DE7" s="50">
        <f>IF($AN7="N","N",SUM('調查資料(OUT)'!AJ13:AJ16))</f>
        <v>0</v>
      </c>
      <c r="DF7" s="56" t="e">
        <f t="shared" si="41"/>
        <v>#DIV/0!</v>
      </c>
      <c r="DG7" s="50">
        <f t="shared" si="42"/>
        <v>0</v>
      </c>
      <c r="DH7" s="50">
        <f>IF($AN7="N","N",SUM('調查資料(OUT)'!AC13:AC16))</f>
        <v>0</v>
      </c>
      <c r="DI7" s="50">
        <f>IF($AN7="N","N",SUM('調查資料(OUT)'!AG13:AG16))</f>
        <v>0</v>
      </c>
      <c r="DJ7" s="50">
        <f>IF($AN7="N","N",SUM('調查資料(OUT)'!AK13:AK16))</f>
        <v>0</v>
      </c>
      <c r="DK7" s="56" t="e">
        <f t="shared" si="43"/>
        <v>#DIV/0!</v>
      </c>
      <c r="DL7" s="50">
        <f t="shared" si="44"/>
        <v>0</v>
      </c>
      <c r="DM7" s="56" t="e">
        <f t="shared" si="45"/>
        <v>#DIV/0!</v>
      </c>
      <c r="DN7" s="50">
        <f t="shared" si="46"/>
        <v>0</v>
      </c>
      <c r="DO7" s="56" t="e">
        <f t="shared" si="47"/>
        <v>#DIV/0!</v>
      </c>
      <c r="DP7" s="50">
        <f t="shared" si="48"/>
        <v>0</v>
      </c>
      <c r="DQ7" s="56" t="e">
        <f t="shared" si="49"/>
        <v>#DIV/0!</v>
      </c>
      <c r="DR7" s="50">
        <f t="shared" si="50"/>
        <v>0</v>
      </c>
      <c r="DS7" s="50">
        <f t="shared" si="51"/>
        <v>0</v>
      </c>
      <c r="DT7" s="50">
        <f>IF($AN7="N","N",SUM('調查資料(OUT)'!AL13:AL16))</f>
        <v>0</v>
      </c>
      <c r="DU7" s="50">
        <f>IF($AN7="N","N",SUM('調查資料(OUT)'!AP13:AP16))</f>
        <v>0</v>
      </c>
      <c r="DV7" s="50">
        <f>IF($AN7="N","N",SUM('調查資料(OUT)'!AT13:AT16))</f>
        <v>0</v>
      </c>
      <c r="DW7" s="56" t="e">
        <f t="shared" si="52"/>
        <v>#DIV/0!</v>
      </c>
      <c r="DX7" s="50">
        <f t="shared" si="53"/>
        <v>0</v>
      </c>
      <c r="DY7" s="50">
        <f>IF($AN7="N","N",SUM('調查資料(OUT)'!AM13:AM16))</f>
        <v>0</v>
      </c>
      <c r="DZ7" s="50">
        <f>IF($AN7="N","N",SUM('調查資料(OUT)'!AQ13:AQ16))</f>
        <v>0</v>
      </c>
      <c r="EA7" s="50">
        <f>IF($AN7="N","N",SUM('調查資料(OUT)'!AU13:AU16))</f>
        <v>0</v>
      </c>
      <c r="EB7" s="56" t="e">
        <f t="shared" si="54"/>
        <v>#DIV/0!</v>
      </c>
      <c r="EC7" s="50">
        <f t="shared" si="55"/>
        <v>0</v>
      </c>
      <c r="ED7" s="50">
        <f>IF($AN7="N","N",SUM('調查資料(OUT)'!AN13:AN16))</f>
        <v>0</v>
      </c>
      <c r="EE7" s="50">
        <f>IF($AN7="N","N",SUM('調查資料(OUT)'!AR13:AR16))</f>
        <v>0</v>
      </c>
      <c r="EF7" s="50">
        <f>IF($AN7="N","N",SUM('調查資料(OUT)'!AV13:AV16))</f>
        <v>0</v>
      </c>
      <c r="EG7" s="56" t="e">
        <f t="shared" si="56"/>
        <v>#DIV/0!</v>
      </c>
      <c r="EH7" s="50">
        <f t="shared" si="57"/>
        <v>0</v>
      </c>
      <c r="EI7" s="50">
        <f>IF($AN7="N","N",SUM('調查資料(OUT)'!AO13:AO16))</f>
        <v>0</v>
      </c>
      <c r="EJ7" s="50">
        <f>IF($AN7="N","N",SUM('調查資料(OUT)'!AS13:AS16))</f>
        <v>0</v>
      </c>
      <c r="EK7" s="50">
        <f>IF($AN7="N","N",SUM('調查資料(OUT)'!AW13:AW16))</f>
        <v>0</v>
      </c>
      <c r="EL7" s="56" t="e">
        <f t="shared" si="58"/>
        <v>#DIV/0!</v>
      </c>
      <c r="EM7" s="50">
        <f t="shared" si="59"/>
        <v>0</v>
      </c>
      <c r="EN7" s="56" t="e">
        <f t="shared" si="60"/>
        <v>#DIV/0!</v>
      </c>
      <c r="EO7" s="50">
        <f t="shared" si="61"/>
        <v>0</v>
      </c>
      <c r="EP7" s="56" t="e">
        <f t="shared" si="62"/>
        <v>#DIV/0!</v>
      </c>
      <c r="EQ7" s="50">
        <f t="shared" si="63"/>
        <v>0</v>
      </c>
      <c r="ER7" s="56" t="e">
        <f t="shared" si="64"/>
        <v>#DIV/0!</v>
      </c>
      <c r="ES7" s="50">
        <f t="shared" si="65"/>
        <v>0</v>
      </c>
      <c r="ET7" s="50">
        <f t="shared" si="66"/>
        <v>0</v>
      </c>
      <c r="EU7" s="50">
        <f>IF($AN7="N","N",SUM('調查資料(OUT)'!AX13:AX16))</f>
        <v>0</v>
      </c>
      <c r="EV7" s="50">
        <f>IF($AN7="N","N",SUM('調查資料(OUT)'!BB13:BB16))</f>
        <v>0</v>
      </c>
      <c r="EW7" s="50">
        <f>IF($AN7="N","N",SUM('調查資料(OUT)'!BF13:BF16))</f>
        <v>0</v>
      </c>
      <c r="EX7" s="56" t="e">
        <f t="shared" si="67"/>
        <v>#DIV/0!</v>
      </c>
      <c r="EY7" s="50">
        <f t="shared" si="68"/>
        <v>0</v>
      </c>
      <c r="EZ7" s="50">
        <f>IF($AN7="N","N",SUM('調查資料(OUT)'!AY13:AY16))</f>
        <v>0</v>
      </c>
      <c r="FA7" s="50">
        <f>IF($AN7="N","N",SUM('調查資料(OUT)'!BC13:BC16))</f>
        <v>0</v>
      </c>
      <c r="FB7" s="50">
        <f>IF($AN7="N","N",SUM('調查資料(OUT)'!BG13:BG16))</f>
        <v>0</v>
      </c>
      <c r="FC7" s="56" t="e">
        <f t="shared" si="69"/>
        <v>#DIV/0!</v>
      </c>
      <c r="FD7" s="50">
        <f t="shared" si="70"/>
        <v>0</v>
      </c>
      <c r="FE7" s="50">
        <f>IF($AN7="N","N",SUM('調查資料(OUT)'!AZ13:AZ16))</f>
        <v>0</v>
      </c>
      <c r="FF7" s="50">
        <f>IF($AN7="N","N",SUM('調查資料(OUT)'!BD13:BD16))</f>
        <v>0</v>
      </c>
      <c r="FG7" s="50">
        <f>IF($AN7="N","N",SUM('調查資料(OUT)'!BH13:BH16))</f>
        <v>0</v>
      </c>
      <c r="FH7" s="56" t="e">
        <f t="shared" si="71"/>
        <v>#DIV/0!</v>
      </c>
      <c r="FI7" s="50">
        <f t="shared" si="72"/>
        <v>0</v>
      </c>
      <c r="FJ7" s="50">
        <f>IF($AN7="N","N",SUM('調查資料(OUT)'!BA13:BA16))</f>
        <v>0</v>
      </c>
      <c r="FK7" s="50">
        <f>IF($AN7="N","N",SUM('調查資料(OUT)'!BE13:BE16))</f>
        <v>0</v>
      </c>
      <c r="FL7" s="50">
        <f>IF($AN7="N","N",SUM('調查資料(OUT)'!BI13:BI16))</f>
        <v>0</v>
      </c>
      <c r="FM7" s="56" t="e">
        <f t="shared" si="73"/>
        <v>#DIV/0!</v>
      </c>
      <c r="FN7" s="50">
        <f t="shared" si="74"/>
        <v>0</v>
      </c>
      <c r="FO7" s="56" t="e">
        <f t="shared" si="75"/>
        <v>#DIV/0!</v>
      </c>
      <c r="FP7" s="50">
        <f t="shared" si="76"/>
        <v>0</v>
      </c>
      <c r="FQ7" s="56" t="e">
        <f t="shared" si="77"/>
        <v>#DIV/0!</v>
      </c>
      <c r="FR7" s="50">
        <f t="shared" si="78"/>
        <v>0</v>
      </c>
      <c r="FS7" s="56" t="e">
        <f t="shared" si="79"/>
        <v>#DIV/0!</v>
      </c>
      <c r="FT7" s="50">
        <f t="shared" si="80"/>
        <v>0</v>
      </c>
    </row>
    <row r="8" spans="1:176">
      <c r="A8" s="274">
        <f>'調查資料(OUT)'!A14</f>
        <v>45</v>
      </c>
      <c r="B8" s="50">
        <f t="shared" si="81"/>
        <v>0</v>
      </c>
      <c r="C8" s="50">
        <f>IFERROR('調查資料(OUT)'!$B$1*'調查資料(OUT)'!B14,0)+IFERROR('調查資料(OUT)'!$F$1*'調查資料(OUT)'!F14,0)+IFERROR('調查資料(OUT)'!$J$1*'調查資料(OUT)'!J14,0)</f>
        <v>0</v>
      </c>
      <c r="D8" s="50">
        <f>IFERROR('調查資料(OUT)'!$C$1*'調查資料(OUT)'!C14,0)+IFERROR('調查資料(OUT)'!$G$1*'調查資料(OUT)'!G14,0)+IFERROR('調查資料(OUT)'!$K$1*'調查資料(OUT)'!K14,0)</f>
        <v>0</v>
      </c>
      <c r="E8" s="50">
        <f>IFERROR('調查資料(OUT)'!$D$1*'調查資料(OUT)'!D14,0)+IFERROR('調查資料(OUT)'!$H$1*'調查資料(OUT)'!H14,0)+IFERROR('調查資料(OUT)'!$L$1*'調查資料(OUT)'!L14,0)</f>
        <v>0</v>
      </c>
      <c r="F8" s="252">
        <f>IFERROR('調查資料(OUT)'!$E$1*'調查資料(OUT)'!E14,0)+IFERROR('調查資料(OUT)'!$I$1*'調查資料(OUT)'!I14,0)+IFERROR('調查資料(OUT)'!$M$1*'調查資料(OUT)'!M14,0)</f>
        <v>0</v>
      </c>
      <c r="G8" s="50">
        <f t="shared" si="82"/>
        <v>0</v>
      </c>
      <c r="H8" s="50">
        <f>IFERROR('調查資料(OUT)'!$N$1*'調查資料(OUT)'!N14,0)+IFERROR('調查資料(OUT)'!$R$1*'調查資料(OUT)'!R14,0)+IFERROR('調查資料(OUT)'!$V$1*'調查資料(OUT)'!V14,0)</f>
        <v>0</v>
      </c>
      <c r="I8" s="50">
        <f>IFERROR('調查資料(OUT)'!$O$1*'調查資料(OUT)'!O14,0)+IFERROR('調查資料(OUT)'!$S$1*'調查資料(OUT)'!S14,0)+IFERROR('調查資料(OUT)'!$W$1*'調查資料(OUT)'!W14,0)</f>
        <v>0</v>
      </c>
      <c r="J8" s="50">
        <f>IFERROR('調查資料(OUT)'!$P$1*'調查資料(OUT)'!P14,0)+IFERROR('調查資料(OUT)'!$T$1*'調查資料(OUT)'!T14,0)+IFERROR('調查資料(OUT)'!$X$1*'調查資料(OUT)'!X14,0)</f>
        <v>0</v>
      </c>
      <c r="K8" s="252">
        <f>IFERROR('調查資料(OUT)'!$Q$1*'調查資料(OUT)'!Q14,0)+IFERROR('調查資料(OUT)'!$U$1*'調查資料(OUT)'!U14,0)+IFERROR('調查資料(OUT)'!$Y$1*'調查資料(OUT)'!Y14,0)</f>
        <v>0</v>
      </c>
      <c r="L8" s="50">
        <f t="shared" si="83"/>
        <v>0</v>
      </c>
      <c r="M8" s="50">
        <f>IFERROR('調查資料(OUT)'!$Z$1*'調查資料(OUT)'!Z14,0)+IFERROR('調查資料(OUT)'!$AD$1*'調查資料(OUT)'!AD14,0)+IFERROR('調查資料(OUT)'!$AH$1*'調查資料(OUT)'!AH14,0)</f>
        <v>0</v>
      </c>
      <c r="N8" s="50">
        <f>IFERROR('調查資料(OUT)'!$AA$1*'調查資料(OUT)'!AA14,0)+IFERROR('調查資料(OUT)'!$AE$1*'調查資料(OUT)'!AE14,0)+IFERROR('調查資料(OUT)'!$AI$1*'調查資料(OUT)'!AI14,0)</f>
        <v>0</v>
      </c>
      <c r="O8" s="50">
        <f>IFERROR('調查資料(OUT)'!$AB$1*'調查資料(OUT)'!AB14,0)+IFERROR('調查資料(OUT)'!$AF$1*'調查資料(OUT)'!AF14,0)+IFERROR('調查資料(OUT)'!$AJ$1*'調查資料(OUT)'!AJ14,0)</f>
        <v>0</v>
      </c>
      <c r="P8" s="252">
        <f>IFERROR('調查資料(OUT)'!$AC$1*'調查資料(OUT)'!AC14,0)+IFERROR('調查資料(OUT)'!$AG$1*'調查資料(OUT)'!AG14,0)+IFERROR('調查資料(OUT)'!$AK$1*'調查資料(OUT)'!AK14,0)</f>
        <v>0</v>
      </c>
      <c r="Q8" s="50">
        <f t="shared" si="84"/>
        <v>0</v>
      </c>
      <c r="R8" s="50">
        <f>IFERROR('調查資料(OUT)'!$AL$1*'調查資料(OUT)'!AL14,0)+IFERROR('調查資料(OUT)'!$AP$1*'調查資料(OUT)'!AP14,0)+IFERROR('調查資料(OUT)'!$AT$1*'調查資料(OUT)'!AT14,0)</f>
        <v>0</v>
      </c>
      <c r="S8" s="50">
        <f>IFERROR('調查資料(OUT)'!$AM$1*'調查資料(OUT)'!AM14,0)+IFERROR('調查資料(OUT)'!$AQ$1*'調查資料(OUT)'!AQ14,0)+IFERROR('調查資料(OUT)'!$AU$1*'調查資料(OUT)'!AU14,0)</f>
        <v>0</v>
      </c>
      <c r="T8" s="50">
        <f>IFERROR('調查資料(OUT)'!$AN$1*'調查資料(OUT)'!AN14,0)+IFERROR('調查資料(OUT)'!$AR$1*'調查資料(OUT)'!AR14,0)+IFERROR('調查資料(OUT)'!$AV$1*'調查資料(OUT)'!AV14,0)</f>
        <v>0</v>
      </c>
      <c r="U8" s="252">
        <f>IFERROR('調查資料(OUT)'!$AO$1*'調查資料(OUT)'!AO14,0)+IFERROR('調查資料(OUT)'!$AS$1*'調查資料(OUT)'!AS14,0)+IFERROR('調查資料(OUT)'!$AW$1*'調查資料(OUT)'!AW14,0)</f>
        <v>0</v>
      </c>
      <c r="V8" s="50">
        <f t="shared" si="85"/>
        <v>0</v>
      </c>
      <c r="W8" s="50">
        <f>IFERROR('調查資料(OUT)'!$AX$1*'調查資料(OUT)'!AX14,0)+IFERROR('調查資料(OUT)'!$BB$1*'調查資料(OUT)'!BB14,0)+IFERROR('調查資料(OUT)'!$BF$1*'調查資料(OUT)'!BF14,0)</f>
        <v>0</v>
      </c>
      <c r="X8" s="50">
        <f>IFERROR('調查資料(OUT)'!$AY$1*'調查資料(OUT)'!AY14,0)+IFERROR('調查資料(OUT)'!$BC$1*'調查資料(OUT)'!BC14,0)+IFERROR('調查資料(OUT)'!$BG$1*'調查資料(OUT)'!BG14,0)</f>
        <v>0</v>
      </c>
      <c r="Y8" s="50">
        <f>IFERROR('調查資料(OUT)'!$AZ$1*'調查資料(OUT)'!AZ14,0)+IFERROR('調查資料(OUT)'!$BD$1*'調查資料(OUT)'!BD14,0)+IFERROR('調查資料(OUT)'!$BH$1*'調查資料(OUT)'!BH14,0)</f>
        <v>0</v>
      </c>
      <c r="Z8" s="252">
        <f>IFERROR('調查資料(OUT)'!$BA$1*'調查資料(OUT)'!BA14,0)+IFERROR('調查資料(OUT)'!$BE$1*'調查資料(OUT)'!BE14,0)+IFERROR('調查資料(OUT)'!$BI$1*'調查資料(OUT)'!BI14,0)</f>
        <v>0</v>
      </c>
      <c r="AA8" s="253">
        <f t="shared" si="86"/>
        <v>0</v>
      </c>
      <c r="AC8" s="251">
        <f>'調查資料(OUT)'!A14</f>
        <v>45</v>
      </c>
      <c r="AD8" s="254">
        <f t="shared" si="0"/>
        <v>145</v>
      </c>
      <c r="AE8" s="50">
        <f>SUM(AA8:AA11)</f>
        <v>0</v>
      </c>
      <c r="AF8" s="255"/>
      <c r="AG8" s="50">
        <f t="shared" si="1"/>
        <v>0</v>
      </c>
      <c r="AH8" s="256" t="e">
        <f t="shared" si="2"/>
        <v>#DIV/0!</v>
      </c>
      <c r="AI8" s="256" t="e">
        <f t="shared" si="3"/>
        <v>#DIV/0!</v>
      </c>
      <c r="AJ8" s="256" t="e">
        <f t="shared" si="4"/>
        <v>#DIV/0!</v>
      </c>
      <c r="AK8" s="256" t="e">
        <f t="shared" si="5"/>
        <v>#DIV/0!</v>
      </c>
      <c r="AL8" s="256" t="e">
        <f t="shared" si="6"/>
        <v>#DIV/0!</v>
      </c>
      <c r="AM8" s="257"/>
      <c r="AN8" s="50">
        <f t="shared" si="7"/>
        <v>45</v>
      </c>
      <c r="AO8" s="252">
        <f t="shared" si="8"/>
        <v>145</v>
      </c>
      <c r="AP8" s="50">
        <f t="shared" si="87"/>
        <v>0</v>
      </c>
      <c r="AQ8" s="50">
        <f>IF($AN8="N","N",SUM('調查資料(OUT)'!B14:B17))</f>
        <v>0</v>
      </c>
      <c r="AR8" s="50">
        <f>IF($AN8="N","N",SUM('調查資料(OUT)'!F14:F17))</f>
        <v>0</v>
      </c>
      <c r="AS8" s="50">
        <f>IF($AN8="N","N",SUM('調查資料(OUT)'!J14:J17))</f>
        <v>0</v>
      </c>
      <c r="AT8" s="56" t="e">
        <f>IF($AN8="N","N",(AP8/$BP8)*100)</f>
        <v>#DIV/0!</v>
      </c>
      <c r="AU8" s="50">
        <f t="shared" si="9"/>
        <v>0</v>
      </c>
      <c r="AV8" s="50">
        <f>IF($AN8="N","N",SUM('調查資料(OUT)'!C14:C17))</f>
        <v>0</v>
      </c>
      <c r="AW8" s="50">
        <f>IF($AN8="N","N",SUM('調查資料(OUT)'!G14:G17))</f>
        <v>0</v>
      </c>
      <c r="AX8" s="50">
        <f>IF($AN8="N","N",SUM('調查資料(OUT)'!K14:K17))</f>
        <v>0</v>
      </c>
      <c r="AY8" s="56" t="e">
        <f t="shared" si="88"/>
        <v>#DIV/0!</v>
      </c>
      <c r="AZ8" s="50">
        <f t="shared" si="10"/>
        <v>0</v>
      </c>
      <c r="BA8" s="50">
        <f>IF($AN8="N","N",SUM('調查資料(OUT)'!D14:D17))</f>
        <v>0</v>
      </c>
      <c r="BB8" s="50">
        <f>IF($AN8="N","N",SUM('調查資料(OUT)'!H14:H17))</f>
        <v>0</v>
      </c>
      <c r="BC8" s="50">
        <f>IF($AN8="N","N",SUM('調查資料(OUT)'!L14:L17))</f>
        <v>0</v>
      </c>
      <c r="BD8" s="56" t="e">
        <f t="shared" si="11"/>
        <v>#DIV/0!</v>
      </c>
      <c r="BE8" s="50">
        <f t="shared" si="12"/>
        <v>0</v>
      </c>
      <c r="BF8" s="50">
        <f>IF($AN8="N","N",SUM('調查資料(OUT)'!E14:E17))</f>
        <v>0</v>
      </c>
      <c r="BG8" s="50">
        <f>IF($AN8="N","N",SUM('調查資料(OUT)'!I14:I17))</f>
        <v>0</v>
      </c>
      <c r="BH8" s="50">
        <f>IF($AN8="N","N",SUM('調查資料(OUT)'!M14:M17))</f>
        <v>0</v>
      </c>
      <c r="BI8" s="56" t="e">
        <f t="shared" si="13"/>
        <v>#DIV/0!</v>
      </c>
      <c r="BJ8" s="50">
        <f t="shared" si="14"/>
        <v>0</v>
      </c>
      <c r="BK8" s="56" t="e">
        <f t="shared" si="15"/>
        <v>#DIV/0!</v>
      </c>
      <c r="BL8" s="50">
        <f t="shared" si="16"/>
        <v>0</v>
      </c>
      <c r="BM8" s="56" t="e">
        <f t="shared" si="17"/>
        <v>#DIV/0!</v>
      </c>
      <c r="BN8" s="50">
        <f t="shared" si="18"/>
        <v>0</v>
      </c>
      <c r="BO8" s="56" t="e">
        <f t="shared" si="19"/>
        <v>#DIV/0!</v>
      </c>
      <c r="BP8" s="50">
        <f t="shared" si="20"/>
        <v>0</v>
      </c>
      <c r="BQ8" s="50">
        <f t="shared" si="21"/>
        <v>0</v>
      </c>
      <c r="BR8" s="50">
        <f>IF($AN8="N","N",SUM('調查資料(OUT)'!N14:N17))</f>
        <v>0</v>
      </c>
      <c r="BS8" s="50">
        <f>IF($AN8="N","N",SUM('調查資料(OUT)'!R14:R17))</f>
        <v>0</v>
      </c>
      <c r="BT8" s="50">
        <f>IF($AN8="N","N",SUM('調查資料(OUT)'!V14:V17))</f>
        <v>0</v>
      </c>
      <c r="BU8" s="56" t="e">
        <f t="shared" si="22"/>
        <v>#DIV/0!</v>
      </c>
      <c r="BV8" s="50">
        <f t="shared" si="23"/>
        <v>0</v>
      </c>
      <c r="BW8" s="50">
        <f>IF($AN8="N","N",SUM('調查資料(OUT)'!O14:O17))</f>
        <v>0</v>
      </c>
      <c r="BX8" s="50">
        <f>IF($AN8="N","N",SUM('調查資料(OUT)'!S14:S17))</f>
        <v>0</v>
      </c>
      <c r="BY8" s="50">
        <f>IF($AN8="N","N",SUM('調查資料(OUT)'!W14:W17))</f>
        <v>0</v>
      </c>
      <c r="BZ8" s="56" t="e">
        <f t="shared" si="24"/>
        <v>#DIV/0!</v>
      </c>
      <c r="CA8" s="50">
        <f t="shared" si="25"/>
        <v>0</v>
      </c>
      <c r="CB8" s="50">
        <f>IF($AN8="N","N",SUM('調查資料(OUT)'!P14:P17))</f>
        <v>0</v>
      </c>
      <c r="CC8" s="50">
        <f>IF($AN8="N","N",SUM('調查資料(OUT)'!T14:T17))</f>
        <v>0</v>
      </c>
      <c r="CD8" s="50">
        <f>IF($AN8="N","N",SUM('調查資料(OUT)'!X14:X17))</f>
        <v>0</v>
      </c>
      <c r="CE8" s="56" t="e">
        <f t="shared" si="26"/>
        <v>#DIV/0!</v>
      </c>
      <c r="CF8" s="50">
        <f t="shared" si="27"/>
        <v>0</v>
      </c>
      <c r="CG8" s="50">
        <f>IF($AN8="N","N",SUM('調查資料(OUT)'!Q14:Q17))</f>
        <v>0</v>
      </c>
      <c r="CH8" s="50">
        <f>IF($AN8="N","N",SUM('調查資料(OUT)'!U14:U17))</f>
        <v>0</v>
      </c>
      <c r="CI8" s="50">
        <f>IF($AN8="N","N",SUM('調查資料(OUT)'!Y14:Y17))</f>
        <v>0</v>
      </c>
      <c r="CJ8" s="56" t="e">
        <f t="shared" si="28"/>
        <v>#DIV/0!</v>
      </c>
      <c r="CK8" s="50">
        <f t="shared" si="29"/>
        <v>0</v>
      </c>
      <c r="CL8" s="56" t="e">
        <f t="shared" si="30"/>
        <v>#DIV/0!</v>
      </c>
      <c r="CM8" s="50">
        <f t="shared" si="31"/>
        <v>0</v>
      </c>
      <c r="CN8" s="56" t="e">
        <f t="shared" si="32"/>
        <v>#DIV/0!</v>
      </c>
      <c r="CO8" s="50">
        <f t="shared" si="33"/>
        <v>0</v>
      </c>
      <c r="CP8" s="56" t="e">
        <f t="shared" si="34"/>
        <v>#DIV/0!</v>
      </c>
      <c r="CQ8" s="50">
        <f t="shared" si="35"/>
        <v>0</v>
      </c>
      <c r="CR8" s="50">
        <f t="shared" si="36"/>
        <v>0</v>
      </c>
      <c r="CS8" s="50">
        <f>IF($AN8="N","N",SUM('調查資料(OUT)'!Z14:Z17))</f>
        <v>0</v>
      </c>
      <c r="CT8" s="50">
        <f>IF($AN8="N","N",SUM('調查資料(OUT)'!AD14:AD17))</f>
        <v>0</v>
      </c>
      <c r="CU8" s="50">
        <f>IF($AN8="N","N",SUM('調查資料(OUT)'!AH14:AH17))</f>
        <v>0</v>
      </c>
      <c r="CV8" s="56" t="e">
        <f t="shared" si="37"/>
        <v>#DIV/0!</v>
      </c>
      <c r="CW8" s="50">
        <f t="shared" si="38"/>
        <v>0</v>
      </c>
      <c r="CX8" s="50">
        <f>IF($AN8="N","N",SUM('調查資料(OUT)'!AA14:AA17))</f>
        <v>0</v>
      </c>
      <c r="CY8" s="50">
        <f>IF($AN8="N","N",SUM('調查資料(OUT)'!AE14:AE17))</f>
        <v>0</v>
      </c>
      <c r="CZ8" s="50">
        <f>IF($AN8="N","N",SUM('調查資料(OUT)'!AI14:AI17))</f>
        <v>0</v>
      </c>
      <c r="DA8" s="56" t="e">
        <f t="shared" si="39"/>
        <v>#DIV/0!</v>
      </c>
      <c r="DB8" s="50">
        <f t="shared" si="40"/>
        <v>0</v>
      </c>
      <c r="DC8" s="50">
        <f>IF($AN8="N","N",SUM('調查資料(OUT)'!AB14:AB17))</f>
        <v>0</v>
      </c>
      <c r="DD8" s="50">
        <f>IF($AN8="N","N",SUM('調查資料(OUT)'!AF14:AF17))</f>
        <v>0</v>
      </c>
      <c r="DE8" s="50">
        <f>IF($AN8="N","N",SUM('調查資料(OUT)'!AJ14:AJ17))</f>
        <v>0</v>
      </c>
      <c r="DF8" s="56" t="e">
        <f t="shared" si="41"/>
        <v>#DIV/0!</v>
      </c>
      <c r="DG8" s="50">
        <f t="shared" si="42"/>
        <v>0</v>
      </c>
      <c r="DH8" s="50">
        <f>IF($AN8="N","N",SUM('調查資料(OUT)'!AC14:AC17))</f>
        <v>0</v>
      </c>
      <c r="DI8" s="50">
        <f>IF($AN8="N","N",SUM('調查資料(OUT)'!AG14:AG17))</f>
        <v>0</v>
      </c>
      <c r="DJ8" s="50">
        <f>IF($AN8="N","N",SUM('調查資料(OUT)'!AK14:AK17))</f>
        <v>0</v>
      </c>
      <c r="DK8" s="56" t="e">
        <f t="shared" si="43"/>
        <v>#DIV/0!</v>
      </c>
      <c r="DL8" s="50">
        <f t="shared" si="44"/>
        <v>0</v>
      </c>
      <c r="DM8" s="56" t="e">
        <f t="shared" si="45"/>
        <v>#DIV/0!</v>
      </c>
      <c r="DN8" s="50">
        <f t="shared" si="46"/>
        <v>0</v>
      </c>
      <c r="DO8" s="56" t="e">
        <f t="shared" si="47"/>
        <v>#DIV/0!</v>
      </c>
      <c r="DP8" s="50">
        <f t="shared" si="48"/>
        <v>0</v>
      </c>
      <c r="DQ8" s="56" t="e">
        <f t="shared" si="49"/>
        <v>#DIV/0!</v>
      </c>
      <c r="DR8" s="50">
        <f t="shared" si="50"/>
        <v>0</v>
      </c>
      <c r="DS8" s="50">
        <f t="shared" si="51"/>
        <v>0</v>
      </c>
      <c r="DT8" s="50">
        <f>IF($AN8="N","N",SUM('調查資料(OUT)'!AL14:AL17))</f>
        <v>0</v>
      </c>
      <c r="DU8" s="50">
        <f>IF($AN8="N","N",SUM('調查資料(OUT)'!AP14:AP17))</f>
        <v>0</v>
      </c>
      <c r="DV8" s="50">
        <f>IF($AN8="N","N",SUM('調查資料(OUT)'!AT14:AT17))</f>
        <v>0</v>
      </c>
      <c r="DW8" s="56" t="e">
        <f t="shared" si="52"/>
        <v>#DIV/0!</v>
      </c>
      <c r="DX8" s="50">
        <f t="shared" si="53"/>
        <v>0</v>
      </c>
      <c r="DY8" s="50">
        <f>IF($AN8="N","N",SUM('調查資料(OUT)'!AM14:AM17))</f>
        <v>0</v>
      </c>
      <c r="DZ8" s="50">
        <f>IF($AN8="N","N",SUM('調查資料(OUT)'!AQ14:AQ17))</f>
        <v>0</v>
      </c>
      <c r="EA8" s="50">
        <f>IF($AN8="N","N",SUM('調查資料(OUT)'!AU14:AU17))</f>
        <v>0</v>
      </c>
      <c r="EB8" s="56" t="e">
        <f t="shared" si="54"/>
        <v>#DIV/0!</v>
      </c>
      <c r="EC8" s="50">
        <f t="shared" si="55"/>
        <v>0</v>
      </c>
      <c r="ED8" s="50">
        <f>IF($AN8="N","N",SUM('調查資料(OUT)'!AN14:AN17))</f>
        <v>0</v>
      </c>
      <c r="EE8" s="50">
        <f>IF($AN8="N","N",SUM('調查資料(OUT)'!AR14:AR17))</f>
        <v>0</v>
      </c>
      <c r="EF8" s="50">
        <f>IF($AN8="N","N",SUM('調查資料(OUT)'!AV14:AV17))</f>
        <v>0</v>
      </c>
      <c r="EG8" s="56" t="e">
        <f t="shared" si="56"/>
        <v>#DIV/0!</v>
      </c>
      <c r="EH8" s="50">
        <f t="shared" si="57"/>
        <v>0</v>
      </c>
      <c r="EI8" s="50">
        <f>IF($AN8="N","N",SUM('調查資料(OUT)'!AO14:AO17))</f>
        <v>0</v>
      </c>
      <c r="EJ8" s="50">
        <f>IF($AN8="N","N",SUM('調查資料(OUT)'!AS14:AS17))</f>
        <v>0</v>
      </c>
      <c r="EK8" s="50">
        <f>IF($AN8="N","N",SUM('調查資料(OUT)'!AW14:AW17))</f>
        <v>0</v>
      </c>
      <c r="EL8" s="56" t="e">
        <f t="shared" si="58"/>
        <v>#DIV/0!</v>
      </c>
      <c r="EM8" s="50">
        <f t="shared" si="59"/>
        <v>0</v>
      </c>
      <c r="EN8" s="56" t="e">
        <f t="shared" si="60"/>
        <v>#DIV/0!</v>
      </c>
      <c r="EO8" s="50">
        <f t="shared" si="61"/>
        <v>0</v>
      </c>
      <c r="EP8" s="56" t="e">
        <f t="shared" si="62"/>
        <v>#DIV/0!</v>
      </c>
      <c r="EQ8" s="50">
        <f t="shared" si="63"/>
        <v>0</v>
      </c>
      <c r="ER8" s="56" t="e">
        <f t="shared" si="64"/>
        <v>#DIV/0!</v>
      </c>
      <c r="ES8" s="50">
        <f t="shared" si="65"/>
        <v>0</v>
      </c>
      <c r="ET8" s="50">
        <f t="shared" si="66"/>
        <v>0</v>
      </c>
      <c r="EU8" s="50">
        <f>IF($AN8="N","N",SUM('調查資料(OUT)'!AX14:AX17))</f>
        <v>0</v>
      </c>
      <c r="EV8" s="50">
        <f>IF($AN8="N","N",SUM('調查資料(OUT)'!BB14:BB17))</f>
        <v>0</v>
      </c>
      <c r="EW8" s="50">
        <f>IF($AN8="N","N",SUM('調查資料(OUT)'!BF14:BF17))</f>
        <v>0</v>
      </c>
      <c r="EX8" s="56" t="e">
        <f t="shared" si="67"/>
        <v>#DIV/0!</v>
      </c>
      <c r="EY8" s="50">
        <f t="shared" si="68"/>
        <v>0</v>
      </c>
      <c r="EZ8" s="50">
        <f>IF($AN8="N","N",SUM('調查資料(OUT)'!AY14:AY17))</f>
        <v>0</v>
      </c>
      <c r="FA8" s="50">
        <f>IF($AN8="N","N",SUM('調查資料(OUT)'!BC14:BC17))</f>
        <v>0</v>
      </c>
      <c r="FB8" s="50">
        <f>IF($AN8="N","N",SUM('調查資料(OUT)'!BG14:BG17))</f>
        <v>0</v>
      </c>
      <c r="FC8" s="56" t="e">
        <f t="shared" si="69"/>
        <v>#DIV/0!</v>
      </c>
      <c r="FD8" s="50">
        <f t="shared" si="70"/>
        <v>0</v>
      </c>
      <c r="FE8" s="50">
        <f>IF($AN8="N","N",SUM('調查資料(OUT)'!AZ14:AZ17))</f>
        <v>0</v>
      </c>
      <c r="FF8" s="50">
        <f>IF($AN8="N","N",SUM('調查資料(OUT)'!BD14:BD17))</f>
        <v>0</v>
      </c>
      <c r="FG8" s="50">
        <f>IF($AN8="N","N",SUM('調查資料(OUT)'!BH14:BH17))</f>
        <v>0</v>
      </c>
      <c r="FH8" s="56" t="e">
        <f t="shared" si="71"/>
        <v>#DIV/0!</v>
      </c>
      <c r="FI8" s="50">
        <f t="shared" si="72"/>
        <v>0</v>
      </c>
      <c r="FJ8" s="50">
        <f>IF($AN8="N","N",SUM('調查資料(OUT)'!BA14:BA17))</f>
        <v>0</v>
      </c>
      <c r="FK8" s="50">
        <f>IF($AN8="N","N",SUM('調查資料(OUT)'!BE14:BE17))</f>
        <v>0</v>
      </c>
      <c r="FL8" s="50">
        <f>IF($AN8="N","N",SUM('調查資料(OUT)'!BI14:BI17))</f>
        <v>0</v>
      </c>
      <c r="FM8" s="56" t="e">
        <f t="shared" si="73"/>
        <v>#DIV/0!</v>
      </c>
      <c r="FN8" s="50">
        <f t="shared" si="74"/>
        <v>0</v>
      </c>
      <c r="FO8" s="56" t="e">
        <f t="shared" si="75"/>
        <v>#DIV/0!</v>
      </c>
      <c r="FP8" s="50">
        <f t="shared" si="76"/>
        <v>0</v>
      </c>
      <c r="FQ8" s="56" t="e">
        <f t="shared" si="77"/>
        <v>#DIV/0!</v>
      </c>
      <c r="FR8" s="50">
        <f t="shared" si="78"/>
        <v>0</v>
      </c>
      <c r="FS8" s="56" t="e">
        <f t="shared" si="79"/>
        <v>#DIV/0!</v>
      </c>
      <c r="FT8" s="50">
        <f t="shared" si="80"/>
        <v>0</v>
      </c>
    </row>
    <row r="9" spans="1:176">
      <c r="A9" s="274">
        <f>'調查資料(OUT)'!A15</f>
        <v>100</v>
      </c>
      <c r="B9" s="50">
        <f t="shared" si="81"/>
        <v>0</v>
      </c>
      <c r="C9" s="50">
        <f>IFERROR('調查資料(OUT)'!$B$1*'調查資料(OUT)'!B15,0)+IFERROR('調查資料(OUT)'!$F$1*'調查資料(OUT)'!F15,0)+IFERROR('調查資料(OUT)'!$J$1*'調查資料(OUT)'!J15,0)</f>
        <v>0</v>
      </c>
      <c r="D9" s="50">
        <f>IFERROR('調查資料(OUT)'!$C$1*'調查資料(OUT)'!C15,0)+IFERROR('調查資料(OUT)'!$G$1*'調查資料(OUT)'!G15,0)+IFERROR('調查資料(OUT)'!$K$1*'調查資料(OUT)'!K15,0)</f>
        <v>0</v>
      </c>
      <c r="E9" s="50">
        <f>IFERROR('調查資料(OUT)'!$D$1*'調查資料(OUT)'!D15,0)+IFERROR('調查資料(OUT)'!$H$1*'調查資料(OUT)'!H15,0)+IFERROR('調查資料(OUT)'!$L$1*'調查資料(OUT)'!L15,0)</f>
        <v>0</v>
      </c>
      <c r="F9" s="252">
        <f>IFERROR('調查資料(OUT)'!$E$1*'調查資料(OUT)'!E15,0)+IFERROR('調查資料(OUT)'!$I$1*'調查資料(OUT)'!I15,0)+IFERROR('調查資料(OUT)'!$M$1*'調查資料(OUT)'!M15,0)</f>
        <v>0</v>
      </c>
      <c r="G9" s="50">
        <f t="shared" si="82"/>
        <v>0</v>
      </c>
      <c r="H9" s="50">
        <f>IFERROR('調查資料(OUT)'!$N$1*'調查資料(OUT)'!N15,0)+IFERROR('調查資料(OUT)'!$R$1*'調查資料(OUT)'!R15,0)+IFERROR('調查資料(OUT)'!$V$1*'調查資料(OUT)'!V15,0)</f>
        <v>0</v>
      </c>
      <c r="I9" s="50">
        <f>IFERROR('調查資料(OUT)'!$O$1*'調查資料(OUT)'!O15,0)+IFERROR('調查資料(OUT)'!$S$1*'調查資料(OUT)'!S15,0)+IFERROR('調查資料(OUT)'!$W$1*'調查資料(OUT)'!W15,0)</f>
        <v>0</v>
      </c>
      <c r="J9" s="50">
        <f>IFERROR('調查資料(OUT)'!$P$1*'調查資料(OUT)'!P15,0)+IFERROR('調查資料(OUT)'!$T$1*'調查資料(OUT)'!T15,0)+IFERROR('調查資料(OUT)'!$X$1*'調查資料(OUT)'!X15,0)</f>
        <v>0</v>
      </c>
      <c r="K9" s="252">
        <f>IFERROR('調查資料(OUT)'!$Q$1*'調查資料(OUT)'!Q15,0)+IFERROR('調查資料(OUT)'!$U$1*'調查資料(OUT)'!U15,0)+IFERROR('調查資料(OUT)'!$Y$1*'調查資料(OUT)'!Y15,0)</f>
        <v>0</v>
      </c>
      <c r="L9" s="50">
        <f t="shared" si="83"/>
        <v>0</v>
      </c>
      <c r="M9" s="50">
        <f>IFERROR('調查資料(OUT)'!$Z$1*'調查資料(OUT)'!Z15,0)+IFERROR('調查資料(OUT)'!$AD$1*'調查資料(OUT)'!AD15,0)+IFERROR('調查資料(OUT)'!$AH$1*'調查資料(OUT)'!AH15,0)</f>
        <v>0</v>
      </c>
      <c r="N9" s="50">
        <f>IFERROR('調查資料(OUT)'!$AA$1*'調查資料(OUT)'!AA15,0)+IFERROR('調查資料(OUT)'!$AE$1*'調查資料(OUT)'!AE15,0)+IFERROR('調查資料(OUT)'!$AI$1*'調查資料(OUT)'!AI15,0)</f>
        <v>0</v>
      </c>
      <c r="O9" s="50">
        <f>IFERROR('調查資料(OUT)'!$AB$1*'調查資料(OUT)'!AB15,0)+IFERROR('調查資料(OUT)'!$AF$1*'調查資料(OUT)'!AF15,0)+IFERROR('調查資料(OUT)'!$AJ$1*'調查資料(OUT)'!AJ15,0)</f>
        <v>0</v>
      </c>
      <c r="P9" s="252">
        <f>IFERROR('調查資料(OUT)'!$AC$1*'調查資料(OUT)'!AC15,0)+IFERROR('調查資料(OUT)'!$AG$1*'調查資料(OUT)'!AG15,0)+IFERROR('調查資料(OUT)'!$AK$1*'調查資料(OUT)'!AK15,0)</f>
        <v>0</v>
      </c>
      <c r="Q9" s="50">
        <f t="shared" si="84"/>
        <v>0</v>
      </c>
      <c r="R9" s="50">
        <f>IFERROR('調查資料(OUT)'!$AL$1*'調查資料(OUT)'!AL15,0)+IFERROR('調查資料(OUT)'!$AP$1*'調查資料(OUT)'!AP15,0)+IFERROR('調查資料(OUT)'!$AT$1*'調查資料(OUT)'!AT15,0)</f>
        <v>0</v>
      </c>
      <c r="S9" s="50">
        <f>IFERROR('調查資料(OUT)'!$AM$1*'調查資料(OUT)'!AM15,0)+IFERROR('調查資料(OUT)'!$AQ$1*'調查資料(OUT)'!AQ15,0)+IFERROR('調查資料(OUT)'!$AU$1*'調查資料(OUT)'!AU15,0)</f>
        <v>0</v>
      </c>
      <c r="T9" s="50">
        <f>IFERROR('調查資料(OUT)'!$AN$1*'調查資料(OUT)'!AN15,0)+IFERROR('調查資料(OUT)'!$AR$1*'調查資料(OUT)'!AR15,0)+IFERROR('調查資料(OUT)'!$AV$1*'調查資料(OUT)'!AV15,0)</f>
        <v>0</v>
      </c>
      <c r="U9" s="252">
        <f>IFERROR('調查資料(OUT)'!$AO$1*'調查資料(OUT)'!AO15,0)+IFERROR('調查資料(OUT)'!$AS$1*'調查資料(OUT)'!AS15,0)+IFERROR('調查資料(OUT)'!$AW$1*'調查資料(OUT)'!AW15,0)</f>
        <v>0</v>
      </c>
      <c r="V9" s="50">
        <f t="shared" si="85"/>
        <v>0</v>
      </c>
      <c r="W9" s="50">
        <f>IFERROR('調查資料(OUT)'!$AX$1*'調查資料(OUT)'!AX15,0)+IFERROR('調查資料(OUT)'!$BB$1*'調查資料(OUT)'!BB15,0)+IFERROR('調查資料(OUT)'!$BF$1*'調查資料(OUT)'!BF15,0)</f>
        <v>0</v>
      </c>
      <c r="X9" s="50">
        <f>IFERROR('調查資料(OUT)'!$AY$1*'調查資料(OUT)'!AY15,0)+IFERROR('調查資料(OUT)'!$BC$1*'調查資料(OUT)'!BC15,0)+IFERROR('調查資料(OUT)'!$BG$1*'調查資料(OUT)'!BG15,0)</f>
        <v>0</v>
      </c>
      <c r="Y9" s="50">
        <f>IFERROR('調查資料(OUT)'!$AZ$1*'調查資料(OUT)'!AZ15,0)+IFERROR('調查資料(OUT)'!$BD$1*'調查資料(OUT)'!BD15,0)+IFERROR('調查資料(OUT)'!$BH$1*'調查資料(OUT)'!BH15,0)</f>
        <v>0</v>
      </c>
      <c r="Z9" s="252">
        <f>IFERROR('調查資料(OUT)'!$BA$1*'調查資料(OUT)'!BA15,0)+IFERROR('調查資料(OUT)'!$BE$1*'調查資料(OUT)'!BE15,0)+IFERROR('調查資料(OUT)'!$BI$1*'調查資料(OUT)'!BI15,0)</f>
        <v>0</v>
      </c>
      <c r="AA9" s="253">
        <f t="shared" si="86"/>
        <v>0</v>
      </c>
      <c r="AC9" s="251">
        <f>'調查資料(OUT)'!A15</f>
        <v>100</v>
      </c>
      <c r="AD9" s="254">
        <f t="shared" si="0"/>
        <v>200</v>
      </c>
      <c r="AE9" s="50">
        <f t="shared" ref="AE9" si="89">SUM(AA9:AA12)</f>
        <v>0</v>
      </c>
      <c r="AF9" s="255"/>
      <c r="AG9" s="50">
        <f t="shared" si="1"/>
        <v>0</v>
      </c>
      <c r="AH9" s="256" t="e">
        <f t="shared" si="2"/>
        <v>#DIV/0!</v>
      </c>
      <c r="AI9" s="256" t="e">
        <f t="shared" si="3"/>
        <v>#DIV/0!</v>
      </c>
      <c r="AJ9" s="256" t="e">
        <f t="shared" si="4"/>
        <v>#DIV/0!</v>
      </c>
      <c r="AK9" s="256" t="e">
        <f t="shared" si="5"/>
        <v>#DIV/0!</v>
      </c>
      <c r="AL9" s="256" t="e">
        <f t="shared" si="6"/>
        <v>#DIV/0!</v>
      </c>
      <c r="AM9" s="257"/>
      <c r="AN9" s="50">
        <f t="shared" si="7"/>
        <v>100</v>
      </c>
      <c r="AO9" s="252">
        <f t="shared" si="8"/>
        <v>200</v>
      </c>
      <c r="AP9" s="50">
        <f t="shared" si="87"/>
        <v>0</v>
      </c>
      <c r="AQ9" s="50">
        <f>IF($AN9="N","N",SUM('調查資料(OUT)'!B15:B18))</f>
        <v>0</v>
      </c>
      <c r="AR9" s="50">
        <f>IF($AN9="N","N",SUM('調查資料(OUT)'!F15:F18))</f>
        <v>0</v>
      </c>
      <c r="AS9" s="50">
        <f>IF($AN9="N","N",SUM('調查資料(OUT)'!J15:J18))</f>
        <v>0</v>
      </c>
      <c r="AT9" s="56" t="e">
        <f t="shared" ref="AT9" si="90">IF($AN9="N","N",(AP9/$BP9)*100)</f>
        <v>#DIV/0!</v>
      </c>
      <c r="AU9" s="50">
        <f t="shared" si="9"/>
        <v>0</v>
      </c>
      <c r="AV9" s="50">
        <f>IF($AN9="N","N",SUM('調查資料(OUT)'!C15:C18))</f>
        <v>0</v>
      </c>
      <c r="AW9" s="50">
        <f>IF($AN9="N","N",SUM('調查資料(OUT)'!G15:G18))</f>
        <v>0</v>
      </c>
      <c r="AX9" s="50">
        <f>IF($AN9="N","N",SUM('調查資料(OUT)'!K15:K18))</f>
        <v>0</v>
      </c>
      <c r="AY9" s="56" t="e">
        <f t="shared" si="88"/>
        <v>#DIV/0!</v>
      </c>
      <c r="AZ9" s="50">
        <f t="shared" si="10"/>
        <v>0</v>
      </c>
      <c r="BA9" s="50">
        <f>IF($AN9="N","N",SUM('調查資料(OUT)'!D15:D18))</f>
        <v>0</v>
      </c>
      <c r="BB9" s="50">
        <f>IF($AN9="N","N",SUM('調查資料(OUT)'!H15:H18))</f>
        <v>0</v>
      </c>
      <c r="BC9" s="50">
        <f>IF($AN9="N","N",SUM('調查資料(OUT)'!L15:L18))</f>
        <v>0</v>
      </c>
      <c r="BD9" s="56" t="e">
        <f t="shared" si="11"/>
        <v>#DIV/0!</v>
      </c>
      <c r="BE9" s="50">
        <f t="shared" si="12"/>
        <v>0</v>
      </c>
      <c r="BF9" s="50">
        <f>IF($AN9="N","N",SUM('調查資料(OUT)'!E15:E18))</f>
        <v>0</v>
      </c>
      <c r="BG9" s="50">
        <f>IF($AN9="N","N",SUM('調查資料(OUT)'!I15:I18))</f>
        <v>0</v>
      </c>
      <c r="BH9" s="50">
        <f>IF($AN9="N","N",SUM('調查資料(OUT)'!M15:M18))</f>
        <v>0</v>
      </c>
      <c r="BI9" s="56" t="e">
        <f t="shared" si="13"/>
        <v>#DIV/0!</v>
      </c>
      <c r="BJ9" s="50">
        <f t="shared" si="14"/>
        <v>0</v>
      </c>
      <c r="BK9" s="56" t="e">
        <f t="shared" si="15"/>
        <v>#DIV/0!</v>
      </c>
      <c r="BL9" s="50">
        <f t="shared" si="16"/>
        <v>0</v>
      </c>
      <c r="BM9" s="56" t="e">
        <f t="shared" si="17"/>
        <v>#DIV/0!</v>
      </c>
      <c r="BN9" s="50">
        <f t="shared" si="18"/>
        <v>0</v>
      </c>
      <c r="BO9" s="56" t="e">
        <f t="shared" si="19"/>
        <v>#DIV/0!</v>
      </c>
      <c r="BP9" s="50">
        <f t="shared" si="20"/>
        <v>0</v>
      </c>
      <c r="BQ9" s="50">
        <f t="shared" si="21"/>
        <v>0</v>
      </c>
      <c r="BR9" s="50">
        <f>IF($AN9="N","N",SUM('調查資料(OUT)'!N15:N18))</f>
        <v>0</v>
      </c>
      <c r="BS9" s="50">
        <f>IF($AN9="N","N",SUM('調查資料(OUT)'!R15:R18))</f>
        <v>0</v>
      </c>
      <c r="BT9" s="50">
        <f>IF($AN9="N","N",SUM('調查資料(OUT)'!V15:V18))</f>
        <v>0</v>
      </c>
      <c r="BU9" s="56" t="e">
        <f t="shared" si="22"/>
        <v>#DIV/0!</v>
      </c>
      <c r="BV9" s="50">
        <f t="shared" si="23"/>
        <v>0</v>
      </c>
      <c r="BW9" s="50">
        <f>IF($AN9="N","N",SUM('調查資料(OUT)'!O15:O18))</f>
        <v>0</v>
      </c>
      <c r="BX9" s="50">
        <f>IF($AN9="N","N",SUM('調查資料(OUT)'!S15:S18))</f>
        <v>0</v>
      </c>
      <c r="BY9" s="50">
        <f>IF($AN9="N","N",SUM('調查資料(OUT)'!W15:W18))</f>
        <v>0</v>
      </c>
      <c r="BZ9" s="56" t="e">
        <f t="shared" si="24"/>
        <v>#DIV/0!</v>
      </c>
      <c r="CA9" s="50">
        <f t="shared" si="25"/>
        <v>0</v>
      </c>
      <c r="CB9" s="50">
        <f>IF($AN9="N","N",SUM('調查資料(OUT)'!P15:P18))</f>
        <v>0</v>
      </c>
      <c r="CC9" s="50">
        <f>IF($AN9="N","N",SUM('調查資料(OUT)'!T15:T18))</f>
        <v>0</v>
      </c>
      <c r="CD9" s="50">
        <f>IF($AN9="N","N",SUM('調查資料(OUT)'!X15:X18))</f>
        <v>0</v>
      </c>
      <c r="CE9" s="56" t="e">
        <f t="shared" si="26"/>
        <v>#DIV/0!</v>
      </c>
      <c r="CF9" s="50">
        <f t="shared" si="27"/>
        <v>0</v>
      </c>
      <c r="CG9" s="50">
        <f>IF($AN9="N","N",SUM('調查資料(OUT)'!Q15:Q18))</f>
        <v>0</v>
      </c>
      <c r="CH9" s="50">
        <f>IF($AN9="N","N",SUM('調查資料(OUT)'!U15:U18))</f>
        <v>0</v>
      </c>
      <c r="CI9" s="50">
        <f>IF($AN9="N","N",SUM('調查資料(OUT)'!Y15:Y18))</f>
        <v>0</v>
      </c>
      <c r="CJ9" s="56" t="e">
        <f t="shared" si="28"/>
        <v>#DIV/0!</v>
      </c>
      <c r="CK9" s="50">
        <f t="shared" si="29"/>
        <v>0</v>
      </c>
      <c r="CL9" s="56" t="e">
        <f t="shared" si="30"/>
        <v>#DIV/0!</v>
      </c>
      <c r="CM9" s="50">
        <f t="shared" si="31"/>
        <v>0</v>
      </c>
      <c r="CN9" s="56" t="e">
        <f t="shared" si="32"/>
        <v>#DIV/0!</v>
      </c>
      <c r="CO9" s="50">
        <f t="shared" si="33"/>
        <v>0</v>
      </c>
      <c r="CP9" s="56" t="e">
        <f t="shared" si="34"/>
        <v>#DIV/0!</v>
      </c>
      <c r="CQ9" s="50">
        <f t="shared" si="35"/>
        <v>0</v>
      </c>
      <c r="CR9" s="50">
        <f t="shared" si="36"/>
        <v>0</v>
      </c>
      <c r="CS9" s="50">
        <f>IF($AN9="N","N",SUM('調查資料(OUT)'!Z15:Z18))</f>
        <v>0</v>
      </c>
      <c r="CT9" s="50">
        <f>IF($AN9="N","N",SUM('調查資料(OUT)'!AD15:AD18))</f>
        <v>0</v>
      </c>
      <c r="CU9" s="50">
        <f>IF($AN9="N","N",SUM('調查資料(OUT)'!AH15:AH18))</f>
        <v>0</v>
      </c>
      <c r="CV9" s="56" t="e">
        <f t="shared" si="37"/>
        <v>#DIV/0!</v>
      </c>
      <c r="CW9" s="50">
        <f t="shared" si="38"/>
        <v>0</v>
      </c>
      <c r="CX9" s="50">
        <f>IF($AN9="N","N",SUM('調查資料(OUT)'!AA15:AA18))</f>
        <v>0</v>
      </c>
      <c r="CY9" s="50">
        <f>IF($AN9="N","N",SUM('調查資料(OUT)'!AE15:AE18))</f>
        <v>0</v>
      </c>
      <c r="CZ9" s="50">
        <f>IF($AN9="N","N",SUM('調查資料(OUT)'!AI15:AI18))</f>
        <v>0</v>
      </c>
      <c r="DA9" s="56" t="e">
        <f t="shared" si="39"/>
        <v>#DIV/0!</v>
      </c>
      <c r="DB9" s="50">
        <f t="shared" si="40"/>
        <v>0</v>
      </c>
      <c r="DC9" s="50">
        <f>IF($AN9="N","N",SUM('調查資料(OUT)'!AB15:AB18))</f>
        <v>0</v>
      </c>
      <c r="DD9" s="50">
        <f>IF($AN9="N","N",SUM('調查資料(OUT)'!AF15:AF18))</f>
        <v>0</v>
      </c>
      <c r="DE9" s="50">
        <f>IF($AN9="N","N",SUM('調查資料(OUT)'!AJ15:AJ18))</f>
        <v>0</v>
      </c>
      <c r="DF9" s="56" t="e">
        <f t="shared" si="41"/>
        <v>#DIV/0!</v>
      </c>
      <c r="DG9" s="50">
        <f t="shared" si="42"/>
        <v>0</v>
      </c>
      <c r="DH9" s="50">
        <f>IF($AN9="N","N",SUM('調查資料(OUT)'!AC15:AC18))</f>
        <v>0</v>
      </c>
      <c r="DI9" s="50">
        <f>IF($AN9="N","N",SUM('調查資料(OUT)'!AG15:AG18))</f>
        <v>0</v>
      </c>
      <c r="DJ9" s="50">
        <f>IF($AN9="N","N",SUM('調查資料(OUT)'!AK15:AK18))</f>
        <v>0</v>
      </c>
      <c r="DK9" s="56" t="e">
        <f t="shared" si="43"/>
        <v>#DIV/0!</v>
      </c>
      <c r="DL9" s="50">
        <f t="shared" si="44"/>
        <v>0</v>
      </c>
      <c r="DM9" s="56" t="e">
        <f t="shared" si="45"/>
        <v>#DIV/0!</v>
      </c>
      <c r="DN9" s="50">
        <f t="shared" si="46"/>
        <v>0</v>
      </c>
      <c r="DO9" s="56" t="e">
        <f t="shared" si="47"/>
        <v>#DIV/0!</v>
      </c>
      <c r="DP9" s="50">
        <f t="shared" si="48"/>
        <v>0</v>
      </c>
      <c r="DQ9" s="56" t="e">
        <f t="shared" si="49"/>
        <v>#DIV/0!</v>
      </c>
      <c r="DR9" s="50">
        <f t="shared" si="50"/>
        <v>0</v>
      </c>
      <c r="DS9" s="50">
        <f t="shared" si="51"/>
        <v>0</v>
      </c>
      <c r="DT9" s="50">
        <f>IF($AN9="N","N",SUM('調查資料(OUT)'!AL15:AL18))</f>
        <v>0</v>
      </c>
      <c r="DU9" s="50">
        <f>IF($AN9="N","N",SUM('調查資料(OUT)'!AP15:AP18))</f>
        <v>0</v>
      </c>
      <c r="DV9" s="50">
        <f>IF($AN9="N","N",SUM('調查資料(OUT)'!AT15:AT18))</f>
        <v>0</v>
      </c>
      <c r="DW9" s="56" t="e">
        <f t="shared" si="52"/>
        <v>#DIV/0!</v>
      </c>
      <c r="DX9" s="50">
        <f t="shared" si="53"/>
        <v>0</v>
      </c>
      <c r="DY9" s="50">
        <f>IF($AN9="N","N",SUM('調查資料(OUT)'!AM15:AM18))</f>
        <v>0</v>
      </c>
      <c r="DZ9" s="50">
        <f>IF($AN9="N","N",SUM('調查資料(OUT)'!AQ15:AQ18))</f>
        <v>0</v>
      </c>
      <c r="EA9" s="50">
        <f>IF($AN9="N","N",SUM('調查資料(OUT)'!AU15:AU18))</f>
        <v>0</v>
      </c>
      <c r="EB9" s="56" t="e">
        <f t="shared" si="54"/>
        <v>#DIV/0!</v>
      </c>
      <c r="EC9" s="50">
        <f t="shared" si="55"/>
        <v>0</v>
      </c>
      <c r="ED9" s="50">
        <f>IF($AN9="N","N",SUM('調查資料(OUT)'!AN15:AN18))</f>
        <v>0</v>
      </c>
      <c r="EE9" s="50">
        <f>IF($AN9="N","N",SUM('調查資料(OUT)'!AR15:AR18))</f>
        <v>0</v>
      </c>
      <c r="EF9" s="50">
        <f>IF($AN9="N","N",SUM('調查資料(OUT)'!AV15:AV18))</f>
        <v>0</v>
      </c>
      <c r="EG9" s="56" t="e">
        <f t="shared" si="56"/>
        <v>#DIV/0!</v>
      </c>
      <c r="EH9" s="50">
        <f t="shared" si="57"/>
        <v>0</v>
      </c>
      <c r="EI9" s="50">
        <f>IF($AN9="N","N",SUM('調查資料(OUT)'!AO15:AO18))</f>
        <v>0</v>
      </c>
      <c r="EJ9" s="50">
        <f>IF($AN9="N","N",SUM('調查資料(OUT)'!AS15:AS18))</f>
        <v>0</v>
      </c>
      <c r="EK9" s="50">
        <f>IF($AN9="N","N",SUM('調查資料(OUT)'!AW15:AW18))</f>
        <v>0</v>
      </c>
      <c r="EL9" s="56" t="e">
        <f t="shared" si="58"/>
        <v>#DIV/0!</v>
      </c>
      <c r="EM9" s="50">
        <f t="shared" si="59"/>
        <v>0</v>
      </c>
      <c r="EN9" s="56" t="e">
        <f t="shared" si="60"/>
        <v>#DIV/0!</v>
      </c>
      <c r="EO9" s="50">
        <f t="shared" si="61"/>
        <v>0</v>
      </c>
      <c r="EP9" s="56" t="e">
        <f t="shared" si="62"/>
        <v>#DIV/0!</v>
      </c>
      <c r="EQ9" s="50">
        <f t="shared" si="63"/>
        <v>0</v>
      </c>
      <c r="ER9" s="56" t="e">
        <f t="shared" si="64"/>
        <v>#DIV/0!</v>
      </c>
      <c r="ES9" s="50">
        <f t="shared" si="65"/>
        <v>0</v>
      </c>
      <c r="ET9" s="50">
        <f t="shared" si="66"/>
        <v>0</v>
      </c>
      <c r="EU9" s="50">
        <f>IF($AN9="N","N",SUM('調查資料(OUT)'!AX15:AX18))</f>
        <v>0</v>
      </c>
      <c r="EV9" s="50">
        <f>IF($AN9="N","N",SUM('調查資料(OUT)'!BB15:BB18))</f>
        <v>0</v>
      </c>
      <c r="EW9" s="50">
        <f>IF($AN9="N","N",SUM('調查資料(OUT)'!BF15:BF18))</f>
        <v>0</v>
      </c>
      <c r="EX9" s="56" t="e">
        <f t="shared" si="67"/>
        <v>#DIV/0!</v>
      </c>
      <c r="EY9" s="50">
        <f t="shared" si="68"/>
        <v>0</v>
      </c>
      <c r="EZ9" s="50">
        <f>IF($AN9="N","N",SUM('調查資料(OUT)'!AY15:AY18))</f>
        <v>0</v>
      </c>
      <c r="FA9" s="50">
        <f>IF($AN9="N","N",SUM('調查資料(OUT)'!BC15:BC18))</f>
        <v>0</v>
      </c>
      <c r="FB9" s="50">
        <f>IF($AN9="N","N",SUM('調查資料(OUT)'!BG15:BG18))</f>
        <v>0</v>
      </c>
      <c r="FC9" s="56" t="e">
        <f t="shared" si="69"/>
        <v>#DIV/0!</v>
      </c>
      <c r="FD9" s="50">
        <f t="shared" si="70"/>
        <v>0</v>
      </c>
      <c r="FE9" s="50">
        <f>IF($AN9="N","N",SUM('調查資料(OUT)'!AZ15:AZ18))</f>
        <v>0</v>
      </c>
      <c r="FF9" s="50">
        <f>IF($AN9="N","N",SUM('調查資料(OUT)'!BD15:BD18))</f>
        <v>0</v>
      </c>
      <c r="FG9" s="50">
        <f>IF($AN9="N","N",SUM('調查資料(OUT)'!BH15:BH18))</f>
        <v>0</v>
      </c>
      <c r="FH9" s="56" t="e">
        <f t="shared" si="71"/>
        <v>#DIV/0!</v>
      </c>
      <c r="FI9" s="50">
        <f t="shared" si="72"/>
        <v>0</v>
      </c>
      <c r="FJ9" s="50">
        <f>IF($AN9="N","N",SUM('調查資料(OUT)'!BA15:BA18))</f>
        <v>0</v>
      </c>
      <c r="FK9" s="50">
        <f>IF($AN9="N","N",SUM('調查資料(OUT)'!BE15:BE18))</f>
        <v>0</v>
      </c>
      <c r="FL9" s="50">
        <f>IF($AN9="N","N",SUM('調查資料(OUT)'!BI15:BI18))</f>
        <v>0</v>
      </c>
      <c r="FM9" s="56" t="e">
        <f t="shared" si="73"/>
        <v>#DIV/0!</v>
      </c>
      <c r="FN9" s="50">
        <f t="shared" si="74"/>
        <v>0</v>
      </c>
      <c r="FO9" s="56" t="e">
        <f t="shared" si="75"/>
        <v>#DIV/0!</v>
      </c>
      <c r="FP9" s="50">
        <f t="shared" si="76"/>
        <v>0</v>
      </c>
      <c r="FQ9" s="56" t="e">
        <f t="shared" si="77"/>
        <v>#DIV/0!</v>
      </c>
      <c r="FR9" s="50">
        <f t="shared" si="78"/>
        <v>0</v>
      </c>
      <c r="FS9" s="56" t="e">
        <f t="shared" si="79"/>
        <v>#DIV/0!</v>
      </c>
      <c r="FT9" s="50">
        <f t="shared" si="80"/>
        <v>0</v>
      </c>
    </row>
    <row r="10" spans="1:176">
      <c r="A10" s="274">
        <f>'調查資料(OUT)'!A16</f>
        <v>115</v>
      </c>
      <c r="B10" s="50">
        <f t="shared" si="81"/>
        <v>0</v>
      </c>
      <c r="C10" s="50">
        <f>IFERROR('調查資料(OUT)'!$B$1*'調查資料(OUT)'!B16,0)+IFERROR('調查資料(OUT)'!$F$1*'調查資料(OUT)'!F16,0)+IFERROR('調查資料(OUT)'!$J$1*'調查資料(OUT)'!J16,0)</f>
        <v>0</v>
      </c>
      <c r="D10" s="50">
        <f>IFERROR('調查資料(OUT)'!$C$1*'調查資料(OUT)'!C16,0)+IFERROR('調查資料(OUT)'!$G$1*'調查資料(OUT)'!G16,0)+IFERROR('調查資料(OUT)'!$K$1*'調查資料(OUT)'!K16,0)</f>
        <v>0</v>
      </c>
      <c r="E10" s="50">
        <f>IFERROR('調查資料(OUT)'!$D$1*'調查資料(OUT)'!D16,0)+IFERROR('調查資料(OUT)'!$H$1*'調查資料(OUT)'!H16,0)+IFERROR('調查資料(OUT)'!$L$1*'調查資料(OUT)'!L16,0)</f>
        <v>0</v>
      </c>
      <c r="F10" s="252">
        <f>IFERROR('調查資料(OUT)'!$E$1*'調查資料(OUT)'!E16,0)+IFERROR('調查資料(OUT)'!$I$1*'調查資料(OUT)'!I16,0)+IFERROR('調查資料(OUT)'!$M$1*'調查資料(OUT)'!M16,0)</f>
        <v>0</v>
      </c>
      <c r="G10" s="50">
        <f t="shared" si="82"/>
        <v>0</v>
      </c>
      <c r="H10" s="50">
        <f>IFERROR('調查資料(OUT)'!$N$1*'調查資料(OUT)'!N16,0)+IFERROR('調查資料(OUT)'!$R$1*'調查資料(OUT)'!R16,0)+IFERROR('調查資料(OUT)'!$V$1*'調查資料(OUT)'!V16,0)</f>
        <v>0</v>
      </c>
      <c r="I10" s="50">
        <f>IFERROR('調查資料(OUT)'!$O$1*'調查資料(OUT)'!O16,0)+IFERROR('調查資料(OUT)'!$S$1*'調查資料(OUT)'!S16,0)+IFERROR('調查資料(OUT)'!$W$1*'調查資料(OUT)'!W16,0)</f>
        <v>0</v>
      </c>
      <c r="J10" s="50">
        <f>IFERROR('調查資料(OUT)'!$P$1*'調查資料(OUT)'!P16,0)+IFERROR('調查資料(OUT)'!$T$1*'調查資料(OUT)'!T16,0)+IFERROR('調查資料(OUT)'!$X$1*'調查資料(OUT)'!X16,0)</f>
        <v>0</v>
      </c>
      <c r="K10" s="252">
        <f>IFERROR('調查資料(OUT)'!$Q$1*'調查資料(OUT)'!Q16,0)+IFERROR('調查資料(OUT)'!$U$1*'調查資料(OUT)'!U16,0)+IFERROR('調查資料(OUT)'!$Y$1*'調查資料(OUT)'!Y16,0)</f>
        <v>0</v>
      </c>
      <c r="L10" s="50">
        <f t="shared" si="83"/>
        <v>0</v>
      </c>
      <c r="M10" s="50">
        <f>IFERROR('調查資料(OUT)'!$Z$1*'調查資料(OUT)'!Z16,0)+IFERROR('調查資料(OUT)'!$AD$1*'調查資料(OUT)'!AD16,0)+IFERROR('調查資料(OUT)'!$AH$1*'調查資料(OUT)'!AH16,0)</f>
        <v>0</v>
      </c>
      <c r="N10" s="50">
        <f>IFERROR('調查資料(OUT)'!$AA$1*'調查資料(OUT)'!AA16,0)+IFERROR('調查資料(OUT)'!$AE$1*'調查資料(OUT)'!AE16,0)+IFERROR('調查資料(OUT)'!$AI$1*'調查資料(OUT)'!AI16,0)</f>
        <v>0</v>
      </c>
      <c r="O10" s="50">
        <f>IFERROR('調查資料(OUT)'!$AB$1*'調查資料(OUT)'!AB16,0)+IFERROR('調查資料(OUT)'!$AF$1*'調查資料(OUT)'!AF16,0)+IFERROR('調查資料(OUT)'!$AJ$1*'調查資料(OUT)'!AJ16,0)</f>
        <v>0</v>
      </c>
      <c r="P10" s="252">
        <f>IFERROR('調查資料(OUT)'!$AC$1*'調查資料(OUT)'!AC16,0)+IFERROR('調查資料(OUT)'!$AG$1*'調查資料(OUT)'!AG16,0)+IFERROR('調查資料(OUT)'!$AK$1*'調查資料(OUT)'!AK16,0)</f>
        <v>0</v>
      </c>
      <c r="Q10" s="50">
        <f t="shared" si="84"/>
        <v>0</v>
      </c>
      <c r="R10" s="50">
        <f>IFERROR('調查資料(OUT)'!$AL$1*'調查資料(OUT)'!AL16,0)+IFERROR('調查資料(OUT)'!$AP$1*'調查資料(OUT)'!AP16,0)+IFERROR('調查資料(OUT)'!$AT$1*'調查資料(OUT)'!AT16,0)</f>
        <v>0</v>
      </c>
      <c r="S10" s="50">
        <f>IFERROR('調查資料(OUT)'!$AM$1*'調查資料(OUT)'!AM16,0)+IFERROR('調查資料(OUT)'!$AQ$1*'調查資料(OUT)'!AQ16,0)+IFERROR('調查資料(OUT)'!$AU$1*'調查資料(OUT)'!AU16,0)</f>
        <v>0</v>
      </c>
      <c r="T10" s="50">
        <f>IFERROR('調查資料(OUT)'!$AN$1*'調查資料(OUT)'!AN16,0)+IFERROR('調查資料(OUT)'!$AR$1*'調查資料(OUT)'!AR16,0)+IFERROR('調查資料(OUT)'!$AV$1*'調查資料(OUT)'!AV16,0)</f>
        <v>0</v>
      </c>
      <c r="U10" s="252">
        <f>IFERROR('調查資料(OUT)'!$AO$1*'調查資料(OUT)'!AO16,0)+IFERROR('調查資料(OUT)'!$AS$1*'調查資料(OUT)'!AS16,0)+IFERROR('調查資料(OUT)'!$AW$1*'調查資料(OUT)'!AW16,0)</f>
        <v>0</v>
      </c>
      <c r="V10" s="50">
        <f t="shared" si="85"/>
        <v>0</v>
      </c>
      <c r="W10" s="50">
        <f>IFERROR('調查資料(OUT)'!$AX$1*'調查資料(OUT)'!AX16,0)+IFERROR('調查資料(OUT)'!$BB$1*'調查資料(OUT)'!BB16,0)+IFERROR('調查資料(OUT)'!$BF$1*'調查資料(OUT)'!BF16,0)</f>
        <v>0</v>
      </c>
      <c r="X10" s="50">
        <f>IFERROR('調查資料(OUT)'!$AY$1*'調查資料(OUT)'!AY16,0)+IFERROR('調查資料(OUT)'!$BC$1*'調查資料(OUT)'!BC16,0)+IFERROR('調查資料(OUT)'!$BG$1*'調查資料(OUT)'!BG16,0)</f>
        <v>0</v>
      </c>
      <c r="Y10" s="50">
        <f>IFERROR('調查資料(OUT)'!$AZ$1*'調查資料(OUT)'!AZ16,0)+IFERROR('調查資料(OUT)'!$BD$1*'調查資料(OUT)'!BD16,0)+IFERROR('調查資料(OUT)'!$BH$1*'調查資料(OUT)'!BH16,0)</f>
        <v>0</v>
      </c>
      <c r="Z10" s="252">
        <f>IFERROR('調查資料(OUT)'!$BA$1*'調查資料(OUT)'!BA16,0)+IFERROR('調查資料(OUT)'!$BE$1*'調查資料(OUT)'!BE16,0)+IFERROR('調查資料(OUT)'!$BI$1*'調查資料(OUT)'!BI16,0)</f>
        <v>0</v>
      </c>
      <c r="AA10" s="253">
        <f t="shared" si="86"/>
        <v>0</v>
      </c>
      <c r="AC10" s="251">
        <f>'調查資料(OUT)'!A16</f>
        <v>115</v>
      </c>
      <c r="AD10" s="254">
        <f t="shared" ref="AD10:AD28" si="91">AC10+100</f>
        <v>215</v>
      </c>
      <c r="AE10" s="50">
        <f t="shared" ref="AE10:AE28" si="92">SUM(AA10:AA13)</f>
        <v>0</v>
      </c>
      <c r="AF10" s="255"/>
      <c r="AG10" s="50">
        <f t="shared" si="1"/>
        <v>0</v>
      </c>
      <c r="AH10" s="256" t="e">
        <f t="shared" si="2"/>
        <v>#DIV/0!</v>
      </c>
      <c r="AI10" s="256" t="e">
        <f t="shared" si="3"/>
        <v>#DIV/0!</v>
      </c>
      <c r="AJ10" s="256" t="e">
        <f t="shared" si="4"/>
        <v>#DIV/0!</v>
      </c>
      <c r="AK10" s="256" t="e">
        <f t="shared" si="5"/>
        <v>#DIV/0!</v>
      </c>
      <c r="AL10" s="256" t="e">
        <f t="shared" si="6"/>
        <v>#DIV/0!</v>
      </c>
      <c r="AM10" s="257"/>
      <c r="AN10" s="50">
        <f t="shared" si="7"/>
        <v>115</v>
      </c>
      <c r="AO10" s="252">
        <f t="shared" si="8"/>
        <v>215</v>
      </c>
      <c r="AP10" s="50">
        <f t="shared" ref="AP10:AP28" si="93">IF($AN10="N","N",SUM(C10:C13))</f>
        <v>0</v>
      </c>
      <c r="AQ10" s="50">
        <f>IF($AN10="N","N",SUM('調查資料(OUT)'!B16:B19))</f>
        <v>0</v>
      </c>
      <c r="AR10" s="50">
        <f>IF($AN10="N","N",SUM('調查資料(OUT)'!F16:F19))</f>
        <v>0</v>
      </c>
      <c r="AS10" s="50">
        <f>IF($AN10="N","N",SUM('調查資料(OUT)'!J16:J19))</f>
        <v>0</v>
      </c>
      <c r="AT10" s="56" t="e">
        <f t="shared" ref="AT10:AT28" si="94">IF($AN10="N","N",(AP10/$BP10)*100)</f>
        <v>#DIV/0!</v>
      </c>
      <c r="AU10" s="50">
        <f t="shared" ref="AU10:AU28" si="95">IF($AN10="N","N",SUM(D10:D13))</f>
        <v>0</v>
      </c>
      <c r="AV10" s="50">
        <f>IF($AN10="N","N",SUM('調查資料(OUT)'!C16:C19))</f>
        <v>0</v>
      </c>
      <c r="AW10" s="50">
        <f>IF($AN10="N","N",SUM('調查資料(OUT)'!G16:G19))</f>
        <v>0</v>
      </c>
      <c r="AX10" s="50">
        <f>IF($AN10="N","N",SUM('調查資料(OUT)'!K16:K19))</f>
        <v>0</v>
      </c>
      <c r="AY10" s="56" t="e">
        <f t="shared" ref="AY10:AY28" si="96">IF($AN10="N","N",(AU10/$BP10)*100)</f>
        <v>#DIV/0!</v>
      </c>
      <c r="AZ10" s="50">
        <f t="shared" ref="AZ10:AZ28" si="97">IF($AN10="N","N",SUM(E10:E13))</f>
        <v>0</v>
      </c>
      <c r="BA10" s="50">
        <f>IF($AN10="N","N",SUM('調查資料(OUT)'!D16:D19))</f>
        <v>0</v>
      </c>
      <c r="BB10" s="50">
        <f>IF($AN10="N","N",SUM('調查資料(OUT)'!H16:H19))</f>
        <v>0</v>
      </c>
      <c r="BC10" s="50">
        <f>IF($AN10="N","N",SUM('調查資料(OUT)'!L16:L19))</f>
        <v>0</v>
      </c>
      <c r="BD10" s="56" t="e">
        <f t="shared" ref="BD10:BD28" si="98">IF($AN10="N","N",(AZ10/$BP10)*100)</f>
        <v>#DIV/0!</v>
      </c>
      <c r="BE10" s="50">
        <f t="shared" ref="BE10:BE28" si="99">IF($AN10="N","N",SUM(F10:F13))</f>
        <v>0</v>
      </c>
      <c r="BF10" s="50">
        <f>IF($AN10="N","N",SUM('調查資料(OUT)'!E16:E19))</f>
        <v>0</v>
      </c>
      <c r="BG10" s="50">
        <f>IF($AN10="N","N",SUM('調查資料(OUT)'!I16:I19))</f>
        <v>0</v>
      </c>
      <c r="BH10" s="50">
        <f>IF($AN10="N","N",SUM('調查資料(OUT)'!M16:M19))</f>
        <v>0</v>
      </c>
      <c r="BI10" s="56" t="e">
        <f t="shared" ref="BI10:BI28" si="100">IF($AN10="N","N",(BE10/$BP10)*100)</f>
        <v>#DIV/0!</v>
      </c>
      <c r="BJ10" s="50">
        <f t="shared" ref="BJ10:BJ28" si="101">IF($AN10="N","N",AQ10+AV10+BA10+BF10)</f>
        <v>0</v>
      </c>
      <c r="BK10" s="56" t="e">
        <f t="shared" ref="BK10:BK28" si="102">IF($AN10="N","N",(BJ10/($BJ10+$BL10+$BN10))*100)</f>
        <v>#DIV/0!</v>
      </c>
      <c r="BL10" s="50">
        <f t="shared" ref="BL10:BL28" si="103">IF($AN10="N","N",AR10+AW10+BB10+BG10)</f>
        <v>0</v>
      </c>
      <c r="BM10" s="56" t="e">
        <f t="shared" ref="BM10:BM28" si="104">IF($AN10="N","N",(BL10/($BJ10+$BL10+$BN10))*100)</f>
        <v>#DIV/0!</v>
      </c>
      <c r="BN10" s="50">
        <f t="shared" ref="BN10:BN28" si="105">IF($AN10="N","N",AS10+AX10+BC10+BH10)</f>
        <v>0</v>
      </c>
      <c r="BO10" s="56" t="e">
        <f t="shared" ref="BO10:BO28" si="106">IF($AN10="N","N",(BN10/($BJ10+$BL10+$BN10))*100)</f>
        <v>#DIV/0!</v>
      </c>
      <c r="BP10" s="50">
        <f t="shared" ref="BP10:BP28" si="107">IF($AN10="N","N",AP10+AU10+AZ10+BE10)</f>
        <v>0</v>
      </c>
      <c r="BQ10" s="50">
        <f t="shared" ref="BQ10:BQ28" si="108">IF($AN10="N","N",SUM(H10:H13))</f>
        <v>0</v>
      </c>
      <c r="BR10" s="50">
        <f>IF($AN10="N","N",SUM('調查資料(OUT)'!N16:N19))</f>
        <v>0</v>
      </c>
      <c r="BS10" s="50">
        <f>IF($AN10="N","N",SUM('調查資料(OUT)'!R16:R19))</f>
        <v>0</v>
      </c>
      <c r="BT10" s="50">
        <f>IF($AN10="N","N",SUM('調查資料(OUT)'!V16:V19))</f>
        <v>0</v>
      </c>
      <c r="BU10" s="56" t="e">
        <f t="shared" ref="BU10:BU28" si="109">IF($AN10="N","N",(BQ10/CQ10)*100)</f>
        <v>#DIV/0!</v>
      </c>
      <c r="BV10" s="50">
        <f t="shared" ref="BV10:BV28" si="110">IF($AN10="N","N",SUM(I10:I13))</f>
        <v>0</v>
      </c>
      <c r="BW10" s="50">
        <f>IF($AN10="N","N",SUM('調查資料(OUT)'!O16:O19))</f>
        <v>0</v>
      </c>
      <c r="BX10" s="50">
        <f>IF($AN10="N","N",SUM('調查資料(OUT)'!S16:S19))</f>
        <v>0</v>
      </c>
      <c r="BY10" s="50">
        <f>IF($AN10="N","N",SUM('調查資料(OUT)'!W16:W19))</f>
        <v>0</v>
      </c>
      <c r="BZ10" s="56" t="e">
        <f t="shared" ref="BZ10:BZ28" si="111">IF($AN10="N","N",(BV10/$CQ10)*100)</f>
        <v>#DIV/0!</v>
      </c>
      <c r="CA10" s="50">
        <f t="shared" ref="CA10:CA28" si="112">IF($AN10="N","N",SUM(J10:J13))</f>
        <v>0</v>
      </c>
      <c r="CB10" s="50">
        <f>IF($AN10="N","N",SUM('調查資料(OUT)'!P16:P19))</f>
        <v>0</v>
      </c>
      <c r="CC10" s="50">
        <f>IF($AN10="N","N",SUM('調查資料(OUT)'!T16:T19))</f>
        <v>0</v>
      </c>
      <c r="CD10" s="50">
        <f>IF($AN10="N","N",SUM('調查資料(OUT)'!X16:X19))</f>
        <v>0</v>
      </c>
      <c r="CE10" s="56" t="e">
        <f t="shared" ref="CE10:CE28" si="113">IF($AN10="N","N",(CA10/$CQ10)*100)</f>
        <v>#DIV/0!</v>
      </c>
      <c r="CF10" s="50">
        <f t="shared" ref="CF10:CF28" si="114">IF($AN10="N","N",SUM(K10:K13))</f>
        <v>0</v>
      </c>
      <c r="CG10" s="50">
        <f>IF($AN10="N","N",SUM('調查資料(OUT)'!Q16:Q19))</f>
        <v>0</v>
      </c>
      <c r="CH10" s="50">
        <f>IF($AN10="N","N",SUM('調查資料(OUT)'!U16:U19))</f>
        <v>0</v>
      </c>
      <c r="CI10" s="50">
        <f>IF($AN10="N","N",SUM('調查資料(OUT)'!Y16:Y19))</f>
        <v>0</v>
      </c>
      <c r="CJ10" s="56" t="e">
        <f t="shared" ref="CJ10:CJ28" si="115">IF($AN10="N","N",(CF10/CQ10)*100)</f>
        <v>#DIV/0!</v>
      </c>
      <c r="CK10" s="50">
        <f t="shared" ref="CK10:CK28" si="116">IF($AN10="N","N",BR10+BW10+CB10+CG10)</f>
        <v>0</v>
      </c>
      <c r="CL10" s="56" t="e">
        <f t="shared" ref="CL10:CL28" si="117">IF($AN10="N","N",(CK10/($CK10+$CM10+$CO10))*100)</f>
        <v>#DIV/0!</v>
      </c>
      <c r="CM10" s="50">
        <f t="shared" ref="CM10:CM28" si="118">IF($AN10="N","N",BS10+BX10+CC10+CH10)</f>
        <v>0</v>
      </c>
      <c r="CN10" s="56" t="e">
        <f t="shared" ref="CN10:CN28" si="119">IF($AN10="N","N",(CM10/($CK10+$CM10+$CO10))*100)</f>
        <v>#DIV/0!</v>
      </c>
      <c r="CO10" s="50">
        <f t="shared" ref="CO10:CO28" si="120">IF($AN10="N","N",BT10+BY10+CD10+CI10)</f>
        <v>0</v>
      </c>
      <c r="CP10" s="56" t="e">
        <f t="shared" ref="CP10:CP28" si="121">IF($AN10="N","N",(CO10/($CK10+$CM10+$CO10))*100)</f>
        <v>#DIV/0!</v>
      </c>
      <c r="CQ10" s="50">
        <f t="shared" ref="CQ10:CQ28" si="122">IF($AN10="N","N",BQ10+BV10+CA10+CF10)</f>
        <v>0</v>
      </c>
      <c r="CR10" s="50">
        <f t="shared" ref="CR10:CR28" si="123">IF($AN10="N","N",SUM(M10:M13))</f>
        <v>0</v>
      </c>
      <c r="CS10" s="50">
        <f>IF($AN10="N","N",SUM('調查資料(OUT)'!Z16:Z19))</f>
        <v>0</v>
      </c>
      <c r="CT10" s="50">
        <f>IF($AN10="N","N",SUM('調查資料(OUT)'!AD16:AD19))</f>
        <v>0</v>
      </c>
      <c r="CU10" s="50">
        <f>IF($AN10="N","N",SUM('調查資料(OUT)'!AH16:AH19))</f>
        <v>0</v>
      </c>
      <c r="CV10" s="56" t="e">
        <f t="shared" ref="CV10:CV28" si="124">IF($AN10="N","N",(CR10/DR10)*100)</f>
        <v>#DIV/0!</v>
      </c>
      <c r="CW10" s="50">
        <f t="shared" ref="CW10:CW28" si="125">IF($AN10="N","N",SUM(N10:N13))</f>
        <v>0</v>
      </c>
      <c r="CX10" s="50">
        <f>IF($AN10="N","N",SUM('調查資料(OUT)'!AA16:AA19))</f>
        <v>0</v>
      </c>
      <c r="CY10" s="50">
        <f>IF($AN10="N","N",SUM('調查資料(OUT)'!AE16:AE19))</f>
        <v>0</v>
      </c>
      <c r="CZ10" s="50">
        <f>IF($AN10="N","N",SUM('調查資料(OUT)'!AI16:AI19))</f>
        <v>0</v>
      </c>
      <c r="DA10" s="56" t="e">
        <f t="shared" ref="DA10:DA28" si="126">IF($AN10="N","N",(CW10/$DR10)*100)</f>
        <v>#DIV/0!</v>
      </c>
      <c r="DB10" s="50">
        <f t="shared" ref="DB10:DB28" si="127">IF($AN10="N","N",SUM(O10:O13))</f>
        <v>0</v>
      </c>
      <c r="DC10" s="50">
        <f>IF($AN10="N","N",SUM('調查資料(OUT)'!AB16:AB19))</f>
        <v>0</v>
      </c>
      <c r="DD10" s="50">
        <f>IF($AN10="N","N",SUM('調查資料(OUT)'!AF16:AF19))</f>
        <v>0</v>
      </c>
      <c r="DE10" s="50">
        <f>IF($AN10="N","N",SUM('調查資料(OUT)'!AJ16:AJ19))</f>
        <v>0</v>
      </c>
      <c r="DF10" s="56" t="e">
        <f t="shared" ref="DF10:DF28" si="128">IF($AN10="N","N",(DB10/$DR10)*100)</f>
        <v>#DIV/0!</v>
      </c>
      <c r="DG10" s="50">
        <f t="shared" ref="DG10:DG28" si="129">IF($AN10="N","N",SUM(P10:P13))</f>
        <v>0</v>
      </c>
      <c r="DH10" s="50">
        <f>IF($AN10="N","N",SUM('調查資料(OUT)'!AC16:AC19))</f>
        <v>0</v>
      </c>
      <c r="DI10" s="50">
        <f>IF($AN10="N","N",SUM('調查資料(OUT)'!AG16:AG19))</f>
        <v>0</v>
      </c>
      <c r="DJ10" s="50">
        <f>IF($AN10="N","N",SUM('調查資料(OUT)'!AK16:AK19))</f>
        <v>0</v>
      </c>
      <c r="DK10" s="56" t="e">
        <f t="shared" ref="DK10:DK28" si="130">IF($AN10="N","N",(DG10/DR10)*100)</f>
        <v>#DIV/0!</v>
      </c>
      <c r="DL10" s="50">
        <f t="shared" ref="DL10:DL28" si="131">IF($AN10="N","N",CS10+CX10+DC10+DH10)</f>
        <v>0</v>
      </c>
      <c r="DM10" s="56" t="e">
        <f t="shared" ref="DM10:DM28" si="132">IF($AN10="N","N",(DL10/($DL10+$DN10+$DP10))*100)</f>
        <v>#DIV/0!</v>
      </c>
      <c r="DN10" s="50">
        <f t="shared" ref="DN10:DN28" si="133">IF($AN10="N","N",CT10+CY10+DD10+DI10)</f>
        <v>0</v>
      </c>
      <c r="DO10" s="56" t="e">
        <f t="shared" ref="DO10:DO28" si="134">IF($AN10="N","N",(DN10/($DL10+$DN10+$DP10))*100)</f>
        <v>#DIV/0!</v>
      </c>
      <c r="DP10" s="50">
        <f t="shared" ref="DP10:DP28" si="135">IF($AN10="N","N",CU10+CZ10+DE10+DJ10)</f>
        <v>0</v>
      </c>
      <c r="DQ10" s="56" t="e">
        <f t="shared" ref="DQ10:DQ28" si="136">IF($AN10="N","N",(DP10/($DL10+$DN10+$DP10))*100)</f>
        <v>#DIV/0!</v>
      </c>
      <c r="DR10" s="50">
        <f t="shared" ref="DR10:DR28" si="137">IF($AN10="N","N",CR10+CW10+DB10+DG10)</f>
        <v>0</v>
      </c>
      <c r="DS10" s="50">
        <f t="shared" ref="DS10:DS28" si="138">IF($AN10="N","N",SUM(R10:R13))</f>
        <v>0</v>
      </c>
      <c r="DT10" s="50">
        <f>IF($AN10="N","N",SUM('調查資料(OUT)'!AL16:AL19))</f>
        <v>0</v>
      </c>
      <c r="DU10" s="50">
        <f>IF($AN10="N","N",SUM('調查資料(OUT)'!AP16:AP19))</f>
        <v>0</v>
      </c>
      <c r="DV10" s="50">
        <f>IF($AN10="N","N",SUM('調查資料(OUT)'!AT16:AT19))</f>
        <v>0</v>
      </c>
      <c r="DW10" s="56" t="e">
        <f t="shared" ref="DW10:DW28" si="139">IF($AN10="N","N",(DS10/ES10)*100)</f>
        <v>#DIV/0!</v>
      </c>
      <c r="DX10" s="50">
        <f t="shared" ref="DX10:DX28" si="140">IF($AN10="N","N",SUM(S10:S13))</f>
        <v>0</v>
      </c>
      <c r="DY10" s="50">
        <f>IF($AN10="N","N",SUM('調查資料(OUT)'!AM16:AM19))</f>
        <v>0</v>
      </c>
      <c r="DZ10" s="50">
        <f>IF($AN10="N","N",SUM('調查資料(OUT)'!AQ16:AQ19))</f>
        <v>0</v>
      </c>
      <c r="EA10" s="50">
        <f>IF($AN10="N","N",SUM('調查資料(OUT)'!AU16:AU19))</f>
        <v>0</v>
      </c>
      <c r="EB10" s="56" t="e">
        <f t="shared" ref="EB10:EB28" si="141">IF($AN10="N","N",(DX10/$ES10)*100)</f>
        <v>#DIV/0!</v>
      </c>
      <c r="EC10" s="50">
        <f t="shared" ref="EC10:EC28" si="142">IF($AN10="N","N",SUM(T10:T13))</f>
        <v>0</v>
      </c>
      <c r="ED10" s="50">
        <f>IF($AN10="N","N",SUM('調查資料(OUT)'!AN16:AN19))</f>
        <v>0</v>
      </c>
      <c r="EE10" s="50">
        <f>IF($AN10="N","N",SUM('調查資料(OUT)'!AR16:AR19))</f>
        <v>0</v>
      </c>
      <c r="EF10" s="50">
        <f>IF($AN10="N","N",SUM('調查資料(OUT)'!AV16:AV19))</f>
        <v>0</v>
      </c>
      <c r="EG10" s="56" t="e">
        <f t="shared" ref="EG10:EG28" si="143">IF($AN10="N","N",(EC10/$ES10)*100)</f>
        <v>#DIV/0!</v>
      </c>
      <c r="EH10" s="50">
        <f t="shared" ref="EH10:EH28" si="144">IF($AN10="N","N",SUM(U10:U13))</f>
        <v>0</v>
      </c>
      <c r="EI10" s="50">
        <f>IF($AN10="N","N",SUM('調查資料(OUT)'!AO16:AO19))</f>
        <v>0</v>
      </c>
      <c r="EJ10" s="50">
        <f>IF($AN10="N","N",SUM('調查資料(OUT)'!AS16:AS19))</f>
        <v>0</v>
      </c>
      <c r="EK10" s="50">
        <f>IF($AN10="N","N",SUM('調查資料(OUT)'!AW16:AW19))</f>
        <v>0</v>
      </c>
      <c r="EL10" s="56" t="e">
        <f t="shared" ref="EL10:EL28" si="145">IF($AN10="N","N",(EH10/ES10)*100)</f>
        <v>#DIV/0!</v>
      </c>
      <c r="EM10" s="50">
        <f t="shared" ref="EM10:EM28" si="146">IF($AN10="N","N",DT10+DY10+ED10+EI10)</f>
        <v>0</v>
      </c>
      <c r="EN10" s="56" t="e">
        <f t="shared" ref="EN10:EN28" si="147">IF($AN10="N","N",(EM10/($EM10+$EO10+$EQ10))*100)</f>
        <v>#DIV/0!</v>
      </c>
      <c r="EO10" s="50">
        <f t="shared" ref="EO10:EO28" si="148">IF($AN10="N","N",DU10+DZ10+EE10+EJ10)</f>
        <v>0</v>
      </c>
      <c r="EP10" s="56" t="e">
        <f t="shared" ref="EP10:EP28" si="149">IF($AN10="N","N",(EO10/($EM10+$EO10+$EQ10))*100)</f>
        <v>#DIV/0!</v>
      </c>
      <c r="EQ10" s="50">
        <f t="shared" ref="EQ10:EQ28" si="150">IF($AN10="N","N",DV10+EA10+EF10+EK10)</f>
        <v>0</v>
      </c>
      <c r="ER10" s="56" t="e">
        <f t="shared" ref="ER10:ER28" si="151">IF($AN10="N","N",(EQ10/($EM10+$EO10+$EQ10))*100)</f>
        <v>#DIV/0!</v>
      </c>
      <c r="ES10" s="50">
        <f t="shared" ref="ES10:ES28" si="152">IF($AN10="N","N",DS10+DX10+EC10+EH10)</f>
        <v>0</v>
      </c>
      <c r="ET10" s="50">
        <f t="shared" ref="ET10:ET28" si="153">IF($AN10="N","N",SUM(W10:W13))</f>
        <v>0</v>
      </c>
      <c r="EU10" s="50">
        <f>IF($AN10="N","N",SUM('調查資料(OUT)'!AX16:AX19))</f>
        <v>0</v>
      </c>
      <c r="EV10" s="50">
        <f>IF($AN10="N","N",SUM('調查資料(OUT)'!BB16:BB19))</f>
        <v>0</v>
      </c>
      <c r="EW10" s="50">
        <f>IF($AN10="N","N",SUM('調查資料(OUT)'!BF16:BF19))</f>
        <v>0</v>
      </c>
      <c r="EX10" s="56" t="e">
        <f t="shared" ref="EX10:EX28" si="154">IF($AN10="N","N",(ET10/FT10)*100)</f>
        <v>#DIV/0!</v>
      </c>
      <c r="EY10" s="50">
        <f t="shared" ref="EY10:EY28" si="155">IF($AN10="N","N",SUM(X10:X13))</f>
        <v>0</v>
      </c>
      <c r="EZ10" s="50">
        <f>IF($AN10="N","N",SUM('調查資料(OUT)'!AY16:AY19))</f>
        <v>0</v>
      </c>
      <c r="FA10" s="50">
        <f>IF($AN10="N","N",SUM('調查資料(OUT)'!BC16:BC19))</f>
        <v>0</v>
      </c>
      <c r="FB10" s="50">
        <f>IF($AN10="N","N",SUM('調查資料(OUT)'!BG16:BG19))</f>
        <v>0</v>
      </c>
      <c r="FC10" s="56" t="e">
        <f t="shared" ref="FC10:FC28" si="156">IF($AN10="N","N",(EY10/$FT10)*100)</f>
        <v>#DIV/0!</v>
      </c>
      <c r="FD10" s="50">
        <f t="shared" ref="FD10:FD28" si="157">IF($AN10="N","N",SUM(Y10:Y13))</f>
        <v>0</v>
      </c>
      <c r="FE10" s="50">
        <f>IF($AN10="N","N",SUM('調查資料(OUT)'!AZ16:AZ19))</f>
        <v>0</v>
      </c>
      <c r="FF10" s="50">
        <f>IF($AN10="N","N",SUM('調查資料(OUT)'!BD16:BD19))</f>
        <v>0</v>
      </c>
      <c r="FG10" s="50">
        <f>IF($AN10="N","N",SUM('調查資料(OUT)'!BH16:BH19))</f>
        <v>0</v>
      </c>
      <c r="FH10" s="56" t="e">
        <f t="shared" ref="FH10:FH28" si="158">IF($AN10="N","N",(FD10/$FT10)*100)</f>
        <v>#DIV/0!</v>
      </c>
      <c r="FI10" s="50">
        <f t="shared" ref="FI10:FI28" si="159">IF($AN10="N","N",SUM(Z10:Z13))</f>
        <v>0</v>
      </c>
      <c r="FJ10" s="50">
        <f>IF($AN10="N","N",SUM('調查資料(OUT)'!BA16:BA19))</f>
        <v>0</v>
      </c>
      <c r="FK10" s="50">
        <f>IF($AN10="N","N",SUM('調查資料(OUT)'!BE16:BE19))</f>
        <v>0</v>
      </c>
      <c r="FL10" s="50">
        <f>IF($AN10="N","N",SUM('調查資料(OUT)'!BI16:BI19))</f>
        <v>0</v>
      </c>
      <c r="FM10" s="56" t="e">
        <f t="shared" ref="FM10:FM28" si="160">IF($AN10="N","N",(FI10/FT10)*100)</f>
        <v>#DIV/0!</v>
      </c>
      <c r="FN10" s="50">
        <f t="shared" ref="FN10:FN28" si="161">IF($AN10="N","N",EU10+EZ10+FE10+FJ10)</f>
        <v>0</v>
      </c>
      <c r="FO10" s="56" t="e">
        <f t="shared" ref="FO10:FO28" si="162">IF($AN10="N","N",(FN10/($FN10+$FP10+$FR10))*100)</f>
        <v>#DIV/0!</v>
      </c>
      <c r="FP10" s="50">
        <f t="shared" ref="FP10:FP28" si="163">IF($AN10="N","N",EV10+FA10+FF10+FK10)</f>
        <v>0</v>
      </c>
      <c r="FQ10" s="56" t="e">
        <f t="shared" ref="FQ10:FQ28" si="164">IF($AN10="N","N",(FP10/($FN10+$FP10+$FR10))*100)</f>
        <v>#DIV/0!</v>
      </c>
      <c r="FR10" s="50">
        <f t="shared" ref="FR10:FR28" si="165">IF($AN10="N","N",EW10+FB10+FG10+FL10)</f>
        <v>0</v>
      </c>
      <c r="FS10" s="56" t="e">
        <f t="shared" ref="FS10:FS28" si="166">IF($AN10="N","N",(FR10/($FN10+$FP10+$FR10))*100)</f>
        <v>#DIV/0!</v>
      </c>
      <c r="FT10" s="50">
        <f t="shared" ref="FT10:FT28" si="167">IF($AN10="N","N",ET10+EY10+FD10+FI10)</f>
        <v>0</v>
      </c>
    </row>
    <row r="11" spans="1:176">
      <c r="A11" s="274">
        <f>'調查資料(OUT)'!A17</f>
        <v>130</v>
      </c>
      <c r="B11" s="50">
        <f t="shared" si="81"/>
        <v>0</v>
      </c>
      <c r="C11" s="50">
        <f>IFERROR('調查資料(OUT)'!$B$1*'調查資料(OUT)'!B17,0)+IFERROR('調查資料(OUT)'!$F$1*'調查資料(OUT)'!F17,0)+IFERROR('調查資料(OUT)'!$J$1*'調查資料(OUT)'!J17,0)</f>
        <v>0</v>
      </c>
      <c r="D11" s="50">
        <f>IFERROR('調查資料(OUT)'!$C$1*'調查資料(OUT)'!C17,0)+IFERROR('調查資料(OUT)'!$G$1*'調查資料(OUT)'!G17,0)+IFERROR('調查資料(OUT)'!$K$1*'調查資料(OUT)'!K17,0)</f>
        <v>0</v>
      </c>
      <c r="E11" s="50">
        <f>IFERROR('調查資料(OUT)'!$D$1*'調查資料(OUT)'!D17,0)+IFERROR('調查資料(OUT)'!$H$1*'調查資料(OUT)'!H17,0)+IFERROR('調查資料(OUT)'!$L$1*'調查資料(OUT)'!L17,0)</f>
        <v>0</v>
      </c>
      <c r="F11" s="252">
        <f>IFERROR('調查資料(OUT)'!$E$1*'調查資料(OUT)'!E17,0)+IFERROR('調查資料(OUT)'!$I$1*'調查資料(OUT)'!I17,0)+IFERROR('調查資料(OUT)'!$M$1*'調查資料(OUT)'!M17,0)</f>
        <v>0</v>
      </c>
      <c r="G11" s="50">
        <f t="shared" si="82"/>
        <v>0</v>
      </c>
      <c r="H11" s="50">
        <f>IFERROR('調查資料(OUT)'!$N$1*'調查資料(OUT)'!N17,0)+IFERROR('調查資料(OUT)'!$R$1*'調查資料(OUT)'!R17,0)+IFERROR('調查資料(OUT)'!$V$1*'調查資料(OUT)'!V17,0)</f>
        <v>0</v>
      </c>
      <c r="I11" s="50">
        <f>IFERROR('調查資料(OUT)'!$O$1*'調查資料(OUT)'!O17,0)+IFERROR('調查資料(OUT)'!$S$1*'調查資料(OUT)'!S17,0)+IFERROR('調查資料(OUT)'!$W$1*'調查資料(OUT)'!W17,0)</f>
        <v>0</v>
      </c>
      <c r="J11" s="50">
        <f>IFERROR('調查資料(OUT)'!$P$1*'調查資料(OUT)'!P17,0)+IFERROR('調查資料(OUT)'!$T$1*'調查資料(OUT)'!T17,0)+IFERROR('調查資料(OUT)'!$X$1*'調查資料(OUT)'!X17,0)</f>
        <v>0</v>
      </c>
      <c r="K11" s="252">
        <f>IFERROR('調查資料(OUT)'!$Q$1*'調查資料(OUT)'!Q17,0)+IFERROR('調查資料(OUT)'!$U$1*'調查資料(OUT)'!U17,0)+IFERROR('調查資料(OUT)'!$Y$1*'調查資料(OUT)'!Y17,0)</f>
        <v>0</v>
      </c>
      <c r="L11" s="50">
        <f t="shared" si="83"/>
        <v>0</v>
      </c>
      <c r="M11" s="50">
        <f>IFERROR('調查資料(OUT)'!$Z$1*'調查資料(OUT)'!Z17,0)+IFERROR('調查資料(OUT)'!$AD$1*'調查資料(OUT)'!AD17,0)+IFERROR('調查資料(OUT)'!$AH$1*'調查資料(OUT)'!AH17,0)</f>
        <v>0</v>
      </c>
      <c r="N11" s="50">
        <f>IFERROR('調查資料(OUT)'!$AA$1*'調查資料(OUT)'!AA17,0)+IFERROR('調查資料(OUT)'!$AE$1*'調查資料(OUT)'!AE17,0)+IFERROR('調查資料(OUT)'!$AI$1*'調查資料(OUT)'!AI17,0)</f>
        <v>0</v>
      </c>
      <c r="O11" s="50">
        <f>IFERROR('調查資料(OUT)'!$AB$1*'調查資料(OUT)'!AB17,0)+IFERROR('調查資料(OUT)'!$AF$1*'調查資料(OUT)'!AF17,0)+IFERROR('調查資料(OUT)'!$AJ$1*'調查資料(OUT)'!AJ17,0)</f>
        <v>0</v>
      </c>
      <c r="P11" s="252">
        <f>IFERROR('調查資料(OUT)'!$AC$1*'調查資料(OUT)'!AC17,0)+IFERROR('調查資料(OUT)'!$AG$1*'調查資料(OUT)'!AG17,0)+IFERROR('調查資料(OUT)'!$AK$1*'調查資料(OUT)'!AK17,0)</f>
        <v>0</v>
      </c>
      <c r="Q11" s="50">
        <f t="shared" si="84"/>
        <v>0</v>
      </c>
      <c r="R11" s="50">
        <f>IFERROR('調查資料(OUT)'!$AL$1*'調查資料(OUT)'!AL17,0)+IFERROR('調查資料(OUT)'!$AP$1*'調查資料(OUT)'!AP17,0)+IFERROR('調查資料(OUT)'!$AT$1*'調查資料(OUT)'!AT17,0)</f>
        <v>0</v>
      </c>
      <c r="S11" s="50">
        <f>IFERROR('調查資料(OUT)'!$AM$1*'調查資料(OUT)'!AM17,0)+IFERROR('調查資料(OUT)'!$AQ$1*'調查資料(OUT)'!AQ17,0)+IFERROR('調查資料(OUT)'!$AU$1*'調查資料(OUT)'!AU17,0)</f>
        <v>0</v>
      </c>
      <c r="T11" s="50">
        <f>IFERROR('調查資料(OUT)'!$AN$1*'調查資料(OUT)'!AN17,0)+IFERROR('調查資料(OUT)'!$AR$1*'調查資料(OUT)'!AR17,0)+IFERROR('調查資料(OUT)'!$AV$1*'調查資料(OUT)'!AV17,0)</f>
        <v>0</v>
      </c>
      <c r="U11" s="252">
        <f>IFERROR('調查資料(OUT)'!$AO$1*'調查資料(OUT)'!AO17,0)+IFERROR('調查資料(OUT)'!$AS$1*'調查資料(OUT)'!AS17,0)+IFERROR('調查資料(OUT)'!$AW$1*'調查資料(OUT)'!AW17,0)</f>
        <v>0</v>
      </c>
      <c r="V11" s="50">
        <f t="shared" si="85"/>
        <v>0</v>
      </c>
      <c r="W11" s="50">
        <f>IFERROR('調查資料(OUT)'!$AX$1*'調查資料(OUT)'!AX17,0)+IFERROR('調查資料(OUT)'!$BB$1*'調查資料(OUT)'!BB17,0)+IFERROR('調查資料(OUT)'!$BF$1*'調查資料(OUT)'!BF17,0)</f>
        <v>0</v>
      </c>
      <c r="X11" s="50">
        <f>IFERROR('調查資料(OUT)'!$AY$1*'調查資料(OUT)'!AY17,0)+IFERROR('調查資料(OUT)'!$BC$1*'調查資料(OUT)'!BC17,0)+IFERROR('調查資料(OUT)'!$BG$1*'調查資料(OUT)'!BG17,0)</f>
        <v>0</v>
      </c>
      <c r="Y11" s="50">
        <f>IFERROR('調查資料(OUT)'!$AZ$1*'調查資料(OUT)'!AZ17,0)+IFERROR('調查資料(OUT)'!$BD$1*'調查資料(OUT)'!BD17,0)+IFERROR('調查資料(OUT)'!$BH$1*'調查資料(OUT)'!BH17,0)</f>
        <v>0</v>
      </c>
      <c r="Z11" s="252">
        <f>IFERROR('調查資料(OUT)'!$BA$1*'調查資料(OUT)'!BA17,0)+IFERROR('調查資料(OUT)'!$BE$1*'調查資料(OUT)'!BE17,0)+IFERROR('調查資料(OUT)'!$BI$1*'調查資料(OUT)'!BI17,0)</f>
        <v>0</v>
      </c>
      <c r="AA11" s="253">
        <f t="shared" si="86"/>
        <v>0</v>
      </c>
      <c r="AC11" s="251">
        <f>'調查資料(OUT)'!A17</f>
        <v>130</v>
      </c>
      <c r="AD11" s="254">
        <f t="shared" si="91"/>
        <v>230</v>
      </c>
      <c r="AE11" s="50">
        <f t="shared" si="92"/>
        <v>0</v>
      </c>
      <c r="AF11" s="255"/>
      <c r="AG11" s="50">
        <f t="shared" si="1"/>
        <v>0</v>
      </c>
      <c r="AH11" s="256" t="e">
        <f t="shared" si="2"/>
        <v>#DIV/0!</v>
      </c>
      <c r="AI11" s="256" t="e">
        <f t="shared" si="3"/>
        <v>#DIV/0!</v>
      </c>
      <c r="AJ11" s="256" t="e">
        <f t="shared" si="4"/>
        <v>#DIV/0!</v>
      </c>
      <c r="AK11" s="256" t="e">
        <f t="shared" si="5"/>
        <v>#DIV/0!</v>
      </c>
      <c r="AL11" s="256" t="e">
        <f t="shared" si="6"/>
        <v>#DIV/0!</v>
      </c>
      <c r="AM11" s="257"/>
      <c r="AN11" s="50">
        <f t="shared" si="7"/>
        <v>130</v>
      </c>
      <c r="AO11" s="252">
        <f t="shared" si="8"/>
        <v>230</v>
      </c>
      <c r="AP11" s="50">
        <f t="shared" si="93"/>
        <v>0</v>
      </c>
      <c r="AQ11" s="50">
        <f>IF($AN11="N","N",SUM('調查資料(OUT)'!B17:B20))</f>
        <v>0</v>
      </c>
      <c r="AR11" s="50">
        <f>IF($AN11="N","N",SUM('調查資料(OUT)'!F17:F20))</f>
        <v>0</v>
      </c>
      <c r="AS11" s="50">
        <f>IF($AN11="N","N",SUM('調查資料(OUT)'!J17:J20))</f>
        <v>0</v>
      </c>
      <c r="AT11" s="56" t="e">
        <f t="shared" si="94"/>
        <v>#DIV/0!</v>
      </c>
      <c r="AU11" s="50">
        <f t="shared" si="95"/>
        <v>0</v>
      </c>
      <c r="AV11" s="50">
        <f>IF($AN11="N","N",SUM('調查資料(OUT)'!C17:C20))</f>
        <v>0</v>
      </c>
      <c r="AW11" s="50">
        <f>IF($AN11="N","N",SUM('調查資料(OUT)'!G17:G20))</f>
        <v>0</v>
      </c>
      <c r="AX11" s="50">
        <f>IF($AN11="N","N",SUM('調查資料(OUT)'!K17:K20))</f>
        <v>0</v>
      </c>
      <c r="AY11" s="56" t="e">
        <f t="shared" si="96"/>
        <v>#DIV/0!</v>
      </c>
      <c r="AZ11" s="50">
        <f t="shared" si="97"/>
        <v>0</v>
      </c>
      <c r="BA11" s="50">
        <f>IF($AN11="N","N",SUM('調查資料(OUT)'!D17:D20))</f>
        <v>0</v>
      </c>
      <c r="BB11" s="50">
        <f>IF($AN11="N","N",SUM('調查資料(OUT)'!H17:H20))</f>
        <v>0</v>
      </c>
      <c r="BC11" s="50">
        <f>IF($AN11="N","N",SUM('調查資料(OUT)'!L17:L20))</f>
        <v>0</v>
      </c>
      <c r="BD11" s="56" t="e">
        <f t="shared" si="98"/>
        <v>#DIV/0!</v>
      </c>
      <c r="BE11" s="50">
        <f t="shared" si="99"/>
        <v>0</v>
      </c>
      <c r="BF11" s="50">
        <f>IF($AN11="N","N",SUM('調查資料(OUT)'!E17:E20))</f>
        <v>0</v>
      </c>
      <c r="BG11" s="50">
        <f>IF($AN11="N","N",SUM('調查資料(OUT)'!I17:I20))</f>
        <v>0</v>
      </c>
      <c r="BH11" s="50">
        <f>IF($AN11="N","N",SUM('調查資料(OUT)'!M17:M20))</f>
        <v>0</v>
      </c>
      <c r="BI11" s="56" t="e">
        <f t="shared" si="100"/>
        <v>#DIV/0!</v>
      </c>
      <c r="BJ11" s="50">
        <f t="shared" si="101"/>
        <v>0</v>
      </c>
      <c r="BK11" s="56" t="e">
        <f t="shared" si="102"/>
        <v>#DIV/0!</v>
      </c>
      <c r="BL11" s="50">
        <f t="shared" si="103"/>
        <v>0</v>
      </c>
      <c r="BM11" s="56" t="e">
        <f t="shared" si="104"/>
        <v>#DIV/0!</v>
      </c>
      <c r="BN11" s="50">
        <f t="shared" si="105"/>
        <v>0</v>
      </c>
      <c r="BO11" s="56" t="e">
        <f t="shared" si="106"/>
        <v>#DIV/0!</v>
      </c>
      <c r="BP11" s="50">
        <f t="shared" si="107"/>
        <v>0</v>
      </c>
      <c r="BQ11" s="50">
        <f t="shared" si="108"/>
        <v>0</v>
      </c>
      <c r="BR11" s="50">
        <f>IF($AN11="N","N",SUM('調查資料(OUT)'!N17:N20))</f>
        <v>0</v>
      </c>
      <c r="BS11" s="50">
        <f>IF($AN11="N","N",SUM('調查資料(OUT)'!R17:R20))</f>
        <v>0</v>
      </c>
      <c r="BT11" s="50">
        <f>IF($AN11="N","N",SUM('調查資料(OUT)'!V17:V20))</f>
        <v>0</v>
      </c>
      <c r="BU11" s="56" t="e">
        <f t="shared" si="109"/>
        <v>#DIV/0!</v>
      </c>
      <c r="BV11" s="50">
        <f t="shared" si="110"/>
        <v>0</v>
      </c>
      <c r="BW11" s="50">
        <f>IF($AN11="N","N",SUM('調查資料(OUT)'!O17:O20))</f>
        <v>0</v>
      </c>
      <c r="BX11" s="50">
        <f>IF($AN11="N","N",SUM('調查資料(OUT)'!S17:S20))</f>
        <v>0</v>
      </c>
      <c r="BY11" s="50">
        <f>IF($AN11="N","N",SUM('調查資料(OUT)'!W17:W20))</f>
        <v>0</v>
      </c>
      <c r="BZ11" s="56" t="e">
        <f t="shared" si="111"/>
        <v>#DIV/0!</v>
      </c>
      <c r="CA11" s="50">
        <f t="shared" si="112"/>
        <v>0</v>
      </c>
      <c r="CB11" s="50">
        <f>IF($AN11="N","N",SUM('調查資料(OUT)'!P17:P20))</f>
        <v>0</v>
      </c>
      <c r="CC11" s="50">
        <f>IF($AN11="N","N",SUM('調查資料(OUT)'!T17:T20))</f>
        <v>0</v>
      </c>
      <c r="CD11" s="50">
        <f>IF($AN11="N","N",SUM('調查資料(OUT)'!X17:X20))</f>
        <v>0</v>
      </c>
      <c r="CE11" s="56" t="e">
        <f t="shared" si="113"/>
        <v>#DIV/0!</v>
      </c>
      <c r="CF11" s="50">
        <f t="shared" si="114"/>
        <v>0</v>
      </c>
      <c r="CG11" s="50">
        <f>IF($AN11="N","N",SUM('調查資料(OUT)'!Q17:Q20))</f>
        <v>0</v>
      </c>
      <c r="CH11" s="50">
        <f>IF($AN11="N","N",SUM('調查資料(OUT)'!U17:U20))</f>
        <v>0</v>
      </c>
      <c r="CI11" s="50">
        <f>IF($AN11="N","N",SUM('調查資料(OUT)'!Y17:Y20))</f>
        <v>0</v>
      </c>
      <c r="CJ11" s="56" t="e">
        <f t="shared" si="115"/>
        <v>#DIV/0!</v>
      </c>
      <c r="CK11" s="50">
        <f t="shared" si="116"/>
        <v>0</v>
      </c>
      <c r="CL11" s="56" t="e">
        <f t="shared" si="117"/>
        <v>#DIV/0!</v>
      </c>
      <c r="CM11" s="50">
        <f t="shared" si="118"/>
        <v>0</v>
      </c>
      <c r="CN11" s="56" t="e">
        <f t="shared" si="119"/>
        <v>#DIV/0!</v>
      </c>
      <c r="CO11" s="50">
        <f t="shared" si="120"/>
        <v>0</v>
      </c>
      <c r="CP11" s="56" t="e">
        <f t="shared" si="121"/>
        <v>#DIV/0!</v>
      </c>
      <c r="CQ11" s="50">
        <f t="shared" si="122"/>
        <v>0</v>
      </c>
      <c r="CR11" s="50">
        <f t="shared" si="123"/>
        <v>0</v>
      </c>
      <c r="CS11" s="50">
        <f>IF($AN11="N","N",SUM('調查資料(OUT)'!Z17:Z20))</f>
        <v>0</v>
      </c>
      <c r="CT11" s="50">
        <f>IF($AN11="N","N",SUM('調查資料(OUT)'!AD17:AD20))</f>
        <v>0</v>
      </c>
      <c r="CU11" s="50">
        <f>IF($AN11="N","N",SUM('調查資料(OUT)'!AH17:AH20))</f>
        <v>0</v>
      </c>
      <c r="CV11" s="56" t="e">
        <f t="shared" si="124"/>
        <v>#DIV/0!</v>
      </c>
      <c r="CW11" s="50">
        <f t="shared" si="125"/>
        <v>0</v>
      </c>
      <c r="CX11" s="50">
        <f>IF($AN11="N","N",SUM('調查資料(OUT)'!AA17:AA20))</f>
        <v>0</v>
      </c>
      <c r="CY11" s="50">
        <f>IF($AN11="N","N",SUM('調查資料(OUT)'!AE17:AE20))</f>
        <v>0</v>
      </c>
      <c r="CZ11" s="50">
        <f>IF($AN11="N","N",SUM('調查資料(OUT)'!AI17:AI20))</f>
        <v>0</v>
      </c>
      <c r="DA11" s="56" t="e">
        <f t="shared" si="126"/>
        <v>#DIV/0!</v>
      </c>
      <c r="DB11" s="50">
        <f t="shared" si="127"/>
        <v>0</v>
      </c>
      <c r="DC11" s="50">
        <f>IF($AN11="N","N",SUM('調查資料(OUT)'!AB17:AB20))</f>
        <v>0</v>
      </c>
      <c r="DD11" s="50">
        <f>IF($AN11="N","N",SUM('調查資料(OUT)'!AF17:AF20))</f>
        <v>0</v>
      </c>
      <c r="DE11" s="50">
        <f>IF($AN11="N","N",SUM('調查資料(OUT)'!AJ17:AJ20))</f>
        <v>0</v>
      </c>
      <c r="DF11" s="56" t="e">
        <f t="shared" si="128"/>
        <v>#DIV/0!</v>
      </c>
      <c r="DG11" s="50">
        <f t="shared" si="129"/>
        <v>0</v>
      </c>
      <c r="DH11" s="50">
        <f>IF($AN11="N","N",SUM('調查資料(OUT)'!AC17:AC20))</f>
        <v>0</v>
      </c>
      <c r="DI11" s="50">
        <f>IF($AN11="N","N",SUM('調查資料(OUT)'!AG17:AG20))</f>
        <v>0</v>
      </c>
      <c r="DJ11" s="50">
        <f>IF($AN11="N","N",SUM('調查資料(OUT)'!AK17:AK20))</f>
        <v>0</v>
      </c>
      <c r="DK11" s="56" t="e">
        <f t="shared" si="130"/>
        <v>#DIV/0!</v>
      </c>
      <c r="DL11" s="50">
        <f t="shared" si="131"/>
        <v>0</v>
      </c>
      <c r="DM11" s="56" t="e">
        <f t="shared" si="132"/>
        <v>#DIV/0!</v>
      </c>
      <c r="DN11" s="50">
        <f t="shared" si="133"/>
        <v>0</v>
      </c>
      <c r="DO11" s="56" t="e">
        <f t="shared" si="134"/>
        <v>#DIV/0!</v>
      </c>
      <c r="DP11" s="50">
        <f t="shared" si="135"/>
        <v>0</v>
      </c>
      <c r="DQ11" s="56" t="e">
        <f t="shared" si="136"/>
        <v>#DIV/0!</v>
      </c>
      <c r="DR11" s="50">
        <f t="shared" si="137"/>
        <v>0</v>
      </c>
      <c r="DS11" s="50">
        <f t="shared" si="138"/>
        <v>0</v>
      </c>
      <c r="DT11" s="50">
        <f>IF($AN11="N","N",SUM('調查資料(OUT)'!AL17:AL20))</f>
        <v>0</v>
      </c>
      <c r="DU11" s="50">
        <f>IF($AN11="N","N",SUM('調查資料(OUT)'!AP17:AP20))</f>
        <v>0</v>
      </c>
      <c r="DV11" s="50">
        <f>IF($AN11="N","N",SUM('調查資料(OUT)'!AT17:AT20))</f>
        <v>0</v>
      </c>
      <c r="DW11" s="56" t="e">
        <f t="shared" si="139"/>
        <v>#DIV/0!</v>
      </c>
      <c r="DX11" s="50">
        <f t="shared" si="140"/>
        <v>0</v>
      </c>
      <c r="DY11" s="50">
        <f>IF($AN11="N","N",SUM('調查資料(OUT)'!AM17:AM20))</f>
        <v>0</v>
      </c>
      <c r="DZ11" s="50">
        <f>IF($AN11="N","N",SUM('調查資料(OUT)'!AQ17:AQ20))</f>
        <v>0</v>
      </c>
      <c r="EA11" s="50">
        <f>IF($AN11="N","N",SUM('調查資料(OUT)'!AU17:AU20))</f>
        <v>0</v>
      </c>
      <c r="EB11" s="56" t="e">
        <f t="shared" si="141"/>
        <v>#DIV/0!</v>
      </c>
      <c r="EC11" s="50">
        <f t="shared" si="142"/>
        <v>0</v>
      </c>
      <c r="ED11" s="50">
        <f>IF($AN11="N","N",SUM('調查資料(OUT)'!AN17:AN20))</f>
        <v>0</v>
      </c>
      <c r="EE11" s="50">
        <f>IF($AN11="N","N",SUM('調查資料(OUT)'!AR17:AR20))</f>
        <v>0</v>
      </c>
      <c r="EF11" s="50">
        <f>IF($AN11="N","N",SUM('調查資料(OUT)'!AV17:AV20))</f>
        <v>0</v>
      </c>
      <c r="EG11" s="56" t="e">
        <f t="shared" si="143"/>
        <v>#DIV/0!</v>
      </c>
      <c r="EH11" s="50">
        <f t="shared" si="144"/>
        <v>0</v>
      </c>
      <c r="EI11" s="50">
        <f>IF($AN11="N","N",SUM('調查資料(OUT)'!AO17:AO20))</f>
        <v>0</v>
      </c>
      <c r="EJ11" s="50">
        <f>IF($AN11="N","N",SUM('調查資料(OUT)'!AS17:AS20))</f>
        <v>0</v>
      </c>
      <c r="EK11" s="50">
        <f>IF($AN11="N","N",SUM('調查資料(OUT)'!AW17:AW20))</f>
        <v>0</v>
      </c>
      <c r="EL11" s="56" t="e">
        <f t="shared" si="145"/>
        <v>#DIV/0!</v>
      </c>
      <c r="EM11" s="50">
        <f t="shared" si="146"/>
        <v>0</v>
      </c>
      <c r="EN11" s="56" t="e">
        <f t="shared" si="147"/>
        <v>#DIV/0!</v>
      </c>
      <c r="EO11" s="50">
        <f t="shared" si="148"/>
        <v>0</v>
      </c>
      <c r="EP11" s="56" t="e">
        <f t="shared" si="149"/>
        <v>#DIV/0!</v>
      </c>
      <c r="EQ11" s="50">
        <f t="shared" si="150"/>
        <v>0</v>
      </c>
      <c r="ER11" s="56" t="e">
        <f t="shared" si="151"/>
        <v>#DIV/0!</v>
      </c>
      <c r="ES11" s="50">
        <f t="shared" si="152"/>
        <v>0</v>
      </c>
      <c r="ET11" s="50">
        <f t="shared" si="153"/>
        <v>0</v>
      </c>
      <c r="EU11" s="50">
        <f>IF($AN11="N","N",SUM('調查資料(OUT)'!AX17:AX20))</f>
        <v>0</v>
      </c>
      <c r="EV11" s="50">
        <f>IF($AN11="N","N",SUM('調查資料(OUT)'!BB17:BB20))</f>
        <v>0</v>
      </c>
      <c r="EW11" s="50">
        <f>IF($AN11="N","N",SUM('調查資料(OUT)'!BF17:BF20))</f>
        <v>0</v>
      </c>
      <c r="EX11" s="56" t="e">
        <f t="shared" si="154"/>
        <v>#DIV/0!</v>
      </c>
      <c r="EY11" s="50">
        <f t="shared" si="155"/>
        <v>0</v>
      </c>
      <c r="EZ11" s="50">
        <f>IF($AN11="N","N",SUM('調查資料(OUT)'!AY17:AY20))</f>
        <v>0</v>
      </c>
      <c r="FA11" s="50">
        <f>IF($AN11="N","N",SUM('調查資料(OUT)'!BC17:BC20))</f>
        <v>0</v>
      </c>
      <c r="FB11" s="50">
        <f>IF($AN11="N","N",SUM('調查資料(OUT)'!BG17:BG20))</f>
        <v>0</v>
      </c>
      <c r="FC11" s="56" t="e">
        <f t="shared" si="156"/>
        <v>#DIV/0!</v>
      </c>
      <c r="FD11" s="50">
        <f t="shared" si="157"/>
        <v>0</v>
      </c>
      <c r="FE11" s="50">
        <f>IF($AN11="N","N",SUM('調查資料(OUT)'!AZ17:AZ20))</f>
        <v>0</v>
      </c>
      <c r="FF11" s="50">
        <f>IF($AN11="N","N",SUM('調查資料(OUT)'!BD17:BD20))</f>
        <v>0</v>
      </c>
      <c r="FG11" s="50">
        <f>IF($AN11="N","N",SUM('調查資料(OUT)'!BH17:BH20))</f>
        <v>0</v>
      </c>
      <c r="FH11" s="56" t="e">
        <f t="shared" si="158"/>
        <v>#DIV/0!</v>
      </c>
      <c r="FI11" s="50">
        <f t="shared" si="159"/>
        <v>0</v>
      </c>
      <c r="FJ11" s="50">
        <f>IF($AN11="N","N",SUM('調查資料(OUT)'!BA17:BA20))</f>
        <v>0</v>
      </c>
      <c r="FK11" s="50">
        <f>IF($AN11="N","N",SUM('調查資料(OUT)'!BE17:BE20))</f>
        <v>0</v>
      </c>
      <c r="FL11" s="50">
        <f>IF($AN11="N","N",SUM('調查資料(OUT)'!BI17:BI20))</f>
        <v>0</v>
      </c>
      <c r="FM11" s="56" t="e">
        <f t="shared" si="160"/>
        <v>#DIV/0!</v>
      </c>
      <c r="FN11" s="50">
        <f t="shared" si="161"/>
        <v>0</v>
      </c>
      <c r="FO11" s="56" t="e">
        <f t="shared" si="162"/>
        <v>#DIV/0!</v>
      </c>
      <c r="FP11" s="50">
        <f t="shared" si="163"/>
        <v>0</v>
      </c>
      <c r="FQ11" s="56" t="e">
        <f t="shared" si="164"/>
        <v>#DIV/0!</v>
      </c>
      <c r="FR11" s="50">
        <f t="shared" si="165"/>
        <v>0</v>
      </c>
      <c r="FS11" s="56" t="e">
        <f t="shared" si="166"/>
        <v>#DIV/0!</v>
      </c>
      <c r="FT11" s="50">
        <f t="shared" si="167"/>
        <v>0</v>
      </c>
    </row>
    <row r="12" spans="1:176">
      <c r="A12" s="274">
        <f>'調查資料(OUT)'!A18</f>
        <v>145</v>
      </c>
      <c r="B12" s="50">
        <f t="shared" si="81"/>
        <v>0</v>
      </c>
      <c r="C12" s="50">
        <f>IFERROR('調查資料(OUT)'!$B$1*'調查資料(OUT)'!B18,0)+IFERROR('調查資料(OUT)'!$F$1*'調查資料(OUT)'!F18,0)+IFERROR('調查資料(OUT)'!$J$1*'調查資料(OUT)'!J18,0)</f>
        <v>0</v>
      </c>
      <c r="D12" s="50">
        <f>IFERROR('調查資料(OUT)'!$C$1*'調查資料(OUT)'!C18,0)+IFERROR('調查資料(OUT)'!$G$1*'調查資料(OUT)'!G18,0)+IFERROR('調查資料(OUT)'!$K$1*'調查資料(OUT)'!K18,0)</f>
        <v>0</v>
      </c>
      <c r="E12" s="50">
        <f>IFERROR('調查資料(OUT)'!$D$1*'調查資料(OUT)'!D18,0)+IFERROR('調查資料(OUT)'!$H$1*'調查資料(OUT)'!H18,0)+IFERROR('調查資料(OUT)'!$L$1*'調查資料(OUT)'!L18,0)</f>
        <v>0</v>
      </c>
      <c r="F12" s="252">
        <f>IFERROR('調查資料(OUT)'!$E$1*'調查資料(OUT)'!E18,0)+IFERROR('調查資料(OUT)'!$I$1*'調查資料(OUT)'!I18,0)+IFERROR('調查資料(OUT)'!$M$1*'調查資料(OUT)'!M18,0)</f>
        <v>0</v>
      </c>
      <c r="G12" s="50">
        <f t="shared" si="82"/>
        <v>0</v>
      </c>
      <c r="H12" s="50">
        <f>IFERROR('調查資料(OUT)'!$N$1*'調查資料(OUT)'!N18,0)+IFERROR('調查資料(OUT)'!$R$1*'調查資料(OUT)'!R18,0)+IFERROR('調查資料(OUT)'!$V$1*'調查資料(OUT)'!V18,0)</f>
        <v>0</v>
      </c>
      <c r="I12" s="50">
        <f>IFERROR('調查資料(OUT)'!$O$1*'調查資料(OUT)'!O18,0)+IFERROR('調查資料(OUT)'!$S$1*'調查資料(OUT)'!S18,0)+IFERROR('調查資料(OUT)'!$W$1*'調查資料(OUT)'!W18,0)</f>
        <v>0</v>
      </c>
      <c r="J12" s="50">
        <f>IFERROR('調查資料(OUT)'!$P$1*'調查資料(OUT)'!P18,0)+IFERROR('調查資料(OUT)'!$T$1*'調查資料(OUT)'!T18,0)+IFERROR('調查資料(OUT)'!$X$1*'調查資料(OUT)'!X18,0)</f>
        <v>0</v>
      </c>
      <c r="K12" s="252">
        <f>IFERROR('調查資料(OUT)'!$Q$1*'調查資料(OUT)'!Q18,0)+IFERROR('調查資料(OUT)'!$U$1*'調查資料(OUT)'!U18,0)+IFERROR('調查資料(OUT)'!$Y$1*'調查資料(OUT)'!Y18,0)</f>
        <v>0</v>
      </c>
      <c r="L12" s="50">
        <f t="shared" si="83"/>
        <v>0</v>
      </c>
      <c r="M12" s="50">
        <f>IFERROR('調查資料(OUT)'!$Z$1*'調查資料(OUT)'!Z18,0)+IFERROR('調查資料(OUT)'!$AD$1*'調查資料(OUT)'!AD18,0)+IFERROR('調查資料(OUT)'!$AH$1*'調查資料(OUT)'!AH18,0)</f>
        <v>0</v>
      </c>
      <c r="N12" s="50">
        <f>IFERROR('調查資料(OUT)'!$AA$1*'調查資料(OUT)'!AA18,0)+IFERROR('調查資料(OUT)'!$AE$1*'調查資料(OUT)'!AE18,0)+IFERROR('調查資料(OUT)'!$AI$1*'調查資料(OUT)'!AI18,0)</f>
        <v>0</v>
      </c>
      <c r="O12" s="50">
        <f>IFERROR('調查資料(OUT)'!$AB$1*'調查資料(OUT)'!AB18,0)+IFERROR('調查資料(OUT)'!$AF$1*'調查資料(OUT)'!AF18,0)+IFERROR('調查資料(OUT)'!$AJ$1*'調查資料(OUT)'!AJ18,0)</f>
        <v>0</v>
      </c>
      <c r="P12" s="252">
        <f>IFERROR('調查資料(OUT)'!$AC$1*'調查資料(OUT)'!AC18,0)+IFERROR('調查資料(OUT)'!$AG$1*'調查資料(OUT)'!AG18,0)+IFERROR('調查資料(OUT)'!$AK$1*'調查資料(OUT)'!AK18,0)</f>
        <v>0</v>
      </c>
      <c r="Q12" s="50">
        <f t="shared" si="84"/>
        <v>0</v>
      </c>
      <c r="R12" s="50">
        <f>IFERROR('調查資料(OUT)'!$AL$1*'調查資料(OUT)'!AL18,0)+IFERROR('調查資料(OUT)'!$AP$1*'調查資料(OUT)'!AP18,0)+IFERROR('調查資料(OUT)'!$AT$1*'調查資料(OUT)'!AT18,0)</f>
        <v>0</v>
      </c>
      <c r="S12" s="50">
        <f>IFERROR('調查資料(OUT)'!$AM$1*'調查資料(OUT)'!AM18,0)+IFERROR('調查資料(OUT)'!$AQ$1*'調查資料(OUT)'!AQ18,0)+IFERROR('調查資料(OUT)'!$AU$1*'調查資料(OUT)'!AU18,0)</f>
        <v>0</v>
      </c>
      <c r="T12" s="50">
        <f>IFERROR('調查資料(OUT)'!$AN$1*'調查資料(OUT)'!AN18,0)+IFERROR('調查資料(OUT)'!$AR$1*'調查資料(OUT)'!AR18,0)+IFERROR('調查資料(OUT)'!$AV$1*'調查資料(OUT)'!AV18,0)</f>
        <v>0</v>
      </c>
      <c r="U12" s="252">
        <f>IFERROR('調查資料(OUT)'!$AO$1*'調查資料(OUT)'!AO18,0)+IFERROR('調查資料(OUT)'!$AS$1*'調查資料(OUT)'!AS18,0)+IFERROR('調查資料(OUT)'!$AW$1*'調查資料(OUT)'!AW18,0)</f>
        <v>0</v>
      </c>
      <c r="V12" s="50">
        <f t="shared" si="85"/>
        <v>0</v>
      </c>
      <c r="W12" s="50">
        <f>IFERROR('調查資料(OUT)'!$AX$1*'調查資料(OUT)'!AX18,0)+IFERROR('調查資料(OUT)'!$BB$1*'調查資料(OUT)'!BB18,0)+IFERROR('調查資料(OUT)'!$BF$1*'調查資料(OUT)'!BF18,0)</f>
        <v>0</v>
      </c>
      <c r="X12" s="50">
        <f>IFERROR('調查資料(OUT)'!$AY$1*'調查資料(OUT)'!AY18,0)+IFERROR('調查資料(OUT)'!$BC$1*'調查資料(OUT)'!BC18,0)+IFERROR('調查資料(OUT)'!$BG$1*'調查資料(OUT)'!BG18,0)</f>
        <v>0</v>
      </c>
      <c r="Y12" s="50">
        <f>IFERROR('調查資料(OUT)'!$AZ$1*'調查資料(OUT)'!AZ18,0)+IFERROR('調查資料(OUT)'!$BD$1*'調查資料(OUT)'!BD18,0)+IFERROR('調查資料(OUT)'!$BH$1*'調查資料(OUT)'!BH18,0)</f>
        <v>0</v>
      </c>
      <c r="Z12" s="252">
        <f>IFERROR('調查資料(OUT)'!$BA$1*'調查資料(OUT)'!BA18,0)+IFERROR('調查資料(OUT)'!$BE$1*'調查資料(OUT)'!BE18,0)+IFERROR('調查資料(OUT)'!$BI$1*'調查資料(OUT)'!BI18,0)</f>
        <v>0</v>
      </c>
      <c r="AA12" s="253">
        <f t="shared" si="86"/>
        <v>0</v>
      </c>
      <c r="AC12" s="251">
        <f>'調查資料(OUT)'!A18</f>
        <v>145</v>
      </c>
      <c r="AD12" s="254">
        <f t="shared" si="91"/>
        <v>245</v>
      </c>
      <c r="AE12" s="50">
        <f t="shared" si="92"/>
        <v>0</v>
      </c>
      <c r="AF12" s="255"/>
      <c r="AG12" s="50">
        <f t="shared" si="1"/>
        <v>0</v>
      </c>
      <c r="AH12" s="256" t="e">
        <f t="shared" si="2"/>
        <v>#DIV/0!</v>
      </c>
      <c r="AI12" s="256" t="e">
        <f t="shared" si="3"/>
        <v>#DIV/0!</v>
      </c>
      <c r="AJ12" s="256" t="e">
        <f t="shared" si="4"/>
        <v>#DIV/0!</v>
      </c>
      <c r="AK12" s="256" t="e">
        <f t="shared" si="5"/>
        <v>#DIV/0!</v>
      </c>
      <c r="AL12" s="256" t="e">
        <f t="shared" si="6"/>
        <v>#DIV/0!</v>
      </c>
      <c r="AM12" s="257"/>
      <c r="AN12" s="50">
        <f t="shared" si="7"/>
        <v>145</v>
      </c>
      <c r="AO12" s="252">
        <f t="shared" si="8"/>
        <v>245</v>
      </c>
      <c r="AP12" s="50">
        <f t="shared" si="93"/>
        <v>0</v>
      </c>
      <c r="AQ12" s="50">
        <f>IF($AN12="N","N",SUM('調查資料(OUT)'!B18:B21))</f>
        <v>0</v>
      </c>
      <c r="AR12" s="50">
        <f>IF($AN12="N","N",SUM('調查資料(OUT)'!F18:F21))</f>
        <v>0</v>
      </c>
      <c r="AS12" s="50">
        <f>IF($AN12="N","N",SUM('調查資料(OUT)'!J18:J21))</f>
        <v>0</v>
      </c>
      <c r="AT12" s="56" t="e">
        <f t="shared" si="94"/>
        <v>#DIV/0!</v>
      </c>
      <c r="AU12" s="50">
        <f t="shared" si="95"/>
        <v>0</v>
      </c>
      <c r="AV12" s="50">
        <f>IF($AN12="N","N",SUM('調查資料(OUT)'!C18:C21))</f>
        <v>0</v>
      </c>
      <c r="AW12" s="50">
        <f>IF($AN12="N","N",SUM('調查資料(OUT)'!G18:G21))</f>
        <v>0</v>
      </c>
      <c r="AX12" s="50">
        <f>IF($AN12="N","N",SUM('調查資料(OUT)'!K18:K21))</f>
        <v>0</v>
      </c>
      <c r="AY12" s="56" t="e">
        <f t="shared" si="96"/>
        <v>#DIV/0!</v>
      </c>
      <c r="AZ12" s="50">
        <f t="shared" si="97"/>
        <v>0</v>
      </c>
      <c r="BA12" s="50">
        <f>IF($AN12="N","N",SUM('調查資料(OUT)'!D18:D21))</f>
        <v>0</v>
      </c>
      <c r="BB12" s="50">
        <f>IF($AN12="N","N",SUM('調查資料(OUT)'!H18:H21))</f>
        <v>0</v>
      </c>
      <c r="BC12" s="50">
        <f>IF($AN12="N","N",SUM('調查資料(OUT)'!L18:L21))</f>
        <v>0</v>
      </c>
      <c r="BD12" s="56" t="e">
        <f t="shared" si="98"/>
        <v>#DIV/0!</v>
      </c>
      <c r="BE12" s="50">
        <f t="shared" si="99"/>
        <v>0</v>
      </c>
      <c r="BF12" s="50">
        <f>IF($AN12="N","N",SUM('調查資料(OUT)'!E18:E21))</f>
        <v>0</v>
      </c>
      <c r="BG12" s="50">
        <f>IF($AN12="N","N",SUM('調查資料(OUT)'!I18:I21))</f>
        <v>0</v>
      </c>
      <c r="BH12" s="50">
        <f>IF($AN12="N","N",SUM('調查資料(OUT)'!M18:M21))</f>
        <v>0</v>
      </c>
      <c r="BI12" s="56" t="e">
        <f t="shared" si="100"/>
        <v>#DIV/0!</v>
      </c>
      <c r="BJ12" s="50">
        <f t="shared" si="101"/>
        <v>0</v>
      </c>
      <c r="BK12" s="56" t="e">
        <f t="shared" si="102"/>
        <v>#DIV/0!</v>
      </c>
      <c r="BL12" s="50">
        <f t="shared" si="103"/>
        <v>0</v>
      </c>
      <c r="BM12" s="56" t="e">
        <f t="shared" si="104"/>
        <v>#DIV/0!</v>
      </c>
      <c r="BN12" s="50">
        <f t="shared" si="105"/>
        <v>0</v>
      </c>
      <c r="BO12" s="56" t="e">
        <f t="shared" si="106"/>
        <v>#DIV/0!</v>
      </c>
      <c r="BP12" s="50">
        <f t="shared" si="107"/>
        <v>0</v>
      </c>
      <c r="BQ12" s="50">
        <f t="shared" si="108"/>
        <v>0</v>
      </c>
      <c r="BR12" s="50">
        <f>IF($AN12="N","N",SUM('調查資料(OUT)'!N18:N21))</f>
        <v>0</v>
      </c>
      <c r="BS12" s="50">
        <f>IF($AN12="N","N",SUM('調查資料(OUT)'!R18:R21))</f>
        <v>0</v>
      </c>
      <c r="BT12" s="50">
        <f>IF($AN12="N","N",SUM('調查資料(OUT)'!V18:V21))</f>
        <v>0</v>
      </c>
      <c r="BU12" s="56" t="e">
        <f t="shared" si="109"/>
        <v>#DIV/0!</v>
      </c>
      <c r="BV12" s="50">
        <f t="shared" si="110"/>
        <v>0</v>
      </c>
      <c r="BW12" s="50">
        <f>IF($AN12="N","N",SUM('調查資料(OUT)'!O18:O21))</f>
        <v>0</v>
      </c>
      <c r="BX12" s="50">
        <f>IF($AN12="N","N",SUM('調查資料(OUT)'!S18:S21))</f>
        <v>0</v>
      </c>
      <c r="BY12" s="50">
        <f>IF($AN12="N","N",SUM('調查資料(OUT)'!W18:W21))</f>
        <v>0</v>
      </c>
      <c r="BZ12" s="56" t="e">
        <f t="shared" si="111"/>
        <v>#DIV/0!</v>
      </c>
      <c r="CA12" s="50">
        <f t="shared" si="112"/>
        <v>0</v>
      </c>
      <c r="CB12" s="50">
        <f>IF($AN12="N","N",SUM('調查資料(OUT)'!P18:P21))</f>
        <v>0</v>
      </c>
      <c r="CC12" s="50">
        <f>IF($AN12="N","N",SUM('調查資料(OUT)'!T18:T21))</f>
        <v>0</v>
      </c>
      <c r="CD12" s="50">
        <f>IF($AN12="N","N",SUM('調查資料(OUT)'!X18:X21))</f>
        <v>0</v>
      </c>
      <c r="CE12" s="56" t="e">
        <f t="shared" si="113"/>
        <v>#DIV/0!</v>
      </c>
      <c r="CF12" s="50">
        <f t="shared" si="114"/>
        <v>0</v>
      </c>
      <c r="CG12" s="50">
        <f>IF($AN12="N","N",SUM('調查資料(OUT)'!Q18:Q21))</f>
        <v>0</v>
      </c>
      <c r="CH12" s="50">
        <f>IF($AN12="N","N",SUM('調查資料(OUT)'!U18:U21))</f>
        <v>0</v>
      </c>
      <c r="CI12" s="50">
        <f>IF($AN12="N","N",SUM('調查資料(OUT)'!Y18:Y21))</f>
        <v>0</v>
      </c>
      <c r="CJ12" s="56" t="e">
        <f t="shared" si="115"/>
        <v>#DIV/0!</v>
      </c>
      <c r="CK12" s="50">
        <f t="shared" si="116"/>
        <v>0</v>
      </c>
      <c r="CL12" s="56" t="e">
        <f t="shared" si="117"/>
        <v>#DIV/0!</v>
      </c>
      <c r="CM12" s="50">
        <f t="shared" si="118"/>
        <v>0</v>
      </c>
      <c r="CN12" s="56" t="e">
        <f t="shared" si="119"/>
        <v>#DIV/0!</v>
      </c>
      <c r="CO12" s="50">
        <f t="shared" si="120"/>
        <v>0</v>
      </c>
      <c r="CP12" s="56" t="e">
        <f t="shared" si="121"/>
        <v>#DIV/0!</v>
      </c>
      <c r="CQ12" s="50">
        <f t="shared" si="122"/>
        <v>0</v>
      </c>
      <c r="CR12" s="50">
        <f t="shared" si="123"/>
        <v>0</v>
      </c>
      <c r="CS12" s="50">
        <f>IF($AN12="N","N",SUM('調查資料(OUT)'!Z18:Z21))</f>
        <v>0</v>
      </c>
      <c r="CT12" s="50">
        <f>IF($AN12="N","N",SUM('調查資料(OUT)'!AD18:AD21))</f>
        <v>0</v>
      </c>
      <c r="CU12" s="50">
        <f>IF($AN12="N","N",SUM('調查資料(OUT)'!AH18:AH21))</f>
        <v>0</v>
      </c>
      <c r="CV12" s="56" t="e">
        <f t="shared" si="124"/>
        <v>#DIV/0!</v>
      </c>
      <c r="CW12" s="50">
        <f t="shared" si="125"/>
        <v>0</v>
      </c>
      <c r="CX12" s="50">
        <f>IF($AN12="N","N",SUM('調查資料(OUT)'!AA18:AA21))</f>
        <v>0</v>
      </c>
      <c r="CY12" s="50">
        <f>IF($AN12="N","N",SUM('調查資料(OUT)'!AE18:AE21))</f>
        <v>0</v>
      </c>
      <c r="CZ12" s="50">
        <f>IF($AN12="N","N",SUM('調查資料(OUT)'!AI18:AI21))</f>
        <v>0</v>
      </c>
      <c r="DA12" s="56" t="e">
        <f t="shared" si="126"/>
        <v>#DIV/0!</v>
      </c>
      <c r="DB12" s="50">
        <f t="shared" si="127"/>
        <v>0</v>
      </c>
      <c r="DC12" s="50">
        <f>IF($AN12="N","N",SUM('調查資料(OUT)'!AB18:AB21))</f>
        <v>0</v>
      </c>
      <c r="DD12" s="50">
        <f>IF($AN12="N","N",SUM('調查資料(OUT)'!AF18:AF21))</f>
        <v>0</v>
      </c>
      <c r="DE12" s="50">
        <f>IF($AN12="N","N",SUM('調查資料(OUT)'!AJ18:AJ21))</f>
        <v>0</v>
      </c>
      <c r="DF12" s="56" t="e">
        <f t="shared" si="128"/>
        <v>#DIV/0!</v>
      </c>
      <c r="DG12" s="50">
        <f t="shared" si="129"/>
        <v>0</v>
      </c>
      <c r="DH12" s="50">
        <f>IF($AN12="N","N",SUM('調查資料(OUT)'!AC18:AC21))</f>
        <v>0</v>
      </c>
      <c r="DI12" s="50">
        <f>IF($AN12="N","N",SUM('調查資料(OUT)'!AG18:AG21))</f>
        <v>0</v>
      </c>
      <c r="DJ12" s="50">
        <f>IF($AN12="N","N",SUM('調查資料(OUT)'!AK18:AK21))</f>
        <v>0</v>
      </c>
      <c r="DK12" s="56" t="e">
        <f t="shared" si="130"/>
        <v>#DIV/0!</v>
      </c>
      <c r="DL12" s="50">
        <f t="shared" si="131"/>
        <v>0</v>
      </c>
      <c r="DM12" s="56" t="e">
        <f t="shared" si="132"/>
        <v>#DIV/0!</v>
      </c>
      <c r="DN12" s="50">
        <f t="shared" si="133"/>
        <v>0</v>
      </c>
      <c r="DO12" s="56" t="e">
        <f t="shared" si="134"/>
        <v>#DIV/0!</v>
      </c>
      <c r="DP12" s="50">
        <f t="shared" si="135"/>
        <v>0</v>
      </c>
      <c r="DQ12" s="56" t="e">
        <f t="shared" si="136"/>
        <v>#DIV/0!</v>
      </c>
      <c r="DR12" s="50">
        <f t="shared" si="137"/>
        <v>0</v>
      </c>
      <c r="DS12" s="50">
        <f t="shared" si="138"/>
        <v>0</v>
      </c>
      <c r="DT12" s="50">
        <f>IF($AN12="N","N",SUM('調查資料(OUT)'!AL18:AL21))</f>
        <v>0</v>
      </c>
      <c r="DU12" s="50">
        <f>IF($AN12="N","N",SUM('調查資料(OUT)'!AP18:AP21))</f>
        <v>0</v>
      </c>
      <c r="DV12" s="50">
        <f>IF($AN12="N","N",SUM('調查資料(OUT)'!AT18:AT21))</f>
        <v>0</v>
      </c>
      <c r="DW12" s="56" t="e">
        <f t="shared" si="139"/>
        <v>#DIV/0!</v>
      </c>
      <c r="DX12" s="50">
        <f t="shared" si="140"/>
        <v>0</v>
      </c>
      <c r="DY12" s="50">
        <f>IF($AN12="N","N",SUM('調查資料(OUT)'!AM18:AM21))</f>
        <v>0</v>
      </c>
      <c r="DZ12" s="50">
        <f>IF($AN12="N","N",SUM('調查資料(OUT)'!AQ18:AQ21))</f>
        <v>0</v>
      </c>
      <c r="EA12" s="50">
        <f>IF($AN12="N","N",SUM('調查資料(OUT)'!AU18:AU21))</f>
        <v>0</v>
      </c>
      <c r="EB12" s="56" t="e">
        <f t="shared" si="141"/>
        <v>#DIV/0!</v>
      </c>
      <c r="EC12" s="50">
        <f t="shared" si="142"/>
        <v>0</v>
      </c>
      <c r="ED12" s="50">
        <f>IF($AN12="N","N",SUM('調查資料(OUT)'!AN18:AN21))</f>
        <v>0</v>
      </c>
      <c r="EE12" s="50">
        <f>IF($AN12="N","N",SUM('調查資料(OUT)'!AR18:AR21))</f>
        <v>0</v>
      </c>
      <c r="EF12" s="50">
        <f>IF($AN12="N","N",SUM('調查資料(OUT)'!AV18:AV21))</f>
        <v>0</v>
      </c>
      <c r="EG12" s="56" t="e">
        <f t="shared" si="143"/>
        <v>#DIV/0!</v>
      </c>
      <c r="EH12" s="50">
        <f t="shared" si="144"/>
        <v>0</v>
      </c>
      <c r="EI12" s="50">
        <f>IF($AN12="N","N",SUM('調查資料(OUT)'!AO18:AO21))</f>
        <v>0</v>
      </c>
      <c r="EJ12" s="50">
        <f>IF($AN12="N","N",SUM('調查資料(OUT)'!AS18:AS21))</f>
        <v>0</v>
      </c>
      <c r="EK12" s="50">
        <f>IF($AN12="N","N",SUM('調查資料(OUT)'!AW18:AW21))</f>
        <v>0</v>
      </c>
      <c r="EL12" s="56" t="e">
        <f t="shared" si="145"/>
        <v>#DIV/0!</v>
      </c>
      <c r="EM12" s="50">
        <f t="shared" si="146"/>
        <v>0</v>
      </c>
      <c r="EN12" s="56" t="e">
        <f t="shared" si="147"/>
        <v>#DIV/0!</v>
      </c>
      <c r="EO12" s="50">
        <f t="shared" si="148"/>
        <v>0</v>
      </c>
      <c r="EP12" s="56" t="e">
        <f t="shared" si="149"/>
        <v>#DIV/0!</v>
      </c>
      <c r="EQ12" s="50">
        <f t="shared" si="150"/>
        <v>0</v>
      </c>
      <c r="ER12" s="56" t="e">
        <f t="shared" si="151"/>
        <v>#DIV/0!</v>
      </c>
      <c r="ES12" s="50">
        <f t="shared" si="152"/>
        <v>0</v>
      </c>
      <c r="ET12" s="50">
        <f t="shared" si="153"/>
        <v>0</v>
      </c>
      <c r="EU12" s="50">
        <f>IF($AN12="N","N",SUM('調查資料(OUT)'!AX18:AX21))</f>
        <v>0</v>
      </c>
      <c r="EV12" s="50">
        <f>IF($AN12="N","N",SUM('調查資料(OUT)'!BB18:BB21))</f>
        <v>0</v>
      </c>
      <c r="EW12" s="50">
        <f>IF($AN12="N","N",SUM('調查資料(OUT)'!BF18:BF21))</f>
        <v>0</v>
      </c>
      <c r="EX12" s="56" t="e">
        <f t="shared" si="154"/>
        <v>#DIV/0!</v>
      </c>
      <c r="EY12" s="50">
        <f t="shared" si="155"/>
        <v>0</v>
      </c>
      <c r="EZ12" s="50">
        <f>IF($AN12="N","N",SUM('調查資料(OUT)'!AY18:AY21))</f>
        <v>0</v>
      </c>
      <c r="FA12" s="50">
        <f>IF($AN12="N","N",SUM('調查資料(OUT)'!BC18:BC21))</f>
        <v>0</v>
      </c>
      <c r="FB12" s="50">
        <f>IF($AN12="N","N",SUM('調查資料(OUT)'!BG18:BG21))</f>
        <v>0</v>
      </c>
      <c r="FC12" s="56" t="e">
        <f t="shared" si="156"/>
        <v>#DIV/0!</v>
      </c>
      <c r="FD12" s="50">
        <f t="shared" si="157"/>
        <v>0</v>
      </c>
      <c r="FE12" s="50">
        <f>IF($AN12="N","N",SUM('調查資料(OUT)'!AZ18:AZ21))</f>
        <v>0</v>
      </c>
      <c r="FF12" s="50">
        <f>IF($AN12="N","N",SUM('調查資料(OUT)'!BD18:BD21))</f>
        <v>0</v>
      </c>
      <c r="FG12" s="50">
        <f>IF($AN12="N","N",SUM('調查資料(OUT)'!BH18:BH21))</f>
        <v>0</v>
      </c>
      <c r="FH12" s="56" t="e">
        <f t="shared" si="158"/>
        <v>#DIV/0!</v>
      </c>
      <c r="FI12" s="50">
        <f t="shared" si="159"/>
        <v>0</v>
      </c>
      <c r="FJ12" s="50">
        <f>IF($AN12="N","N",SUM('調查資料(OUT)'!BA18:BA21))</f>
        <v>0</v>
      </c>
      <c r="FK12" s="50">
        <f>IF($AN12="N","N",SUM('調查資料(OUT)'!BE18:BE21))</f>
        <v>0</v>
      </c>
      <c r="FL12" s="50">
        <f>IF($AN12="N","N",SUM('調查資料(OUT)'!BI18:BI21))</f>
        <v>0</v>
      </c>
      <c r="FM12" s="56" t="e">
        <f t="shared" si="160"/>
        <v>#DIV/0!</v>
      </c>
      <c r="FN12" s="50">
        <f t="shared" si="161"/>
        <v>0</v>
      </c>
      <c r="FO12" s="56" t="e">
        <f t="shared" si="162"/>
        <v>#DIV/0!</v>
      </c>
      <c r="FP12" s="50">
        <f t="shared" si="163"/>
        <v>0</v>
      </c>
      <c r="FQ12" s="56" t="e">
        <f t="shared" si="164"/>
        <v>#DIV/0!</v>
      </c>
      <c r="FR12" s="50">
        <f t="shared" si="165"/>
        <v>0</v>
      </c>
      <c r="FS12" s="56" t="e">
        <f t="shared" si="166"/>
        <v>#DIV/0!</v>
      </c>
      <c r="FT12" s="50">
        <f t="shared" si="167"/>
        <v>0</v>
      </c>
    </row>
    <row r="13" spans="1:176">
      <c r="A13" s="274">
        <f>'調查資料(OUT)'!A19</f>
        <v>200</v>
      </c>
      <c r="B13" s="50">
        <f t="shared" si="81"/>
        <v>0</v>
      </c>
      <c r="C13" s="50">
        <f>IFERROR('調查資料(OUT)'!$B$1*'調查資料(OUT)'!B19,0)+IFERROR('調查資料(OUT)'!$F$1*'調查資料(OUT)'!F19,0)+IFERROR('調查資料(OUT)'!$J$1*'調查資料(OUT)'!J19,0)</f>
        <v>0</v>
      </c>
      <c r="D13" s="50">
        <f>IFERROR('調查資料(OUT)'!$C$1*'調查資料(OUT)'!C19,0)+IFERROR('調查資料(OUT)'!$G$1*'調查資料(OUT)'!G19,0)+IFERROR('調查資料(OUT)'!$K$1*'調查資料(OUT)'!K19,0)</f>
        <v>0</v>
      </c>
      <c r="E13" s="50">
        <f>IFERROR('調查資料(OUT)'!$D$1*'調查資料(OUT)'!D19,0)+IFERROR('調查資料(OUT)'!$H$1*'調查資料(OUT)'!H19,0)+IFERROR('調查資料(OUT)'!$L$1*'調查資料(OUT)'!L19,0)</f>
        <v>0</v>
      </c>
      <c r="F13" s="252">
        <f>IFERROR('調查資料(OUT)'!$E$1*'調查資料(OUT)'!E19,0)+IFERROR('調查資料(OUT)'!$I$1*'調查資料(OUT)'!I19,0)+IFERROR('調查資料(OUT)'!$M$1*'調查資料(OUT)'!M19,0)</f>
        <v>0</v>
      </c>
      <c r="G13" s="50">
        <f t="shared" si="82"/>
        <v>0</v>
      </c>
      <c r="H13" s="50">
        <f>IFERROR('調查資料(OUT)'!$N$1*'調查資料(OUT)'!N19,0)+IFERROR('調查資料(OUT)'!$R$1*'調查資料(OUT)'!R19,0)+IFERROR('調查資料(OUT)'!$V$1*'調查資料(OUT)'!V19,0)</f>
        <v>0</v>
      </c>
      <c r="I13" s="50">
        <f>IFERROR('調查資料(OUT)'!$O$1*'調查資料(OUT)'!O19,0)+IFERROR('調查資料(OUT)'!$S$1*'調查資料(OUT)'!S19,0)+IFERROR('調查資料(OUT)'!$W$1*'調查資料(OUT)'!W19,0)</f>
        <v>0</v>
      </c>
      <c r="J13" s="50">
        <f>IFERROR('調查資料(OUT)'!$P$1*'調查資料(OUT)'!P19,0)+IFERROR('調查資料(OUT)'!$T$1*'調查資料(OUT)'!T19,0)+IFERROR('調查資料(OUT)'!$X$1*'調查資料(OUT)'!X19,0)</f>
        <v>0</v>
      </c>
      <c r="K13" s="252">
        <f>IFERROR('調查資料(OUT)'!$Q$1*'調查資料(OUT)'!Q19,0)+IFERROR('調查資料(OUT)'!$U$1*'調查資料(OUT)'!U19,0)+IFERROR('調查資料(OUT)'!$Y$1*'調查資料(OUT)'!Y19,0)</f>
        <v>0</v>
      </c>
      <c r="L13" s="50">
        <f t="shared" si="83"/>
        <v>0</v>
      </c>
      <c r="M13" s="50">
        <f>IFERROR('調查資料(OUT)'!$Z$1*'調查資料(OUT)'!Z19,0)+IFERROR('調查資料(OUT)'!$AD$1*'調查資料(OUT)'!AD19,0)+IFERROR('調查資料(OUT)'!$AH$1*'調查資料(OUT)'!AH19,0)</f>
        <v>0</v>
      </c>
      <c r="N13" s="50">
        <f>IFERROR('調查資料(OUT)'!$AA$1*'調查資料(OUT)'!AA19,0)+IFERROR('調查資料(OUT)'!$AE$1*'調查資料(OUT)'!AE19,0)+IFERROR('調查資料(OUT)'!$AI$1*'調查資料(OUT)'!AI19,0)</f>
        <v>0</v>
      </c>
      <c r="O13" s="50">
        <f>IFERROR('調查資料(OUT)'!$AB$1*'調查資料(OUT)'!AB19,0)+IFERROR('調查資料(OUT)'!$AF$1*'調查資料(OUT)'!AF19,0)+IFERROR('調查資料(OUT)'!$AJ$1*'調查資料(OUT)'!AJ19,0)</f>
        <v>0</v>
      </c>
      <c r="P13" s="252">
        <f>IFERROR('調查資料(OUT)'!$AC$1*'調查資料(OUT)'!AC19,0)+IFERROR('調查資料(OUT)'!$AG$1*'調查資料(OUT)'!AG19,0)+IFERROR('調查資料(OUT)'!$AK$1*'調查資料(OUT)'!AK19,0)</f>
        <v>0</v>
      </c>
      <c r="Q13" s="50">
        <f t="shared" si="84"/>
        <v>0</v>
      </c>
      <c r="R13" s="50">
        <f>IFERROR('調查資料(OUT)'!$AL$1*'調查資料(OUT)'!AL19,0)+IFERROR('調查資料(OUT)'!$AP$1*'調查資料(OUT)'!AP19,0)+IFERROR('調查資料(OUT)'!$AT$1*'調查資料(OUT)'!AT19,0)</f>
        <v>0</v>
      </c>
      <c r="S13" s="50">
        <f>IFERROR('調查資料(OUT)'!$AM$1*'調查資料(OUT)'!AM19,0)+IFERROR('調查資料(OUT)'!$AQ$1*'調查資料(OUT)'!AQ19,0)+IFERROR('調查資料(OUT)'!$AU$1*'調查資料(OUT)'!AU19,0)</f>
        <v>0</v>
      </c>
      <c r="T13" s="50">
        <f>IFERROR('調查資料(OUT)'!$AN$1*'調查資料(OUT)'!AN19,0)+IFERROR('調查資料(OUT)'!$AR$1*'調查資料(OUT)'!AR19,0)+IFERROR('調查資料(OUT)'!$AV$1*'調查資料(OUT)'!AV19,0)</f>
        <v>0</v>
      </c>
      <c r="U13" s="252">
        <f>IFERROR('調查資料(OUT)'!$AO$1*'調查資料(OUT)'!AO19,0)+IFERROR('調查資料(OUT)'!$AS$1*'調查資料(OUT)'!AS19,0)+IFERROR('調查資料(OUT)'!$AW$1*'調查資料(OUT)'!AW19,0)</f>
        <v>0</v>
      </c>
      <c r="V13" s="50">
        <f t="shared" si="85"/>
        <v>0</v>
      </c>
      <c r="W13" s="50">
        <f>IFERROR('調查資料(OUT)'!$AX$1*'調查資料(OUT)'!AX19,0)+IFERROR('調查資料(OUT)'!$BB$1*'調查資料(OUT)'!BB19,0)+IFERROR('調查資料(OUT)'!$BF$1*'調查資料(OUT)'!BF19,0)</f>
        <v>0</v>
      </c>
      <c r="X13" s="50">
        <f>IFERROR('調查資料(OUT)'!$AY$1*'調查資料(OUT)'!AY19,0)+IFERROR('調查資料(OUT)'!$BC$1*'調查資料(OUT)'!BC19,0)+IFERROR('調查資料(OUT)'!$BG$1*'調查資料(OUT)'!BG19,0)</f>
        <v>0</v>
      </c>
      <c r="Y13" s="50">
        <f>IFERROR('調查資料(OUT)'!$AZ$1*'調查資料(OUT)'!AZ19,0)+IFERROR('調查資料(OUT)'!$BD$1*'調查資料(OUT)'!BD19,0)+IFERROR('調查資料(OUT)'!$BH$1*'調查資料(OUT)'!BH19,0)</f>
        <v>0</v>
      </c>
      <c r="Z13" s="252">
        <f>IFERROR('調查資料(OUT)'!$BA$1*'調查資料(OUT)'!BA19,0)+IFERROR('調查資料(OUT)'!$BE$1*'調查資料(OUT)'!BE19,0)+IFERROR('調查資料(OUT)'!$BI$1*'調查資料(OUT)'!BI19,0)</f>
        <v>0</v>
      </c>
      <c r="AA13" s="253">
        <f t="shared" si="86"/>
        <v>0</v>
      </c>
      <c r="AC13" s="251">
        <f>'調查資料(OUT)'!A19</f>
        <v>200</v>
      </c>
      <c r="AD13" s="254">
        <f t="shared" si="91"/>
        <v>300</v>
      </c>
      <c r="AE13" s="50">
        <f t="shared" si="92"/>
        <v>0</v>
      </c>
      <c r="AF13" s="255"/>
      <c r="AG13" s="50">
        <f t="shared" si="1"/>
        <v>0</v>
      </c>
      <c r="AH13" s="256" t="e">
        <f t="shared" si="2"/>
        <v>#DIV/0!</v>
      </c>
      <c r="AI13" s="256" t="e">
        <f t="shared" si="3"/>
        <v>#DIV/0!</v>
      </c>
      <c r="AJ13" s="256" t="e">
        <f t="shared" si="4"/>
        <v>#DIV/0!</v>
      </c>
      <c r="AK13" s="256" t="e">
        <f t="shared" si="5"/>
        <v>#DIV/0!</v>
      </c>
      <c r="AL13" s="256" t="e">
        <f t="shared" si="6"/>
        <v>#DIV/0!</v>
      </c>
      <c r="AM13" s="257"/>
      <c r="AN13" s="50">
        <f t="shared" si="7"/>
        <v>200</v>
      </c>
      <c r="AO13" s="252">
        <f t="shared" si="8"/>
        <v>300</v>
      </c>
      <c r="AP13" s="50">
        <f t="shared" si="93"/>
        <v>0</v>
      </c>
      <c r="AQ13" s="50">
        <f>IF($AN13="N","N",SUM('調查資料(OUT)'!B19:B22))</f>
        <v>0</v>
      </c>
      <c r="AR13" s="50">
        <f>IF($AN13="N","N",SUM('調查資料(OUT)'!F19:F22))</f>
        <v>0</v>
      </c>
      <c r="AS13" s="50">
        <f>IF($AN13="N","N",SUM('調查資料(OUT)'!J19:J22))</f>
        <v>0</v>
      </c>
      <c r="AT13" s="56" t="e">
        <f t="shared" si="94"/>
        <v>#DIV/0!</v>
      </c>
      <c r="AU13" s="50">
        <f t="shared" si="95"/>
        <v>0</v>
      </c>
      <c r="AV13" s="50">
        <f>IF($AN13="N","N",SUM('調查資料(OUT)'!C19:C22))</f>
        <v>0</v>
      </c>
      <c r="AW13" s="50">
        <f>IF($AN13="N","N",SUM('調查資料(OUT)'!G19:G22))</f>
        <v>0</v>
      </c>
      <c r="AX13" s="50">
        <f>IF($AN13="N","N",SUM('調查資料(OUT)'!K19:K22))</f>
        <v>0</v>
      </c>
      <c r="AY13" s="56" t="e">
        <f t="shared" si="96"/>
        <v>#DIV/0!</v>
      </c>
      <c r="AZ13" s="50">
        <f t="shared" si="97"/>
        <v>0</v>
      </c>
      <c r="BA13" s="50">
        <f>IF($AN13="N","N",SUM('調查資料(OUT)'!D19:D22))</f>
        <v>0</v>
      </c>
      <c r="BB13" s="50">
        <f>IF($AN13="N","N",SUM('調查資料(OUT)'!H19:H22))</f>
        <v>0</v>
      </c>
      <c r="BC13" s="50">
        <f>IF($AN13="N","N",SUM('調查資料(OUT)'!L19:L22))</f>
        <v>0</v>
      </c>
      <c r="BD13" s="56" t="e">
        <f t="shared" si="98"/>
        <v>#DIV/0!</v>
      </c>
      <c r="BE13" s="50">
        <f t="shared" si="99"/>
        <v>0</v>
      </c>
      <c r="BF13" s="50">
        <f>IF($AN13="N","N",SUM('調查資料(OUT)'!E19:E22))</f>
        <v>0</v>
      </c>
      <c r="BG13" s="50">
        <f>IF($AN13="N","N",SUM('調查資料(OUT)'!I19:I22))</f>
        <v>0</v>
      </c>
      <c r="BH13" s="50">
        <f>IF($AN13="N","N",SUM('調查資料(OUT)'!M19:M22))</f>
        <v>0</v>
      </c>
      <c r="BI13" s="56" t="e">
        <f t="shared" si="100"/>
        <v>#DIV/0!</v>
      </c>
      <c r="BJ13" s="50">
        <f t="shared" si="101"/>
        <v>0</v>
      </c>
      <c r="BK13" s="56" t="e">
        <f t="shared" si="102"/>
        <v>#DIV/0!</v>
      </c>
      <c r="BL13" s="50">
        <f t="shared" si="103"/>
        <v>0</v>
      </c>
      <c r="BM13" s="56" t="e">
        <f t="shared" si="104"/>
        <v>#DIV/0!</v>
      </c>
      <c r="BN13" s="50">
        <f t="shared" si="105"/>
        <v>0</v>
      </c>
      <c r="BO13" s="56" t="e">
        <f t="shared" si="106"/>
        <v>#DIV/0!</v>
      </c>
      <c r="BP13" s="50">
        <f t="shared" si="107"/>
        <v>0</v>
      </c>
      <c r="BQ13" s="50">
        <f t="shared" si="108"/>
        <v>0</v>
      </c>
      <c r="BR13" s="50">
        <f>IF($AN13="N","N",SUM('調查資料(OUT)'!N19:N22))</f>
        <v>0</v>
      </c>
      <c r="BS13" s="50">
        <f>IF($AN13="N","N",SUM('調查資料(OUT)'!R19:R22))</f>
        <v>0</v>
      </c>
      <c r="BT13" s="50">
        <f>IF($AN13="N","N",SUM('調查資料(OUT)'!V19:V22))</f>
        <v>0</v>
      </c>
      <c r="BU13" s="56" t="e">
        <f t="shared" si="109"/>
        <v>#DIV/0!</v>
      </c>
      <c r="BV13" s="50">
        <f t="shared" si="110"/>
        <v>0</v>
      </c>
      <c r="BW13" s="50">
        <f>IF($AN13="N","N",SUM('調查資料(OUT)'!O19:O22))</f>
        <v>0</v>
      </c>
      <c r="BX13" s="50">
        <f>IF($AN13="N","N",SUM('調查資料(OUT)'!S19:S22))</f>
        <v>0</v>
      </c>
      <c r="BY13" s="50">
        <f>IF($AN13="N","N",SUM('調查資料(OUT)'!W19:W22))</f>
        <v>0</v>
      </c>
      <c r="BZ13" s="56" t="e">
        <f t="shared" si="111"/>
        <v>#DIV/0!</v>
      </c>
      <c r="CA13" s="50">
        <f t="shared" si="112"/>
        <v>0</v>
      </c>
      <c r="CB13" s="50">
        <f>IF($AN13="N","N",SUM('調查資料(OUT)'!P19:P22))</f>
        <v>0</v>
      </c>
      <c r="CC13" s="50">
        <f>IF($AN13="N","N",SUM('調查資料(OUT)'!T19:T22))</f>
        <v>0</v>
      </c>
      <c r="CD13" s="50">
        <f>IF($AN13="N","N",SUM('調查資料(OUT)'!X19:X22))</f>
        <v>0</v>
      </c>
      <c r="CE13" s="56" t="e">
        <f t="shared" si="113"/>
        <v>#DIV/0!</v>
      </c>
      <c r="CF13" s="50">
        <f t="shared" si="114"/>
        <v>0</v>
      </c>
      <c r="CG13" s="50">
        <f>IF($AN13="N","N",SUM('調查資料(OUT)'!Q19:Q22))</f>
        <v>0</v>
      </c>
      <c r="CH13" s="50">
        <f>IF($AN13="N","N",SUM('調查資料(OUT)'!U19:U22))</f>
        <v>0</v>
      </c>
      <c r="CI13" s="50">
        <f>IF($AN13="N","N",SUM('調查資料(OUT)'!Y19:Y22))</f>
        <v>0</v>
      </c>
      <c r="CJ13" s="56" t="e">
        <f t="shared" si="115"/>
        <v>#DIV/0!</v>
      </c>
      <c r="CK13" s="50">
        <f t="shared" si="116"/>
        <v>0</v>
      </c>
      <c r="CL13" s="56" t="e">
        <f t="shared" si="117"/>
        <v>#DIV/0!</v>
      </c>
      <c r="CM13" s="50">
        <f t="shared" si="118"/>
        <v>0</v>
      </c>
      <c r="CN13" s="56" t="e">
        <f t="shared" si="119"/>
        <v>#DIV/0!</v>
      </c>
      <c r="CO13" s="50">
        <f t="shared" si="120"/>
        <v>0</v>
      </c>
      <c r="CP13" s="56" t="e">
        <f t="shared" si="121"/>
        <v>#DIV/0!</v>
      </c>
      <c r="CQ13" s="50">
        <f t="shared" si="122"/>
        <v>0</v>
      </c>
      <c r="CR13" s="50">
        <f t="shared" si="123"/>
        <v>0</v>
      </c>
      <c r="CS13" s="50">
        <f>IF($AN13="N","N",SUM('調查資料(OUT)'!Z19:Z22))</f>
        <v>0</v>
      </c>
      <c r="CT13" s="50">
        <f>IF($AN13="N","N",SUM('調查資料(OUT)'!AD19:AD22))</f>
        <v>0</v>
      </c>
      <c r="CU13" s="50">
        <f>IF($AN13="N","N",SUM('調查資料(OUT)'!AH19:AH22))</f>
        <v>0</v>
      </c>
      <c r="CV13" s="56" t="e">
        <f t="shared" si="124"/>
        <v>#DIV/0!</v>
      </c>
      <c r="CW13" s="50">
        <f t="shared" si="125"/>
        <v>0</v>
      </c>
      <c r="CX13" s="50">
        <f>IF($AN13="N","N",SUM('調查資料(OUT)'!AA19:AA22))</f>
        <v>0</v>
      </c>
      <c r="CY13" s="50">
        <f>IF($AN13="N","N",SUM('調查資料(OUT)'!AE19:AE22))</f>
        <v>0</v>
      </c>
      <c r="CZ13" s="50">
        <f>IF($AN13="N","N",SUM('調查資料(OUT)'!AI19:AI22))</f>
        <v>0</v>
      </c>
      <c r="DA13" s="56" t="e">
        <f t="shared" si="126"/>
        <v>#DIV/0!</v>
      </c>
      <c r="DB13" s="50">
        <f t="shared" si="127"/>
        <v>0</v>
      </c>
      <c r="DC13" s="50">
        <f>IF($AN13="N","N",SUM('調查資料(OUT)'!AB19:AB22))</f>
        <v>0</v>
      </c>
      <c r="DD13" s="50">
        <f>IF($AN13="N","N",SUM('調查資料(OUT)'!AF19:AF22))</f>
        <v>0</v>
      </c>
      <c r="DE13" s="50">
        <f>IF($AN13="N","N",SUM('調查資料(OUT)'!AJ19:AJ22))</f>
        <v>0</v>
      </c>
      <c r="DF13" s="56" t="e">
        <f t="shared" si="128"/>
        <v>#DIV/0!</v>
      </c>
      <c r="DG13" s="50">
        <f t="shared" si="129"/>
        <v>0</v>
      </c>
      <c r="DH13" s="50">
        <f>IF($AN13="N","N",SUM('調查資料(OUT)'!AC19:AC22))</f>
        <v>0</v>
      </c>
      <c r="DI13" s="50">
        <f>IF($AN13="N","N",SUM('調查資料(OUT)'!AG19:AG22))</f>
        <v>0</v>
      </c>
      <c r="DJ13" s="50">
        <f>IF($AN13="N","N",SUM('調查資料(OUT)'!AK19:AK22))</f>
        <v>0</v>
      </c>
      <c r="DK13" s="56" t="e">
        <f t="shared" si="130"/>
        <v>#DIV/0!</v>
      </c>
      <c r="DL13" s="50">
        <f t="shared" si="131"/>
        <v>0</v>
      </c>
      <c r="DM13" s="56" t="e">
        <f t="shared" si="132"/>
        <v>#DIV/0!</v>
      </c>
      <c r="DN13" s="50">
        <f t="shared" si="133"/>
        <v>0</v>
      </c>
      <c r="DO13" s="56" t="e">
        <f t="shared" si="134"/>
        <v>#DIV/0!</v>
      </c>
      <c r="DP13" s="50">
        <f t="shared" si="135"/>
        <v>0</v>
      </c>
      <c r="DQ13" s="56" t="e">
        <f t="shared" si="136"/>
        <v>#DIV/0!</v>
      </c>
      <c r="DR13" s="50">
        <f t="shared" si="137"/>
        <v>0</v>
      </c>
      <c r="DS13" s="50">
        <f t="shared" si="138"/>
        <v>0</v>
      </c>
      <c r="DT13" s="50">
        <f>IF($AN13="N","N",SUM('調查資料(OUT)'!AL19:AL22))</f>
        <v>0</v>
      </c>
      <c r="DU13" s="50">
        <f>IF($AN13="N","N",SUM('調查資料(OUT)'!AP19:AP22))</f>
        <v>0</v>
      </c>
      <c r="DV13" s="50">
        <f>IF($AN13="N","N",SUM('調查資料(OUT)'!AT19:AT22))</f>
        <v>0</v>
      </c>
      <c r="DW13" s="56" t="e">
        <f t="shared" si="139"/>
        <v>#DIV/0!</v>
      </c>
      <c r="DX13" s="50">
        <f t="shared" si="140"/>
        <v>0</v>
      </c>
      <c r="DY13" s="50">
        <f>IF($AN13="N","N",SUM('調查資料(OUT)'!AM19:AM22))</f>
        <v>0</v>
      </c>
      <c r="DZ13" s="50">
        <f>IF($AN13="N","N",SUM('調查資料(OUT)'!AQ19:AQ22))</f>
        <v>0</v>
      </c>
      <c r="EA13" s="50">
        <f>IF($AN13="N","N",SUM('調查資料(OUT)'!AU19:AU22))</f>
        <v>0</v>
      </c>
      <c r="EB13" s="56" t="e">
        <f t="shared" si="141"/>
        <v>#DIV/0!</v>
      </c>
      <c r="EC13" s="50">
        <f t="shared" si="142"/>
        <v>0</v>
      </c>
      <c r="ED13" s="50">
        <f>IF($AN13="N","N",SUM('調查資料(OUT)'!AN19:AN22))</f>
        <v>0</v>
      </c>
      <c r="EE13" s="50">
        <f>IF($AN13="N","N",SUM('調查資料(OUT)'!AR19:AR22))</f>
        <v>0</v>
      </c>
      <c r="EF13" s="50">
        <f>IF($AN13="N","N",SUM('調查資料(OUT)'!AV19:AV22))</f>
        <v>0</v>
      </c>
      <c r="EG13" s="56" t="e">
        <f t="shared" si="143"/>
        <v>#DIV/0!</v>
      </c>
      <c r="EH13" s="50">
        <f t="shared" si="144"/>
        <v>0</v>
      </c>
      <c r="EI13" s="50">
        <f>IF($AN13="N","N",SUM('調查資料(OUT)'!AO19:AO22))</f>
        <v>0</v>
      </c>
      <c r="EJ13" s="50">
        <f>IF($AN13="N","N",SUM('調查資料(OUT)'!AS19:AS22))</f>
        <v>0</v>
      </c>
      <c r="EK13" s="50">
        <f>IF($AN13="N","N",SUM('調查資料(OUT)'!AW19:AW22))</f>
        <v>0</v>
      </c>
      <c r="EL13" s="56" t="e">
        <f t="shared" si="145"/>
        <v>#DIV/0!</v>
      </c>
      <c r="EM13" s="50">
        <f t="shared" si="146"/>
        <v>0</v>
      </c>
      <c r="EN13" s="56" t="e">
        <f t="shared" si="147"/>
        <v>#DIV/0!</v>
      </c>
      <c r="EO13" s="50">
        <f t="shared" si="148"/>
        <v>0</v>
      </c>
      <c r="EP13" s="56" t="e">
        <f t="shared" si="149"/>
        <v>#DIV/0!</v>
      </c>
      <c r="EQ13" s="50">
        <f t="shared" si="150"/>
        <v>0</v>
      </c>
      <c r="ER13" s="56" t="e">
        <f t="shared" si="151"/>
        <v>#DIV/0!</v>
      </c>
      <c r="ES13" s="50">
        <f t="shared" si="152"/>
        <v>0</v>
      </c>
      <c r="ET13" s="50">
        <f t="shared" si="153"/>
        <v>0</v>
      </c>
      <c r="EU13" s="50">
        <f>IF($AN13="N","N",SUM('調查資料(OUT)'!AX19:AX22))</f>
        <v>0</v>
      </c>
      <c r="EV13" s="50">
        <f>IF($AN13="N","N",SUM('調查資料(OUT)'!BB19:BB22))</f>
        <v>0</v>
      </c>
      <c r="EW13" s="50">
        <f>IF($AN13="N","N",SUM('調查資料(OUT)'!BF19:BF22))</f>
        <v>0</v>
      </c>
      <c r="EX13" s="56" t="e">
        <f t="shared" si="154"/>
        <v>#DIV/0!</v>
      </c>
      <c r="EY13" s="50">
        <f t="shared" si="155"/>
        <v>0</v>
      </c>
      <c r="EZ13" s="50">
        <f>IF($AN13="N","N",SUM('調查資料(OUT)'!AY19:AY22))</f>
        <v>0</v>
      </c>
      <c r="FA13" s="50">
        <f>IF($AN13="N","N",SUM('調查資料(OUT)'!BC19:BC22))</f>
        <v>0</v>
      </c>
      <c r="FB13" s="50">
        <f>IF($AN13="N","N",SUM('調查資料(OUT)'!BG19:BG22))</f>
        <v>0</v>
      </c>
      <c r="FC13" s="56" t="e">
        <f t="shared" si="156"/>
        <v>#DIV/0!</v>
      </c>
      <c r="FD13" s="50">
        <f t="shared" si="157"/>
        <v>0</v>
      </c>
      <c r="FE13" s="50">
        <f>IF($AN13="N","N",SUM('調查資料(OUT)'!AZ19:AZ22))</f>
        <v>0</v>
      </c>
      <c r="FF13" s="50">
        <f>IF($AN13="N","N",SUM('調查資料(OUT)'!BD19:BD22))</f>
        <v>0</v>
      </c>
      <c r="FG13" s="50">
        <f>IF($AN13="N","N",SUM('調查資料(OUT)'!BH19:BH22))</f>
        <v>0</v>
      </c>
      <c r="FH13" s="56" t="e">
        <f t="shared" si="158"/>
        <v>#DIV/0!</v>
      </c>
      <c r="FI13" s="50">
        <f t="shared" si="159"/>
        <v>0</v>
      </c>
      <c r="FJ13" s="50">
        <f>IF($AN13="N","N",SUM('調查資料(OUT)'!BA19:BA22))</f>
        <v>0</v>
      </c>
      <c r="FK13" s="50">
        <f>IF($AN13="N","N",SUM('調查資料(OUT)'!BE19:BE22))</f>
        <v>0</v>
      </c>
      <c r="FL13" s="50">
        <f>IF($AN13="N","N",SUM('調查資料(OUT)'!BI19:BI22))</f>
        <v>0</v>
      </c>
      <c r="FM13" s="56" t="e">
        <f t="shared" si="160"/>
        <v>#DIV/0!</v>
      </c>
      <c r="FN13" s="50">
        <f t="shared" si="161"/>
        <v>0</v>
      </c>
      <c r="FO13" s="56" t="e">
        <f t="shared" si="162"/>
        <v>#DIV/0!</v>
      </c>
      <c r="FP13" s="50">
        <f t="shared" si="163"/>
        <v>0</v>
      </c>
      <c r="FQ13" s="56" t="e">
        <f t="shared" si="164"/>
        <v>#DIV/0!</v>
      </c>
      <c r="FR13" s="50">
        <f t="shared" si="165"/>
        <v>0</v>
      </c>
      <c r="FS13" s="56" t="e">
        <f t="shared" si="166"/>
        <v>#DIV/0!</v>
      </c>
      <c r="FT13" s="50">
        <f t="shared" si="167"/>
        <v>0</v>
      </c>
    </row>
    <row r="14" spans="1:176">
      <c r="A14" s="274">
        <f>'調查資料(OUT)'!A20</f>
        <v>215</v>
      </c>
      <c r="B14" s="50">
        <f t="shared" si="81"/>
        <v>0</v>
      </c>
      <c r="C14" s="50">
        <f>IFERROR('調查資料(OUT)'!$B$1*'調查資料(OUT)'!B20,0)+IFERROR('調查資料(OUT)'!$F$1*'調查資料(OUT)'!F20,0)+IFERROR('調查資料(OUT)'!$J$1*'調查資料(OUT)'!J20,0)</f>
        <v>0</v>
      </c>
      <c r="D14" s="50">
        <f>IFERROR('調查資料(OUT)'!$C$1*'調查資料(OUT)'!C20,0)+IFERROR('調查資料(OUT)'!$G$1*'調查資料(OUT)'!G20,0)+IFERROR('調查資料(OUT)'!$K$1*'調查資料(OUT)'!K20,0)</f>
        <v>0</v>
      </c>
      <c r="E14" s="50">
        <f>IFERROR('調查資料(OUT)'!$D$1*'調查資料(OUT)'!D20,0)+IFERROR('調查資料(OUT)'!$H$1*'調查資料(OUT)'!H20,0)+IFERROR('調查資料(OUT)'!$L$1*'調查資料(OUT)'!L20,0)</f>
        <v>0</v>
      </c>
      <c r="F14" s="252">
        <f>IFERROR('調查資料(OUT)'!$E$1*'調查資料(OUT)'!E20,0)+IFERROR('調查資料(OUT)'!$I$1*'調查資料(OUT)'!I20,0)+IFERROR('調查資料(OUT)'!$M$1*'調查資料(OUT)'!M20,0)</f>
        <v>0</v>
      </c>
      <c r="G14" s="50">
        <f t="shared" si="82"/>
        <v>0</v>
      </c>
      <c r="H14" s="50">
        <f>IFERROR('調查資料(OUT)'!$N$1*'調查資料(OUT)'!N20,0)+IFERROR('調查資料(OUT)'!$R$1*'調查資料(OUT)'!R20,0)+IFERROR('調查資料(OUT)'!$V$1*'調查資料(OUT)'!V20,0)</f>
        <v>0</v>
      </c>
      <c r="I14" s="50">
        <f>IFERROR('調查資料(OUT)'!$O$1*'調查資料(OUT)'!O20,0)+IFERROR('調查資料(OUT)'!$S$1*'調查資料(OUT)'!S20,0)+IFERROR('調查資料(OUT)'!$W$1*'調查資料(OUT)'!W20,0)</f>
        <v>0</v>
      </c>
      <c r="J14" s="50">
        <f>IFERROR('調查資料(OUT)'!$P$1*'調查資料(OUT)'!P20,0)+IFERROR('調查資料(OUT)'!$T$1*'調查資料(OUT)'!T20,0)+IFERROR('調查資料(OUT)'!$X$1*'調查資料(OUT)'!X20,0)</f>
        <v>0</v>
      </c>
      <c r="K14" s="252">
        <f>IFERROR('調查資料(OUT)'!$Q$1*'調查資料(OUT)'!Q20,0)+IFERROR('調查資料(OUT)'!$U$1*'調查資料(OUT)'!U20,0)+IFERROR('調查資料(OUT)'!$Y$1*'調查資料(OUT)'!Y20,0)</f>
        <v>0</v>
      </c>
      <c r="L14" s="50">
        <f t="shared" si="83"/>
        <v>0</v>
      </c>
      <c r="M14" s="50">
        <f>IFERROR('調查資料(OUT)'!$Z$1*'調查資料(OUT)'!Z20,0)+IFERROR('調查資料(OUT)'!$AD$1*'調查資料(OUT)'!AD20,0)+IFERROR('調查資料(OUT)'!$AH$1*'調查資料(OUT)'!AH20,0)</f>
        <v>0</v>
      </c>
      <c r="N14" s="50">
        <f>IFERROR('調查資料(OUT)'!$AA$1*'調查資料(OUT)'!AA20,0)+IFERROR('調查資料(OUT)'!$AE$1*'調查資料(OUT)'!AE20,0)+IFERROR('調查資料(OUT)'!$AI$1*'調查資料(OUT)'!AI20,0)</f>
        <v>0</v>
      </c>
      <c r="O14" s="50">
        <f>IFERROR('調查資料(OUT)'!$AB$1*'調查資料(OUT)'!AB20,0)+IFERROR('調查資料(OUT)'!$AF$1*'調查資料(OUT)'!AF20,0)+IFERROR('調查資料(OUT)'!$AJ$1*'調查資料(OUT)'!AJ20,0)</f>
        <v>0</v>
      </c>
      <c r="P14" s="252">
        <f>IFERROR('調查資料(OUT)'!$AC$1*'調查資料(OUT)'!AC20,0)+IFERROR('調查資料(OUT)'!$AG$1*'調查資料(OUT)'!AG20,0)+IFERROR('調查資料(OUT)'!$AK$1*'調查資料(OUT)'!AK20,0)</f>
        <v>0</v>
      </c>
      <c r="Q14" s="50">
        <f t="shared" si="84"/>
        <v>0</v>
      </c>
      <c r="R14" s="50">
        <f>IFERROR('調查資料(OUT)'!$AL$1*'調查資料(OUT)'!AL20,0)+IFERROR('調查資料(OUT)'!$AP$1*'調查資料(OUT)'!AP20,0)+IFERROR('調查資料(OUT)'!$AT$1*'調查資料(OUT)'!AT20,0)</f>
        <v>0</v>
      </c>
      <c r="S14" s="50">
        <f>IFERROR('調查資料(OUT)'!$AM$1*'調查資料(OUT)'!AM20,0)+IFERROR('調查資料(OUT)'!$AQ$1*'調查資料(OUT)'!AQ20,0)+IFERROR('調查資料(OUT)'!$AU$1*'調查資料(OUT)'!AU20,0)</f>
        <v>0</v>
      </c>
      <c r="T14" s="50">
        <f>IFERROR('調查資料(OUT)'!$AN$1*'調查資料(OUT)'!AN20,0)+IFERROR('調查資料(OUT)'!$AR$1*'調查資料(OUT)'!AR20,0)+IFERROR('調查資料(OUT)'!$AV$1*'調查資料(OUT)'!AV20,0)</f>
        <v>0</v>
      </c>
      <c r="U14" s="252">
        <f>IFERROR('調查資料(OUT)'!$AO$1*'調查資料(OUT)'!AO20,0)+IFERROR('調查資料(OUT)'!$AS$1*'調查資料(OUT)'!AS20,0)+IFERROR('調查資料(OUT)'!$AW$1*'調查資料(OUT)'!AW20,0)</f>
        <v>0</v>
      </c>
      <c r="V14" s="50">
        <f t="shared" si="85"/>
        <v>0</v>
      </c>
      <c r="W14" s="50">
        <f>IFERROR('調查資料(OUT)'!$AX$1*'調查資料(OUT)'!AX20,0)+IFERROR('調查資料(OUT)'!$BB$1*'調查資料(OUT)'!BB20,0)+IFERROR('調查資料(OUT)'!$BF$1*'調查資料(OUT)'!BF20,0)</f>
        <v>0</v>
      </c>
      <c r="X14" s="50">
        <f>IFERROR('調查資料(OUT)'!$AY$1*'調查資料(OUT)'!AY20,0)+IFERROR('調查資料(OUT)'!$BC$1*'調查資料(OUT)'!BC20,0)+IFERROR('調查資料(OUT)'!$BG$1*'調查資料(OUT)'!BG20,0)</f>
        <v>0</v>
      </c>
      <c r="Y14" s="50">
        <f>IFERROR('調查資料(OUT)'!$AZ$1*'調查資料(OUT)'!AZ20,0)+IFERROR('調查資料(OUT)'!$BD$1*'調查資料(OUT)'!BD20,0)+IFERROR('調查資料(OUT)'!$BH$1*'調查資料(OUT)'!BH20,0)</f>
        <v>0</v>
      </c>
      <c r="Z14" s="252">
        <f>IFERROR('調查資料(OUT)'!$BA$1*'調查資料(OUT)'!BA20,0)+IFERROR('調查資料(OUT)'!$BE$1*'調查資料(OUT)'!BE20,0)+IFERROR('調查資料(OUT)'!$BI$1*'調查資料(OUT)'!BI20,0)</f>
        <v>0</v>
      </c>
      <c r="AA14" s="253">
        <f t="shared" si="86"/>
        <v>0</v>
      </c>
      <c r="AC14" s="251">
        <f>'調查資料(OUT)'!A20</f>
        <v>215</v>
      </c>
      <c r="AD14" s="254">
        <f t="shared" si="91"/>
        <v>315</v>
      </c>
      <c r="AE14" s="50">
        <f t="shared" si="92"/>
        <v>0</v>
      </c>
      <c r="AF14" s="255"/>
      <c r="AG14" s="50">
        <f t="shared" si="1"/>
        <v>0</v>
      </c>
      <c r="AH14" s="256" t="e">
        <f t="shared" si="2"/>
        <v>#DIV/0!</v>
      </c>
      <c r="AI14" s="256" t="e">
        <f t="shared" si="3"/>
        <v>#DIV/0!</v>
      </c>
      <c r="AJ14" s="256" t="e">
        <f t="shared" si="4"/>
        <v>#DIV/0!</v>
      </c>
      <c r="AK14" s="256" t="e">
        <f t="shared" si="5"/>
        <v>#DIV/0!</v>
      </c>
      <c r="AL14" s="256" t="e">
        <f t="shared" si="6"/>
        <v>#DIV/0!</v>
      </c>
      <c r="AM14" s="257"/>
      <c r="AN14" s="50">
        <f t="shared" si="7"/>
        <v>215</v>
      </c>
      <c r="AO14" s="252">
        <f t="shared" si="8"/>
        <v>315</v>
      </c>
      <c r="AP14" s="50">
        <f t="shared" si="93"/>
        <v>0</v>
      </c>
      <c r="AQ14" s="50">
        <f>IF($AN14="N","N",SUM('調查資料(OUT)'!B20:B23))</f>
        <v>0</v>
      </c>
      <c r="AR14" s="50">
        <f>IF($AN14="N","N",SUM('調查資料(OUT)'!F20:F23))</f>
        <v>0</v>
      </c>
      <c r="AS14" s="50">
        <f>IF($AN14="N","N",SUM('調查資料(OUT)'!J20:J23))</f>
        <v>0</v>
      </c>
      <c r="AT14" s="56" t="e">
        <f t="shared" si="94"/>
        <v>#DIV/0!</v>
      </c>
      <c r="AU14" s="50">
        <f t="shared" si="95"/>
        <v>0</v>
      </c>
      <c r="AV14" s="50">
        <f>IF($AN14="N","N",SUM('調查資料(OUT)'!C20:C23))</f>
        <v>0</v>
      </c>
      <c r="AW14" s="50">
        <f>IF($AN14="N","N",SUM('調查資料(OUT)'!G20:G23))</f>
        <v>0</v>
      </c>
      <c r="AX14" s="50">
        <f>IF($AN14="N","N",SUM('調查資料(OUT)'!K20:K23))</f>
        <v>0</v>
      </c>
      <c r="AY14" s="56" t="e">
        <f t="shared" si="96"/>
        <v>#DIV/0!</v>
      </c>
      <c r="AZ14" s="50">
        <f t="shared" si="97"/>
        <v>0</v>
      </c>
      <c r="BA14" s="50">
        <f>IF($AN14="N","N",SUM('調查資料(OUT)'!D20:D23))</f>
        <v>0</v>
      </c>
      <c r="BB14" s="50">
        <f>IF($AN14="N","N",SUM('調查資料(OUT)'!H20:H23))</f>
        <v>0</v>
      </c>
      <c r="BC14" s="50">
        <f>IF($AN14="N","N",SUM('調查資料(OUT)'!L20:L23))</f>
        <v>0</v>
      </c>
      <c r="BD14" s="56" t="e">
        <f t="shared" si="98"/>
        <v>#DIV/0!</v>
      </c>
      <c r="BE14" s="50">
        <f t="shared" si="99"/>
        <v>0</v>
      </c>
      <c r="BF14" s="50">
        <f>IF($AN14="N","N",SUM('調查資料(OUT)'!E20:E23))</f>
        <v>0</v>
      </c>
      <c r="BG14" s="50">
        <f>IF($AN14="N","N",SUM('調查資料(OUT)'!I20:I23))</f>
        <v>0</v>
      </c>
      <c r="BH14" s="50">
        <f>IF($AN14="N","N",SUM('調查資料(OUT)'!M20:M23))</f>
        <v>0</v>
      </c>
      <c r="BI14" s="56" t="e">
        <f t="shared" si="100"/>
        <v>#DIV/0!</v>
      </c>
      <c r="BJ14" s="50">
        <f t="shared" si="101"/>
        <v>0</v>
      </c>
      <c r="BK14" s="56" t="e">
        <f t="shared" si="102"/>
        <v>#DIV/0!</v>
      </c>
      <c r="BL14" s="50">
        <f t="shared" si="103"/>
        <v>0</v>
      </c>
      <c r="BM14" s="56" t="e">
        <f t="shared" si="104"/>
        <v>#DIV/0!</v>
      </c>
      <c r="BN14" s="50">
        <f t="shared" si="105"/>
        <v>0</v>
      </c>
      <c r="BO14" s="56" t="e">
        <f t="shared" si="106"/>
        <v>#DIV/0!</v>
      </c>
      <c r="BP14" s="50">
        <f t="shared" si="107"/>
        <v>0</v>
      </c>
      <c r="BQ14" s="50">
        <f t="shared" si="108"/>
        <v>0</v>
      </c>
      <c r="BR14" s="50">
        <f>IF($AN14="N","N",SUM('調查資料(OUT)'!N20:N23))</f>
        <v>0</v>
      </c>
      <c r="BS14" s="50">
        <f>IF($AN14="N","N",SUM('調查資料(OUT)'!R20:R23))</f>
        <v>0</v>
      </c>
      <c r="BT14" s="50">
        <f>IF($AN14="N","N",SUM('調查資料(OUT)'!V20:V23))</f>
        <v>0</v>
      </c>
      <c r="BU14" s="56" t="e">
        <f t="shared" si="109"/>
        <v>#DIV/0!</v>
      </c>
      <c r="BV14" s="50">
        <f t="shared" si="110"/>
        <v>0</v>
      </c>
      <c r="BW14" s="50">
        <f>IF($AN14="N","N",SUM('調查資料(OUT)'!O20:O23))</f>
        <v>0</v>
      </c>
      <c r="BX14" s="50">
        <f>IF($AN14="N","N",SUM('調查資料(OUT)'!S20:S23))</f>
        <v>0</v>
      </c>
      <c r="BY14" s="50">
        <f>IF($AN14="N","N",SUM('調查資料(OUT)'!W20:W23))</f>
        <v>0</v>
      </c>
      <c r="BZ14" s="56" t="e">
        <f t="shared" si="111"/>
        <v>#DIV/0!</v>
      </c>
      <c r="CA14" s="50">
        <f t="shared" si="112"/>
        <v>0</v>
      </c>
      <c r="CB14" s="50">
        <f>IF($AN14="N","N",SUM('調查資料(OUT)'!P20:P23))</f>
        <v>0</v>
      </c>
      <c r="CC14" s="50">
        <f>IF($AN14="N","N",SUM('調查資料(OUT)'!T20:T23))</f>
        <v>0</v>
      </c>
      <c r="CD14" s="50">
        <f>IF($AN14="N","N",SUM('調查資料(OUT)'!X20:X23))</f>
        <v>0</v>
      </c>
      <c r="CE14" s="56" t="e">
        <f t="shared" si="113"/>
        <v>#DIV/0!</v>
      </c>
      <c r="CF14" s="50">
        <f t="shared" si="114"/>
        <v>0</v>
      </c>
      <c r="CG14" s="50">
        <f>IF($AN14="N","N",SUM('調查資料(OUT)'!Q20:Q23))</f>
        <v>0</v>
      </c>
      <c r="CH14" s="50">
        <f>IF($AN14="N","N",SUM('調查資料(OUT)'!U20:U23))</f>
        <v>0</v>
      </c>
      <c r="CI14" s="50">
        <f>IF($AN14="N","N",SUM('調查資料(OUT)'!Y20:Y23))</f>
        <v>0</v>
      </c>
      <c r="CJ14" s="56" t="e">
        <f t="shared" si="115"/>
        <v>#DIV/0!</v>
      </c>
      <c r="CK14" s="50">
        <f t="shared" si="116"/>
        <v>0</v>
      </c>
      <c r="CL14" s="56" t="e">
        <f t="shared" si="117"/>
        <v>#DIV/0!</v>
      </c>
      <c r="CM14" s="50">
        <f t="shared" si="118"/>
        <v>0</v>
      </c>
      <c r="CN14" s="56" t="e">
        <f t="shared" si="119"/>
        <v>#DIV/0!</v>
      </c>
      <c r="CO14" s="50">
        <f t="shared" si="120"/>
        <v>0</v>
      </c>
      <c r="CP14" s="56" t="e">
        <f t="shared" si="121"/>
        <v>#DIV/0!</v>
      </c>
      <c r="CQ14" s="50">
        <f t="shared" si="122"/>
        <v>0</v>
      </c>
      <c r="CR14" s="50">
        <f t="shared" si="123"/>
        <v>0</v>
      </c>
      <c r="CS14" s="50">
        <f>IF($AN14="N","N",SUM('調查資料(OUT)'!Z20:Z23))</f>
        <v>0</v>
      </c>
      <c r="CT14" s="50">
        <f>IF($AN14="N","N",SUM('調查資料(OUT)'!AD20:AD23))</f>
        <v>0</v>
      </c>
      <c r="CU14" s="50">
        <f>IF($AN14="N","N",SUM('調查資料(OUT)'!AH20:AH23))</f>
        <v>0</v>
      </c>
      <c r="CV14" s="56" t="e">
        <f t="shared" si="124"/>
        <v>#DIV/0!</v>
      </c>
      <c r="CW14" s="50">
        <f t="shared" si="125"/>
        <v>0</v>
      </c>
      <c r="CX14" s="50">
        <f>IF($AN14="N","N",SUM('調查資料(OUT)'!AA20:AA23))</f>
        <v>0</v>
      </c>
      <c r="CY14" s="50">
        <f>IF($AN14="N","N",SUM('調查資料(OUT)'!AE20:AE23))</f>
        <v>0</v>
      </c>
      <c r="CZ14" s="50">
        <f>IF($AN14="N","N",SUM('調查資料(OUT)'!AI20:AI23))</f>
        <v>0</v>
      </c>
      <c r="DA14" s="56" t="e">
        <f t="shared" si="126"/>
        <v>#DIV/0!</v>
      </c>
      <c r="DB14" s="50">
        <f t="shared" si="127"/>
        <v>0</v>
      </c>
      <c r="DC14" s="50">
        <f>IF($AN14="N","N",SUM('調查資料(OUT)'!AB20:AB23))</f>
        <v>0</v>
      </c>
      <c r="DD14" s="50">
        <f>IF($AN14="N","N",SUM('調查資料(OUT)'!AF20:AF23))</f>
        <v>0</v>
      </c>
      <c r="DE14" s="50">
        <f>IF($AN14="N","N",SUM('調查資料(OUT)'!AJ20:AJ23))</f>
        <v>0</v>
      </c>
      <c r="DF14" s="56" t="e">
        <f t="shared" si="128"/>
        <v>#DIV/0!</v>
      </c>
      <c r="DG14" s="50">
        <f t="shared" si="129"/>
        <v>0</v>
      </c>
      <c r="DH14" s="50">
        <f>IF($AN14="N","N",SUM('調查資料(OUT)'!AC20:AC23))</f>
        <v>0</v>
      </c>
      <c r="DI14" s="50">
        <f>IF($AN14="N","N",SUM('調查資料(OUT)'!AG20:AG23))</f>
        <v>0</v>
      </c>
      <c r="DJ14" s="50">
        <f>IF($AN14="N","N",SUM('調查資料(OUT)'!AK20:AK23))</f>
        <v>0</v>
      </c>
      <c r="DK14" s="56" t="e">
        <f t="shared" si="130"/>
        <v>#DIV/0!</v>
      </c>
      <c r="DL14" s="50">
        <f t="shared" si="131"/>
        <v>0</v>
      </c>
      <c r="DM14" s="56" t="e">
        <f t="shared" si="132"/>
        <v>#DIV/0!</v>
      </c>
      <c r="DN14" s="50">
        <f t="shared" si="133"/>
        <v>0</v>
      </c>
      <c r="DO14" s="56" t="e">
        <f t="shared" si="134"/>
        <v>#DIV/0!</v>
      </c>
      <c r="DP14" s="50">
        <f t="shared" si="135"/>
        <v>0</v>
      </c>
      <c r="DQ14" s="56" t="e">
        <f t="shared" si="136"/>
        <v>#DIV/0!</v>
      </c>
      <c r="DR14" s="50">
        <f t="shared" si="137"/>
        <v>0</v>
      </c>
      <c r="DS14" s="50">
        <f t="shared" si="138"/>
        <v>0</v>
      </c>
      <c r="DT14" s="50">
        <f>IF($AN14="N","N",SUM('調查資料(OUT)'!AL20:AL23))</f>
        <v>0</v>
      </c>
      <c r="DU14" s="50">
        <f>IF($AN14="N","N",SUM('調查資料(OUT)'!AP20:AP23))</f>
        <v>0</v>
      </c>
      <c r="DV14" s="50">
        <f>IF($AN14="N","N",SUM('調查資料(OUT)'!AT20:AT23))</f>
        <v>0</v>
      </c>
      <c r="DW14" s="56" t="e">
        <f t="shared" si="139"/>
        <v>#DIV/0!</v>
      </c>
      <c r="DX14" s="50">
        <f t="shared" si="140"/>
        <v>0</v>
      </c>
      <c r="DY14" s="50">
        <f>IF($AN14="N","N",SUM('調查資料(OUT)'!AM20:AM23))</f>
        <v>0</v>
      </c>
      <c r="DZ14" s="50">
        <f>IF($AN14="N","N",SUM('調查資料(OUT)'!AQ20:AQ23))</f>
        <v>0</v>
      </c>
      <c r="EA14" s="50">
        <f>IF($AN14="N","N",SUM('調查資料(OUT)'!AU20:AU23))</f>
        <v>0</v>
      </c>
      <c r="EB14" s="56" t="e">
        <f t="shared" si="141"/>
        <v>#DIV/0!</v>
      </c>
      <c r="EC14" s="50">
        <f t="shared" si="142"/>
        <v>0</v>
      </c>
      <c r="ED14" s="50">
        <f>IF($AN14="N","N",SUM('調查資料(OUT)'!AN20:AN23))</f>
        <v>0</v>
      </c>
      <c r="EE14" s="50">
        <f>IF($AN14="N","N",SUM('調查資料(OUT)'!AR20:AR23))</f>
        <v>0</v>
      </c>
      <c r="EF14" s="50">
        <f>IF($AN14="N","N",SUM('調查資料(OUT)'!AV20:AV23))</f>
        <v>0</v>
      </c>
      <c r="EG14" s="56" t="e">
        <f t="shared" si="143"/>
        <v>#DIV/0!</v>
      </c>
      <c r="EH14" s="50">
        <f t="shared" si="144"/>
        <v>0</v>
      </c>
      <c r="EI14" s="50">
        <f>IF($AN14="N","N",SUM('調查資料(OUT)'!AO20:AO23))</f>
        <v>0</v>
      </c>
      <c r="EJ14" s="50">
        <f>IF($AN14="N","N",SUM('調查資料(OUT)'!AS20:AS23))</f>
        <v>0</v>
      </c>
      <c r="EK14" s="50">
        <f>IF($AN14="N","N",SUM('調查資料(OUT)'!AW20:AW23))</f>
        <v>0</v>
      </c>
      <c r="EL14" s="56" t="e">
        <f t="shared" si="145"/>
        <v>#DIV/0!</v>
      </c>
      <c r="EM14" s="50">
        <f t="shared" si="146"/>
        <v>0</v>
      </c>
      <c r="EN14" s="56" t="e">
        <f t="shared" si="147"/>
        <v>#DIV/0!</v>
      </c>
      <c r="EO14" s="50">
        <f t="shared" si="148"/>
        <v>0</v>
      </c>
      <c r="EP14" s="56" t="e">
        <f t="shared" si="149"/>
        <v>#DIV/0!</v>
      </c>
      <c r="EQ14" s="50">
        <f t="shared" si="150"/>
        <v>0</v>
      </c>
      <c r="ER14" s="56" t="e">
        <f t="shared" si="151"/>
        <v>#DIV/0!</v>
      </c>
      <c r="ES14" s="50">
        <f t="shared" si="152"/>
        <v>0</v>
      </c>
      <c r="ET14" s="50">
        <f t="shared" si="153"/>
        <v>0</v>
      </c>
      <c r="EU14" s="50">
        <f>IF($AN14="N","N",SUM('調查資料(OUT)'!AX20:AX23))</f>
        <v>0</v>
      </c>
      <c r="EV14" s="50">
        <f>IF($AN14="N","N",SUM('調查資料(OUT)'!BB20:BB23))</f>
        <v>0</v>
      </c>
      <c r="EW14" s="50">
        <f>IF($AN14="N","N",SUM('調查資料(OUT)'!BF20:BF23))</f>
        <v>0</v>
      </c>
      <c r="EX14" s="56" t="e">
        <f t="shared" si="154"/>
        <v>#DIV/0!</v>
      </c>
      <c r="EY14" s="50">
        <f t="shared" si="155"/>
        <v>0</v>
      </c>
      <c r="EZ14" s="50">
        <f>IF($AN14="N","N",SUM('調查資料(OUT)'!AY20:AY23))</f>
        <v>0</v>
      </c>
      <c r="FA14" s="50">
        <f>IF($AN14="N","N",SUM('調查資料(OUT)'!BC20:BC23))</f>
        <v>0</v>
      </c>
      <c r="FB14" s="50">
        <f>IF($AN14="N","N",SUM('調查資料(OUT)'!BG20:BG23))</f>
        <v>0</v>
      </c>
      <c r="FC14" s="56" t="e">
        <f t="shared" si="156"/>
        <v>#DIV/0!</v>
      </c>
      <c r="FD14" s="50">
        <f t="shared" si="157"/>
        <v>0</v>
      </c>
      <c r="FE14" s="50">
        <f>IF($AN14="N","N",SUM('調查資料(OUT)'!AZ20:AZ23))</f>
        <v>0</v>
      </c>
      <c r="FF14" s="50">
        <f>IF($AN14="N","N",SUM('調查資料(OUT)'!BD20:BD23))</f>
        <v>0</v>
      </c>
      <c r="FG14" s="50">
        <f>IF($AN14="N","N",SUM('調查資料(OUT)'!BH20:BH23))</f>
        <v>0</v>
      </c>
      <c r="FH14" s="56" t="e">
        <f t="shared" si="158"/>
        <v>#DIV/0!</v>
      </c>
      <c r="FI14" s="50">
        <f t="shared" si="159"/>
        <v>0</v>
      </c>
      <c r="FJ14" s="50">
        <f>IF($AN14="N","N",SUM('調查資料(OUT)'!BA20:BA23))</f>
        <v>0</v>
      </c>
      <c r="FK14" s="50">
        <f>IF($AN14="N","N",SUM('調查資料(OUT)'!BE20:BE23))</f>
        <v>0</v>
      </c>
      <c r="FL14" s="50">
        <f>IF($AN14="N","N",SUM('調查資料(OUT)'!BI20:BI23))</f>
        <v>0</v>
      </c>
      <c r="FM14" s="56" t="e">
        <f t="shared" si="160"/>
        <v>#DIV/0!</v>
      </c>
      <c r="FN14" s="50">
        <f t="shared" si="161"/>
        <v>0</v>
      </c>
      <c r="FO14" s="56" t="e">
        <f t="shared" si="162"/>
        <v>#DIV/0!</v>
      </c>
      <c r="FP14" s="50">
        <f t="shared" si="163"/>
        <v>0</v>
      </c>
      <c r="FQ14" s="56" t="e">
        <f t="shared" si="164"/>
        <v>#DIV/0!</v>
      </c>
      <c r="FR14" s="50">
        <f t="shared" si="165"/>
        <v>0</v>
      </c>
      <c r="FS14" s="56" t="e">
        <f t="shared" si="166"/>
        <v>#DIV/0!</v>
      </c>
      <c r="FT14" s="50">
        <f t="shared" si="167"/>
        <v>0</v>
      </c>
    </row>
    <row r="15" spans="1:176">
      <c r="A15" s="274">
        <f>'調查資料(OUT)'!A21</f>
        <v>230</v>
      </c>
      <c r="B15" s="50">
        <f t="shared" si="81"/>
        <v>0</v>
      </c>
      <c r="C15" s="50">
        <f>IFERROR('調查資料(OUT)'!$B$1*'調查資料(OUT)'!B21,0)+IFERROR('調查資料(OUT)'!$F$1*'調查資料(OUT)'!F21,0)+IFERROR('調查資料(OUT)'!$J$1*'調查資料(OUT)'!J21,0)</f>
        <v>0</v>
      </c>
      <c r="D15" s="50">
        <f>IFERROR('調查資料(OUT)'!$C$1*'調查資料(OUT)'!C21,0)+IFERROR('調查資料(OUT)'!$G$1*'調查資料(OUT)'!G21,0)+IFERROR('調查資料(OUT)'!$K$1*'調查資料(OUT)'!K21,0)</f>
        <v>0</v>
      </c>
      <c r="E15" s="50">
        <f>IFERROR('調查資料(OUT)'!$D$1*'調查資料(OUT)'!D21,0)+IFERROR('調查資料(OUT)'!$H$1*'調查資料(OUT)'!H21,0)+IFERROR('調查資料(OUT)'!$L$1*'調查資料(OUT)'!L21,0)</f>
        <v>0</v>
      </c>
      <c r="F15" s="252">
        <f>IFERROR('調查資料(OUT)'!$E$1*'調查資料(OUT)'!E21,0)+IFERROR('調查資料(OUT)'!$I$1*'調查資料(OUT)'!I21,0)+IFERROR('調查資料(OUT)'!$M$1*'調查資料(OUT)'!M21,0)</f>
        <v>0</v>
      </c>
      <c r="G15" s="50">
        <f t="shared" si="82"/>
        <v>0</v>
      </c>
      <c r="H15" s="50">
        <f>IFERROR('調查資料(OUT)'!$N$1*'調查資料(OUT)'!N21,0)+IFERROR('調查資料(OUT)'!$R$1*'調查資料(OUT)'!R21,0)+IFERROR('調查資料(OUT)'!$V$1*'調查資料(OUT)'!V21,0)</f>
        <v>0</v>
      </c>
      <c r="I15" s="50">
        <f>IFERROR('調查資料(OUT)'!$O$1*'調查資料(OUT)'!O21,0)+IFERROR('調查資料(OUT)'!$S$1*'調查資料(OUT)'!S21,0)+IFERROR('調查資料(OUT)'!$W$1*'調查資料(OUT)'!W21,0)</f>
        <v>0</v>
      </c>
      <c r="J15" s="50">
        <f>IFERROR('調查資料(OUT)'!$P$1*'調查資料(OUT)'!P21,0)+IFERROR('調查資料(OUT)'!$T$1*'調查資料(OUT)'!T21,0)+IFERROR('調查資料(OUT)'!$X$1*'調查資料(OUT)'!X21,0)</f>
        <v>0</v>
      </c>
      <c r="K15" s="252">
        <f>IFERROR('調查資料(OUT)'!$Q$1*'調查資料(OUT)'!Q21,0)+IFERROR('調查資料(OUT)'!$U$1*'調查資料(OUT)'!U21,0)+IFERROR('調查資料(OUT)'!$Y$1*'調查資料(OUT)'!Y21,0)</f>
        <v>0</v>
      </c>
      <c r="L15" s="50">
        <f t="shared" si="83"/>
        <v>0</v>
      </c>
      <c r="M15" s="50">
        <f>IFERROR('調查資料(OUT)'!$Z$1*'調查資料(OUT)'!Z21,0)+IFERROR('調查資料(OUT)'!$AD$1*'調查資料(OUT)'!AD21,0)+IFERROR('調查資料(OUT)'!$AH$1*'調查資料(OUT)'!AH21,0)</f>
        <v>0</v>
      </c>
      <c r="N15" s="50">
        <f>IFERROR('調查資料(OUT)'!$AA$1*'調查資料(OUT)'!AA21,0)+IFERROR('調查資料(OUT)'!$AE$1*'調查資料(OUT)'!AE21,0)+IFERROR('調查資料(OUT)'!$AI$1*'調查資料(OUT)'!AI21,0)</f>
        <v>0</v>
      </c>
      <c r="O15" s="50">
        <f>IFERROR('調查資料(OUT)'!$AB$1*'調查資料(OUT)'!AB21,0)+IFERROR('調查資料(OUT)'!$AF$1*'調查資料(OUT)'!AF21,0)+IFERROR('調查資料(OUT)'!$AJ$1*'調查資料(OUT)'!AJ21,0)</f>
        <v>0</v>
      </c>
      <c r="P15" s="252">
        <f>IFERROR('調查資料(OUT)'!$AC$1*'調查資料(OUT)'!AC21,0)+IFERROR('調查資料(OUT)'!$AG$1*'調查資料(OUT)'!AG21,0)+IFERROR('調查資料(OUT)'!$AK$1*'調查資料(OUT)'!AK21,0)</f>
        <v>0</v>
      </c>
      <c r="Q15" s="50">
        <f t="shared" si="84"/>
        <v>0</v>
      </c>
      <c r="R15" s="50">
        <f>IFERROR('調查資料(OUT)'!$AL$1*'調查資料(OUT)'!AL21,0)+IFERROR('調查資料(OUT)'!$AP$1*'調查資料(OUT)'!AP21,0)+IFERROR('調查資料(OUT)'!$AT$1*'調查資料(OUT)'!AT21,0)</f>
        <v>0</v>
      </c>
      <c r="S15" s="50">
        <f>IFERROR('調查資料(OUT)'!$AM$1*'調查資料(OUT)'!AM21,0)+IFERROR('調查資料(OUT)'!$AQ$1*'調查資料(OUT)'!AQ21,0)+IFERROR('調查資料(OUT)'!$AU$1*'調查資料(OUT)'!AU21,0)</f>
        <v>0</v>
      </c>
      <c r="T15" s="50">
        <f>IFERROR('調查資料(OUT)'!$AN$1*'調查資料(OUT)'!AN21,0)+IFERROR('調查資料(OUT)'!$AR$1*'調查資料(OUT)'!AR21,0)+IFERROR('調查資料(OUT)'!$AV$1*'調查資料(OUT)'!AV21,0)</f>
        <v>0</v>
      </c>
      <c r="U15" s="252">
        <f>IFERROR('調查資料(OUT)'!$AO$1*'調查資料(OUT)'!AO21,0)+IFERROR('調查資料(OUT)'!$AS$1*'調查資料(OUT)'!AS21,0)+IFERROR('調查資料(OUT)'!$AW$1*'調查資料(OUT)'!AW21,0)</f>
        <v>0</v>
      </c>
      <c r="V15" s="50">
        <f t="shared" si="85"/>
        <v>0</v>
      </c>
      <c r="W15" s="50">
        <f>IFERROR('調查資料(OUT)'!$AX$1*'調查資料(OUT)'!AX21,0)+IFERROR('調查資料(OUT)'!$BB$1*'調查資料(OUT)'!BB21,0)+IFERROR('調查資料(OUT)'!$BF$1*'調查資料(OUT)'!BF21,0)</f>
        <v>0</v>
      </c>
      <c r="X15" s="50">
        <f>IFERROR('調查資料(OUT)'!$AY$1*'調查資料(OUT)'!AY21,0)+IFERROR('調查資料(OUT)'!$BC$1*'調查資料(OUT)'!BC21,0)+IFERROR('調查資料(OUT)'!$BG$1*'調查資料(OUT)'!BG21,0)</f>
        <v>0</v>
      </c>
      <c r="Y15" s="50">
        <f>IFERROR('調查資料(OUT)'!$AZ$1*'調查資料(OUT)'!AZ21,0)+IFERROR('調查資料(OUT)'!$BD$1*'調查資料(OUT)'!BD21,0)+IFERROR('調查資料(OUT)'!$BH$1*'調查資料(OUT)'!BH21,0)</f>
        <v>0</v>
      </c>
      <c r="Z15" s="252">
        <f>IFERROR('調查資料(OUT)'!$BA$1*'調查資料(OUT)'!BA21,0)+IFERROR('調查資料(OUT)'!$BE$1*'調查資料(OUT)'!BE21,0)+IFERROR('調查資料(OUT)'!$BI$1*'調查資料(OUT)'!BI21,0)</f>
        <v>0</v>
      </c>
      <c r="AA15" s="253">
        <f t="shared" si="86"/>
        <v>0</v>
      </c>
      <c r="AC15" s="251">
        <f>'調查資料(OUT)'!A21</f>
        <v>230</v>
      </c>
      <c r="AD15" s="254">
        <f t="shared" si="91"/>
        <v>330</v>
      </c>
      <c r="AE15" s="50">
        <f t="shared" si="92"/>
        <v>0</v>
      </c>
      <c r="AF15" s="255"/>
      <c r="AG15" s="50">
        <f t="shared" si="1"/>
        <v>0</v>
      </c>
      <c r="AH15" s="256" t="e">
        <f t="shared" si="2"/>
        <v>#DIV/0!</v>
      </c>
      <c r="AI15" s="256" t="e">
        <f t="shared" si="3"/>
        <v>#DIV/0!</v>
      </c>
      <c r="AJ15" s="256" t="e">
        <f t="shared" si="4"/>
        <v>#DIV/0!</v>
      </c>
      <c r="AK15" s="256" t="e">
        <f t="shared" si="5"/>
        <v>#DIV/0!</v>
      </c>
      <c r="AL15" s="256" t="e">
        <f t="shared" si="6"/>
        <v>#DIV/0!</v>
      </c>
      <c r="AM15" s="257"/>
      <c r="AN15" s="50">
        <f t="shared" si="7"/>
        <v>230</v>
      </c>
      <c r="AO15" s="252">
        <f t="shared" si="8"/>
        <v>330</v>
      </c>
      <c r="AP15" s="50">
        <f t="shared" si="93"/>
        <v>0</v>
      </c>
      <c r="AQ15" s="50">
        <f>IF($AN15="N","N",SUM('調查資料(OUT)'!B21:B24))</f>
        <v>0</v>
      </c>
      <c r="AR15" s="50">
        <f>IF($AN15="N","N",SUM('調查資料(OUT)'!F21:F24))</f>
        <v>0</v>
      </c>
      <c r="AS15" s="50">
        <f>IF($AN15="N","N",SUM('調查資料(OUT)'!J21:J24))</f>
        <v>0</v>
      </c>
      <c r="AT15" s="56" t="e">
        <f t="shared" si="94"/>
        <v>#DIV/0!</v>
      </c>
      <c r="AU15" s="50">
        <f t="shared" si="95"/>
        <v>0</v>
      </c>
      <c r="AV15" s="50">
        <f>IF($AN15="N","N",SUM('調查資料(OUT)'!C21:C24))</f>
        <v>0</v>
      </c>
      <c r="AW15" s="50">
        <f>IF($AN15="N","N",SUM('調查資料(OUT)'!G21:G24))</f>
        <v>0</v>
      </c>
      <c r="AX15" s="50">
        <f>IF($AN15="N","N",SUM('調查資料(OUT)'!K21:K24))</f>
        <v>0</v>
      </c>
      <c r="AY15" s="56" t="e">
        <f t="shared" si="96"/>
        <v>#DIV/0!</v>
      </c>
      <c r="AZ15" s="50">
        <f t="shared" si="97"/>
        <v>0</v>
      </c>
      <c r="BA15" s="50">
        <f>IF($AN15="N","N",SUM('調查資料(OUT)'!D21:D24))</f>
        <v>0</v>
      </c>
      <c r="BB15" s="50">
        <f>IF($AN15="N","N",SUM('調查資料(OUT)'!H21:H24))</f>
        <v>0</v>
      </c>
      <c r="BC15" s="50">
        <f>IF($AN15="N","N",SUM('調查資料(OUT)'!L21:L24))</f>
        <v>0</v>
      </c>
      <c r="BD15" s="56" t="e">
        <f t="shared" si="98"/>
        <v>#DIV/0!</v>
      </c>
      <c r="BE15" s="50">
        <f t="shared" si="99"/>
        <v>0</v>
      </c>
      <c r="BF15" s="50">
        <f>IF($AN15="N","N",SUM('調查資料(OUT)'!E21:E24))</f>
        <v>0</v>
      </c>
      <c r="BG15" s="50">
        <f>IF($AN15="N","N",SUM('調查資料(OUT)'!I21:I24))</f>
        <v>0</v>
      </c>
      <c r="BH15" s="50">
        <f>IF($AN15="N","N",SUM('調查資料(OUT)'!M21:M24))</f>
        <v>0</v>
      </c>
      <c r="BI15" s="56" t="e">
        <f t="shared" si="100"/>
        <v>#DIV/0!</v>
      </c>
      <c r="BJ15" s="50">
        <f t="shared" si="101"/>
        <v>0</v>
      </c>
      <c r="BK15" s="56" t="e">
        <f t="shared" si="102"/>
        <v>#DIV/0!</v>
      </c>
      <c r="BL15" s="50">
        <f t="shared" si="103"/>
        <v>0</v>
      </c>
      <c r="BM15" s="56" t="e">
        <f t="shared" si="104"/>
        <v>#DIV/0!</v>
      </c>
      <c r="BN15" s="50">
        <f t="shared" si="105"/>
        <v>0</v>
      </c>
      <c r="BO15" s="56" t="e">
        <f t="shared" si="106"/>
        <v>#DIV/0!</v>
      </c>
      <c r="BP15" s="50">
        <f t="shared" si="107"/>
        <v>0</v>
      </c>
      <c r="BQ15" s="50">
        <f t="shared" si="108"/>
        <v>0</v>
      </c>
      <c r="BR15" s="50">
        <f>IF($AN15="N","N",SUM('調查資料(OUT)'!N21:N24))</f>
        <v>0</v>
      </c>
      <c r="BS15" s="50">
        <f>IF($AN15="N","N",SUM('調查資料(OUT)'!R21:R24))</f>
        <v>0</v>
      </c>
      <c r="BT15" s="50">
        <f>IF($AN15="N","N",SUM('調查資料(OUT)'!V21:V24))</f>
        <v>0</v>
      </c>
      <c r="BU15" s="56" t="e">
        <f t="shared" si="109"/>
        <v>#DIV/0!</v>
      </c>
      <c r="BV15" s="50">
        <f t="shared" si="110"/>
        <v>0</v>
      </c>
      <c r="BW15" s="50">
        <f>IF($AN15="N","N",SUM('調查資料(OUT)'!O21:O24))</f>
        <v>0</v>
      </c>
      <c r="BX15" s="50">
        <f>IF($AN15="N","N",SUM('調查資料(OUT)'!S21:S24))</f>
        <v>0</v>
      </c>
      <c r="BY15" s="50">
        <f>IF($AN15="N","N",SUM('調查資料(OUT)'!W21:W24))</f>
        <v>0</v>
      </c>
      <c r="BZ15" s="56" t="e">
        <f t="shared" si="111"/>
        <v>#DIV/0!</v>
      </c>
      <c r="CA15" s="50">
        <f t="shared" si="112"/>
        <v>0</v>
      </c>
      <c r="CB15" s="50">
        <f>IF($AN15="N","N",SUM('調查資料(OUT)'!P21:P24))</f>
        <v>0</v>
      </c>
      <c r="CC15" s="50">
        <f>IF($AN15="N","N",SUM('調查資料(OUT)'!T21:T24))</f>
        <v>0</v>
      </c>
      <c r="CD15" s="50">
        <f>IF($AN15="N","N",SUM('調查資料(OUT)'!X21:X24))</f>
        <v>0</v>
      </c>
      <c r="CE15" s="56" t="e">
        <f t="shared" si="113"/>
        <v>#DIV/0!</v>
      </c>
      <c r="CF15" s="50">
        <f t="shared" si="114"/>
        <v>0</v>
      </c>
      <c r="CG15" s="50">
        <f>IF($AN15="N","N",SUM('調查資料(OUT)'!Q21:Q24))</f>
        <v>0</v>
      </c>
      <c r="CH15" s="50">
        <f>IF($AN15="N","N",SUM('調查資料(OUT)'!U21:U24))</f>
        <v>0</v>
      </c>
      <c r="CI15" s="50">
        <f>IF($AN15="N","N",SUM('調查資料(OUT)'!Y21:Y24))</f>
        <v>0</v>
      </c>
      <c r="CJ15" s="56" t="e">
        <f t="shared" si="115"/>
        <v>#DIV/0!</v>
      </c>
      <c r="CK15" s="50">
        <f t="shared" si="116"/>
        <v>0</v>
      </c>
      <c r="CL15" s="56" t="e">
        <f t="shared" si="117"/>
        <v>#DIV/0!</v>
      </c>
      <c r="CM15" s="50">
        <f t="shared" si="118"/>
        <v>0</v>
      </c>
      <c r="CN15" s="56" t="e">
        <f t="shared" si="119"/>
        <v>#DIV/0!</v>
      </c>
      <c r="CO15" s="50">
        <f t="shared" si="120"/>
        <v>0</v>
      </c>
      <c r="CP15" s="56" t="e">
        <f t="shared" si="121"/>
        <v>#DIV/0!</v>
      </c>
      <c r="CQ15" s="50">
        <f t="shared" si="122"/>
        <v>0</v>
      </c>
      <c r="CR15" s="50">
        <f t="shared" si="123"/>
        <v>0</v>
      </c>
      <c r="CS15" s="50">
        <f>IF($AN15="N","N",SUM('調查資料(OUT)'!Z21:Z24))</f>
        <v>0</v>
      </c>
      <c r="CT15" s="50">
        <f>IF($AN15="N","N",SUM('調查資料(OUT)'!AD21:AD24))</f>
        <v>0</v>
      </c>
      <c r="CU15" s="50">
        <f>IF($AN15="N","N",SUM('調查資料(OUT)'!AH21:AH24))</f>
        <v>0</v>
      </c>
      <c r="CV15" s="56" t="e">
        <f t="shared" si="124"/>
        <v>#DIV/0!</v>
      </c>
      <c r="CW15" s="50">
        <f t="shared" si="125"/>
        <v>0</v>
      </c>
      <c r="CX15" s="50">
        <f>IF($AN15="N","N",SUM('調查資料(OUT)'!AA21:AA24))</f>
        <v>0</v>
      </c>
      <c r="CY15" s="50">
        <f>IF($AN15="N","N",SUM('調查資料(OUT)'!AE21:AE24))</f>
        <v>0</v>
      </c>
      <c r="CZ15" s="50">
        <f>IF($AN15="N","N",SUM('調查資料(OUT)'!AI21:AI24))</f>
        <v>0</v>
      </c>
      <c r="DA15" s="56" t="e">
        <f t="shared" si="126"/>
        <v>#DIV/0!</v>
      </c>
      <c r="DB15" s="50">
        <f t="shared" si="127"/>
        <v>0</v>
      </c>
      <c r="DC15" s="50">
        <f>IF($AN15="N","N",SUM('調查資料(OUT)'!AB21:AB24))</f>
        <v>0</v>
      </c>
      <c r="DD15" s="50">
        <f>IF($AN15="N","N",SUM('調查資料(OUT)'!AF21:AF24))</f>
        <v>0</v>
      </c>
      <c r="DE15" s="50">
        <f>IF($AN15="N","N",SUM('調查資料(OUT)'!AJ21:AJ24))</f>
        <v>0</v>
      </c>
      <c r="DF15" s="56" t="e">
        <f t="shared" si="128"/>
        <v>#DIV/0!</v>
      </c>
      <c r="DG15" s="50">
        <f t="shared" si="129"/>
        <v>0</v>
      </c>
      <c r="DH15" s="50">
        <f>IF($AN15="N","N",SUM('調查資料(OUT)'!AC21:AC24))</f>
        <v>0</v>
      </c>
      <c r="DI15" s="50">
        <f>IF($AN15="N","N",SUM('調查資料(OUT)'!AG21:AG24))</f>
        <v>0</v>
      </c>
      <c r="DJ15" s="50">
        <f>IF($AN15="N","N",SUM('調查資料(OUT)'!AK21:AK24))</f>
        <v>0</v>
      </c>
      <c r="DK15" s="56" t="e">
        <f t="shared" si="130"/>
        <v>#DIV/0!</v>
      </c>
      <c r="DL15" s="50">
        <f t="shared" si="131"/>
        <v>0</v>
      </c>
      <c r="DM15" s="56" t="e">
        <f t="shared" si="132"/>
        <v>#DIV/0!</v>
      </c>
      <c r="DN15" s="50">
        <f t="shared" si="133"/>
        <v>0</v>
      </c>
      <c r="DO15" s="56" t="e">
        <f t="shared" si="134"/>
        <v>#DIV/0!</v>
      </c>
      <c r="DP15" s="50">
        <f t="shared" si="135"/>
        <v>0</v>
      </c>
      <c r="DQ15" s="56" t="e">
        <f t="shared" si="136"/>
        <v>#DIV/0!</v>
      </c>
      <c r="DR15" s="50">
        <f t="shared" si="137"/>
        <v>0</v>
      </c>
      <c r="DS15" s="50">
        <f t="shared" si="138"/>
        <v>0</v>
      </c>
      <c r="DT15" s="50">
        <f>IF($AN15="N","N",SUM('調查資料(OUT)'!AL21:AL24))</f>
        <v>0</v>
      </c>
      <c r="DU15" s="50">
        <f>IF($AN15="N","N",SUM('調查資料(OUT)'!AP21:AP24))</f>
        <v>0</v>
      </c>
      <c r="DV15" s="50">
        <f>IF($AN15="N","N",SUM('調查資料(OUT)'!AT21:AT24))</f>
        <v>0</v>
      </c>
      <c r="DW15" s="56" t="e">
        <f t="shared" si="139"/>
        <v>#DIV/0!</v>
      </c>
      <c r="DX15" s="50">
        <f t="shared" si="140"/>
        <v>0</v>
      </c>
      <c r="DY15" s="50">
        <f>IF($AN15="N","N",SUM('調查資料(OUT)'!AM21:AM24))</f>
        <v>0</v>
      </c>
      <c r="DZ15" s="50">
        <f>IF($AN15="N","N",SUM('調查資料(OUT)'!AQ21:AQ24))</f>
        <v>0</v>
      </c>
      <c r="EA15" s="50">
        <f>IF($AN15="N","N",SUM('調查資料(OUT)'!AU21:AU24))</f>
        <v>0</v>
      </c>
      <c r="EB15" s="56" t="e">
        <f t="shared" si="141"/>
        <v>#DIV/0!</v>
      </c>
      <c r="EC15" s="50">
        <f t="shared" si="142"/>
        <v>0</v>
      </c>
      <c r="ED15" s="50">
        <f>IF($AN15="N","N",SUM('調查資料(OUT)'!AN21:AN24))</f>
        <v>0</v>
      </c>
      <c r="EE15" s="50">
        <f>IF($AN15="N","N",SUM('調查資料(OUT)'!AR21:AR24))</f>
        <v>0</v>
      </c>
      <c r="EF15" s="50">
        <f>IF($AN15="N","N",SUM('調查資料(OUT)'!AV21:AV24))</f>
        <v>0</v>
      </c>
      <c r="EG15" s="56" t="e">
        <f t="shared" si="143"/>
        <v>#DIV/0!</v>
      </c>
      <c r="EH15" s="50">
        <f t="shared" si="144"/>
        <v>0</v>
      </c>
      <c r="EI15" s="50">
        <f>IF($AN15="N","N",SUM('調查資料(OUT)'!AO21:AO24))</f>
        <v>0</v>
      </c>
      <c r="EJ15" s="50">
        <f>IF($AN15="N","N",SUM('調查資料(OUT)'!AS21:AS24))</f>
        <v>0</v>
      </c>
      <c r="EK15" s="50">
        <f>IF($AN15="N","N",SUM('調查資料(OUT)'!AW21:AW24))</f>
        <v>0</v>
      </c>
      <c r="EL15" s="56" t="e">
        <f t="shared" si="145"/>
        <v>#DIV/0!</v>
      </c>
      <c r="EM15" s="50">
        <f t="shared" si="146"/>
        <v>0</v>
      </c>
      <c r="EN15" s="56" t="e">
        <f t="shared" si="147"/>
        <v>#DIV/0!</v>
      </c>
      <c r="EO15" s="50">
        <f t="shared" si="148"/>
        <v>0</v>
      </c>
      <c r="EP15" s="56" t="e">
        <f t="shared" si="149"/>
        <v>#DIV/0!</v>
      </c>
      <c r="EQ15" s="50">
        <f t="shared" si="150"/>
        <v>0</v>
      </c>
      <c r="ER15" s="56" t="e">
        <f t="shared" si="151"/>
        <v>#DIV/0!</v>
      </c>
      <c r="ES15" s="50">
        <f t="shared" si="152"/>
        <v>0</v>
      </c>
      <c r="ET15" s="50">
        <f t="shared" si="153"/>
        <v>0</v>
      </c>
      <c r="EU15" s="50">
        <f>IF($AN15="N","N",SUM('調查資料(OUT)'!AX21:AX24))</f>
        <v>0</v>
      </c>
      <c r="EV15" s="50">
        <f>IF($AN15="N","N",SUM('調查資料(OUT)'!BB21:BB24))</f>
        <v>0</v>
      </c>
      <c r="EW15" s="50">
        <f>IF($AN15="N","N",SUM('調查資料(OUT)'!BF21:BF24))</f>
        <v>0</v>
      </c>
      <c r="EX15" s="56" t="e">
        <f t="shared" si="154"/>
        <v>#DIV/0!</v>
      </c>
      <c r="EY15" s="50">
        <f t="shared" si="155"/>
        <v>0</v>
      </c>
      <c r="EZ15" s="50">
        <f>IF($AN15="N","N",SUM('調查資料(OUT)'!AY21:AY24))</f>
        <v>0</v>
      </c>
      <c r="FA15" s="50">
        <f>IF($AN15="N","N",SUM('調查資料(OUT)'!BC21:BC24))</f>
        <v>0</v>
      </c>
      <c r="FB15" s="50">
        <f>IF($AN15="N","N",SUM('調查資料(OUT)'!BG21:BG24))</f>
        <v>0</v>
      </c>
      <c r="FC15" s="56" t="e">
        <f t="shared" si="156"/>
        <v>#DIV/0!</v>
      </c>
      <c r="FD15" s="50">
        <f t="shared" si="157"/>
        <v>0</v>
      </c>
      <c r="FE15" s="50">
        <f>IF($AN15="N","N",SUM('調查資料(OUT)'!AZ21:AZ24))</f>
        <v>0</v>
      </c>
      <c r="FF15" s="50">
        <f>IF($AN15="N","N",SUM('調查資料(OUT)'!BD21:BD24))</f>
        <v>0</v>
      </c>
      <c r="FG15" s="50">
        <f>IF($AN15="N","N",SUM('調查資料(OUT)'!BH21:BH24))</f>
        <v>0</v>
      </c>
      <c r="FH15" s="56" t="e">
        <f t="shared" si="158"/>
        <v>#DIV/0!</v>
      </c>
      <c r="FI15" s="50">
        <f t="shared" si="159"/>
        <v>0</v>
      </c>
      <c r="FJ15" s="50">
        <f>IF($AN15="N","N",SUM('調查資料(OUT)'!BA21:BA24))</f>
        <v>0</v>
      </c>
      <c r="FK15" s="50">
        <f>IF($AN15="N","N",SUM('調查資料(OUT)'!BE21:BE24))</f>
        <v>0</v>
      </c>
      <c r="FL15" s="50">
        <f>IF($AN15="N","N",SUM('調查資料(OUT)'!BI21:BI24))</f>
        <v>0</v>
      </c>
      <c r="FM15" s="56" t="e">
        <f t="shared" si="160"/>
        <v>#DIV/0!</v>
      </c>
      <c r="FN15" s="50">
        <f t="shared" si="161"/>
        <v>0</v>
      </c>
      <c r="FO15" s="56" t="e">
        <f t="shared" si="162"/>
        <v>#DIV/0!</v>
      </c>
      <c r="FP15" s="50">
        <f t="shared" si="163"/>
        <v>0</v>
      </c>
      <c r="FQ15" s="56" t="e">
        <f t="shared" si="164"/>
        <v>#DIV/0!</v>
      </c>
      <c r="FR15" s="50">
        <f t="shared" si="165"/>
        <v>0</v>
      </c>
      <c r="FS15" s="56" t="e">
        <f t="shared" si="166"/>
        <v>#DIV/0!</v>
      </c>
      <c r="FT15" s="50">
        <f t="shared" si="167"/>
        <v>0</v>
      </c>
    </row>
    <row r="16" spans="1:176">
      <c r="A16" s="274">
        <f>'調查資料(OUT)'!A22</f>
        <v>245</v>
      </c>
      <c r="B16" s="50">
        <f t="shared" si="81"/>
        <v>0</v>
      </c>
      <c r="C16" s="50">
        <f>IFERROR('調查資料(OUT)'!$B$1*'調查資料(OUT)'!B22,0)+IFERROR('調查資料(OUT)'!$F$1*'調查資料(OUT)'!F22,0)+IFERROR('調查資料(OUT)'!$J$1*'調查資料(OUT)'!J22,0)</f>
        <v>0</v>
      </c>
      <c r="D16" s="50">
        <f>IFERROR('調查資料(OUT)'!$C$1*'調查資料(OUT)'!C22,0)+IFERROR('調查資料(OUT)'!$G$1*'調查資料(OUT)'!G22,0)+IFERROR('調查資料(OUT)'!$K$1*'調查資料(OUT)'!K22,0)</f>
        <v>0</v>
      </c>
      <c r="E16" s="50">
        <f>IFERROR('調查資料(OUT)'!$D$1*'調查資料(OUT)'!D22,0)+IFERROR('調查資料(OUT)'!$H$1*'調查資料(OUT)'!H22,0)+IFERROR('調查資料(OUT)'!$L$1*'調查資料(OUT)'!L22,0)</f>
        <v>0</v>
      </c>
      <c r="F16" s="252">
        <f>IFERROR('調查資料(OUT)'!$E$1*'調查資料(OUT)'!E22,0)+IFERROR('調查資料(OUT)'!$I$1*'調查資料(OUT)'!I22,0)+IFERROR('調查資料(OUT)'!$M$1*'調查資料(OUT)'!M22,0)</f>
        <v>0</v>
      </c>
      <c r="G16" s="50">
        <f t="shared" si="82"/>
        <v>0</v>
      </c>
      <c r="H16" s="50">
        <f>IFERROR('調查資料(OUT)'!$N$1*'調查資料(OUT)'!N22,0)+IFERROR('調查資料(OUT)'!$R$1*'調查資料(OUT)'!R22,0)+IFERROR('調查資料(OUT)'!$V$1*'調查資料(OUT)'!V22,0)</f>
        <v>0</v>
      </c>
      <c r="I16" s="50">
        <f>IFERROR('調查資料(OUT)'!$O$1*'調查資料(OUT)'!O22,0)+IFERROR('調查資料(OUT)'!$S$1*'調查資料(OUT)'!S22,0)+IFERROR('調查資料(OUT)'!$W$1*'調查資料(OUT)'!W22,0)</f>
        <v>0</v>
      </c>
      <c r="J16" s="50">
        <f>IFERROR('調查資料(OUT)'!$P$1*'調查資料(OUT)'!P22,0)+IFERROR('調查資料(OUT)'!$T$1*'調查資料(OUT)'!T22,0)+IFERROR('調查資料(OUT)'!$X$1*'調查資料(OUT)'!X22,0)</f>
        <v>0</v>
      </c>
      <c r="K16" s="252">
        <f>IFERROR('調查資料(OUT)'!$Q$1*'調查資料(OUT)'!Q22,0)+IFERROR('調查資料(OUT)'!$U$1*'調查資料(OUT)'!U22,0)+IFERROR('調查資料(OUT)'!$Y$1*'調查資料(OUT)'!Y22,0)</f>
        <v>0</v>
      </c>
      <c r="L16" s="50">
        <f t="shared" si="83"/>
        <v>0</v>
      </c>
      <c r="M16" s="50">
        <f>IFERROR('調查資料(OUT)'!$Z$1*'調查資料(OUT)'!Z22,0)+IFERROR('調查資料(OUT)'!$AD$1*'調查資料(OUT)'!AD22,0)+IFERROR('調查資料(OUT)'!$AH$1*'調查資料(OUT)'!AH22,0)</f>
        <v>0</v>
      </c>
      <c r="N16" s="50">
        <f>IFERROR('調查資料(OUT)'!$AA$1*'調查資料(OUT)'!AA22,0)+IFERROR('調查資料(OUT)'!$AE$1*'調查資料(OUT)'!AE22,0)+IFERROR('調查資料(OUT)'!$AI$1*'調查資料(OUT)'!AI22,0)</f>
        <v>0</v>
      </c>
      <c r="O16" s="50">
        <f>IFERROR('調查資料(OUT)'!$AB$1*'調查資料(OUT)'!AB22,0)+IFERROR('調查資料(OUT)'!$AF$1*'調查資料(OUT)'!AF22,0)+IFERROR('調查資料(OUT)'!$AJ$1*'調查資料(OUT)'!AJ22,0)</f>
        <v>0</v>
      </c>
      <c r="P16" s="252">
        <f>IFERROR('調查資料(OUT)'!$AC$1*'調查資料(OUT)'!AC22,0)+IFERROR('調查資料(OUT)'!$AG$1*'調查資料(OUT)'!AG22,0)+IFERROR('調查資料(OUT)'!$AK$1*'調查資料(OUT)'!AK22,0)</f>
        <v>0</v>
      </c>
      <c r="Q16" s="50">
        <f t="shared" si="84"/>
        <v>0</v>
      </c>
      <c r="R16" s="50">
        <f>IFERROR('調查資料(OUT)'!$AL$1*'調查資料(OUT)'!AL22,0)+IFERROR('調查資料(OUT)'!$AP$1*'調查資料(OUT)'!AP22,0)+IFERROR('調查資料(OUT)'!$AT$1*'調查資料(OUT)'!AT22,0)</f>
        <v>0</v>
      </c>
      <c r="S16" s="50">
        <f>IFERROR('調查資料(OUT)'!$AM$1*'調查資料(OUT)'!AM22,0)+IFERROR('調查資料(OUT)'!$AQ$1*'調查資料(OUT)'!AQ22,0)+IFERROR('調查資料(OUT)'!$AU$1*'調查資料(OUT)'!AU22,0)</f>
        <v>0</v>
      </c>
      <c r="T16" s="50">
        <f>IFERROR('調查資料(OUT)'!$AN$1*'調查資料(OUT)'!AN22,0)+IFERROR('調查資料(OUT)'!$AR$1*'調查資料(OUT)'!AR22,0)+IFERROR('調查資料(OUT)'!$AV$1*'調查資料(OUT)'!AV22,0)</f>
        <v>0</v>
      </c>
      <c r="U16" s="252">
        <f>IFERROR('調查資料(OUT)'!$AO$1*'調查資料(OUT)'!AO22,0)+IFERROR('調查資料(OUT)'!$AS$1*'調查資料(OUT)'!AS22,0)+IFERROR('調查資料(OUT)'!$AW$1*'調查資料(OUT)'!AW22,0)</f>
        <v>0</v>
      </c>
      <c r="V16" s="50">
        <f t="shared" si="85"/>
        <v>0</v>
      </c>
      <c r="W16" s="50">
        <f>IFERROR('調查資料(OUT)'!$AX$1*'調查資料(OUT)'!AX22,0)+IFERROR('調查資料(OUT)'!$BB$1*'調查資料(OUT)'!BB22,0)+IFERROR('調查資料(OUT)'!$BF$1*'調查資料(OUT)'!BF22,0)</f>
        <v>0</v>
      </c>
      <c r="X16" s="50">
        <f>IFERROR('調查資料(OUT)'!$AY$1*'調查資料(OUT)'!AY22,0)+IFERROR('調查資料(OUT)'!$BC$1*'調查資料(OUT)'!BC22,0)+IFERROR('調查資料(OUT)'!$BG$1*'調查資料(OUT)'!BG22,0)</f>
        <v>0</v>
      </c>
      <c r="Y16" s="50">
        <f>IFERROR('調查資料(OUT)'!$AZ$1*'調查資料(OUT)'!AZ22,0)+IFERROR('調查資料(OUT)'!$BD$1*'調查資料(OUT)'!BD22,0)+IFERROR('調查資料(OUT)'!$BH$1*'調查資料(OUT)'!BH22,0)</f>
        <v>0</v>
      </c>
      <c r="Z16" s="252">
        <f>IFERROR('調查資料(OUT)'!$BA$1*'調查資料(OUT)'!BA22,0)+IFERROR('調查資料(OUT)'!$BE$1*'調查資料(OUT)'!BE22,0)+IFERROR('調查資料(OUT)'!$BI$1*'調查資料(OUT)'!BI22,0)</f>
        <v>0</v>
      </c>
      <c r="AA16" s="253">
        <f t="shared" si="86"/>
        <v>0</v>
      </c>
      <c r="AC16" s="251">
        <f>'調查資料(OUT)'!A22</f>
        <v>245</v>
      </c>
      <c r="AD16" s="254">
        <f t="shared" si="91"/>
        <v>345</v>
      </c>
      <c r="AE16" s="50">
        <f t="shared" si="92"/>
        <v>0</v>
      </c>
      <c r="AF16" s="255"/>
      <c r="AG16" s="50">
        <f t="shared" si="1"/>
        <v>0</v>
      </c>
      <c r="AH16" s="256" t="e">
        <f t="shared" si="2"/>
        <v>#DIV/0!</v>
      </c>
      <c r="AI16" s="256" t="e">
        <f t="shared" si="3"/>
        <v>#DIV/0!</v>
      </c>
      <c r="AJ16" s="256" t="e">
        <f t="shared" si="4"/>
        <v>#DIV/0!</v>
      </c>
      <c r="AK16" s="256" t="e">
        <f t="shared" si="5"/>
        <v>#DIV/0!</v>
      </c>
      <c r="AL16" s="256" t="e">
        <f t="shared" si="6"/>
        <v>#DIV/0!</v>
      </c>
      <c r="AM16" s="257"/>
      <c r="AN16" s="50">
        <f t="shared" si="7"/>
        <v>245</v>
      </c>
      <c r="AO16" s="252">
        <f t="shared" si="8"/>
        <v>345</v>
      </c>
      <c r="AP16" s="50">
        <f t="shared" si="93"/>
        <v>0</v>
      </c>
      <c r="AQ16" s="50">
        <f>IF($AN16="N","N",SUM('調查資料(OUT)'!B22:B25))</f>
        <v>0</v>
      </c>
      <c r="AR16" s="50">
        <f>IF($AN16="N","N",SUM('調查資料(OUT)'!F22:F25))</f>
        <v>0</v>
      </c>
      <c r="AS16" s="50">
        <f>IF($AN16="N","N",SUM('調查資料(OUT)'!J22:J25))</f>
        <v>0</v>
      </c>
      <c r="AT16" s="56" t="e">
        <f t="shared" si="94"/>
        <v>#DIV/0!</v>
      </c>
      <c r="AU16" s="50">
        <f t="shared" si="95"/>
        <v>0</v>
      </c>
      <c r="AV16" s="50">
        <f>IF($AN16="N","N",SUM('調查資料(OUT)'!C22:C25))</f>
        <v>0</v>
      </c>
      <c r="AW16" s="50">
        <f>IF($AN16="N","N",SUM('調查資料(OUT)'!G22:G25))</f>
        <v>0</v>
      </c>
      <c r="AX16" s="50">
        <f>IF($AN16="N","N",SUM('調查資料(OUT)'!K22:K25))</f>
        <v>0</v>
      </c>
      <c r="AY16" s="56" t="e">
        <f t="shared" si="96"/>
        <v>#DIV/0!</v>
      </c>
      <c r="AZ16" s="50">
        <f t="shared" si="97"/>
        <v>0</v>
      </c>
      <c r="BA16" s="50">
        <f>IF($AN16="N","N",SUM('調查資料(OUT)'!D22:D25))</f>
        <v>0</v>
      </c>
      <c r="BB16" s="50">
        <f>IF($AN16="N","N",SUM('調查資料(OUT)'!H22:H25))</f>
        <v>0</v>
      </c>
      <c r="BC16" s="50">
        <f>IF($AN16="N","N",SUM('調查資料(OUT)'!L22:L25))</f>
        <v>0</v>
      </c>
      <c r="BD16" s="56" t="e">
        <f t="shared" si="98"/>
        <v>#DIV/0!</v>
      </c>
      <c r="BE16" s="50">
        <f t="shared" si="99"/>
        <v>0</v>
      </c>
      <c r="BF16" s="50">
        <f>IF($AN16="N","N",SUM('調查資料(OUT)'!E22:E25))</f>
        <v>0</v>
      </c>
      <c r="BG16" s="50">
        <f>IF($AN16="N","N",SUM('調查資料(OUT)'!I22:I25))</f>
        <v>0</v>
      </c>
      <c r="BH16" s="50">
        <f>IF($AN16="N","N",SUM('調查資料(OUT)'!M22:M25))</f>
        <v>0</v>
      </c>
      <c r="BI16" s="56" t="e">
        <f t="shared" si="100"/>
        <v>#DIV/0!</v>
      </c>
      <c r="BJ16" s="50">
        <f t="shared" si="101"/>
        <v>0</v>
      </c>
      <c r="BK16" s="56" t="e">
        <f t="shared" si="102"/>
        <v>#DIV/0!</v>
      </c>
      <c r="BL16" s="50">
        <f t="shared" si="103"/>
        <v>0</v>
      </c>
      <c r="BM16" s="56" t="e">
        <f t="shared" si="104"/>
        <v>#DIV/0!</v>
      </c>
      <c r="BN16" s="50">
        <f t="shared" si="105"/>
        <v>0</v>
      </c>
      <c r="BO16" s="56" t="e">
        <f t="shared" si="106"/>
        <v>#DIV/0!</v>
      </c>
      <c r="BP16" s="50">
        <f t="shared" si="107"/>
        <v>0</v>
      </c>
      <c r="BQ16" s="50">
        <f t="shared" si="108"/>
        <v>0</v>
      </c>
      <c r="BR16" s="50">
        <f>IF($AN16="N","N",SUM('調查資料(OUT)'!N22:N25))</f>
        <v>0</v>
      </c>
      <c r="BS16" s="50">
        <f>IF($AN16="N","N",SUM('調查資料(OUT)'!R22:R25))</f>
        <v>0</v>
      </c>
      <c r="BT16" s="50">
        <f>IF($AN16="N","N",SUM('調查資料(OUT)'!V22:V25))</f>
        <v>0</v>
      </c>
      <c r="BU16" s="56" t="e">
        <f t="shared" si="109"/>
        <v>#DIV/0!</v>
      </c>
      <c r="BV16" s="50">
        <f t="shared" si="110"/>
        <v>0</v>
      </c>
      <c r="BW16" s="50">
        <f>IF($AN16="N","N",SUM('調查資料(OUT)'!O22:O25))</f>
        <v>0</v>
      </c>
      <c r="BX16" s="50">
        <f>IF($AN16="N","N",SUM('調查資料(OUT)'!S22:S25))</f>
        <v>0</v>
      </c>
      <c r="BY16" s="50">
        <f>IF($AN16="N","N",SUM('調查資料(OUT)'!W22:W25))</f>
        <v>0</v>
      </c>
      <c r="BZ16" s="56" t="e">
        <f t="shared" si="111"/>
        <v>#DIV/0!</v>
      </c>
      <c r="CA16" s="50">
        <f t="shared" si="112"/>
        <v>0</v>
      </c>
      <c r="CB16" s="50">
        <f>IF($AN16="N","N",SUM('調查資料(OUT)'!P22:P25))</f>
        <v>0</v>
      </c>
      <c r="CC16" s="50">
        <f>IF($AN16="N","N",SUM('調查資料(OUT)'!T22:T25))</f>
        <v>0</v>
      </c>
      <c r="CD16" s="50">
        <f>IF($AN16="N","N",SUM('調查資料(OUT)'!X22:X25))</f>
        <v>0</v>
      </c>
      <c r="CE16" s="56" t="e">
        <f t="shared" si="113"/>
        <v>#DIV/0!</v>
      </c>
      <c r="CF16" s="50">
        <f t="shared" si="114"/>
        <v>0</v>
      </c>
      <c r="CG16" s="50">
        <f>IF($AN16="N","N",SUM('調查資料(OUT)'!Q22:Q25))</f>
        <v>0</v>
      </c>
      <c r="CH16" s="50">
        <f>IF($AN16="N","N",SUM('調查資料(OUT)'!U22:U25))</f>
        <v>0</v>
      </c>
      <c r="CI16" s="50">
        <f>IF($AN16="N","N",SUM('調查資料(OUT)'!Y22:Y25))</f>
        <v>0</v>
      </c>
      <c r="CJ16" s="56" t="e">
        <f t="shared" si="115"/>
        <v>#DIV/0!</v>
      </c>
      <c r="CK16" s="50">
        <f t="shared" si="116"/>
        <v>0</v>
      </c>
      <c r="CL16" s="56" t="e">
        <f t="shared" si="117"/>
        <v>#DIV/0!</v>
      </c>
      <c r="CM16" s="50">
        <f t="shared" si="118"/>
        <v>0</v>
      </c>
      <c r="CN16" s="56" t="e">
        <f t="shared" si="119"/>
        <v>#DIV/0!</v>
      </c>
      <c r="CO16" s="50">
        <f t="shared" si="120"/>
        <v>0</v>
      </c>
      <c r="CP16" s="56" t="e">
        <f t="shared" si="121"/>
        <v>#DIV/0!</v>
      </c>
      <c r="CQ16" s="50">
        <f t="shared" si="122"/>
        <v>0</v>
      </c>
      <c r="CR16" s="50">
        <f t="shared" si="123"/>
        <v>0</v>
      </c>
      <c r="CS16" s="50">
        <f>IF($AN16="N","N",SUM('調查資料(OUT)'!Z22:Z25))</f>
        <v>0</v>
      </c>
      <c r="CT16" s="50">
        <f>IF($AN16="N","N",SUM('調查資料(OUT)'!AD22:AD25))</f>
        <v>0</v>
      </c>
      <c r="CU16" s="50">
        <f>IF($AN16="N","N",SUM('調查資料(OUT)'!AH22:AH25))</f>
        <v>0</v>
      </c>
      <c r="CV16" s="56" t="e">
        <f t="shared" si="124"/>
        <v>#DIV/0!</v>
      </c>
      <c r="CW16" s="50">
        <f t="shared" si="125"/>
        <v>0</v>
      </c>
      <c r="CX16" s="50">
        <f>IF($AN16="N","N",SUM('調查資料(OUT)'!AA22:AA25))</f>
        <v>0</v>
      </c>
      <c r="CY16" s="50">
        <f>IF($AN16="N","N",SUM('調查資料(OUT)'!AE22:AE25))</f>
        <v>0</v>
      </c>
      <c r="CZ16" s="50">
        <f>IF($AN16="N","N",SUM('調查資料(OUT)'!AI22:AI25))</f>
        <v>0</v>
      </c>
      <c r="DA16" s="56" t="e">
        <f t="shared" si="126"/>
        <v>#DIV/0!</v>
      </c>
      <c r="DB16" s="50">
        <f t="shared" si="127"/>
        <v>0</v>
      </c>
      <c r="DC16" s="50">
        <f>IF($AN16="N","N",SUM('調查資料(OUT)'!AB22:AB25))</f>
        <v>0</v>
      </c>
      <c r="DD16" s="50">
        <f>IF($AN16="N","N",SUM('調查資料(OUT)'!AF22:AF25))</f>
        <v>0</v>
      </c>
      <c r="DE16" s="50">
        <f>IF($AN16="N","N",SUM('調查資料(OUT)'!AJ22:AJ25))</f>
        <v>0</v>
      </c>
      <c r="DF16" s="56" t="e">
        <f t="shared" si="128"/>
        <v>#DIV/0!</v>
      </c>
      <c r="DG16" s="50">
        <f t="shared" si="129"/>
        <v>0</v>
      </c>
      <c r="DH16" s="50">
        <f>IF($AN16="N","N",SUM('調查資料(OUT)'!AC22:AC25))</f>
        <v>0</v>
      </c>
      <c r="DI16" s="50">
        <f>IF($AN16="N","N",SUM('調查資料(OUT)'!AG22:AG25))</f>
        <v>0</v>
      </c>
      <c r="DJ16" s="50">
        <f>IF($AN16="N","N",SUM('調查資料(OUT)'!AK22:AK25))</f>
        <v>0</v>
      </c>
      <c r="DK16" s="56" t="e">
        <f t="shared" si="130"/>
        <v>#DIV/0!</v>
      </c>
      <c r="DL16" s="50">
        <f t="shared" si="131"/>
        <v>0</v>
      </c>
      <c r="DM16" s="56" t="e">
        <f t="shared" si="132"/>
        <v>#DIV/0!</v>
      </c>
      <c r="DN16" s="50">
        <f t="shared" si="133"/>
        <v>0</v>
      </c>
      <c r="DO16" s="56" t="e">
        <f t="shared" si="134"/>
        <v>#DIV/0!</v>
      </c>
      <c r="DP16" s="50">
        <f t="shared" si="135"/>
        <v>0</v>
      </c>
      <c r="DQ16" s="56" t="e">
        <f t="shared" si="136"/>
        <v>#DIV/0!</v>
      </c>
      <c r="DR16" s="50">
        <f t="shared" si="137"/>
        <v>0</v>
      </c>
      <c r="DS16" s="50">
        <f t="shared" si="138"/>
        <v>0</v>
      </c>
      <c r="DT16" s="50">
        <f>IF($AN16="N","N",SUM('調查資料(OUT)'!AL22:AL25))</f>
        <v>0</v>
      </c>
      <c r="DU16" s="50">
        <f>IF($AN16="N","N",SUM('調查資料(OUT)'!AP22:AP25))</f>
        <v>0</v>
      </c>
      <c r="DV16" s="50">
        <f>IF($AN16="N","N",SUM('調查資料(OUT)'!AT22:AT25))</f>
        <v>0</v>
      </c>
      <c r="DW16" s="56" t="e">
        <f t="shared" si="139"/>
        <v>#DIV/0!</v>
      </c>
      <c r="DX16" s="50">
        <f t="shared" si="140"/>
        <v>0</v>
      </c>
      <c r="DY16" s="50">
        <f>IF($AN16="N","N",SUM('調查資料(OUT)'!AM22:AM25))</f>
        <v>0</v>
      </c>
      <c r="DZ16" s="50">
        <f>IF($AN16="N","N",SUM('調查資料(OUT)'!AQ22:AQ25))</f>
        <v>0</v>
      </c>
      <c r="EA16" s="50">
        <f>IF($AN16="N","N",SUM('調查資料(OUT)'!AU22:AU25))</f>
        <v>0</v>
      </c>
      <c r="EB16" s="56" t="e">
        <f t="shared" si="141"/>
        <v>#DIV/0!</v>
      </c>
      <c r="EC16" s="50">
        <f t="shared" si="142"/>
        <v>0</v>
      </c>
      <c r="ED16" s="50">
        <f>IF($AN16="N","N",SUM('調查資料(OUT)'!AN22:AN25))</f>
        <v>0</v>
      </c>
      <c r="EE16" s="50">
        <f>IF($AN16="N","N",SUM('調查資料(OUT)'!AR22:AR25))</f>
        <v>0</v>
      </c>
      <c r="EF16" s="50">
        <f>IF($AN16="N","N",SUM('調查資料(OUT)'!AV22:AV25))</f>
        <v>0</v>
      </c>
      <c r="EG16" s="56" t="e">
        <f t="shared" si="143"/>
        <v>#DIV/0!</v>
      </c>
      <c r="EH16" s="50">
        <f t="shared" si="144"/>
        <v>0</v>
      </c>
      <c r="EI16" s="50">
        <f>IF($AN16="N","N",SUM('調查資料(OUT)'!AO22:AO25))</f>
        <v>0</v>
      </c>
      <c r="EJ16" s="50">
        <f>IF($AN16="N","N",SUM('調查資料(OUT)'!AS22:AS25))</f>
        <v>0</v>
      </c>
      <c r="EK16" s="50">
        <f>IF($AN16="N","N",SUM('調查資料(OUT)'!AW22:AW25))</f>
        <v>0</v>
      </c>
      <c r="EL16" s="56" t="e">
        <f t="shared" si="145"/>
        <v>#DIV/0!</v>
      </c>
      <c r="EM16" s="50">
        <f t="shared" si="146"/>
        <v>0</v>
      </c>
      <c r="EN16" s="56" t="e">
        <f t="shared" si="147"/>
        <v>#DIV/0!</v>
      </c>
      <c r="EO16" s="50">
        <f t="shared" si="148"/>
        <v>0</v>
      </c>
      <c r="EP16" s="56" t="e">
        <f t="shared" si="149"/>
        <v>#DIV/0!</v>
      </c>
      <c r="EQ16" s="50">
        <f t="shared" si="150"/>
        <v>0</v>
      </c>
      <c r="ER16" s="56" t="e">
        <f t="shared" si="151"/>
        <v>#DIV/0!</v>
      </c>
      <c r="ES16" s="50">
        <f t="shared" si="152"/>
        <v>0</v>
      </c>
      <c r="ET16" s="50">
        <f t="shared" si="153"/>
        <v>0</v>
      </c>
      <c r="EU16" s="50">
        <f>IF($AN16="N","N",SUM('調查資料(OUT)'!AX22:AX25))</f>
        <v>0</v>
      </c>
      <c r="EV16" s="50">
        <f>IF($AN16="N","N",SUM('調查資料(OUT)'!BB22:BB25))</f>
        <v>0</v>
      </c>
      <c r="EW16" s="50">
        <f>IF($AN16="N","N",SUM('調查資料(OUT)'!BF22:BF25))</f>
        <v>0</v>
      </c>
      <c r="EX16" s="56" t="e">
        <f t="shared" si="154"/>
        <v>#DIV/0!</v>
      </c>
      <c r="EY16" s="50">
        <f t="shared" si="155"/>
        <v>0</v>
      </c>
      <c r="EZ16" s="50">
        <f>IF($AN16="N","N",SUM('調查資料(OUT)'!AY22:AY25))</f>
        <v>0</v>
      </c>
      <c r="FA16" s="50">
        <f>IF($AN16="N","N",SUM('調查資料(OUT)'!BC22:BC25))</f>
        <v>0</v>
      </c>
      <c r="FB16" s="50">
        <f>IF($AN16="N","N",SUM('調查資料(OUT)'!BG22:BG25))</f>
        <v>0</v>
      </c>
      <c r="FC16" s="56" t="e">
        <f t="shared" si="156"/>
        <v>#DIV/0!</v>
      </c>
      <c r="FD16" s="50">
        <f t="shared" si="157"/>
        <v>0</v>
      </c>
      <c r="FE16" s="50">
        <f>IF($AN16="N","N",SUM('調查資料(OUT)'!AZ22:AZ25))</f>
        <v>0</v>
      </c>
      <c r="FF16" s="50">
        <f>IF($AN16="N","N",SUM('調查資料(OUT)'!BD22:BD25))</f>
        <v>0</v>
      </c>
      <c r="FG16" s="50">
        <f>IF($AN16="N","N",SUM('調查資料(OUT)'!BH22:BH25))</f>
        <v>0</v>
      </c>
      <c r="FH16" s="56" t="e">
        <f t="shared" si="158"/>
        <v>#DIV/0!</v>
      </c>
      <c r="FI16" s="50">
        <f t="shared" si="159"/>
        <v>0</v>
      </c>
      <c r="FJ16" s="50">
        <f>IF($AN16="N","N",SUM('調查資料(OUT)'!BA22:BA25))</f>
        <v>0</v>
      </c>
      <c r="FK16" s="50">
        <f>IF($AN16="N","N",SUM('調查資料(OUT)'!BE22:BE25))</f>
        <v>0</v>
      </c>
      <c r="FL16" s="50">
        <f>IF($AN16="N","N",SUM('調查資料(OUT)'!BI22:BI25))</f>
        <v>0</v>
      </c>
      <c r="FM16" s="56" t="e">
        <f t="shared" si="160"/>
        <v>#DIV/0!</v>
      </c>
      <c r="FN16" s="50">
        <f t="shared" si="161"/>
        <v>0</v>
      </c>
      <c r="FO16" s="56" t="e">
        <f t="shared" si="162"/>
        <v>#DIV/0!</v>
      </c>
      <c r="FP16" s="50">
        <f t="shared" si="163"/>
        <v>0</v>
      </c>
      <c r="FQ16" s="56" t="e">
        <f t="shared" si="164"/>
        <v>#DIV/0!</v>
      </c>
      <c r="FR16" s="50">
        <f t="shared" si="165"/>
        <v>0</v>
      </c>
      <c r="FS16" s="56" t="e">
        <f t="shared" si="166"/>
        <v>#DIV/0!</v>
      </c>
      <c r="FT16" s="50">
        <f t="shared" si="167"/>
        <v>0</v>
      </c>
    </row>
    <row r="17" spans="1:176">
      <c r="A17" s="274">
        <f>'調查資料(OUT)'!A23</f>
        <v>300</v>
      </c>
      <c r="B17" s="50">
        <f t="shared" si="81"/>
        <v>0</v>
      </c>
      <c r="C17" s="50">
        <f>IFERROR('調查資料(OUT)'!$B$1*'調查資料(OUT)'!B23,0)+IFERROR('調查資料(OUT)'!$F$1*'調查資料(OUT)'!F23,0)+IFERROR('調查資料(OUT)'!$J$1*'調查資料(OUT)'!J23,0)</f>
        <v>0</v>
      </c>
      <c r="D17" s="50">
        <f>IFERROR('調查資料(OUT)'!$C$1*'調查資料(OUT)'!C23,0)+IFERROR('調查資料(OUT)'!$G$1*'調查資料(OUT)'!G23,0)+IFERROR('調查資料(OUT)'!$K$1*'調查資料(OUT)'!K23,0)</f>
        <v>0</v>
      </c>
      <c r="E17" s="50">
        <f>IFERROR('調查資料(OUT)'!$D$1*'調查資料(OUT)'!D23,0)+IFERROR('調查資料(OUT)'!$H$1*'調查資料(OUT)'!H23,0)+IFERROR('調查資料(OUT)'!$L$1*'調查資料(OUT)'!L23,0)</f>
        <v>0</v>
      </c>
      <c r="F17" s="252">
        <f>IFERROR('調查資料(OUT)'!$E$1*'調查資料(OUT)'!E23,0)+IFERROR('調查資料(OUT)'!$I$1*'調查資料(OUT)'!I23,0)+IFERROR('調查資料(OUT)'!$M$1*'調查資料(OUT)'!M23,0)</f>
        <v>0</v>
      </c>
      <c r="G17" s="50">
        <f t="shared" si="82"/>
        <v>0</v>
      </c>
      <c r="H17" s="50">
        <f>IFERROR('調查資料(OUT)'!$N$1*'調查資料(OUT)'!N23,0)+IFERROR('調查資料(OUT)'!$R$1*'調查資料(OUT)'!R23,0)+IFERROR('調查資料(OUT)'!$V$1*'調查資料(OUT)'!V23,0)</f>
        <v>0</v>
      </c>
      <c r="I17" s="50">
        <f>IFERROR('調查資料(OUT)'!$O$1*'調查資料(OUT)'!O23,0)+IFERROR('調查資料(OUT)'!$S$1*'調查資料(OUT)'!S23,0)+IFERROR('調查資料(OUT)'!$W$1*'調查資料(OUT)'!W23,0)</f>
        <v>0</v>
      </c>
      <c r="J17" s="50">
        <f>IFERROR('調查資料(OUT)'!$P$1*'調查資料(OUT)'!P23,0)+IFERROR('調查資料(OUT)'!$T$1*'調查資料(OUT)'!T23,0)+IFERROR('調查資料(OUT)'!$X$1*'調查資料(OUT)'!X23,0)</f>
        <v>0</v>
      </c>
      <c r="K17" s="252">
        <f>IFERROR('調查資料(OUT)'!$Q$1*'調查資料(OUT)'!Q23,0)+IFERROR('調查資料(OUT)'!$U$1*'調查資料(OUT)'!U23,0)+IFERROR('調查資料(OUT)'!$Y$1*'調查資料(OUT)'!Y23,0)</f>
        <v>0</v>
      </c>
      <c r="L17" s="50">
        <f t="shared" si="83"/>
        <v>0</v>
      </c>
      <c r="M17" s="50">
        <f>IFERROR('調查資料(OUT)'!$Z$1*'調查資料(OUT)'!Z23,0)+IFERROR('調查資料(OUT)'!$AD$1*'調查資料(OUT)'!AD23,0)+IFERROR('調查資料(OUT)'!$AH$1*'調查資料(OUT)'!AH23,0)</f>
        <v>0</v>
      </c>
      <c r="N17" s="50">
        <f>IFERROR('調查資料(OUT)'!$AA$1*'調查資料(OUT)'!AA23,0)+IFERROR('調查資料(OUT)'!$AE$1*'調查資料(OUT)'!AE23,0)+IFERROR('調查資料(OUT)'!$AI$1*'調查資料(OUT)'!AI23,0)</f>
        <v>0</v>
      </c>
      <c r="O17" s="50">
        <f>IFERROR('調查資料(OUT)'!$AB$1*'調查資料(OUT)'!AB23,0)+IFERROR('調查資料(OUT)'!$AF$1*'調查資料(OUT)'!AF23,0)+IFERROR('調查資料(OUT)'!$AJ$1*'調查資料(OUT)'!AJ23,0)</f>
        <v>0</v>
      </c>
      <c r="P17" s="252">
        <f>IFERROR('調查資料(OUT)'!$AC$1*'調查資料(OUT)'!AC23,0)+IFERROR('調查資料(OUT)'!$AG$1*'調查資料(OUT)'!AG23,0)+IFERROR('調查資料(OUT)'!$AK$1*'調查資料(OUT)'!AK23,0)</f>
        <v>0</v>
      </c>
      <c r="Q17" s="50">
        <f t="shared" si="84"/>
        <v>0</v>
      </c>
      <c r="R17" s="50">
        <f>IFERROR('調查資料(OUT)'!$AL$1*'調查資料(OUT)'!AL23,0)+IFERROR('調查資料(OUT)'!$AP$1*'調查資料(OUT)'!AP23,0)+IFERROR('調查資料(OUT)'!$AT$1*'調查資料(OUT)'!AT23,0)</f>
        <v>0</v>
      </c>
      <c r="S17" s="50">
        <f>IFERROR('調查資料(OUT)'!$AM$1*'調查資料(OUT)'!AM23,0)+IFERROR('調查資料(OUT)'!$AQ$1*'調查資料(OUT)'!AQ23,0)+IFERROR('調查資料(OUT)'!$AU$1*'調查資料(OUT)'!AU23,0)</f>
        <v>0</v>
      </c>
      <c r="T17" s="50">
        <f>IFERROR('調查資料(OUT)'!$AN$1*'調查資料(OUT)'!AN23,0)+IFERROR('調查資料(OUT)'!$AR$1*'調查資料(OUT)'!AR23,0)+IFERROR('調查資料(OUT)'!$AV$1*'調查資料(OUT)'!AV23,0)</f>
        <v>0</v>
      </c>
      <c r="U17" s="252">
        <f>IFERROR('調查資料(OUT)'!$AO$1*'調查資料(OUT)'!AO23,0)+IFERROR('調查資料(OUT)'!$AS$1*'調查資料(OUT)'!AS23,0)+IFERROR('調查資料(OUT)'!$AW$1*'調查資料(OUT)'!AW23,0)</f>
        <v>0</v>
      </c>
      <c r="V17" s="50">
        <f t="shared" si="85"/>
        <v>0</v>
      </c>
      <c r="W17" s="50">
        <f>IFERROR('調查資料(OUT)'!$AX$1*'調查資料(OUT)'!AX23,0)+IFERROR('調查資料(OUT)'!$BB$1*'調查資料(OUT)'!BB23,0)+IFERROR('調查資料(OUT)'!$BF$1*'調查資料(OUT)'!BF23,0)</f>
        <v>0</v>
      </c>
      <c r="X17" s="50">
        <f>IFERROR('調查資料(OUT)'!$AY$1*'調查資料(OUT)'!AY23,0)+IFERROR('調查資料(OUT)'!$BC$1*'調查資料(OUT)'!BC23,0)+IFERROR('調查資料(OUT)'!$BG$1*'調查資料(OUT)'!BG23,0)</f>
        <v>0</v>
      </c>
      <c r="Y17" s="50">
        <f>IFERROR('調查資料(OUT)'!$AZ$1*'調查資料(OUT)'!AZ23,0)+IFERROR('調查資料(OUT)'!$BD$1*'調查資料(OUT)'!BD23,0)+IFERROR('調查資料(OUT)'!$BH$1*'調查資料(OUT)'!BH23,0)</f>
        <v>0</v>
      </c>
      <c r="Z17" s="252">
        <f>IFERROR('調查資料(OUT)'!$BA$1*'調查資料(OUT)'!BA23,0)+IFERROR('調查資料(OUT)'!$BE$1*'調查資料(OUT)'!BE23,0)+IFERROR('調查資料(OUT)'!$BI$1*'調查資料(OUT)'!BI23,0)</f>
        <v>0</v>
      </c>
      <c r="AA17" s="253">
        <f t="shared" si="86"/>
        <v>0</v>
      </c>
      <c r="AC17" s="251">
        <f>'調查資料(OUT)'!A23</f>
        <v>300</v>
      </c>
      <c r="AD17" s="254">
        <f t="shared" si="91"/>
        <v>400</v>
      </c>
      <c r="AE17" s="50">
        <f t="shared" si="92"/>
        <v>0</v>
      </c>
      <c r="AF17" s="255"/>
      <c r="AG17" s="50">
        <f t="shared" si="1"/>
        <v>0</v>
      </c>
      <c r="AH17" s="256" t="e">
        <f t="shared" si="2"/>
        <v>#DIV/0!</v>
      </c>
      <c r="AI17" s="256" t="e">
        <f t="shared" si="3"/>
        <v>#DIV/0!</v>
      </c>
      <c r="AJ17" s="256" t="e">
        <f t="shared" si="4"/>
        <v>#DIV/0!</v>
      </c>
      <c r="AK17" s="256" t="e">
        <f t="shared" si="5"/>
        <v>#DIV/0!</v>
      </c>
      <c r="AL17" s="256" t="e">
        <f t="shared" si="6"/>
        <v>#DIV/0!</v>
      </c>
      <c r="AM17" s="257"/>
      <c r="AN17" s="50">
        <f t="shared" si="7"/>
        <v>300</v>
      </c>
      <c r="AO17" s="252">
        <f t="shared" si="8"/>
        <v>400</v>
      </c>
      <c r="AP17" s="50">
        <f t="shared" si="93"/>
        <v>0</v>
      </c>
      <c r="AQ17" s="50">
        <f>IF($AN17="N","N",SUM('調查資料(OUT)'!B23:B26))</f>
        <v>0</v>
      </c>
      <c r="AR17" s="50">
        <f>IF($AN17="N","N",SUM('調查資料(OUT)'!F23:F26))</f>
        <v>0</v>
      </c>
      <c r="AS17" s="50">
        <f>IF($AN17="N","N",SUM('調查資料(OUT)'!J23:J26))</f>
        <v>0</v>
      </c>
      <c r="AT17" s="56" t="e">
        <f t="shared" si="94"/>
        <v>#DIV/0!</v>
      </c>
      <c r="AU17" s="50">
        <f t="shared" si="95"/>
        <v>0</v>
      </c>
      <c r="AV17" s="50">
        <f>IF($AN17="N","N",SUM('調查資料(OUT)'!C23:C26))</f>
        <v>0</v>
      </c>
      <c r="AW17" s="50">
        <f>IF($AN17="N","N",SUM('調查資料(OUT)'!G23:G26))</f>
        <v>0</v>
      </c>
      <c r="AX17" s="50">
        <f>IF($AN17="N","N",SUM('調查資料(OUT)'!K23:K26))</f>
        <v>0</v>
      </c>
      <c r="AY17" s="56" t="e">
        <f t="shared" si="96"/>
        <v>#DIV/0!</v>
      </c>
      <c r="AZ17" s="50">
        <f t="shared" si="97"/>
        <v>0</v>
      </c>
      <c r="BA17" s="50">
        <f>IF($AN17="N","N",SUM('調查資料(OUT)'!D23:D26))</f>
        <v>0</v>
      </c>
      <c r="BB17" s="50">
        <f>IF($AN17="N","N",SUM('調查資料(OUT)'!H23:H26))</f>
        <v>0</v>
      </c>
      <c r="BC17" s="50">
        <f>IF($AN17="N","N",SUM('調查資料(OUT)'!L23:L26))</f>
        <v>0</v>
      </c>
      <c r="BD17" s="56" t="e">
        <f t="shared" si="98"/>
        <v>#DIV/0!</v>
      </c>
      <c r="BE17" s="50">
        <f t="shared" si="99"/>
        <v>0</v>
      </c>
      <c r="BF17" s="50">
        <f>IF($AN17="N","N",SUM('調查資料(OUT)'!E23:E26))</f>
        <v>0</v>
      </c>
      <c r="BG17" s="50">
        <f>IF($AN17="N","N",SUM('調查資料(OUT)'!I23:I26))</f>
        <v>0</v>
      </c>
      <c r="BH17" s="50">
        <f>IF($AN17="N","N",SUM('調查資料(OUT)'!M23:M26))</f>
        <v>0</v>
      </c>
      <c r="BI17" s="56" t="e">
        <f t="shared" si="100"/>
        <v>#DIV/0!</v>
      </c>
      <c r="BJ17" s="50">
        <f t="shared" si="101"/>
        <v>0</v>
      </c>
      <c r="BK17" s="56" t="e">
        <f t="shared" si="102"/>
        <v>#DIV/0!</v>
      </c>
      <c r="BL17" s="50">
        <f t="shared" si="103"/>
        <v>0</v>
      </c>
      <c r="BM17" s="56" t="e">
        <f t="shared" si="104"/>
        <v>#DIV/0!</v>
      </c>
      <c r="BN17" s="50">
        <f t="shared" si="105"/>
        <v>0</v>
      </c>
      <c r="BO17" s="56" t="e">
        <f t="shared" si="106"/>
        <v>#DIV/0!</v>
      </c>
      <c r="BP17" s="50">
        <f t="shared" si="107"/>
        <v>0</v>
      </c>
      <c r="BQ17" s="50">
        <f t="shared" si="108"/>
        <v>0</v>
      </c>
      <c r="BR17" s="50">
        <f>IF($AN17="N","N",SUM('調查資料(OUT)'!N23:N26))</f>
        <v>0</v>
      </c>
      <c r="BS17" s="50">
        <f>IF($AN17="N","N",SUM('調查資料(OUT)'!R23:R26))</f>
        <v>0</v>
      </c>
      <c r="BT17" s="50">
        <f>IF($AN17="N","N",SUM('調查資料(OUT)'!V23:V26))</f>
        <v>0</v>
      </c>
      <c r="BU17" s="56" t="e">
        <f t="shared" si="109"/>
        <v>#DIV/0!</v>
      </c>
      <c r="BV17" s="50">
        <f t="shared" si="110"/>
        <v>0</v>
      </c>
      <c r="BW17" s="50">
        <f>IF($AN17="N","N",SUM('調查資料(OUT)'!O23:O26))</f>
        <v>0</v>
      </c>
      <c r="BX17" s="50">
        <f>IF($AN17="N","N",SUM('調查資料(OUT)'!S23:S26))</f>
        <v>0</v>
      </c>
      <c r="BY17" s="50">
        <f>IF($AN17="N","N",SUM('調查資料(OUT)'!W23:W26))</f>
        <v>0</v>
      </c>
      <c r="BZ17" s="56" t="e">
        <f t="shared" si="111"/>
        <v>#DIV/0!</v>
      </c>
      <c r="CA17" s="50">
        <f t="shared" si="112"/>
        <v>0</v>
      </c>
      <c r="CB17" s="50">
        <f>IF($AN17="N","N",SUM('調查資料(OUT)'!P23:P26))</f>
        <v>0</v>
      </c>
      <c r="CC17" s="50">
        <f>IF($AN17="N","N",SUM('調查資料(OUT)'!T23:T26))</f>
        <v>0</v>
      </c>
      <c r="CD17" s="50">
        <f>IF($AN17="N","N",SUM('調查資料(OUT)'!X23:X26))</f>
        <v>0</v>
      </c>
      <c r="CE17" s="56" t="e">
        <f t="shared" si="113"/>
        <v>#DIV/0!</v>
      </c>
      <c r="CF17" s="50">
        <f t="shared" si="114"/>
        <v>0</v>
      </c>
      <c r="CG17" s="50">
        <f>IF($AN17="N","N",SUM('調查資料(OUT)'!Q23:Q26))</f>
        <v>0</v>
      </c>
      <c r="CH17" s="50">
        <f>IF($AN17="N","N",SUM('調查資料(OUT)'!U23:U26))</f>
        <v>0</v>
      </c>
      <c r="CI17" s="50">
        <f>IF($AN17="N","N",SUM('調查資料(OUT)'!Y23:Y26))</f>
        <v>0</v>
      </c>
      <c r="CJ17" s="56" t="e">
        <f t="shared" si="115"/>
        <v>#DIV/0!</v>
      </c>
      <c r="CK17" s="50">
        <f t="shared" si="116"/>
        <v>0</v>
      </c>
      <c r="CL17" s="56" t="e">
        <f t="shared" si="117"/>
        <v>#DIV/0!</v>
      </c>
      <c r="CM17" s="50">
        <f t="shared" si="118"/>
        <v>0</v>
      </c>
      <c r="CN17" s="56" t="e">
        <f t="shared" si="119"/>
        <v>#DIV/0!</v>
      </c>
      <c r="CO17" s="50">
        <f t="shared" si="120"/>
        <v>0</v>
      </c>
      <c r="CP17" s="56" t="e">
        <f t="shared" si="121"/>
        <v>#DIV/0!</v>
      </c>
      <c r="CQ17" s="50">
        <f t="shared" si="122"/>
        <v>0</v>
      </c>
      <c r="CR17" s="50">
        <f t="shared" si="123"/>
        <v>0</v>
      </c>
      <c r="CS17" s="50">
        <f>IF($AN17="N","N",SUM('調查資料(OUT)'!Z23:Z26))</f>
        <v>0</v>
      </c>
      <c r="CT17" s="50">
        <f>IF($AN17="N","N",SUM('調查資料(OUT)'!AD23:AD26))</f>
        <v>0</v>
      </c>
      <c r="CU17" s="50">
        <f>IF($AN17="N","N",SUM('調查資料(OUT)'!AH23:AH26))</f>
        <v>0</v>
      </c>
      <c r="CV17" s="56" t="e">
        <f t="shared" si="124"/>
        <v>#DIV/0!</v>
      </c>
      <c r="CW17" s="50">
        <f t="shared" si="125"/>
        <v>0</v>
      </c>
      <c r="CX17" s="50">
        <f>IF($AN17="N","N",SUM('調查資料(OUT)'!AA23:AA26))</f>
        <v>0</v>
      </c>
      <c r="CY17" s="50">
        <f>IF($AN17="N","N",SUM('調查資料(OUT)'!AE23:AE26))</f>
        <v>0</v>
      </c>
      <c r="CZ17" s="50">
        <f>IF($AN17="N","N",SUM('調查資料(OUT)'!AI23:AI26))</f>
        <v>0</v>
      </c>
      <c r="DA17" s="56" t="e">
        <f t="shared" si="126"/>
        <v>#DIV/0!</v>
      </c>
      <c r="DB17" s="50">
        <f t="shared" si="127"/>
        <v>0</v>
      </c>
      <c r="DC17" s="50">
        <f>IF($AN17="N","N",SUM('調查資料(OUT)'!AB23:AB26))</f>
        <v>0</v>
      </c>
      <c r="DD17" s="50">
        <f>IF($AN17="N","N",SUM('調查資料(OUT)'!AF23:AF26))</f>
        <v>0</v>
      </c>
      <c r="DE17" s="50">
        <f>IF($AN17="N","N",SUM('調查資料(OUT)'!AJ23:AJ26))</f>
        <v>0</v>
      </c>
      <c r="DF17" s="56" t="e">
        <f t="shared" si="128"/>
        <v>#DIV/0!</v>
      </c>
      <c r="DG17" s="50">
        <f t="shared" si="129"/>
        <v>0</v>
      </c>
      <c r="DH17" s="50">
        <f>IF($AN17="N","N",SUM('調查資料(OUT)'!AC23:AC26))</f>
        <v>0</v>
      </c>
      <c r="DI17" s="50">
        <f>IF($AN17="N","N",SUM('調查資料(OUT)'!AG23:AG26))</f>
        <v>0</v>
      </c>
      <c r="DJ17" s="50">
        <f>IF($AN17="N","N",SUM('調查資料(OUT)'!AK23:AK26))</f>
        <v>0</v>
      </c>
      <c r="DK17" s="56" t="e">
        <f t="shared" si="130"/>
        <v>#DIV/0!</v>
      </c>
      <c r="DL17" s="50">
        <f t="shared" si="131"/>
        <v>0</v>
      </c>
      <c r="DM17" s="56" t="e">
        <f t="shared" si="132"/>
        <v>#DIV/0!</v>
      </c>
      <c r="DN17" s="50">
        <f t="shared" si="133"/>
        <v>0</v>
      </c>
      <c r="DO17" s="56" t="e">
        <f t="shared" si="134"/>
        <v>#DIV/0!</v>
      </c>
      <c r="DP17" s="50">
        <f t="shared" si="135"/>
        <v>0</v>
      </c>
      <c r="DQ17" s="56" t="e">
        <f t="shared" si="136"/>
        <v>#DIV/0!</v>
      </c>
      <c r="DR17" s="50">
        <f t="shared" si="137"/>
        <v>0</v>
      </c>
      <c r="DS17" s="50">
        <f t="shared" si="138"/>
        <v>0</v>
      </c>
      <c r="DT17" s="50">
        <f>IF($AN17="N","N",SUM('調查資料(OUT)'!AL23:AL26))</f>
        <v>0</v>
      </c>
      <c r="DU17" s="50">
        <f>IF($AN17="N","N",SUM('調查資料(OUT)'!AP23:AP26))</f>
        <v>0</v>
      </c>
      <c r="DV17" s="50">
        <f>IF($AN17="N","N",SUM('調查資料(OUT)'!AT23:AT26))</f>
        <v>0</v>
      </c>
      <c r="DW17" s="56" t="e">
        <f t="shared" si="139"/>
        <v>#DIV/0!</v>
      </c>
      <c r="DX17" s="50">
        <f t="shared" si="140"/>
        <v>0</v>
      </c>
      <c r="DY17" s="50">
        <f>IF($AN17="N","N",SUM('調查資料(OUT)'!AM23:AM26))</f>
        <v>0</v>
      </c>
      <c r="DZ17" s="50">
        <f>IF($AN17="N","N",SUM('調查資料(OUT)'!AQ23:AQ26))</f>
        <v>0</v>
      </c>
      <c r="EA17" s="50">
        <f>IF($AN17="N","N",SUM('調查資料(OUT)'!AU23:AU26))</f>
        <v>0</v>
      </c>
      <c r="EB17" s="56" t="e">
        <f t="shared" si="141"/>
        <v>#DIV/0!</v>
      </c>
      <c r="EC17" s="50">
        <f t="shared" si="142"/>
        <v>0</v>
      </c>
      <c r="ED17" s="50">
        <f>IF($AN17="N","N",SUM('調查資料(OUT)'!AN23:AN26))</f>
        <v>0</v>
      </c>
      <c r="EE17" s="50">
        <f>IF($AN17="N","N",SUM('調查資料(OUT)'!AR23:AR26))</f>
        <v>0</v>
      </c>
      <c r="EF17" s="50">
        <f>IF($AN17="N","N",SUM('調查資料(OUT)'!AV23:AV26))</f>
        <v>0</v>
      </c>
      <c r="EG17" s="56" t="e">
        <f t="shared" si="143"/>
        <v>#DIV/0!</v>
      </c>
      <c r="EH17" s="50">
        <f t="shared" si="144"/>
        <v>0</v>
      </c>
      <c r="EI17" s="50">
        <f>IF($AN17="N","N",SUM('調查資料(OUT)'!AO23:AO26))</f>
        <v>0</v>
      </c>
      <c r="EJ17" s="50">
        <f>IF($AN17="N","N",SUM('調查資料(OUT)'!AS23:AS26))</f>
        <v>0</v>
      </c>
      <c r="EK17" s="50">
        <f>IF($AN17="N","N",SUM('調查資料(OUT)'!AW23:AW26))</f>
        <v>0</v>
      </c>
      <c r="EL17" s="56" t="e">
        <f t="shared" si="145"/>
        <v>#DIV/0!</v>
      </c>
      <c r="EM17" s="50">
        <f t="shared" si="146"/>
        <v>0</v>
      </c>
      <c r="EN17" s="56" t="e">
        <f t="shared" si="147"/>
        <v>#DIV/0!</v>
      </c>
      <c r="EO17" s="50">
        <f t="shared" si="148"/>
        <v>0</v>
      </c>
      <c r="EP17" s="56" t="e">
        <f t="shared" si="149"/>
        <v>#DIV/0!</v>
      </c>
      <c r="EQ17" s="50">
        <f t="shared" si="150"/>
        <v>0</v>
      </c>
      <c r="ER17" s="56" t="e">
        <f t="shared" si="151"/>
        <v>#DIV/0!</v>
      </c>
      <c r="ES17" s="50">
        <f t="shared" si="152"/>
        <v>0</v>
      </c>
      <c r="ET17" s="50">
        <f t="shared" si="153"/>
        <v>0</v>
      </c>
      <c r="EU17" s="50">
        <f>IF($AN17="N","N",SUM('調查資料(OUT)'!AX23:AX26))</f>
        <v>0</v>
      </c>
      <c r="EV17" s="50">
        <f>IF($AN17="N","N",SUM('調查資料(OUT)'!BB23:BB26))</f>
        <v>0</v>
      </c>
      <c r="EW17" s="50">
        <f>IF($AN17="N","N",SUM('調查資料(OUT)'!BF23:BF26))</f>
        <v>0</v>
      </c>
      <c r="EX17" s="56" t="e">
        <f t="shared" si="154"/>
        <v>#DIV/0!</v>
      </c>
      <c r="EY17" s="50">
        <f t="shared" si="155"/>
        <v>0</v>
      </c>
      <c r="EZ17" s="50">
        <f>IF($AN17="N","N",SUM('調查資料(OUT)'!AY23:AY26))</f>
        <v>0</v>
      </c>
      <c r="FA17" s="50">
        <f>IF($AN17="N","N",SUM('調查資料(OUT)'!BC23:BC26))</f>
        <v>0</v>
      </c>
      <c r="FB17" s="50">
        <f>IF($AN17="N","N",SUM('調查資料(OUT)'!BG23:BG26))</f>
        <v>0</v>
      </c>
      <c r="FC17" s="56" t="e">
        <f t="shared" si="156"/>
        <v>#DIV/0!</v>
      </c>
      <c r="FD17" s="50">
        <f t="shared" si="157"/>
        <v>0</v>
      </c>
      <c r="FE17" s="50">
        <f>IF($AN17="N","N",SUM('調查資料(OUT)'!AZ23:AZ26))</f>
        <v>0</v>
      </c>
      <c r="FF17" s="50">
        <f>IF($AN17="N","N",SUM('調查資料(OUT)'!BD23:BD26))</f>
        <v>0</v>
      </c>
      <c r="FG17" s="50">
        <f>IF($AN17="N","N",SUM('調查資料(OUT)'!BH23:BH26))</f>
        <v>0</v>
      </c>
      <c r="FH17" s="56" t="e">
        <f t="shared" si="158"/>
        <v>#DIV/0!</v>
      </c>
      <c r="FI17" s="50">
        <f t="shared" si="159"/>
        <v>0</v>
      </c>
      <c r="FJ17" s="50">
        <f>IF($AN17="N","N",SUM('調查資料(OUT)'!BA23:BA26))</f>
        <v>0</v>
      </c>
      <c r="FK17" s="50">
        <f>IF($AN17="N","N",SUM('調查資料(OUT)'!BE23:BE26))</f>
        <v>0</v>
      </c>
      <c r="FL17" s="50">
        <f>IF($AN17="N","N",SUM('調查資料(OUT)'!BI23:BI26))</f>
        <v>0</v>
      </c>
      <c r="FM17" s="56" t="e">
        <f t="shared" si="160"/>
        <v>#DIV/0!</v>
      </c>
      <c r="FN17" s="50">
        <f t="shared" si="161"/>
        <v>0</v>
      </c>
      <c r="FO17" s="56" t="e">
        <f t="shared" si="162"/>
        <v>#DIV/0!</v>
      </c>
      <c r="FP17" s="50">
        <f t="shared" si="163"/>
        <v>0</v>
      </c>
      <c r="FQ17" s="56" t="e">
        <f t="shared" si="164"/>
        <v>#DIV/0!</v>
      </c>
      <c r="FR17" s="50">
        <f t="shared" si="165"/>
        <v>0</v>
      </c>
      <c r="FS17" s="56" t="e">
        <f t="shared" si="166"/>
        <v>#DIV/0!</v>
      </c>
      <c r="FT17" s="50">
        <f t="shared" si="167"/>
        <v>0</v>
      </c>
    </row>
    <row r="18" spans="1:176">
      <c r="A18" s="274">
        <f>'調查資料(OUT)'!A24</f>
        <v>315</v>
      </c>
      <c r="B18" s="50">
        <f t="shared" si="81"/>
        <v>0</v>
      </c>
      <c r="C18" s="50">
        <f>IFERROR('調查資料(OUT)'!$B$1*'調查資料(OUT)'!B24,0)+IFERROR('調查資料(OUT)'!$F$1*'調查資料(OUT)'!F24,0)+IFERROR('調查資料(OUT)'!$J$1*'調查資料(OUT)'!J24,0)</f>
        <v>0</v>
      </c>
      <c r="D18" s="50">
        <f>IFERROR('調查資料(OUT)'!$C$1*'調查資料(OUT)'!C24,0)+IFERROR('調查資料(OUT)'!$G$1*'調查資料(OUT)'!G24,0)+IFERROR('調查資料(OUT)'!$K$1*'調查資料(OUT)'!K24,0)</f>
        <v>0</v>
      </c>
      <c r="E18" s="50">
        <f>IFERROR('調查資料(OUT)'!$D$1*'調查資料(OUT)'!D24,0)+IFERROR('調查資料(OUT)'!$H$1*'調查資料(OUT)'!H24,0)+IFERROR('調查資料(OUT)'!$L$1*'調查資料(OUT)'!L24,0)</f>
        <v>0</v>
      </c>
      <c r="F18" s="252">
        <f>IFERROR('調查資料(OUT)'!$E$1*'調查資料(OUT)'!E24,0)+IFERROR('調查資料(OUT)'!$I$1*'調查資料(OUT)'!I24,0)+IFERROR('調查資料(OUT)'!$M$1*'調查資料(OUT)'!M24,0)</f>
        <v>0</v>
      </c>
      <c r="G18" s="50">
        <f t="shared" si="82"/>
        <v>0</v>
      </c>
      <c r="H18" s="50">
        <f>IFERROR('調查資料(OUT)'!$N$1*'調查資料(OUT)'!N24,0)+IFERROR('調查資料(OUT)'!$R$1*'調查資料(OUT)'!R24,0)+IFERROR('調查資料(OUT)'!$V$1*'調查資料(OUT)'!V24,0)</f>
        <v>0</v>
      </c>
      <c r="I18" s="50">
        <f>IFERROR('調查資料(OUT)'!$O$1*'調查資料(OUT)'!O24,0)+IFERROR('調查資料(OUT)'!$S$1*'調查資料(OUT)'!S24,0)+IFERROR('調查資料(OUT)'!$W$1*'調查資料(OUT)'!W24,0)</f>
        <v>0</v>
      </c>
      <c r="J18" s="50">
        <f>IFERROR('調查資料(OUT)'!$P$1*'調查資料(OUT)'!P24,0)+IFERROR('調查資料(OUT)'!$T$1*'調查資料(OUT)'!T24,0)+IFERROR('調查資料(OUT)'!$X$1*'調查資料(OUT)'!X24,0)</f>
        <v>0</v>
      </c>
      <c r="K18" s="252">
        <f>IFERROR('調查資料(OUT)'!$Q$1*'調查資料(OUT)'!Q24,0)+IFERROR('調查資料(OUT)'!$U$1*'調查資料(OUT)'!U24,0)+IFERROR('調查資料(OUT)'!$Y$1*'調查資料(OUT)'!Y24,0)</f>
        <v>0</v>
      </c>
      <c r="L18" s="50">
        <f t="shared" si="83"/>
        <v>0</v>
      </c>
      <c r="M18" s="50">
        <f>IFERROR('調查資料(OUT)'!$Z$1*'調查資料(OUT)'!Z24,0)+IFERROR('調查資料(OUT)'!$AD$1*'調查資料(OUT)'!AD24,0)+IFERROR('調查資料(OUT)'!$AH$1*'調查資料(OUT)'!AH24,0)</f>
        <v>0</v>
      </c>
      <c r="N18" s="50">
        <f>IFERROR('調查資料(OUT)'!$AA$1*'調查資料(OUT)'!AA24,0)+IFERROR('調查資料(OUT)'!$AE$1*'調查資料(OUT)'!AE24,0)+IFERROR('調查資料(OUT)'!$AI$1*'調查資料(OUT)'!AI24,0)</f>
        <v>0</v>
      </c>
      <c r="O18" s="50">
        <f>IFERROR('調查資料(OUT)'!$AB$1*'調查資料(OUT)'!AB24,0)+IFERROR('調查資料(OUT)'!$AF$1*'調查資料(OUT)'!AF24,0)+IFERROR('調查資料(OUT)'!$AJ$1*'調查資料(OUT)'!AJ24,0)</f>
        <v>0</v>
      </c>
      <c r="P18" s="252">
        <f>IFERROR('調查資料(OUT)'!$AC$1*'調查資料(OUT)'!AC24,0)+IFERROR('調查資料(OUT)'!$AG$1*'調查資料(OUT)'!AG24,0)+IFERROR('調查資料(OUT)'!$AK$1*'調查資料(OUT)'!AK24,0)</f>
        <v>0</v>
      </c>
      <c r="Q18" s="50">
        <f t="shared" si="84"/>
        <v>0</v>
      </c>
      <c r="R18" s="50">
        <f>IFERROR('調查資料(OUT)'!$AL$1*'調查資料(OUT)'!AL24,0)+IFERROR('調查資料(OUT)'!$AP$1*'調查資料(OUT)'!AP24,0)+IFERROR('調查資料(OUT)'!$AT$1*'調查資料(OUT)'!AT24,0)</f>
        <v>0</v>
      </c>
      <c r="S18" s="50">
        <f>IFERROR('調查資料(OUT)'!$AM$1*'調查資料(OUT)'!AM24,0)+IFERROR('調查資料(OUT)'!$AQ$1*'調查資料(OUT)'!AQ24,0)+IFERROR('調查資料(OUT)'!$AU$1*'調查資料(OUT)'!AU24,0)</f>
        <v>0</v>
      </c>
      <c r="T18" s="50">
        <f>IFERROR('調查資料(OUT)'!$AN$1*'調查資料(OUT)'!AN24,0)+IFERROR('調查資料(OUT)'!$AR$1*'調查資料(OUT)'!AR24,0)+IFERROR('調查資料(OUT)'!$AV$1*'調查資料(OUT)'!AV24,0)</f>
        <v>0</v>
      </c>
      <c r="U18" s="252">
        <f>IFERROR('調查資料(OUT)'!$AO$1*'調查資料(OUT)'!AO24,0)+IFERROR('調查資料(OUT)'!$AS$1*'調查資料(OUT)'!AS24,0)+IFERROR('調查資料(OUT)'!$AW$1*'調查資料(OUT)'!AW24,0)</f>
        <v>0</v>
      </c>
      <c r="V18" s="50">
        <f t="shared" si="85"/>
        <v>0</v>
      </c>
      <c r="W18" s="50">
        <f>IFERROR('調查資料(OUT)'!$AX$1*'調查資料(OUT)'!AX24,0)+IFERROR('調查資料(OUT)'!$BB$1*'調查資料(OUT)'!BB24,0)+IFERROR('調查資料(OUT)'!$BF$1*'調查資料(OUT)'!BF24,0)</f>
        <v>0</v>
      </c>
      <c r="X18" s="50">
        <f>IFERROR('調查資料(OUT)'!$AY$1*'調查資料(OUT)'!AY24,0)+IFERROR('調查資料(OUT)'!$BC$1*'調查資料(OUT)'!BC24,0)+IFERROR('調查資料(OUT)'!$BG$1*'調查資料(OUT)'!BG24,0)</f>
        <v>0</v>
      </c>
      <c r="Y18" s="50">
        <f>IFERROR('調查資料(OUT)'!$AZ$1*'調查資料(OUT)'!AZ24,0)+IFERROR('調查資料(OUT)'!$BD$1*'調查資料(OUT)'!BD24,0)+IFERROR('調查資料(OUT)'!$BH$1*'調查資料(OUT)'!BH24,0)</f>
        <v>0</v>
      </c>
      <c r="Z18" s="252">
        <f>IFERROR('調查資料(OUT)'!$BA$1*'調查資料(OUT)'!BA24,0)+IFERROR('調查資料(OUT)'!$BE$1*'調查資料(OUT)'!BE24,0)+IFERROR('調查資料(OUT)'!$BI$1*'調查資料(OUT)'!BI24,0)</f>
        <v>0</v>
      </c>
      <c r="AA18" s="253">
        <f t="shared" si="86"/>
        <v>0</v>
      </c>
      <c r="AC18" s="251">
        <f>'調查資料(OUT)'!A24</f>
        <v>315</v>
      </c>
      <c r="AD18" s="254">
        <f t="shared" si="91"/>
        <v>415</v>
      </c>
      <c r="AE18" s="50">
        <f t="shared" si="92"/>
        <v>0</v>
      </c>
      <c r="AF18" s="255"/>
      <c r="AG18" s="50">
        <f t="shared" si="1"/>
        <v>0</v>
      </c>
      <c r="AH18" s="256" t="e">
        <f t="shared" si="2"/>
        <v>#DIV/0!</v>
      </c>
      <c r="AI18" s="256" t="e">
        <f t="shared" si="3"/>
        <v>#DIV/0!</v>
      </c>
      <c r="AJ18" s="256" t="e">
        <f t="shared" si="4"/>
        <v>#DIV/0!</v>
      </c>
      <c r="AK18" s="256" t="e">
        <f t="shared" si="5"/>
        <v>#DIV/0!</v>
      </c>
      <c r="AL18" s="256" t="e">
        <f t="shared" si="6"/>
        <v>#DIV/0!</v>
      </c>
      <c r="AM18" s="257"/>
      <c r="AN18" s="50">
        <f t="shared" si="7"/>
        <v>315</v>
      </c>
      <c r="AO18" s="252">
        <f t="shared" si="8"/>
        <v>415</v>
      </c>
      <c r="AP18" s="50">
        <f t="shared" si="93"/>
        <v>0</v>
      </c>
      <c r="AQ18" s="50">
        <f>IF($AN18="N","N",SUM('調查資料(OUT)'!B24:B27))</f>
        <v>0</v>
      </c>
      <c r="AR18" s="50">
        <f>IF($AN18="N","N",SUM('調查資料(OUT)'!F24:F27))</f>
        <v>0</v>
      </c>
      <c r="AS18" s="50">
        <f>IF($AN18="N","N",SUM('調查資料(OUT)'!J24:J27))</f>
        <v>0</v>
      </c>
      <c r="AT18" s="56" t="e">
        <f t="shared" si="94"/>
        <v>#DIV/0!</v>
      </c>
      <c r="AU18" s="50">
        <f t="shared" si="95"/>
        <v>0</v>
      </c>
      <c r="AV18" s="50">
        <f>IF($AN18="N","N",SUM('調查資料(OUT)'!C24:C27))</f>
        <v>0</v>
      </c>
      <c r="AW18" s="50">
        <f>IF($AN18="N","N",SUM('調查資料(OUT)'!G24:G27))</f>
        <v>0</v>
      </c>
      <c r="AX18" s="50">
        <f>IF($AN18="N","N",SUM('調查資料(OUT)'!K24:K27))</f>
        <v>0</v>
      </c>
      <c r="AY18" s="56" t="e">
        <f t="shared" si="96"/>
        <v>#DIV/0!</v>
      </c>
      <c r="AZ18" s="50">
        <f t="shared" si="97"/>
        <v>0</v>
      </c>
      <c r="BA18" s="50">
        <f>IF($AN18="N","N",SUM('調查資料(OUT)'!D24:D27))</f>
        <v>0</v>
      </c>
      <c r="BB18" s="50">
        <f>IF($AN18="N","N",SUM('調查資料(OUT)'!H24:H27))</f>
        <v>0</v>
      </c>
      <c r="BC18" s="50">
        <f>IF($AN18="N","N",SUM('調查資料(OUT)'!L24:L27))</f>
        <v>0</v>
      </c>
      <c r="BD18" s="56" t="e">
        <f t="shared" si="98"/>
        <v>#DIV/0!</v>
      </c>
      <c r="BE18" s="50">
        <f t="shared" si="99"/>
        <v>0</v>
      </c>
      <c r="BF18" s="50">
        <f>IF($AN18="N","N",SUM('調查資料(OUT)'!E24:E27))</f>
        <v>0</v>
      </c>
      <c r="BG18" s="50">
        <f>IF($AN18="N","N",SUM('調查資料(OUT)'!I24:I27))</f>
        <v>0</v>
      </c>
      <c r="BH18" s="50">
        <f>IF($AN18="N","N",SUM('調查資料(OUT)'!M24:M27))</f>
        <v>0</v>
      </c>
      <c r="BI18" s="56" t="e">
        <f t="shared" si="100"/>
        <v>#DIV/0!</v>
      </c>
      <c r="BJ18" s="50">
        <f t="shared" si="101"/>
        <v>0</v>
      </c>
      <c r="BK18" s="56" t="e">
        <f t="shared" si="102"/>
        <v>#DIV/0!</v>
      </c>
      <c r="BL18" s="50">
        <f t="shared" si="103"/>
        <v>0</v>
      </c>
      <c r="BM18" s="56" t="e">
        <f t="shared" si="104"/>
        <v>#DIV/0!</v>
      </c>
      <c r="BN18" s="50">
        <f t="shared" si="105"/>
        <v>0</v>
      </c>
      <c r="BO18" s="56" t="e">
        <f t="shared" si="106"/>
        <v>#DIV/0!</v>
      </c>
      <c r="BP18" s="50">
        <f t="shared" si="107"/>
        <v>0</v>
      </c>
      <c r="BQ18" s="50">
        <f t="shared" si="108"/>
        <v>0</v>
      </c>
      <c r="BR18" s="50">
        <f>IF($AN18="N","N",SUM('調查資料(OUT)'!N24:N27))</f>
        <v>0</v>
      </c>
      <c r="BS18" s="50">
        <f>IF($AN18="N","N",SUM('調查資料(OUT)'!R24:R27))</f>
        <v>0</v>
      </c>
      <c r="BT18" s="50">
        <f>IF($AN18="N","N",SUM('調查資料(OUT)'!V24:V27))</f>
        <v>0</v>
      </c>
      <c r="BU18" s="56" t="e">
        <f t="shared" si="109"/>
        <v>#DIV/0!</v>
      </c>
      <c r="BV18" s="50">
        <f t="shared" si="110"/>
        <v>0</v>
      </c>
      <c r="BW18" s="50">
        <f>IF($AN18="N","N",SUM('調查資料(OUT)'!O24:O27))</f>
        <v>0</v>
      </c>
      <c r="BX18" s="50">
        <f>IF($AN18="N","N",SUM('調查資料(OUT)'!S24:S27))</f>
        <v>0</v>
      </c>
      <c r="BY18" s="50">
        <f>IF($AN18="N","N",SUM('調查資料(OUT)'!W24:W27))</f>
        <v>0</v>
      </c>
      <c r="BZ18" s="56" t="e">
        <f t="shared" si="111"/>
        <v>#DIV/0!</v>
      </c>
      <c r="CA18" s="50">
        <f t="shared" si="112"/>
        <v>0</v>
      </c>
      <c r="CB18" s="50">
        <f>IF($AN18="N","N",SUM('調查資料(OUT)'!P24:P27))</f>
        <v>0</v>
      </c>
      <c r="CC18" s="50">
        <f>IF($AN18="N","N",SUM('調查資料(OUT)'!T24:T27))</f>
        <v>0</v>
      </c>
      <c r="CD18" s="50">
        <f>IF($AN18="N","N",SUM('調查資料(OUT)'!X24:X27))</f>
        <v>0</v>
      </c>
      <c r="CE18" s="56" t="e">
        <f t="shared" si="113"/>
        <v>#DIV/0!</v>
      </c>
      <c r="CF18" s="50">
        <f t="shared" si="114"/>
        <v>0</v>
      </c>
      <c r="CG18" s="50">
        <f>IF($AN18="N","N",SUM('調查資料(OUT)'!Q24:Q27))</f>
        <v>0</v>
      </c>
      <c r="CH18" s="50">
        <f>IF($AN18="N","N",SUM('調查資料(OUT)'!U24:U27))</f>
        <v>0</v>
      </c>
      <c r="CI18" s="50">
        <f>IF($AN18="N","N",SUM('調查資料(OUT)'!Y24:Y27))</f>
        <v>0</v>
      </c>
      <c r="CJ18" s="56" t="e">
        <f t="shared" si="115"/>
        <v>#DIV/0!</v>
      </c>
      <c r="CK18" s="50">
        <f t="shared" si="116"/>
        <v>0</v>
      </c>
      <c r="CL18" s="56" t="e">
        <f t="shared" si="117"/>
        <v>#DIV/0!</v>
      </c>
      <c r="CM18" s="50">
        <f t="shared" si="118"/>
        <v>0</v>
      </c>
      <c r="CN18" s="56" t="e">
        <f t="shared" si="119"/>
        <v>#DIV/0!</v>
      </c>
      <c r="CO18" s="50">
        <f t="shared" si="120"/>
        <v>0</v>
      </c>
      <c r="CP18" s="56" t="e">
        <f t="shared" si="121"/>
        <v>#DIV/0!</v>
      </c>
      <c r="CQ18" s="50">
        <f t="shared" si="122"/>
        <v>0</v>
      </c>
      <c r="CR18" s="50">
        <f t="shared" si="123"/>
        <v>0</v>
      </c>
      <c r="CS18" s="50">
        <f>IF($AN18="N","N",SUM('調查資料(OUT)'!Z24:Z27))</f>
        <v>0</v>
      </c>
      <c r="CT18" s="50">
        <f>IF($AN18="N","N",SUM('調查資料(OUT)'!AD24:AD27))</f>
        <v>0</v>
      </c>
      <c r="CU18" s="50">
        <f>IF($AN18="N","N",SUM('調查資料(OUT)'!AH24:AH27))</f>
        <v>0</v>
      </c>
      <c r="CV18" s="56" t="e">
        <f t="shared" si="124"/>
        <v>#DIV/0!</v>
      </c>
      <c r="CW18" s="50">
        <f t="shared" si="125"/>
        <v>0</v>
      </c>
      <c r="CX18" s="50">
        <f>IF($AN18="N","N",SUM('調查資料(OUT)'!AA24:AA27))</f>
        <v>0</v>
      </c>
      <c r="CY18" s="50">
        <f>IF($AN18="N","N",SUM('調查資料(OUT)'!AE24:AE27))</f>
        <v>0</v>
      </c>
      <c r="CZ18" s="50">
        <f>IF($AN18="N","N",SUM('調查資料(OUT)'!AI24:AI27))</f>
        <v>0</v>
      </c>
      <c r="DA18" s="56" t="e">
        <f t="shared" si="126"/>
        <v>#DIV/0!</v>
      </c>
      <c r="DB18" s="50">
        <f t="shared" si="127"/>
        <v>0</v>
      </c>
      <c r="DC18" s="50">
        <f>IF($AN18="N","N",SUM('調查資料(OUT)'!AB24:AB27))</f>
        <v>0</v>
      </c>
      <c r="DD18" s="50">
        <f>IF($AN18="N","N",SUM('調查資料(OUT)'!AF24:AF27))</f>
        <v>0</v>
      </c>
      <c r="DE18" s="50">
        <f>IF($AN18="N","N",SUM('調查資料(OUT)'!AJ24:AJ27))</f>
        <v>0</v>
      </c>
      <c r="DF18" s="56" t="e">
        <f t="shared" si="128"/>
        <v>#DIV/0!</v>
      </c>
      <c r="DG18" s="50">
        <f t="shared" si="129"/>
        <v>0</v>
      </c>
      <c r="DH18" s="50">
        <f>IF($AN18="N","N",SUM('調查資料(OUT)'!AC24:AC27))</f>
        <v>0</v>
      </c>
      <c r="DI18" s="50">
        <f>IF($AN18="N","N",SUM('調查資料(OUT)'!AG24:AG27))</f>
        <v>0</v>
      </c>
      <c r="DJ18" s="50">
        <f>IF($AN18="N","N",SUM('調查資料(OUT)'!AK24:AK27))</f>
        <v>0</v>
      </c>
      <c r="DK18" s="56" t="e">
        <f t="shared" si="130"/>
        <v>#DIV/0!</v>
      </c>
      <c r="DL18" s="50">
        <f t="shared" si="131"/>
        <v>0</v>
      </c>
      <c r="DM18" s="56" t="e">
        <f t="shared" si="132"/>
        <v>#DIV/0!</v>
      </c>
      <c r="DN18" s="50">
        <f t="shared" si="133"/>
        <v>0</v>
      </c>
      <c r="DO18" s="56" t="e">
        <f t="shared" si="134"/>
        <v>#DIV/0!</v>
      </c>
      <c r="DP18" s="50">
        <f t="shared" si="135"/>
        <v>0</v>
      </c>
      <c r="DQ18" s="56" t="e">
        <f t="shared" si="136"/>
        <v>#DIV/0!</v>
      </c>
      <c r="DR18" s="50">
        <f t="shared" si="137"/>
        <v>0</v>
      </c>
      <c r="DS18" s="50">
        <f t="shared" si="138"/>
        <v>0</v>
      </c>
      <c r="DT18" s="50">
        <f>IF($AN18="N","N",SUM('調查資料(OUT)'!AL24:AL27))</f>
        <v>0</v>
      </c>
      <c r="DU18" s="50">
        <f>IF($AN18="N","N",SUM('調查資料(OUT)'!AP24:AP27))</f>
        <v>0</v>
      </c>
      <c r="DV18" s="50">
        <f>IF($AN18="N","N",SUM('調查資料(OUT)'!AT24:AT27))</f>
        <v>0</v>
      </c>
      <c r="DW18" s="56" t="e">
        <f t="shared" si="139"/>
        <v>#DIV/0!</v>
      </c>
      <c r="DX18" s="50">
        <f t="shared" si="140"/>
        <v>0</v>
      </c>
      <c r="DY18" s="50">
        <f>IF($AN18="N","N",SUM('調查資料(OUT)'!AM24:AM27))</f>
        <v>0</v>
      </c>
      <c r="DZ18" s="50">
        <f>IF($AN18="N","N",SUM('調查資料(OUT)'!AQ24:AQ27))</f>
        <v>0</v>
      </c>
      <c r="EA18" s="50">
        <f>IF($AN18="N","N",SUM('調查資料(OUT)'!AU24:AU27))</f>
        <v>0</v>
      </c>
      <c r="EB18" s="56" t="e">
        <f t="shared" si="141"/>
        <v>#DIV/0!</v>
      </c>
      <c r="EC18" s="50">
        <f t="shared" si="142"/>
        <v>0</v>
      </c>
      <c r="ED18" s="50">
        <f>IF($AN18="N","N",SUM('調查資料(OUT)'!AN24:AN27))</f>
        <v>0</v>
      </c>
      <c r="EE18" s="50">
        <f>IF($AN18="N","N",SUM('調查資料(OUT)'!AR24:AR27))</f>
        <v>0</v>
      </c>
      <c r="EF18" s="50">
        <f>IF($AN18="N","N",SUM('調查資料(OUT)'!AV24:AV27))</f>
        <v>0</v>
      </c>
      <c r="EG18" s="56" t="e">
        <f t="shared" si="143"/>
        <v>#DIV/0!</v>
      </c>
      <c r="EH18" s="50">
        <f t="shared" si="144"/>
        <v>0</v>
      </c>
      <c r="EI18" s="50">
        <f>IF($AN18="N","N",SUM('調查資料(OUT)'!AO24:AO27))</f>
        <v>0</v>
      </c>
      <c r="EJ18" s="50">
        <f>IF($AN18="N","N",SUM('調查資料(OUT)'!AS24:AS27))</f>
        <v>0</v>
      </c>
      <c r="EK18" s="50">
        <f>IF($AN18="N","N",SUM('調查資料(OUT)'!AW24:AW27))</f>
        <v>0</v>
      </c>
      <c r="EL18" s="56" t="e">
        <f t="shared" si="145"/>
        <v>#DIV/0!</v>
      </c>
      <c r="EM18" s="50">
        <f t="shared" si="146"/>
        <v>0</v>
      </c>
      <c r="EN18" s="56" t="e">
        <f t="shared" si="147"/>
        <v>#DIV/0!</v>
      </c>
      <c r="EO18" s="50">
        <f t="shared" si="148"/>
        <v>0</v>
      </c>
      <c r="EP18" s="56" t="e">
        <f t="shared" si="149"/>
        <v>#DIV/0!</v>
      </c>
      <c r="EQ18" s="50">
        <f t="shared" si="150"/>
        <v>0</v>
      </c>
      <c r="ER18" s="56" t="e">
        <f t="shared" si="151"/>
        <v>#DIV/0!</v>
      </c>
      <c r="ES18" s="50">
        <f t="shared" si="152"/>
        <v>0</v>
      </c>
      <c r="ET18" s="50">
        <f t="shared" si="153"/>
        <v>0</v>
      </c>
      <c r="EU18" s="50">
        <f>IF($AN18="N","N",SUM('調查資料(OUT)'!AX24:AX27))</f>
        <v>0</v>
      </c>
      <c r="EV18" s="50">
        <f>IF($AN18="N","N",SUM('調查資料(OUT)'!BB24:BB27))</f>
        <v>0</v>
      </c>
      <c r="EW18" s="50">
        <f>IF($AN18="N","N",SUM('調查資料(OUT)'!BF24:BF27))</f>
        <v>0</v>
      </c>
      <c r="EX18" s="56" t="e">
        <f t="shared" si="154"/>
        <v>#DIV/0!</v>
      </c>
      <c r="EY18" s="50">
        <f t="shared" si="155"/>
        <v>0</v>
      </c>
      <c r="EZ18" s="50">
        <f>IF($AN18="N","N",SUM('調查資料(OUT)'!AY24:AY27))</f>
        <v>0</v>
      </c>
      <c r="FA18" s="50">
        <f>IF($AN18="N","N",SUM('調查資料(OUT)'!BC24:BC27))</f>
        <v>0</v>
      </c>
      <c r="FB18" s="50">
        <f>IF($AN18="N","N",SUM('調查資料(OUT)'!BG24:BG27))</f>
        <v>0</v>
      </c>
      <c r="FC18" s="56" t="e">
        <f t="shared" si="156"/>
        <v>#DIV/0!</v>
      </c>
      <c r="FD18" s="50">
        <f t="shared" si="157"/>
        <v>0</v>
      </c>
      <c r="FE18" s="50">
        <f>IF($AN18="N","N",SUM('調查資料(OUT)'!AZ24:AZ27))</f>
        <v>0</v>
      </c>
      <c r="FF18" s="50">
        <f>IF($AN18="N","N",SUM('調查資料(OUT)'!BD24:BD27))</f>
        <v>0</v>
      </c>
      <c r="FG18" s="50">
        <f>IF($AN18="N","N",SUM('調查資料(OUT)'!BH24:BH27))</f>
        <v>0</v>
      </c>
      <c r="FH18" s="56" t="e">
        <f t="shared" si="158"/>
        <v>#DIV/0!</v>
      </c>
      <c r="FI18" s="50">
        <f t="shared" si="159"/>
        <v>0</v>
      </c>
      <c r="FJ18" s="50">
        <f>IF($AN18="N","N",SUM('調查資料(OUT)'!BA24:BA27))</f>
        <v>0</v>
      </c>
      <c r="FK18" s="50">
        <f>IF($AN18="N","N",SUM('調查資料(OUT)'!BE24:BE27))</f>
        <v>0</v>
      </c>
      <c r="FL18" s="50">
        <f>IF($AN18="N","N",SUM('調查資料(OUT)'!BI24:BI27))</f>
        <v>0</v>
      </c>
      <c r="FM18" s="56" t="e">
        <f t="shared" si="160"/>
        <v>#DIV/0!</v>
      </c>
      <c r="FN18" s="50">
        <f t="shared" si="161"/>
        <v>0</v>
      </c>
      <c r="FO18" s="56" t="e">
        <f t="shared" si="162"/>
        <v>#DIV/0!</v>
      </c>
      <c r="FP18" s="50">
        <f t="shared" si="163"/>
        <v>0</v>
      </c>
      <c r="FQ18" s="56" t="e">
        <f t="shared" si="164"/>
        <v>#DIV/0!</v>
      </c>
      <c r="FR18" s="50">
        <f t="shared" si="165"/>
        <v>0</v>
      </c>
      <c r="FS18" s="56" t="e">
        <f t="shared" si="166"/>
        <v>#DIV/0!</v>
      </c>
      <c r="FT18" s="50">
        <f t="shared" si="167"/>
        <v>0</v>
      </c>
    </row>
    <row r="19" spans="1:176">
      <c r="A19" s="274">
        <f>'調查資料(OUT)'!A25</f>
        <v>330</v>
      </c>
      <c r="B19" s="50">
        <f t="shared" si="81"/>
        <v>0</v>
      </c>
      <c r="C19" s="50">
        <f>IFERROR('調查資料(OUT)'!$B$1*'調查資料(OUT)'!B25,0)+IFERROR('調查資料(OUT)'!$F$1*'調查資料(OUT)'!F25,0)+IFERROR('調查資料(OUT)'!$J$1*'調查資料(OUT)'!J25,0)</f>
        <v>0</v>
      </c>
      <c r="D19" s="50">
        <f>IFERROR('調查資料(OUT)'!$C$1*'調查資料(OUT)'!C25,0)+IFERROR('調查資料(OUT)'!$G$1*'調查資料(OUT)'!G25,0)+IFERROR('調查資料(OUT)'!$K$1*'調查資料(OUT)'!K25,0)</f>
        <v>0</v>
      </c>
      <c r="E19" s="50">
        <f>IFERROR('調查資料(OUT)'!$D$1*'調查資料(OUT)'!D25,0)+IFERROR('調查資料(OUT)'!$H$1*'調查資料(OUT)'!H25,0)+IFERROR('調查資料(OUT)'!$L$1*'調查資料(OUT)'!L25,0)</f>
        <v>0</v>
      </c>
      <c r="F19" s="252">
        <f>IFERROR('調查資料(OUT)'!$E$1*'調查資料(OUT)'!E25,0)+IFERROR('調查資料(OUT)'!$I$1*'調查資料(OUT)'!I25,0)+IFERROR('調查資料(OUT)'!$M$1*'調查資料(OUT)'!M25,0)</f>
        <v>0</v>
      </c>
      <c r="G19" s="50">
        <f t="shared" si="82"/>
        <v>0</v>
      </c>
      <c r="H19" s="50">
        <f>IFERROR('調查資料(OUT)'!$N$1*'調查資料(OUT)'!N25,0)+IFERROR('調查資料(OUT)'!$R$1*'調查資料(OUT)'!R25,0)+IFERROR('調查資料(OUT)'!$V$1*'調查資料(OUT)'!V25,0)</f>
        <v>0</v>
      </c>
      <c r="I19" s="50">
        <f>IFERROR('調查資料(OUT)'!$O$1*'調查資料(OUT)'!O25,0)+IFERROR('調查資料(OUT)'!$S$1*'調查資料(OUT)'!S25,0)+IFERROR('調查資料(OUT)'!$W$1*'調查資料(OUT)'!W25,0)</f>
        <v>0</v>
      </c>
      <c r="J19" s="50">
        <f>IFERROR('調查資料(OUT)'!$P$1*'調查資料(OUT)'!P25,0)+IFERROR('調查資料(OUT)'!$T$1*'調查資料(OUT)'!T25,0)+IFERROR('調查資料(OUT)'!$X$1*'調查資料(OUT)'!X25,0)</f>
        <v>0</v>
      </c>
      <c r="K19" s="252">
        <f>IFERROR('調查資料(OUT)'!$Q$1*'調查資料(OUT)'!Q25,0)+IFERROR('調查資料(OUT)'!$U$1*'調查資料(OUT)'!U25,0)+IFERROR('調查資料(OUT)'!$Y$1*'調查資料(OUT)'!Y25,0)</f>
        <v>0</v>
      </c>
      <c r="L19" s="50">
        <f t="shared" si="83"/>
        <v>0</v>
      </c>
      <c r="M19" s="50">
        <f>IFERROR('調查資料(OUT)'!$Z$1*'調查資料(OUT)'!Z25,0)+IFERROR('調查資料(OUT)'!$AD$1*'調查資料(OUT)'!AD25,0)+IFERROR('調查資料(OUT)'!$AH$1*'調查資料(OUT)'!AH25,0)</f>
        <v>0</v>
      </c>
      <c r="N19" s="50">
        <f>IFERROR('調查資料(OUT)'!$AA$1*'調查資料(OUT)'!AA25,0)+IFERROR('調查資料(OUT)'!$AE$1*'調查資料(OUT)'!AE25,0)+IFERROR('調查資料(OUT)'!$AI$1*'調查資料(OUT)'!AI25,0)</f>
        <v>0</v>
      </c>
      <c r="O19" s="50">
        <f>IFERROR('調查資料(OUT)'!$AB$1*'調查資料(OUT)'!AB25,0)+IFERROR('調查資料(OUT)'!$AF$1*'調查資料(OUT)'!AF25,0)+IFERROR('調查資料(OUT)'!$AJ$1*'調查資料(OUT)'!AJ25,0)</f>
        <v>0</v>
      </c>
      <c r="P19" s="252">
        <f>IFERROR('調查資料(OUT)'!$AC$1*'調查資料(OUT)'!AC25,0)+IFERROR('調查資料(OUT)'!$AG$1*'調查資料(OUT)'!AG25,0)+IFERROR('調查資料(OUT)'!$AK$1*'調查資料(OUT)'!AK25,0)</f>
        <v>0</v>
      </c>
      <c r="Q19" s="50">
        <f t="shared" si="84"/>
        <v>0</v>
      </c>
      <c r="R19" s="50">
        <f>IFERROR('調查資料(OUT)'!$AL$1*'調查資料(OUT)'!AL25,0)+IFERROR('調查資料(OUT)'!$AP$1*'調查資料(OUT)'!AP25,0)+IFERROR('調查資料(OUT)'!$AT$1*'調查資料(OUT)'!AT25,0)</f>
        <v>0</v>
      </c>
      <c r="S19" s="50">
        <f>IFERROR('調查資料(OUT)'!$AM$1*'調查資料(OUT)'!AM25,0)+IFERROR('調查資料(OUT)'!$AQ$1*'調查資料(OUT)'!AQ25,0)+IFERROR('調查資料(OUT)'!$AU$1*'調查資料(OUT)'!AU25,0)</f>
        <v>0</v>
      </c>
      <c r="T19" s="50">
        <f>IFERROR('調查資料(OUT)'!$AN$1*'調查資料(OUT)'!AN25,0)+IFERROR('調查資料(OUT)'!$AR$1*'調查資料(OUT)'!AR25,0)+IFERROR('調查資料(OUT)'!$AV$1*'調查資料(OUT)'!AV25,0)</f>
        <v>0</v>
      </c>
      <c r="U19" s="252">
        <f>IFERROR('調查資料(OUT)'!$AO$1*'調查資料(OUT)'!AO25,0)+IFERROR('調查資料(OUT)'!$AS$1*'調查資料(OUT)'!AS25,0)+IFERROR('調查資料(OUT)'!$AW$1*'調查資料(OUT)'!AW25,0)</f>
        <v>0</v>
      </c>
      <c r="V19" s="50">
        <f t="shared" si="85"/>
        <v>0</v>
      </c>
      <c r="W19" s="50">
        <f>IFERROR('調查資料(OUT)'!$AX$1*'調查資料(OUT)'!AX25,0)+IFERROR('調查資料(OUT)'!$BB$1*'調查資料(OUT)'!BB25,0)+IFERROR('調查資料(OUT)'!$BF$1*'調查資料(OUT)'!BF25,0)</f>
        <v>0</v>
      </c>
      <c r="X19" s="50">
        <f>IFERROR('調查資料(OUT)'!$AY$1*'調查資料(OUT)'!AY25,0)+IFERROR('調查資料(OUT)'!$BC$1*'調查資料(OUT)'!BC25,0)+IFERROR('調查資料(OUT)'!$BG$1*'調查資料(OUT)'!BG25,0)</f>
        <v>0</v>
      </c>
      <c r="Y19" s="50">
        <f>IFERROR('調查資料(OUT)'!$AZ$1*'調查資料(OUT)'!AZ25,0)+IFERROR('調查資料(OUT)'!$BD$1*'調查資料(OUT)'!BD25,0)+IFERROR('調查資料(OUT)'!$BH$1*'調查資料(OUT)'!BH25,0)</f>
        <v>0</v>
      </c>
      <c r="Z19" s="252">
        <f>IFERROR('調查資料(OUT)'!$BA$1*'調查資料(OUT)'!BA25,0)+IFERROR('調查資料(OUT)'!$BE$1*'調查資料(OUT)'!BE25,0)+IFERROR('調查資料(OUT)'!$BI$1*'調查資料(OUT)'!BI25,0)</f>
        <v>0</v>
      </c>
      <c r="AA19" s="253">
        <f t="shared" si="86"/>
        <v>0</v>
      </c>
      <c r="AC19" s="251">
        <f>'調查資料(OUT)'!A25</f>
        <v>330</v>
      </c>
      <c r="AD19" s="254">
        <f t="shared" si="91"/>
        <v>430</v>
      </c>
      <c r="AE19" s="50">
        <f t="shared" si="92"/>
        <v>0</v>
      </c>
      <c r="AF19" s="255"/>
      <c r="AG19" s="50">
        <f t="shared" si="1"/>
        <v>0</v>
      </c>
      <c r="AH19" s="256" t="e">
        <f t="shared" si="2"/>
        <v>#DIV/0!</v>
      </c>
      <c r="AI19" s="256" t="e">
        <f t="shared" si="3"/>
        <v>#DIV/0!</v>
      </c>
      <c r="AJ19" s="256" t="e">
        <f t="shared" si="4"/>
        <v>#DIV/0!</v>
      </c>
      <c r="AK19" s="256" t="e">
        <f t="shared" si="5"/>
        <v>#DIV/0!</v>
      </c>
      <c r="AL19" s="256" t="e">
        <f t="shared" si="6"/>
        <v>#DIV/0!</v>
      </c>
      <c r="AM19" s="257"/>
      <c r="AN19" s="50">
        <f t="shared" si="7"/>
        <v>330</v>
      </c>
      <c r="AO19" s="252">
        <f t="shared" si="8"/>
        <v>430</v>
      </c>
      <c r="AP19" s="50">
        <f t="shared" si="93"/>
        <v>0</v>
      </c>
      <c r="AQ19" s="50">
        <f>IF($AN19="N","N",SUM('調查資料(OUT)'!B25:B28))</f>
        <v>0</v>
      </c>
      <c r="AR19" s="50">
        <f>IF($AN19="N","N",SUM('調查資料(OUT)'!F25:F28))</f>
        <v>0</v>
      </c>
      <c r="AS19" s="50">
        <f>IF($AN19="N","N",SUM('調查資料(OUT)'!J25:J28))</f>
        <v>0</v>
      </c>
      <c r="AT19" s="56" t="e">
        <f t="shared" si="94"/>
        <v>#DIV/0!</v>
      </c>
      <c r="AU19" s="50">
        <f t="shared" si="95"/>
        <v>0</v>
      </c>
      <c r="AV19" s="50">
        <f>IF($AN19="N","N",SUM('調查資料(OUT)'!C25:C28))</f>
        <v>0</v>
      </c>
      <c r="AW19" s="50">
        <f>IF($AN19="N","N",SUM('調查資料(OUT)'!G25:G28))</f>
        <v>0</v>
      </c>
      <c r="AX19" s="50">
        <f>IF($AN19="N","N",SUM('調查資料(OUT)'!K25:K28))</f>
        <v>0</v>
      </c>
      <c r="AY19" s="56" t="e">
        <f t="shared" si="96"/>
        <v>#DIV/0!</v>
      </c>
      <c r="AZ19" s="50">
        <f t="shared" si="97"/>
        <v>0</v>
      </c>
      <c r="BA19" s="50">
        <f>IF($AN19="N","N",SUM('調查資料(OUT)'!D25:D28))</f>
        <v>0</v>
      </c>
      <c r="BB19" s="50">
        <f>IF($AN19="N","N",SUM('調查資料(OUT)'!H25:H28))</f>
        <v>0</v>
      </c>
      <c r="BC19" s="50">
        <f>IF($AN19="N","N",SUM('調查資料(OUT)'!L25:L28))</f>
        <v>0</v>
      </c>
      <c r="BD19" s="56" t="e">
        <f t="shared" si="98"/>
        <v>#DIV/0!</v>
      </c>
      <c r="BE19" s="50">
        <f t="shared" si="99"/>
        <v>0</v>
      </c>
      <c r="BF19" s="50">
        <f>IF($AN19="N","N",SUM('調查資料(OUT)'!E25:E28))</f>
        <v>0</v>
      </c>
      <c r="BG19" s="50">
        <f>IF($AN19="N","N",SUM('調查資料(OUT)'!I25:I28))</f>
        <v>0</v>
      </c>
      <c r="BH19" s="50">
        <f>IF($AN19="N","N",SUM('調查資料(OUT)'!M25:M28))</f>
        <v>0</v>
      </c>
      <c r="BI19" s="56" t="e">
        <f t="shared" si="100"/>
        <v>#DIV/0!</v>
      </c>
      <c r="BJ19" s="50">
        <f t="shared" si="101"/>
        <v>0</v>
      </c>
      <c r="BK19" s="56" t="e">
        <f t="shared" si="102"/>
        <v>#DIV/0!</v>
      </c>
      <c r="BL19" s="50">
        <f t="shared" si="103"/>
        <v>0</v>
      </c>
      <c r="BM19" s="56" t="e">
        <f t="shared" si="104"/>
        <v>#DIV/0!</v>
      </c>
      <c r="BN19" s="50">
        <f t="shared" si="105"/>
        <v>0</v>
      </c>
      <c r="BO19" s="56" t="e">
        <f t="shared" si="106"/>
        <v>#DIV/0!</v>
      </c>
      <c r="BP19" s="50">
        <f t="shared" si="107"/>
        <v>0</v>
      </c>
      <c r="BQ19" s="50">
        <f t="shared" si="108"/>
        <v>0</v>
      </c>
      <c r="BR19" s="50">
        <f>IF($AN19="N","N",SUM('調查資料(OUT)'!N25:N28))</f>
        <v>0</v>
      </c>
      <c r="BS19" s="50">
        <f>IF($AN19="N","N",SUM('調查資料(OUT)'!R25:R28))</f>
        <v>0</v>
      </c>
      <c r="BT19" s="50">
        <f>IF($AN19="N","N",SUM('調查資料(OUT)'!V25:V28))</f>
        <v>0</v>
      </c>
      <c r="BU19" s="56" t="e">
        <f t="shared" si="109"/>
        <v>#DIV/0!</v>
      </c>
      <c r="BV19" s="50">
        <f t="shared" si="110"/>
        <v>0</v>
      </c>
      <c r="BW19" s="50">
        <f>IF($AN19="N","N",SUM('調查資料(OUT)'!O25:O28))</f>
        <v>0</v>
      </c>
      <c r="BX19" s="50">
        <f>IF($AN19="N","N",SUM('調查資料(OUT)'!S25:S28))</f>
        <v>0</v>
      </c>
      <c r="BY19" s="50">
        <f>IF($AN19="N","N",SUM('調查資料(OUT)'!W25:W28))</f>
        <v>0</v>
      </c>
      <c r="BZ19" s="56" t="e">
        <f t="shared" si="111"/>
        <v>#DIV/0!</v>
      </c>
      <c r="CA19" s="50">
        <f t="shared" si="112"/>
        <v>0</v>
      </c>
      <c r="CB19" s="50">
        <f>IF($AN19="N","N",SUM('調查資料(OUT)'!P25:P28))</f>
        <v>0</v>
      </c>
      <c r="CC19" s="50">
        <f>IF($AN19="N","N",SUM('調查資料(OUT)'!T25:T28))</f>
        <v>0</v>
      </c>
      <c r="CD19" s="50">
        <f>IF($AN19="N","N",SUM('調查資料(OUT)'!X25:X28))</f>
        <v>0</v>
      </c>
      <c r="CE19" s="56" t="e">
        <f t="shared" si="113"/>
        <v>#DIV/0!</v>
      </c>
      <c r="CF19" s="50">
        <f t="shared" si="114"/>
        <v>0</v>
      </c>
      <c r="CG19" s="50">
        <f>IF($AN19="N","N",SUM('調查資料(OUT)'!Q25:Q28))</f>
        <v>0</v>
      </c>
      <c r="CH19" s="50">
        <f>IF($AN19="N","N",SUM('調查資料(OUT)'!U25:U28))</f>
        <v>0</v>
      </c>
      <c r="CI19" s="50">
        <f>IF($AN19="N","N",SUM('調查資料(OUT)'!Y25:Y28))</f>
        <v>0</v>
      </c>
      <c r="CJ19" s="56" t="e">
        <f t="shared" si="115"/>
        <v>#DIV/0!</v>
      </c>
      <c r="CK19" s="50">
        <f t="shared" si="116"/>
        <v>0</v>
      </c>
      <c r="CL19" s="56" t="e">
        <f t="shared" si="117"/>
        <v>#DIV/0!</v>
      </c>
      <c r="CM19" s="50">
        <f t="shared" si="118"/>
        <v>0</v>
      </c>
      <c r="CN19" s="56" t="e">
        <f t="shared" si="119"/>
        <v>#DIV/0!</v>
      </c>
      <c r="CO19" s="50">
        <f t="shared" si="120"/>
        <v>0</v>
      </c>
      <c r="CP19" s="56" t="e">
        <f t="shared" si="121"/>
        <v>#DIV/0!</v>
      </c>
      <c r="CQ19" s="50">
        <f t="shared" si="122"/>
        <v>0</v>
      </c>
      <c r="CR19" s="50">
        <f t="shared" si="123"/>
        <v>0</v>
      </c>
      <c r="CS19" s="50">
        <f>IF($AN19="N","N",SUM('調查資料(OUT)'!Z25:Z28))</f>
        <v>0</v>
      </c>
      <c r="CT19" s="50">
        <f>IF($AN19="N","N",SUM('調查資料(OUT)'!AD25:AD28))</f>
        <v>0</v>
      </c>
      <c r="CU19" s="50">
        <f>IF($AN19="N","N",SUM('調查資料(OUT)'!AH25:AH28))</f>
        <v>0</v>
      </c>
      <c r="CV19" s="56" t="e">
        <f t="shared" si="124"/>
        <v>#DIV/0!</v>
      </c>
      <c r="CW19" s="50">
        <f t="shared" si="125"/>
        <v>0</v>
      </c>
      <c r="CX19" s="50">
        <f>IF($AN19="N","N",SUM('調查資料(OUT)'!AA25:AA28))</f>
        <v>0</v>
      </c>
      <c r="CY19" s="50">
        <f>IF($AN19="N","N",SUM('調查資料(OUT)'!AE25:AE28))</f>
        <v>0</v>
      </c>
      <c r="CZ19" s="50">
        <f>IF($AN19="N","N",SUM('調查資料(OUT)'!AI25:AI28))</f>
        <v>0</v>
      </c>
      <c r="DA19" s="56" t="e">
        <f t="shared" si="126"/>
        <v>#DIV/0!</v>
      </c>
      <c r="DB19" s="50">
        <f t="shared" si="127"/>
        <v>0</v>
      </c>
      <c r="DC19" s="50">
        <f>IF($AN19="N","N",SUM('調查資料(OUT)'!AB25:AB28))</f>
        <v>0</v>
      </c>
      <c r="DD19" s="50">
        <f>IF($AN19="N","N",SUM('調查資料(OUT)'!AF25:AF28))</f>
        <v>0</v>
      </c>
      <c r="DE19" s="50">
        <f>IF($AN19="N","N",SUM('調查資料(OUT)'!AJ25:AJ28))</f>
        <v>0</v>
      </c>
      <c r="DF19" s="56" t="e">
        <f t="shared" si="128"/>
        <v>#DIV/0!</v>
      </c>
      <c r="DG19" s="50">
        <f t="shared" si="129"/>
        <v>0</v>
      </c>
      <c r="DH19" s="50">
        <f>IF($AN19="N","N",SUM('調查資料(OUT)'!AC25:AC28))</f>
        <v>0</v>
      </c>
      <c r="DI19" s="50">
        <f>IF($AN19="N","N",SUM('調查資料(OUT)'!AG25:AG28))</f>
        <v>0</v>
      </c>
      <c r="DJ19" s="50">
        <f>IF($AN19="N","N",SUM('調查資料(OUT)'!AK25:AK28))</f>
        <v>0</v>
      </c>
      <c r="DK19" s="56" t="e">
        <f t="shared" si="130"/>
        <v>#DIV/0!</v>
      </c>
      <c r="DL19" s="50">
        <f t="shared" si="131"/>
        <v>0</v>
      </c>
      <c r="DM19" s="56" t="e">
        <f t="shared" si="132"/>
        <v>#DIV/0!</v>
      </c>
      <c r="DN19" s="50">
        <f t="shared" si="133"/>
        <v>0</v>
      </c>
      <c r="DO19" s="56" t="e">
        <f t="shared" si="134"/>
        <v>#DIV/0!</v>
      </c>
      <c r="DP19" s="50">
        <f t="shared" si="135"/>
        <v>0</v>
      </c>
      <c r="DQ19" s="56" t="e">
        <f t="shared" si="136"/>
        <v>#DIV/0!</v>
      </c>
      <c r="DR19" s="50">
        <f t="shared" si="137"/>
        <v>0</v>
      </c>
      <c r="DS19" s="50">
        <f t="shared" si="138"/>
        <v>0</v>
      </c>
      <c r="DT19" s="50">
        <f>IF($AN19="N","N",SUM('調查資料(OUT)'!AL25:AL28))</f>
        <v>0</v>
      </c>
      <c r="DU19" s="50">
        <f>IF($AN19="N","N",SUM('調查資料(OUT)'!AP25:AP28))</f>
        <v>0</v>
      </c>
      <c r="DV19" s="50">
        <f>IF($AN19="N","N",SUM('調查資料(OUT)'!AT25:AT28))</f>
        <v>0</v>
      </c>
      <c r="DW19" s="56" t="e">
        <f t="shared" si="139"/>
        <v>#DIV/0!</v>
      </c>
      <c r="DX19" s="50">
        <f t="shared" si="140"/>
        <v>0</v>
      </c>
      <c r="DY19" s="50">
        <f>IF($AN19="N","N",SUM('調查資料(OUT)'!AM25:AM28))</f>
        <v>0</v>
      </c>
      <c r="DZ19" s="50">
        <f>IF($AN19="N","N",SUM('調查資料(OUT)'!AQ25:AQ28))</f>
        <v>0</v>
      </c>
      <c r="EA19" s="50">
        <f>IF($AN19="N","N",SUM('調查資料(OUT)'!AU25:AU28))</f>
        <v>0</v>
      </c>
      <c r="EB19" s="56" t="e">
        <f t="shared" si="141"/>
        <v>#DIV/0!</v>
      </c>
      <c r="EC19" s="50">
        <f t="shared" si="142"/>
        <v>0</v>
      </c>
      <c r="ED19" s="50">
        <f>IF($AN19="N","N",SUM('調查資料(OUT)'!AN25:AN28))</f>
        <v>0</v>
      </c>
      <c r="EE19" s="50">
        <f>IF($AN19="N","N",SUM('調查資料(OUT)'!AR25:AR28))</f>
        <v>0</v>
      </c>
      <c r="EF19" s="50">
        <f>IF($AN19="N","N",SUM('調查資料(OUT)'!AV25:AV28))</f>
        <v>0</v>
      </c>
      <c r="EG19" s="56" t="e">
        <f t="shared" si="143"/>
        <v>#DIV/0!</v>
      </c>
      <c r="EH19" s="50">
        <f t="shared" si="144"/>
        <v>0</v>
      </c>
      <c r="EI19" s="50">
        <f>IF($AN19="N","N",SUM('調查資料(OUT)'!AO25:AO28))</f>
        <v>0</v>
      </c>
      <c r="EJ19" s="50">
        <f>IF($AN19="N","N",SUM('調查資料(OUT)'!AS25:AS28))</f>
        <v>0</v>
      </c>
      <c r="EK19" s="50">
        <f>IF($AN19="N","N",SUM('調查資料(OUT)'!AW25:AW28))</f>
        <v>0</v>
      </c>
      <c r="EL19" s="56" t="e">
        <f t="shared" si="145"/>
        <v>#DIV/0!</v>
      </c>
      <c r="EM19" s="50">
        <f t="shared" si="146"/>
        <v>0</v>
      </c>
      <c r="EN19" s="56" t="e">
        <f t="shared" si="147"/>
        <v>#DIV/0!</v>
      </c>
      <c r="EO19" s="50">
        <f t="shared" si="148"/>
        <v>0</v>
      </c>
      <c r="EP19" s="56" t="e">
        <f t="shared" si="149"/>
        <v>#DIV/0!</v>
      </c>
      <c r="EQ19" s="50">
        <f t="shared" si="150"/>
        <v>0</v>
      </c>
      <c r="ER19" s="56" t="e">
        <f t="shared" si="151"/>
        <v>#DIV/0!</v>
      </c>
      <c r="ES19" s="50">
        <f t="shared" si="152"/>
        <v>0</v>
      </c>
      <c r="ET19" s="50">
        <f t="shared" si="153"/>
        <v>0</v>
      </c>
      <c r="EU19" s="50">
        <f>IF($AN19="N","N",SUM('調查資料(OUT)'!AX25:AX28))</f>
        <v>0</v>
      </c>
      <c r="EV19" s="50">
        <f>IF($AN19="N","N",SUM('調查資料(OUT)'!BB25:BB28))</f>
        <v>0</v>
      </c>
      <c r="EW19" s="50">
        <f>IF($AN19="N","N",SUM('調查資料(OUT)'!BF25:BF28))</f>
        <v>0</v>
      </c>
      <c r="EX19" s="56" t="e">
        <f t="shared" si="154"/>
        <v>#DIV/0!</v>
      </c>
      <c r="EY19" s="50">
        <f t="shared" si="155"/>
        <v>0</v>
      </c>
      <c r="EZ19" s="50">
        <f>IF($AN19="N","N",SUM('調查資料(OUT)'!AY25:AY28))</f>
        <v>0</v>
      </c>
      <c r="FA19" s="50">
        <f>IF($AN19="N","N",SUM('調查資料(OUT)'!BC25:BC28))</f>
        <v>0</v>
      </c>
      <c r="FB19" s="50">
        <f>IF($AN19="N","N",SUM('調查資料(OUT)'!BG25:BG28))</f>
        <v>0</v>
      </c>
      <c r="FC19" s="56" t="e">
        <f t="shared" si="156"/>
        <v>#DIV/0!</v>
      </c>
      <c r="FD19" s="50">
        <f t="shared" si="157"/>
        <v>0</v>
      </c>
      <c r="FE19" s="50">
        <f>IF($AN19="N","N",SUM('調查資料(OUT)'!AZ25:AZ28))</f>
        <v>0</v>
      </c>
      <c r="FF19" s="50">
        <f>IF($AN19="N","N",SUM('調查資料(OUT)'!BD25:BD28))</f>
        <v>0</v>
      </c>
      <c r="FG19" s="50">
        <f>IF($AN19="N","N",SUM('調查資料(OUT)'!BH25:BH28))</f>
        <v>0</v>
      </c>
      <c r="FH19" s="56" t="e">
        <f t="shared" si="158"/>
        <v>#DIV/0!</v>
      </c>
      <c r="FI19" s="50">
        <f t="shared" si="159"/>
        <v>0</v>
      </c>
      <c r="FJ19" s="50">
        <f>IF($AN19="N","N",SUM('調查資料(OUT)'!BA25:BA28))</f>
        <v>0</v>
      </c>
      <c r="FK19" s="50">
        <f>IF($AN19="N","N",SUM('調查資料(OUT)'!BE25:BE28))</f>
        <v>0</v>
      </c>
      <c r="FL19" s="50">
        <f>IF($AN19="N","N",SUM('調查資料(OUT)'!BI25:BI28))</f>
        <v>0</v>
      </c>
      <c r="FM19" s="56" t="e">
        <f t="shared" si="160"/>
        <v>#DIV/0!</v>
      </c>
      <c r="FN19" s="50">
        <f t="shared" si="161"/>
        <v>0</v>
      </c>
      <c r="FO19" s="56" t="e">
        <f t="shared" si="162"/>
        <v>#DIV/0!</v>
      </c>
      <c r="FP19" s="50">
        <f t="shared" si="163"/>
        <v>0</v>
      </c>
      <c r="FQ19" s="56" t="e">
        <f t="shared" si="164"/>
        <v>#DIV/0!</v>
      </c>
      <c r="FR19" s="50">
        <f t="shared" si="165"/>
        <v>0</v>
      </c>
      <c r="FS19" s="56" t="e">
        <f t="shared" si="166"/>
        <v>#DIV/0!</v>
      </c>
      <c r="FT19" s="50">
        <f t="shared" si="167"/>
        <v>0</v>
      </c>
    </row>
    <row r="20" spans="1:176">
      <c r="A20" s="274">
        <f>'調查資料(OUT)'!A26</f>
        <v>345</v>
      </c>
      <c r="B20" s="50">
        <f t="shared" si="81"/>
        <v>0</v>
      </c>
      <c r="C20" s="50">
        <f>IFERROR('調查資料(OUT)'!$B$1*'調查資料(OUT)'!B26,0)+IFERROR('調查資料(OUT)'!$F$1*'調查資料(OUT)'!F26,0)+IFERROR('調查資料(OUT)'!$J$1*'調查資料(OUT)'!J26,0)</f>
        <v>0</v>
      </c>
      <c r="D20" s="50">
        <f>IFERROR('調查資料(OUT)'!$C$1*'調查資料(OUT)'!C26,0)+IFERROR('調查資料(OUT)'!$G$1*'調查資料(OUT)'!G26,0)+IFERROR('調查資料(OUT)'!$K$1*'調查資料(OUT)'!K26,0)</f>
        <v>0</v>
      </c>
      <c r="E20" s="50">
        <f>IFERROR('調查資料(OUT)'!$D$1*'調查資料(OUT)'!D26,0)+IFERROR('調查資料(OUT)'!$H$1*'調查資料(OUT)'!H26,0)+IFERROR('調查資料(OUT)'!$L$1*'調查資料(OUT)'!L26,0)</f>
        <v>0</v>
      </c>
      <c r="F20" s="252">
        <f>IFERROR('調查資料(OUT)'!$E$1*'調查資料(OUT)'!E26,0)+IFERROR('調查資料(OUT)'!$I$1*'調查資料(OUT)'!I26,0)+IFERROR('調查資料(OUT)'!$M$1*'調查資料(OUT)'!M26,0)</f>
        <v>0</v>
      </c>
      <c r="G20" s="50">
        <f t="shared" si="82"/>
        <v>0</v>
      </c>
      <c r="H20" s="50">
        <f>IFERROR('調查資料(OUT)'!$N$1*'調查資料(OUT)'!N26,0)+IFERROR('調查資料(OUT)'!$R$1*'調查資料(OUT)'!R26,0)+IFERROR('調查資料(OUT)'!$V$1*'調查資料(OUT)'!V26,0)</f>
        <v>0</v>
      </c>
      <c r="I20" s="50">
        <f>IFERROR('調查資料(OUT)'!$O$1*'調查資料(OUT)'!O26,0)+IFERROR('調查資料(OUT)'!$S$1*'調查資料(OUT)'!S26,0)+IFERROR('調查資料(OUT)'!$W$1*'調查資料(OUT)'!W26,0)</f>
        <v>0</v>
      </c>
      <c r="J20" s="50">
        <f>IFERROR('調查資料(OUT)'!$P$1*'調查資料(OUT)'!P26,0)+IFERROR('調查資料(OUT)'!$T$1*'調查資料(OUT)'!T26,0)+IFERROR('調查資料(OUT)'!$X$1*'調查資料(OUT)'!X26,0)</f>
        <v>0</v>
      </c>
      <c r="K20" s="252">
        <f>IFERROR('調查資料(OUT)'!$Q$1*'調查資料(OUT)'!Q26,0)+IFERROR('調查資料(OUT)'!$U$1*'調查資料(OUT)'!U26,0)+IFERROR('調查資料(OUT)'!$Y$1*'調查資料(OUT)'!Y26,0)</f>
        <v>0</v>
      </c>
      <c r="L20" s="50">
        <f t="shared" si="83"/>
        <v>0</v>
      </c>
      <c r="M20" s="50">
        <f>IFERROR('調查資料(OUT)'!$Z$1*'調查資料(OUT)'!Z26,0)+IFERROR('調查資料(OUT)'!$AD$1*'調查資料(OUT)'!AD26,0)+IFERROR('調查資料(OUT)'!$AH$1*'調查資料(OUT)'!AH26,0)</f>
        <v>0</v>
      </c>
      <c r="N20" s="50">
        <f>IFERROR('調查資料(OUT)'!$AA$1*'調查資料(OUT)'!AA26,0)+IFERROR('調查資料(OUT)'!$AE$1*'調查資料(OUT)'!AE26,0)+IFERROR('調查資料(OUT)'!$AI$1*'調查資料(OUT)'!AI26,0)</f>
        <v>0</v>
      </c>
      <c r="O20" s="50">
        <f>IFERROR('調查資料(OUT)'!$AB$1*'調查資料(OUT)'!AB26,0)+IFERROR('調查資料(OUT)'!$AF$1*'調查資料(OUT)'!AF26,0)+IFERROR('調查資料(OUT)'!$AJ$1*'調查資料(OUT)'!AJ26,0)</f>
        <v>0</v>
      </c>
      <c r="P20" s="252">
        <f>IFERROR('調查資料(OUT)'!$AC$1*'調查資料(OUT)'!AC26,0)+IFERROR('調查資料(OUT)'!$AG$1*'調查資料(OUT)'!AG26,0)+IFERROR('調查資料(OUT)'!$AK$1*'調查資料(OUT)'!AK26,0)</f>
        <v>0</v>
      </c>
      <c r="Q20" s="50">
        <f t="shared" si="84"/>
        <v>0</v>
      </c>
      <c r="R20" s="50">
        <f>IFERROR('調查資料(OUT)'!$AL$1*'調查資料(OUT)'!AL26,0)+IFERROR('調查資料(OUT)'!$AP$1*'調查資料(OUT)'!AP26,0)+IFERROR('調查資料(OUT)'!$AT$1*'調查資料(OUT)'!AT26,0)</f>
        <v>0</v>
      </c>
      <c r="S20" s="50">
        <f>IFERROR('調查資料(OUT)'!$AM$1*'調查資料(OUT)'!AM26,0)+IFERROR('調查資料(OUT)'!$AQ$1*'調查資料(OUT)'!AQ26,0)+IFERROR('調查資料(OUT)'!$AU$1*'調查資料(OUT)'!AU26,0)</f>
        <v>0</v>
      </c>
      <c r="T20" s="50">
        <f>IFERROR('調查資料(OUT)'!$AN$1*'調查資料(OUT)'!AN26,0)+IFERROR('調查資料(OUT)'!$AR$1*'調查資料(OUT)'!AR26,0)+IFERROR('調查資料(OUT)'!$AV$1*'調查資料(OUT)'!AV26,0)</f>
        <v>0</v>
      </c>
      <c r="U20" s="252">
        <f>IFERROR('調查資料(OUT)'!$AO$1*'調查資料(OUT)'!AO26,0)+IFERROR('調查資料(OUT)'!$AS$1*'調查資料(OUT)'!AS26,0)+IFERROR('調查資料(OUT)'!$AW$1*'調查資料(OUT)'!AW26,0)</f>
        <v>0</v>
      </c>
      <c r="V20" s="50">
        <f t="shared" si="85"/>
        <v>0</v>
      </c>
      <c r="W20" s="50">
        <f>IFERROR('調查資料(OUT)'!$AX$1*'調查資料(OUT)'!AX26,0)+IFERROR('調查資料(OUT)'!$BB$1*'調查資料(OUT)'!BB26,0)+IFERROR('調查資料(OUT)'!$BF$1*'調查資料(OUT)'!BF26,0)</f>
        <v>0</v>
      </c>
      <c r="X20" s="50">
        <f>IFERROR('調查資料(OUT)'!$AY$1*'調查資料(OUT)'!AY26,0)+IFERROR('調查資料(OUT)'!$BC$1*'調查資料(OUT)'!BC26,0)+IFERROR('調查資料(OUT)'!$BG$1*'調查資料(OUT)'!BG26,0)</f>
        <v>0</v>
      </c>
      <c r="Y20" s="50">
        <f>IFERROR('調查資料(OUT)'!$AZ$1*'調查資料(OUT)'!AZ26,0)+IFERROR('調查資料(OUT)'!$BD$1*'調查資料(OUT)'!BD26,0)+IFERROR('調查資料(OUT)'!$BH$1*'調查資料(OUT)'!BH26,0)</f>
        <v>0</v>
      </c>
      <c r="Z20" s="252">
        <f>IFERROR('調查資料(OUT)'!$BA$1*'調查資料(OUT)'!BA26,0)+IFERROR('調查資料(OUT)'!$BE$1*'調查資料(OUT)'!BE26,0)+IFERROR('調查資料(OUT)'!$BI$1*'調查資料(OUT)'!BI26,0)</f>
        <v>0</v>
      </c>
      <c r="AA20" s="253">
        <f t="shared" si="86"/>
        <v>0</v>
      </c>
      <c r="AC20" s="251">
        <f>'調查資料(OUT)'!A26</f>
        <v>345</v>
      </c>
      <c r="AD20" s="254">
        <f t="shared" si="91"/>
        <v>445</v>
      </c>
      <c r="AE20" s="50">
        <f t="shared" si="92"/>
        <v>0</v>
      </c>
      <c r="AF20" s="255"/>
      <c r="AG20" s="50">
        <f t="shared" si="1"/>
        <v>0</v>
      </c>
      <c r="AH20" s="256" t="e">
        <f t="shared" si="2"/>
        <v>#DIV/0!</v>
      </c>
      <c r="AI20" s="256" t="e">
        <f t="shared" si="3"/>
        <v>#DIV/0!</v>
      </c>
      <c r="AJ20" s="256" t="e">
        <f t="shared" si="4"/>
        <v>#DIV/0!</v>
      </c>
      <c r="AK20" s="256" t="e">
        <f t="shared" si="5"/>
        <v>#DIV/0!</v>
      </c>
      <c r="AL20" s="256" t="e">
        <f t="shared" si="6"/>
        <v>#DIV/0!</v>
      </c>
      <c r="AM20" s="257"/>
      <c r="AN20" s="50">
        <f t="shared" si="7"/>
        <v>345</v>
      </c>
      <c r="AO20" s="252">
        <f t="shared" si="8"/>
        <v>445</v>
      </c>
      <c r="AP20" s="50">
        <f t="shared" si="93"/>
        <v>0</v>
      </c>
      <c r="AQ20" s="50">
        <f>IF($AN20="N","N",SUM('調查資料(OUT)'!B26:B29))</f>
        <v>0</v>
      </c>
      <c r="AR20" s="50">
        <f>IF($AN20="N","N",SUM('調查資料(OUT)'!F26:F29))</f>
        <v>0</v>
      </c>
      <c r="AS20" s="50">
        <f>IF($AN20="N","N",SUM('調查資料(OUT)'!J26:J29))</f>
        <v>0</v>
      </c>
      <c r="AT20" s="56" t="e">
        <f t="shared" si="94"/>
        <v>#DIV/0!</v>
      </c>
      <c r="AU20" s="50">
        <f t="shared" si="95"/>
        <v>0</v>
      </c>
      <c r="AV20" s="50">
        <f>IF($AN20="N","N",SUM('調查資料(OUT)'!C26:C29))</f>
        <v>0</v>
      </c>
      <c r="AW20" s="50">
        <f>IF($AN20="N","N",SUM('調查資料(OUT)'!G26:G29))</f>
        <v>0</v>
      </c>
      <c r="AX20" s="50">
        <f>IF($AN20="N","N",SUM('調查資料(OUT)'!K26:K29))</f>
        <v>0</v>
      </c>
      <c r="AY20" s="56" t="e">
        <f t="shared" si="96"/>
        <v>#DIV/0!</v>
      </c>
      <c r="AZ20" s="50">
        <f t="shared" si="97"/>
        <v>0</v>
      </c>
      <c r="BA20" s="50">
        <f>IF($AN20="N","N",SUM('調查資料(OUT)'!D26:D29))</f>
        <v>0</v>
      </c>
      <c r="BB20" s="50">
        <f>IF($AN20="N","N",SUM('調查資料(OUT)'!H26:H29))</f>
        <v>0</v>
      </c>
      <c r="BC20" s="50">
        <f>IF($AN20="N","N",SUM('調查資料(OUT)'!L26:L29))</f>
        <v>0</v>
      </c>
      <c r="BD20" s="56" t="e">
        <f t="shared" si="98"/>
        <v>#DIV/0!</v>
      </c>
      <c r="BE20" s="50">
        <f t="shared" si="99"/>
        <v>0</v>
      </c>
      <c r="BF20" s="50">
        <f>IF($AN20="N","N",SUM('調查資料(OUT)'!E26:E29))</f>
        <v>0</v>
      </c>
      <c r="BG20" s="50">
        <f>IF($AN20="N","N",SUM('調查資料(OUT)'!I26:I29))</f>
        <v>0</v>
      </c>
      <c r="BH20" s="50">
        <f>IF($AN20="N","N",SUM('調查資料(OUT)'!M26:M29))</f>
        <v>0</v>
      </c>
      <c r="BI20" s="56" t="e">
        <f t="shared" si="100"/>
        <v>#DIV/0!</v>
      </c>
      <c r="BJ20" s="50">
        <f t="shared" si="101"/>
        <v>0</v>
      </c>
      <c r="BK20" s="56" t="e">
        <f t="shared" si="102"/>
        <v>#DIV/0!</v>
      </c>
      <c r="BL20" s="50">
        <f t="shared" si="103"/>
        <v>0</v>
      </c>
      <c r="BM20" s="56" t="e">
        <f t="shared" si="104"/>
        <v>#DIV/0!</v>
      </c>
      <c r="BN20" s="50">
        <f t="shared" si="105"/>
        <v>0</v>
      </c>
      <c r="BO20" s="56" t="e">
        <f t="shared" si="106"/>
        <v>#DIV/0!</v>
      </c>
      <c r="BP20" s="50">
        <f t="shared" si="107"/>
        <v>0</v>
      </c>
      <c r="BQ20" s="50">
        <f t="shared" si="108"/>
        <v>0</v>
      </c>
      <c r="BR20" s="50">
        <f>IF($AN20="N","N",SUM('調查資料(OUT)'!N26:N29))</f>
        <v>0</v>
      </c>
      <c r="BS20" s="50">
        <f>IF($AN20="N","N",SUM('調查資料(OUT)'!R26:R29))</f>
        <v>0</v>
      </c>
      <c r="BT20" s="50">
        <f>IF($AN20="N","N",SUM('調查資料(OUT)'!V26:V29))</f>
        <v>0</v>
      </c>
      <c r="BU20" s="56" t="e">
        <f t="shared" si="109"/>
        <v>#DIV/0!</v>
      </c>
      <c r="BV20" s="50">
        <f t="shared" si="110"/>
        <v>0</v>
      </c>
      <c r="BW20" s="50">
        <f>IF($AN20="N","N",SUM('調查資料(OUT)'!O26:O29))</f>
        <v>0</v>
      </c>
      <c r="BX20" s="50">
        <f>IF($AN20="N","N",SUM('調查資料(OUT)'!S26:S29))</f>
        <v>0</v>
      </c>
      <c r="BY20" s="50">
        <f>IF($AN20="N","N",SUM('調查資料(OUT)'!W26:W29))</f>
        <v>0</v>
      </c>
      <c r="BZ20" s="56" t="e">
        <f t="shared" si="111"/>
        <v>#DIV/0!</v>
      </c>
      <c r="CA20" s="50">
        <f t="shared" si="112"/>
        <v>0</v>
      </c>
      <c r="CB20" s="50">
        <f>IF($AN20="N","N",SUM('調查資料(OUT)'!P26:P29))</f>
        <v>0</v>
      </c>
      <c r="CC20" s="50">
        <f>IF($AN20="N","N",SUM('調查資料(OUT)'!T26:T29))</f>
        <v>0</v>
      </c>
      <c r="CD20" s="50">
        <f>IF($AN20="N","N",SUM('調查資料(OUT)'!X26:X29))</f>
        <v>0</v>
      </c>
      <c r="CE20" s="56" t="e">
        <f t="shared" si="113"/>
        <v>#DIV/0!</v>
      </c>
      <c r="CF20" s="50">
        <f t="shared" si="114"/>
        <v>0</v>
      </c>
      <c r="CG20" s="50">
        <f>IF($AN20="N","N",SUM('調查資料(OUT)'!Q26:Q29))</f>
        <v>0</v>
      </c>
      <c r="CH20" s="50">
        <f>IF($AN20="N","N",SUM('調查資料(OUT)'!U26:U29))</f>
        <v>0</v>
      </c>
      <c r="CI20" s="50">
        <f>IF($AN20="N","N",SUM('調查資料(OUT)'!Y26:Y29))</f>
        <v>0</v>
      </c>
      <c r="CJ20" s="56" t="e">
        <f t="shared" si="115"/>
        <v>#DIV/0!</v>
      </c>
      <c r="CK20" s="50">
        <f t="shared" si="116"/>
        <v>0</v>
      </c>
      <c r="CL20" s="56" t="e">
        <f t="shared" si="117"/>
        <v>#DIV/0!</v>
      </c>
      <c r="CM20" s="50">
        <f t="shared" si="118"/>
        <v>0</v>
      </c>
      <c r="CN20" s="56" t="e">
        <f t="shared" si="119"/>
        <v>#DIV/0!</v>
      </c>
      <c r="CO20" s="50">
        <f t="shared" si="120"/>
        <v>0</v>
      </c>
      <c r="CP20" s="56" t="e">
        <f t="shared" si="121"/>
        <v>#DIV/0!</v>
      </c>
      <c r="CQ20" s="50">
        <f t="shared" si="122"/>
        <v>0</v>
      </c>
      <c r="CR20" s="50">
        <f t="shared" si="123"/>
        <v>0</v>
      </c>
      <c r="CS20" s="50">
        <f>IF($AN20="N","N",SUM('調查資料(OUT)'!Z26:Z29))</f>
        <v>0</v>
      </c>
      <c r="CT20" s="50">
        <f>IF($AN20="N","N",SUM('調查資料(OUT)'!AD26:AD29))</f>
        <v>0</v>
      </c>
      <c r="CU20" s="50">
        <f>IF($AN20="N","N",SUM('調查資料(OUT)'!AH26:AH29))</f>
        <v>0</v>
      </c>
      <c r="CV20" s="56" t="e">
        <f t="shared" si="124"/>
        <v>#DIV/0!</v>
      </c>
      <c r="CW20" s="50">
        <f t="shared" si="125"/>
        <v>0</v>
      </c>
      <c r="CX20" s="50">
        <f>IF($AN20="N","N",SUM('調查資料(OUT)'!AA26:AA29))</f>
        <v>0</v>
      </c>
      <c r="CY20" s="50">
        <f>IF($AN20="N","N",SUM('調查資料(OUT)'!AE26:AE29))</f>
        <v>0</v>
      </c>
      <c r="CZ20" s="50">
        <f>IF($AN20="N","N",SUM('調查資料(OUT)'!AI26:AI29))</f>
        <v>0</v>
      </c>
      <c r="DA20" s="56" t="e">
        <f t="shared" si="126"/>
        <v>#DIV/0!</v>
      </c>
      <c r="DB20" s="50">
        <f t="shared" si="127"/>
        <v>0</v>
      </c>
      <c r="DC20" s="50">
        <f>IF($AN20="N","N",SUM('調查資料(OUT)'!AB26:AB29))</f>
        <v>0</v>
      </c>
      <c r="DD20" s="50">
        <f>IF($AN20="N","N",SUM('調查資料(OUT)'!AF26:AF29))</f>
        <v>0</v>
      </c>
      <c r="DE20" s="50">
        <f>IF($AN20="N","N",SUM('調查資料(OUT)'!AJ26:AJ29))</f>
        <v>0</v>
      </c>
      <c r="DF20" s="56" t="e">
        <f t="shared" si="128"/>
        <v>#DIV/0!</v>
      </c>
      <c r="DG20" s="50">
        <f t="shared" si="129"/>
        <v>0</v>
      </c>
      <c r="DH20" s="50">
        <f>IF($AN20="N","N",SUM('調查資料(OUT)'!AC26:AC29))</f>
        <v>0</v>
      </c>
      <c r="DI20" s="50">
        <f>IF($AN20="N","N",SUM('調查資料(OUT)'!AG26:AG29))</f>
        <v>0</v>
      </c>
      <c r="DJ20" s="50">
        <f>IF($AN20="N","N",SUM('調查資料(OUT)'!AK26:AK29))</f>
        <v>0</v>
      </c>
      <c r="DK20" s="56" t="e">
        <f t="shared" si="130"/>
        <v>#DIV/0!</v>
      </c>
      <c r="DL20" s="50">
        <f t="shared" si="131"/>
        <v>0</v>
      </c>
      <c r="DM20" s="56" t="e">
        <f t="shared" si="132"/>
        <v>#DIV/0!</v>
      </c>
      <c r="DN20" s="50">
        <f t="shared" si="133"/>
        <v>0</v>
      </c>
      <c r="DO20" s="56" t="e">
        <f t="shared" si="134"/>
        <v>#DIV/0!</v>
      </c>
      <c r="DP20" s="50">
        <f t="shared" si="135"/>
        <v>0</v>
      </c>
      <c r="DQ20" s="56" t="e">
        <f t="shared" si="136"/>
        <v>#DIV/0!</v>
      </c>
      <c r="DR20" s="50">
        <f t="shared" si="137"/>
        <v>0</v>
      </c>
      <c r="DS20" s="50">
        <f t="shared" si="138"/>
        <v>0</v>
      </c>
      <c r="DT20" s="50">
        <f>IF($AN20="N","N",SUM('調查資料(OUT)'!AL26:AL29))</f>
        <v>0</v>
      </c>
      <c r="DU20" s="50">
        <f>IF($AN20="N","N",SUM('調查資料(OUT)'!AP26:AP29))</f>
        <v>0</v>
      </c>
      <c r="DV20" s="50">
        <f>IF($AN20="N","N",SUM('調查資料(OUT)'!AT26:AT29))</f>
        <v>0</v>
      </c>
      <c r="DW20" s="56" t="e">
        <f t="shared" si="139"/>
        <v>#DIV/0!</v>
      </c>
      <c r="DX20" s="50">
        <f t="shared" si="140"/>
        <v>0</v>
      </c>
      <c r="DY20" s="50">
        <f>IF($AN20="N","N",SUM('調查資料(OUT)'!AM26:AM29))</f>
        <v>0</v>
      </c>
      <c r="DZ20" s="50">
        <f>IF($AN20="N","N",SUM('調查資料(OUT)'!AQ26:AQ29))</f>
        <v>0</v>
      </c>
      <c r="EA20" s="50">
        <f>IF($AN20="N","N",SUM('調查資料(OUT)'!AU26:AU29))</f>
        <v>0</v>
      </c>
      <c r="EB20" s="56" t="e">
        <f t="shared" si="141"/>
        <v>#DIV/0!</v>
      </c>
      <c r="EC20" s="50">
        <f t="shared" si="142"/>
        <v>0</v>
      </c>
      <c r="ED20" s="50">
        <f>IF($AN20="N","N",SUM('調查資料(OUT)'!AN26:AN29))</f>
        <v>0</v>
      </c>
      <c r="EE20" s="50">
        <f>IF($AN20="N","N",SUM('調查資料(OUT)'!AR26:AR29))</f>
        <v>0</v>
      </c>
      <c r="EF20" s="50">
        <f>IF($AN20="N","N",SUM('調查資料(OUT)'!AV26:AV29))</f>
        <v>0</v>
      </c>
      <c r="EG20" s="56" t="e">
        <f t="shared" si="143"/>
        <v>#DIV/0!</v>
      </c>
      <c r="EH20" s="50">
        <f t="shared" si="144"/>
        <v>0</v>
      </c>
      <c r="EI20" s="50">
        <f>IF($AN20="N","N",SUM('調查資料(OUT)'!AO26:AO29))</f>
        <v>0</v>
      </c>
      <c r="EJ20" s="50">
        <f>IF($AN20="N","N",SUM('調查資料(OUT)'!AS26:AS29))</f>
        <v>0</v>
      </c>
      <c r="EK20" s="50">
        <f>IF($AN20="N","N",SUM('調查資料(OUT)'!AW26:AW29))</f>
        <v>0</v>
      </c>
      <c r="EL20" s="56" t="e">
        <f t="shared" si="145"/>
        <v>#DIV/0!</v>
      </c>
      <c r="EM20" s="50">
        <f t="shared" si="146"/>
        <v>0</v>
      </c>
      <c r="EN20" s="56" t="e">
        <f t="shared" si="147"/>
        <v>#DIV/0!</v>
      </c>
      <c r="EO20" s="50">
        <f t="shared" si="148"/>
        <v>0</v>
      </c>
      <c r="EP20" s="56" t="e">
        <f t="shared" si="149"/>
        <v>#DIV/0!</v>
      </c>
      <c r="EQ20" s="50">
        <f t="shared" si="150"/>
        <v>0</v>
      </c>
      <c r="ER20" s="56" t="e">
        <f t="shared" si="151"/>
        <v>#DIV/0!</v>
      </c>
      <c r="ES20" s="50">
        <f t="shared" si="152"/>
        <v>0</v>
      </c>
      <c r="ET20" s="50">
        <f t="shared" si="153"/>
        <v>0</v>
      </c>
      <c r="EU20" s="50">
        <f>IF($AN20="N","N",SUM('調查資料(OUT)'!AX26:AX29))</f>
        <v>0</v>
      </c>
      <c r="EV20" s="50">
        <f>IF($AN20="N","N",SUM('調查資料(OUT)'!BB26:BB29))</f>
        <v>0</v>
      </c>
      <c r="EW20" s="50">
        <f>IF($AN20="N","N",SUM('調查資料(OUT)'!BF26:BF29))</f>
        <v>0</v>
      </c>
      <c r="EX20" s="56" t="e">
        <f t="shared" si="154"/>
        <v>#DIV/0!</v>
      </c>
      <c r="EY20" s="50">
        <f t="shared" si="155"/>
        <v>0</v>
      </c>
      <c r="EZ20" s="50">
        <f>IF($AN20="N","N",SUM('調查資料(OUT)'!AY26:AY29))</f>
        <v>0</v>
      </c>
      <c r="FA20" s="50">
        <f>IF($AN20="N","N",SUM('調查資料(OUT)'!BC26:BC29))</f>
        <v>0</v>
      </c>
      <c r="FB20" s="50">
        <f>IF($AN20="N","N",SUM('調查資料(OUT)'!BG26:BG29))</f>
        <v>0</v>
      </c>
      <c r="FC20" s="56" t="e">
        <f t="shared" si="156"/>
        <v>#DIV/0!</v>
      </c>
      <c r="FD20" s="50">
        <f t="shared" si="157"/>
        <v>0</v>
      </c>
      <c r="FE20" s="50">
        <f>IF($AN20="N","N",SUM('調查資料(OUT)'!AZ26:AZ29))</f>
        <v>0</v>
      </c>
      <c r="FF20" s="50">
        <f>IF($AN20="N","N",SUM('調查資料(OUT)'!BD26:BD29))</f>
        <v>0</v>
      </c>
      <c r="FG20" s="50">
        <f>IF($AN20="N","N",SUM('調查資料(OUT)'!BH26:BH29))</f>
        <v>0</v>
      </c>
      <c r="FH20" s="56" t="e">
        <f t="shared" si="158"/>
        <v>#DIV/0!</v>
      </c>
      <c r="FI20" s="50">
        <f t="shared" si="159"/>
        <v>0</v>
      </c>
      <c r="FJ20" s="50">
        <f>IF($AN20="N","N",SUM('調查資料(OUT)'!BA26:BA29))</f>
        <v>0</v>
      </c>
      <c r="FK20" s="50">
        <f>IF($AN20="N","N",SUM('調查資料(OUT)'!BE26:BE29))</f>
        <v>0</v>
      </c>
      <c r="FL20" s="50">
        <f>IF($AN20="N","N",SUM('調查資料(OUT)'!BI26:BI29))</f>
        <v>0</v>
      </c>
      <c r="FM20" s="56" t="e">
        <f t="shared" si="160"/>
        <v>#DIV/0!</v>
      </c>
      <c r="FN20" s="50">
        <f t="shared" si="161"/>
        <v>0</v>
      </c>
      <c r="FO20" s="56" t="e">
        <f t="shared" si="162"/>
        <v>#DIV/0!</v>
      </c>
      <c r="FP20" s="50">
        <f t="shared" si="163"/>
        <v>0</v>
      </c>
      <c r="FQ20" s="56" t="e">
        <f t="shared" si="164"/>
        <v>#DIV/0!</v>
      </c>
      <c r="FR20" s="50">
        <f t="shared" si="165"/>
        <v>0</v>
      </c>
      <c r="FS20" s="56" t="e">
        <f t="shared" si="166"/>
        <v>#DIV/0!</v>
      </c>
      <c r="FT20" s="50">
        <f t="shared" si="167"/>
        <v>0</v>
      </c>
    </row>
    <row r="21" spans="1:176">
      <c r="A21" s="274">
        <f>'調查資料(OUT)'!A27</f>
        <v>400</v>
      </c>
      <c r="B21" s="50">
        <f t="shared" si="81"/>
        <v>0</v>
      </c>
      <c r="C21" s="50">
        <f>IFERROR('調查資料(OUT)'!$B$1*'調查資料(OUT)'!B27,0)+IFERROR('調查資料(OUT)'!$F$1*'調查資料(OUT)'!F27,0)+IFERROR('調查資料(OUT)'!$J$1*'調查資料(OUT)'!J27,0)</f>
        <v>0</v>
      </c>
      <c r="D21" s="50">
        <f>IFERROR('調查資料(OUT)'!$C$1*'調查資料(OUT)'!C27,0)+IFERROR('調查資料(OUT)'!$G$1*'調查資料(OUT)'!G27,0)+IFERROR('調查資料(OUT)'!$K$1*'調查資料(OUT)'!K27,0)</f>
        <v>0</v>
      </c>
      <c r="E21" s="50">
        <f>IFERROR('調查資料(OUT)'!$D$1*'調查資料(OUT)'!D27,0)+IFERROR('調查資料(OUT)'!$H$1*'調查資料(OUT)'!H27,0)+IFERROR('調查資料(OUT)'!$L$1*'調查資料(OUT)'!L27,0)</f>
        <v>0</v>
      </c>
      <c r="F21" s="252">
        <f>IFERROR('調查資料(OUT)'!$E$1*'調查資料(OUT)'!E27,0)+IFERROR('調查資料(OUT)'!$I$1*'調查資料(OUT)'!I27,0)+IFERROR('調查資料(OUT)'!$M$1*'調查資料(OUT)'!M27,0)</f>
        <v>0</v>
      </c>
      <c r="G21" s="50">
        <f t="shared" si="82"/>
        <v>0</v>
      </c>
      <c r="H21" s="50">
        <f>IFERROR('調查資料(OUT)'!$N$1*'調查資料(OUT)'!N27,0)+IFERROR('調查資料(OUT)'!$R$1*'調查資料(OUT)'!R27,0)+IFERROR('調查資料(OUT)'!$V$1*'調查資料(OUT)'!V27,0)</f>
        <v>0</v>
      </c>
      <c r="I21" s="50">
        <f>IFERROR('調查資料(OUT)'!$O$1*'調查資料(OUT)'!O27,0)+IFERROR('調查資料(OUT)'!$S$1*'調查資料(OUT)'!S27,0)+IFERROR('調查資料(OUT)'!$W$1*'調查資料(OUT)'!W27,0)</f>
        <v>0</v>
      </c>
      <c r="J21" s="50">
        <f>IFERROR('調查資料(OUT)'!$P$1*'調查資料(OUT)'!P27,0)+IFERROR('調查資料(OUT)'!$T$1*'調查資料(OUT)'!T27,0)+IFERROR('調查資料(OUT)'!$X$1*'調查資料(OUT)'!X27,0)</f>
        <v>0</v>
      </c>
      <c r="K21" s="252">
        <f>IFERROR('調查資料(OUT)'!$Q$1*'調查資料(OUT)'!Q27,0)+IFERROR('調查資料(OUT)'!$U$1*'調查資料(OUT)'!U27,0)+IFERROR('調查資料(OUT)'!$Y$1*'調查資料(OUT)'!Y27,0)</f>
        <v>0</v>
      </c>
      <c r="L21" s="50">
        <f t="shared" si="83"/>
        <v>0</v>
      </c>
      <c r="M21" s="50">
        <f>IFERROR('調查資料(OUT)'!$Z$1*'調查資料(OUT)'!Z27,0)+IFERROR('調查資料(OUT)'!$AD$1*'調查資料(OUT)'!AD27,0)+IFERROR('調查資料(OUT)'!$AH$1*'調查資料(OUT)'!AH27,0)</f>
        <v>0</v>
      </c>
      <c r="N21" s="50">
        <f>IFERROR('調查資料(OUT)'!$AA$1*'調查資料(OUT)'!AA27,0)+IFERROR('調查資料(OUT)'!$AE$1*'調查資料(OUT)'!AE27,0)+IFERROR('調查資料(OUT)'!$AI$1*'調查資料(OUT)'!AI27,0)</f>
        <v>0</v>
      </c>
      <c r="O21" s="50">
        <f>IFERROR('調查資料(OUT)'!$AB$1*'調查資料(OUT)'!AB27,0)+IFERROR('調查資料(OUT)'!$AF$1*'調查資料(OUT)'!AF27,0)+IFERROR('調查資料(OUT)'!$AJ$1*'調查資料(OUT)'!AJ27,0)</f>
        <v>0</v>
      </c>
      <c r="P21" s="252">
        <f>IFERROR('調查資料(OUT)'!$AC$1*'調查資料(OUT)'!AC27,0)+IFERROR('調查資料(OUT)'!$AG$1*'調查資料(OUT)'!AG27,0)+IFERROR('調查資料(OUT)'!$AK$1*'調查資料(OUT)'!AK27,0)</f>
        <v>0</v>
      </c>
      <c r="Q21" s="50">
        <f t="shared" si="84"/>
        <v>0</v>
      </c>
      <c r="R21" s="50">
        <f>IFERROR('調查資料(OUT)'!$AL$1*'調查資料(OUT)'!AL27,0)+IFERROR('調查資料(OUT)'!$AP$1*'調查資料(OUT)'!AP27,0)+IFERROR('調查資料(OUT)'!$AT$1*'調查資料(OUT)'!AT27,0)</f>
        <v>0</v>
      </c>
      <c r="S21" s="50">
        <f>IFERROR('調查資料(OUT)'!$AM$1*'調查資料(OUT)'!AM27,0)+IFERROR('調查資料(OUT)'!$AQ$1*'調查資料(OUT)'!AQ27,0)+IFERROR('調查資料(OUT)'!$AU$1*'調查資料(OUT)'!AU27,0)</f>
        <v>0</v>
      </c>
      <c r="T21" s="50">
        <f>IFERROR('調查資料(OUT)'!$AN$1*'調查資料(OUT)'!AN27,0)+IFERROR('調查資料(OUT)'!$AR$1*'調查資料(OUT)'!AR27,0)+IFERROR('調查資料(OUT)'!$AV$1*'調查資料(OUT)'!AV27,0)</f>
        <v>0</v>
      </c>
      <c r="U21" s="252">
        <f>IFERROR('調查資料(OUT)'!$AO$1*'調查資料(OUT)'!AO27,0)+IFERROR('調查資料(OUT)'!$AS$1*'調查資料(OUT)'!AS27,0)+IFERROR('調查資料(OUT)'!$AW$1*'調查資料(OUT)'!AW27,0)</f>
        <v>0</v>
      </c>
      <c r="V21" s="50">
        <f t="shared" si="85"/>
        <v>0</v>
      </c>
      <c r="W21" s="50">
        <f>IFERROR('調查資料(OUT)'!$AX$1*'調查資料(OUT)'!AX27,0)+IFERROR('調查資料(OUT)'!$BB$1*'調查資料(OUT)'!BB27,0)+IFERROR('調查資料(OUT)'!$BF$1*'調查資料(OUT)'!BF27,0)</f>
        <v>0</v>
      </c>
      <c r="X21" s="50">
        <f>IFERROR('調查資料(OUT)'!$AY$1*'調查資料(OUT)'!AY27,0)+IFERROR('調查資料(OUT)'!$BC$1*'調查資料(OUT)'!BC27,0)+IFERROR('調查資料(OUT)'!$BG$1*'調查資料(OUT)'!BG27,0)</f>
        <v>0</v>
      </c>
      <c r="Y21" s="50">
        <f>IFERROR('調查資料(OUT)'!$AZ$1*'調查資料(OUT)'!AZ27,0)+IFERROR('調查資料(OUT)'!$BD$1*'調查資料(OUT)'!BD27,0)+IFERROR('調查資料(OUT)'!$BH$1*'調查資料(OUT)'!BH27,0)</f>
        <v>0</v>
      </c>
      <c r="Z21" s="252">
        <f>IFERROR('調查資料(OUT)'!$BA$1*'調查資料(OUT)'!BA27,0)+IFERROR('調查資料(OUT)'!$BE$1*'調查資料(OUT)'!BE27,0)+IFERROR('調查資料(OUT)'!$BI$1*'調查資料(OUT)'!BI27,0)</f>
        <v>0</v>
      </c>
      <c r="AA21" s="253">
        <f t="shared" si="86"/>
        <v>0</v>
      </c>
      <c r="AC21" s="251">
        <f>'調查資料(OUT)'!A27</f>
        <v>400</v>
      </c>
      <c r="AD21" s="254">
        <f t="shared" si="91"/>
        <v>500</v>
      </c>
      <c r="AE21" s="50">
        <f t="shared" si="92"/>
        <v>0</v>
      </c>
      <c r="AF21" s="255"/>
      <c r="AG21" s="50">
        <f t="shared" si="1"/>
        <v>0</v>
      </c>
      <c r="AH21" s="256" t="e">
        <f t="shared" si="2"/>
        <v>#DIV/0!</v>
      </c>
      <c r="AI21" s="256" t="e">
        <f t="shared" si="3"/>
        <v>#DIV/0!</v>
      </c>
      <c r="AJ21" s="256" t="e">
        <f t="shared" si="4"/>
        <v>#DIV/0!</v>
      </c>
      <c r="AK21" s="256" t="e">
        <f t="shared" si="5"/>
        <v>#DIV/0!</v>
      </c>
      <c r="AL21" s="256" t="e">
        <f t="shared" si="6"/>
        <v>#DIV/0!</v>
      </c>
      <c r="AM21" s="257"/>
      <c r="AN21" s="50">
        <f t="shared" si="7"/>
        <v>400</v>
      </c>
      <c r="AO21" s="252">
        <f t="shared" si="8"/>
        <v>500</v>
      </c>
      <c r="AP21" s="50">
        <f t="shared" si="93"/>
        <v>0</v>
      </c>
      <c r="AQ21" s="50">
        <f>IF($AN21="N","N",SUM('調查資料(OUT)'!B27:B30))</f>
        <v>0</v>
      </c>
      <c r="AR21" s="50">
        <f>IF($AN21="N","N",SUM('調查資料(OUT)'!F27:F30))</f>
        <v>0</v>
      </c>
      <c r="AS21" s="50">
        <f>IF($AN21="N","N",SUM('調查資料(OUT)'!J27:J30))</f>
        <v>0</v>
      </c>
      <c r="AT21" s="56" t="e">
        <f t="shared" si="94"/>
        <v>#DIV/0!</v>
      </c>
      <c r="AU21" s="50">
        <f t="shared" si="95"/>
        <v>0</v>
      </c>
      <c r="AV21" s="50">
        <f>IF($AN21="N","N",SUM('調查資料(OUT)'!C27:C30))</f>
        <v>0</v>
      </c>
      <c r="AW21" s="50">
        <f>IF($AN21="N","N",SUM('調查資料(OUT)'!G27:G30))</f>
        <v>0</v>
      </c>
      <c r="AX21" s="50">
        <f>IF($AN21="N","N",SUM('調查資料(OUT)'!K27:K30))</f>
        <v>0</v>
      </c>
      <c r="AY21" s="56" t="e">
        <f t="shared" si="96"/>
        <v>#DIV/0!</v>
      </c>
      <c r="AZ21" s="50">
        <f t="shared" si="97"/>
        <v>0</v>
      </c>
      <c r="BA21" s="50">
        <f>IF($AN21="N","N",SUM('調查資料(OUT)'!D27:D30))</f>
        <v>0</v>
      </c>
      <c r="BB21" s="50">
        <f>IF($AN21="N","N",SUM('調查資料(OUT)'!H27:H30))</f>
        <v>0</v>
      </c>
      <c r="BC21" s="50">
        <f>IF($AN21="N","N",SUM('調查資料(OUT)'!L27:L30))</f>
        <v>0</v>
      </c>
      <c r="BD21" s="56" t="e">
        <f t="shared" si="98"/>
        <v>#DIV/0!</v>
      </c>
      <c r="BE21" s="50">
        <f t="shared" si="99"/>
        <v>0</v>
      </c>
      <c r="BF21" s="50">
        <f>IF($AN21="N","N",SUM('調查資料(OUT)'!E27:E30))</f>
        <v>0</v>
      </c>
      <c r="BG21" s="50">
        <f>IF($AN21="N","N",SUM('調查資料(OUT)'!I27:I30))</f>
        <v>0</v>
      </c>
      <c r="BH21" s="50">
        <f>IF($AN21="N","N",SUM('調查資料(OUT)'!M27:M30))</f>
        <v>0</v>
      </c>
      <c r="BI21" s="56" t="e">
        <f t="shared" si="100"/>
        <v>#DIV/0!</v>
      </c>
      <c r="BJ21" s="50">
        <f t="shared" si="101"/>
        <v>0</v>
      </c>
      <c r="BK21" s="56" t="e">
        <f t="shared" si="102"/>
        <v>#DIV/0!</v>
      </c>
      <c r="BL21" s="50">
        <f t="shared" si="103"/>
        <v>0</v>
      </c>
      <c r="BM21" s="56" t="e">
        <f t="shared" si="104"/>
        <v>#DIV/0!</v>
      </c>
      <c r="BN21" s="50">
        <f t="shared" si="105"/>
        <v>0</v>
      </c>
      <c r="BO21" s="56" t="e">
        <f t="shared" si="106"/>
        <v>#DIV/0!</v>
      </c>
      <c r="BP21" s="50">
        <f t="shared" si="107"/>
        <v>0</v>
      </c>
      <c r="BQ21" s="50">
        <f t="shared" si="108"/>
        <v>0</v>
      </c>
      <c r="BR21" s="50">
        <f>IF($AN21="N","N",SUM('調查資料(OUT)'!N27:N30))</f>
        <v>0</v>
      </c>
      <c r="BS21" s="50">
        <f>IF($AN21="N","N",SUM('調查資料(OUT)'!R27:R30))</f>
        <v>0</v>
      </c>
      <c r="BT21" s="50">
        <f>IF($AN21="N","N",SUM('調查資料(OUT)'!V27:V30))</f>
        <v>0</v>
      </c>
      <c r="BU21" s="56" t="e">
        <f t="shared" si="109"/>
        <v>#DIV/0!</v>
      </c>
      <c r="BV21" s="50">
        <f t="shared" si="110"/>
        <v>0</v>
      </c>
      <c r="BW21" s="50">
        <f>IF($AN21="N","N",SUM('調查資料(OUT)'!O27:O30))</f>
        <v>0</v>
      </c>
      <c r="BX21" s="50">
        <f>IF($AN21="N","N",SUM('調查資料(OUT)'!S27:S30))</f>
        <v>0</v>
      </c>
      <c r="BY21" s="50">
        <f>IF($AN21="N","N",SUM('調查資料(OUT)'!W27:W30))</f>
        <v>0</v>
      </c>
      <c r="BZ21" s="56" t="e">
        <f t="shared" si="111"/>
        <v>#DIV/0!</v>
      </c>
      <c r="CA21" s="50">
        <f t="shared" si="112"/>
        <v>0</v>
      </c>
      <c r="CB21" s="50">
        <f>IF($AN21="N","N",SUM('調查資料(OUT)'!P27:P30))</f>
        <v>0</v>
      </c>
      <c r="CC21" s="50">
        <f>IF($AN21="N","N",SUM('調查資料(OUT)'!T27:T30))</f>
        <v>0</v>
      </c>
      <c r="CD21" s="50">
        <f>IF($AN21="N","N",SUM('調查資料(OUT)'!X27:X30))</f>
        <v>0</v>
      </c>
      <c r="CE21" s="56" t="e">
        <f t="shared" si="113"/>
        <v>#DIV/0!</v>
      </c>
      <c r="CF21" s="50">
        <f t="shared" si="114"/>
        <v>0</v>
      </c>
      <c r="CG21" s="50">
        <f>IF($AN21="N","N",SUM('調查資料(OUT)'!Q27:Q30))</f>
        <v>0</v>
      </c>
      <c r="CH21" s="50">
        <f>IF($AN21="N","N",SUM('調查資料(OUT)'!U27:U30))</f>
        <v>0</v>
      </c>
      <c r="CI21" s="50">
        <f>IF($AN21="N","N",SUM('調查資料(OUT)'!Y27:Y30))</f>
        <v>0</v>
      </c>
      <c r="CJ21" s="56" t="e">
        <f t="shared" si="115"/>
        <v>#DIV/0!</v>
      </c>
      <c r="CK21" s="50">
        <f t="shared" si="116"/>
        <v>0</v>
      </c>
      <c r="CL21" s="56" t="e">
        <f t="shared" si="117"/>
        <v>#DIV/0!</v>
      </c>
      <c r="CM21" s="50">
        <f t="shared" si="118"/>
        <v>0</v>
      </c>
      <c r="CN21" s="56" t="e">
        <f t="shared" si="119"/>
        <v>#DIV/0!</v>
      </c>
      <c r="CO21" s="50">
        <f t="shared" si="120"/>
        <v>0</v>
      </c>
      <c r="CP21" s="56" t="e">
        <f t="shared" si="121"/>
        <v>#DIV/0!</v>
      </c>
      <c r="CQ21" s="50">
        <f t="shared" si="122"/>
        <v>0</v>
      </c>
      <c r="CR21" s="50">
        <f t="shared" si="123"/>
        <v>0</v>
      </c>
      <c r="CS21" s="50">
        <f>IF($AN21="N","N",SUM('調查資料(OUT)'!Z27:Z30))</f>
        <v>0</v>
      </c>
      <c r="CT21" s="50">
        <f>IF($AN21="N","N",SUM('調查資料(OUT)'!AD27:AD30))</f>
        <v>0</v>
      </c>
      <c r="CU21" s="50">
        <f>IF($AN21="N","N",SUM('調查資料(OUT)'!AH27:AH30))</f>
        <v>0</v>
      </c>
      <c r="CV21" s="56" t="e">
        <f t="shared" si="124"/>
        <v>#DIV/0!</v>
      </c>
      <c r="CW21" s="50">
        <f t="shared" si="125"/>
        <v>0</v>
      </c>
      <c r="CX21" s="50">
        <f>IF($AN21="N","N",SUM('調查資料(OUT)'!AA27:AA30))</f>
        <v>0</v>
      </c>
      <c r="CY21" s="50">
        <f>IF($AN21="N","N",SUM('調查資料(OUT)'!AE27:AE30))</f>
        <v>0</v>
      </c>
      <c r="CZ21" s="50">
        <f>IF($AN21="N","N",SUM('調查資料(OUT)'!AI27:AI30))</f>
        <v>0</v>
      </c>
      <c r="DA21" s="56" t="e">
        <f t="shared" si="126"/>
        <v>#DIV/0!</v>
      </c>
      <c r="DB21" s="50">
        <f t="shared" si="127"/>
        <v>0</v>
      </c>
      <c r="DC21" s="50">
        <f>IF($AN21="N","N",SUM('調查資料(OUT)'!AB27:AB30))</f>
        <v>0</v>
      </c>
      <c r="DD21" s="50">
        <f>IF($AN21="N","N",SUM('調查資料(OUT)'!AF27:AF30))</f>
        <v>0</v>
      </c>
      <c r="DE21" s="50">
        <f>IF($AN21="N","N",SUM('調查資料(OUT)'!AJ27:AJ30))</f>
        <v>0</v>
      </c>
      <c r="DF21" s="56" t="e">
        <f t="shared" si="128"/>
        <v>#DIV/0!</v>
      </c>
      <c r="DG21" s="50">
        <f t="shared" si="129"/>
        <v>0</v>
      </c>
      <c r="DH21" s="50">
        <f>IF($AN21="N","N",SUM('調查資料(OUT)'!AC27:AC30))</f>
        <v>0</v>
      </c>
      <c r="DI21" s="50">
        <f>IF($AN21="N","N",SUM('調查資料(OUT)'!AG27:AG30))</f>
        <v>0</v>
      </c>
      <c r="DJ21" s="50">
        <f>IF($AN21="N","N",SUM('調查資料(OUT)'!AK27:AK30))</f>
        <v>0</v>
      </c>
      <c r="DK21" s="56" t="e">
        <f t="shared" si="130"/>
        <v>#DIV/0!</v>
      </c>
      <c r="DL21" s="50">
        <f t="shared" si="131"/>
        <v>0</v>
      </c>
      <c r="DM21" s="56" t="e">
        <f t="shared" si="132"/>
        <v>#DIV/0!</v>
      </c>
      <c r="DN21" s="50">
        <f t="shared" si="133"/>
        <v>0</v>
      </c>
      <c r="DO21" s="56" t="e">
        <f t="shared" si="134"/>
        <v>#DIV/0!</v>
      </c>
      <c r="DP21" s="50">
        <f t="shared" si="135"/>
        <v>0</v>
      </c>
      <c r="DQ21" s="56" t="e">
        <f t="shared" si="136"/>
        <v>#DIV/0!</v>
      </c>
      <c r="DR21" s="50">
        <f t="shared" si="137"/>
        <v>0</v>
      </c>
      <c r="DS21" s="50">
        <f t="shared" si="138"/>
        <v>0</v>
      </c>
      <c r="DT21" s="50">
        <f>IF($AN21="N","N",SUM('調查資料(OUT)'!AL27:AL30))</f>
        <v>0</v>
      </c>
      <c r="DU21" s="50">
        <f>IF($AN21="N","N",SUM('調查資料(OUT)'!AP27:AP30))</f>
        <v>0</v>
      </c>
      <c r="DV21" s="50">
        <f>IF($AN21="N","N",SUM('調查資料(OUT)'!AT27:AT30))</f>
        <v>0</v>
      </c>
      <c r="DW21" s="56" t="e">
        <f t="shared" si="139"/>
        <v>#DIV/0!</v>
      </c>
      <c r="DX21" s="50">
        <f t="shared" si="140"/>
        <v>0</v>
      </c>
      <c r="DY21" s="50">
        <f>IF($AN21="N","N",SUM('調查資料(OUT)'!AM27:AM30))</f>
        <v>0</v>
      </c>
      <c r="DZ21" s="50">
        <f>IF($AN21="N","N",SUM('調查資料(OUT)'!AQ27:AQ30))</f>
        <v>0</v>
      </c>
      <c r="EA21" s="50">
        <f>IF($AN21="N","N",SUM('調查資料(OUT)'!AU27:AU30))</f>
        <v>0</v>
      </c>
      <c r="EB21" s="56" t="e">
        <f t="shared" si="141"/>
        <v>#DIV/0!</v>
      </c>
      <c r="EC21" s="50">
        <f t="shared" si="142"/>
        <v>0</v>
      </c>
      <c r="ED21" s="50">
        <f>IF($AN21="N","N",SUM('調查資料(OUT)'!AN27:AN30))</f>
        <v>0</v>
      </c>
      <c r="EE21" s="50">
        <f>IF($AN21="N","N",SUM('調查資料(OUT)'!AR27:AR30))</f>
        <v>0</v>
      </c>
      <c r="EF21" s="50">
        <f>IF($AN21="N","N",SUM('調查資料(OUT)'!AV27:AV30))</f>
        <v>0</v>
      </c>
      <c r="EG21" s="56" t="e">
        <f t="shared" si="143"/>
        <v>#DIV/0!</v>
      </c>
      <c r="EH21" s="50">
        <f t="shared" si="144"/>
        <v>0</v>
      </c>
      <c r="EI21" s="50">
        <f>IF($AN21="N","N",SUM('調查資料(OUT)'!AO27:AO30))</f>
        <v>0</v>
      </c>
      <c r="EJ21" s="50">
        <f>IF($AN21="N","N",SUM('調查資料(OUT)'!AS27:AS30))</f>
        <v>0</v>
      </c>
      <c r="EK21" s="50">
        <f>IF($AN21="N","N",SUM('調查資料(OUT)'!AW27:AW30))</f>
        <v>0</v>
      </c>
      <c r="EL21" s="56" t="e">
        <f t="shared" si="145"/>
        <v>#DIV/0!</v>
      </c>
      <c r="EM21" s="50">
        <f t="shared" si="146"/>
        <v>0</v>
      </c>
      <c r="EN21" s="56" t="e">
        <f t="shared" si="147"/>
        <v>#DIV/0!</v>
      </c>
      <c r="EO21" s="50">
        <f t="shared" si="148"/>
        <v>0</v>
      </c>
      <c r="EP21" s="56" t="e">
        <f t="shared" si="149"/>
        <v>#DIV/0!</v>
      </c>
      <c r="EQ21" s="50">
        <f t="shared" si="150"/>
        <v>0</v>
      </c>
      <c r="ER21" s="56" t="e">
        <f t="shared" si="151"/>
        <v>#DIV/0!</v>
      </c>
      <c r="ES21" s="50">
        <f t="shared" si="152"/>
        <v>0</v>
      </c>
      <c r="ET21" s="50">
        <f t="shared" si="153"/>
        <v>0</v>
      </c>
      <c r="EU21" s="50">
        <f>IF($AN21="N","N",SUM('調查資料(OUT)'!AX27:AX30))</f>
        <v>0</v>
      </c>
      <c r="EV21" s="50">
        <f>IF($AN21="N","N",SUM('調查資料(OUT)'!BB27:BB30))</f>
        <v>0</v>
      </c>
      <c r="EW21" s="50">
        <f>IF($AN21="N","N",SUM('調查資料(OUT)'!BF27:BF30))</f>
        <v>0</v>
      </c>
      <c r="EX21" s="56" t="e">
        <f t="shared" si="154"/>
        <v>#DIV/0!</v>
      </c>
      <c r="EY21" s="50">
        <f t="shared" si="155"/>
        <v>0</v>
      </c>
      <c r="EZ21" s="50">
        <f>IF($AN21="N","N",SUM('調查資料(OUT)'!AY27:AY30))</f>
        <v>0</v>
      </c>
      <c r="FA21" s="50">
        <f>IF($AN21="N","N",SUM('調查資料(OUT)'!BC27:BC30))</f>
        <v>0</v>
      </c>
      <c r="FB21" s="50">
        <f>IF($AN21="N","N",SUM('調查資料(OUT)'!BG27:BG30))</f>
        <v>0</v>
      </c>
      <c r="FC21" s="56" t="e">
        <f t="shared" si="156"/>
        <v>#DIV/0!</v>
      </c>
      <c r="FD21" s="50">
        <f t="shared" si="157"/>
        <v>0</v>
      </c>
      <c r="FE21" s="50">
        <f>IF($AN21="N","N",SUM('調查資料(OUT)'!AZ27:AZ30))</f>
        <v>0</v>
      </c>
      <c r="FF21" s="50">
        <f>IF($AN21="N","N",SUM('調查資料(OUT)'!BD27:BD30))</f>
        <v>0</v>
      </c>
      <c r="FG21" s="50">
        <f>IF($AN21="N","N",SUM('調查資料(OUT)'!BH27:BH30))</f>
        <v>0</v>
      </c>
      <c r="FH21" s="56" t="e">
        <f t="shared" si="158"/>
        <v>#DIV/0!</v>
      </c>
      <c r="FI21" s="50">
        <f t="shared" si="159"/>
        <v>0</v>
      </c>
      <c r="FJ21" s="50">
        <f>IF($AN21="N","N",SUM('調查資料(OUT)'!BA27:BA30))</f>
        <v>0</v>
      </c>
      <c r="FK21" s="50">
        <f>IF($AN21="N","N",SUM('調查資料(OUT)'!BE27:BE30))</f>
        <v>0</v>
      </c>
      <c r="FL21" s="50">
        <f>IF($AN21="N","N",SUM('調查資料(OUT)'!BI27:BI30))</f>
        <v>0</v>
      </c>
      <c r="FM21" s="56" t="e">
        <f t="shared" si="160"/>
        <v>#DIV/0!</v>
      </c>
      <c r="FN21" s="50">
        <f t="shared" si="161"/>
        <v>0</v>
      </c>
      <c r="FO21" s="56" t="e">
        <f t="shared" si="162"/>
        <v>#DIV/0!</v>
      </c>
      <c r="FP21" s="50">
        <f t="shared" si="163"/>
        <v>0</v>
      </c>
      <c r="FQ21" s="56" t="e">
        <f t="shared" si="164"/>
        <v>#DIV/0!</v>
      </c>
      <c r="FR21" s="50">
        <f t="shared" si="165"/>
        <v>0</v>
      </c>
      <c r="FS21" s="56" t="e">
        <f t="shared" si="166"/>
        <v>#DIV/0!</v>
      </c>
      <c r="FT21" s="50">
        <f t="shared" si="167"/>
        <v>0</v>
      </c>
    </row>
    <row r="22" spans="1:176">
      <c r="A22" s="274">
        <f>'調查資料(OUT)'!A28</f>
        <v>415</v>
      </c>
      <c r="B22" s="50">
        <f t="shared" si="81"/>
        <v>0</v>
      </c>
      <c r="C22" s="50">
        <f>IFERROR('調查資料(OUT)'!$B$1*'調查資料(OUT)'!B28,0)+IFERROR('調查資料(OUT)'!$F$1*'調查資料(OUT)'!F28,0)+IFERROR('調查資料(OUT)'!$J$1*'調查資料(OUT)'!J28,0)</f>
        <v>0</v>
      </c>
      <c r="D22" s="50">
        <f>IFERROR('調查資料(OUT)'!$C$1*'調查資料(OUT)'!C28,0)+IFERROR('調查資料(OUT)'!$G$1*'調查資料(OUT)'!G28,0)+IFERROR('調查資料(OUT)'!$K$1*'調查資料(OUT)'!K28,0)</f>
        <v>0</v>
      </c>
      <c r="E22" s="50">
        <f>IFERROR('調查資料(OUT)'!$D$1*'調查資料(OUT)'!D28,0)+IFERROR('調查資料(OUT)'!$H$1*'調查資料(OUT)'!H28,0)+IFERROR('調查資料(OUT)'!$L$1*'調查資料(OUT)'!L28,0)</f>
        <v>0</v>
      </c>
      <c r="F22" s="252">
        <f>IFERROR('調查資料(OUT)'!$E$1*'調查資料(OUT)'!E28,0)+IFERROR('調查資料(OUT)'!$I$1*'調查資料(OUT)'!I28,0)+IFERROR('調查資料(OUT)'!$M$1*'調查資料(OUT)'!M28,0)</f>
        <v>0</v>
      </c>
      <c r="G22" s="50">
        <f t="shared" si="82"/>
        <v>0</v>
      </c>
      <c r="H22" s="50">
        <f>IFERROR('調查資料(OUT)'!$N$1*'調查資料(OUT)'!N28,0)+IFERROR('調查資料(OUT)'!$R$1*'調查資料(OUT)'!R28,0)+IFERROR('調查資料(OUT)'!$V$1*'調查資料(OUT)'!V28,0)</f>
        <v>0</v>
      </c>
      <c r="I22" s="50">
        <f>IFERROR('調查資料(OUT)'!$O$1*'調查資料(OUT)'!O28,0)+IFERROR('調查資料(OUT)'!$S$1*'調查資料(OUT)'!S28,0)+IFERROR('調查資料(OUT)'!$W$1*'調查資料(OUT)'!W28,0)</f>
        <v>0</v>
      </c>
      <c r="J22" s="50">
        <f>IFERROR('調查資料(OUT)'!$P$1*'調查資料(OUT)'!P28,0)+IFERROR('調查資料(OUT)'!$T$1*'調查資料(OUT)'!T28,0)+IFERROR('調查資料(OUT)'!$X$1*'調查資料(OUT)'!X28,0)</f>
        <v>0</v>
      </c>
      <c r="K22" s="252">
        <f>IFERROR('調查資料(OUT)'!$Q$1*'調查資料(OUT)'!Q28,0)+IFERROR('調查資料(OUT)'!$U$1*'調查資料(OUT)'!U28,0)+IFERROR('調查資料(OUT)'!$Y$1*'調查資料(OUT)'!Y28,0)</f>
        <v>0</v>
      </c>
      <c r="L22" s="50">
        <f t="shared" si="83"/>
        <v>0</v>
      </c>
      <c r="M22" s="50">
        <f>IFERROR('調查資料(OUT)'!$Z$1*'調查資料(OUT)'!Z28,0)+IFERROR('調查資料(OUT)'!$AD$1*'調查資料(OUT)'!AD28,0)+IFERROR('調查資料(OUT)'!$AH$1*'調查資料(OUT)'!AH28,0)</f>
        <v>0</v>
      </c>
      <c r="N22" s="50">
        <f>IFERROR('調查資料(OUT)'!$AA$1*'調查資料(OUT)'!AA28,0)+IFERROR('調查資料(OUT)'!$AE$1*'調查資料(OUT)'!AE28,0)+IFERROR('調查資料(OUT)'!$AI$1*'調查資料(OUT)'!AI28,0)</f>
        <v>0</v>
      </c>
      <c r="O22" s="50">
        <f>IFERROR('調查資料(OUT)'!$AB$1*'調查資料(OUT)'!AB28,0)+IFERROR('調查資料(OUT)'!$AF$1*'調查資料(OUT)'!AF28,0)+IFERROR('調查資料(OUT)'!$AJ$1*'調查資料(OUT)'!AJ28,0)</f>
        <v>0</v>
      </c>
      <c r="P22" s="252">
        <f>IFERROR('調查資料(OUT)'!$AC$1*'調查資料(OUT)'!AC28,0)+IFERROR('調查資料(OUT)'!$AG$1*'調查資料(OUT)'!AG28,0)+IFERROR('調查資料(OUT)'!$AK$1*'調查資料(OUT)'!AK28,0)</f>
        <v>0</v>
      </c>
      <c r="Q22" s="50">
        <f t="shared" si="84"/>
        <v>0</v>
      </c>
      <c r="R22" s="50">
        <f>IFERROR('調查資料(OUT)'!$AL$1*'調查資料(OUT)'!AL28,0)+IFERROR('調查資料(OUT)'!$AP$1*'調查資料(OUT)'!AP28,0)+IFERROR('調查資料(OUT)'!$AT$1*'調查資料(OUT)'!AT28,0)</f>
        <v>0</v>
      </c>
      <c r="S22" s="50">
        <f>IFERROR('調查資料(OUT)'!$AM$1*'調查資料(OUT)'!AM28,0)+IFERROR('調查資料(OUT)'!$AQ$1*'調查資料(OUT)'!AQ28,0)+IFERROR('調查資料(OUT)'!$AU$1*'調查資料(OUT)'!AU28,0)</f>
        <v>0</v>
      </c>
      <c r="T22" s="50">
        <f>IFERROR('調查資料(OUT)'!$AN$1*'調查資料(OUT)'!AN28,0)+IFERROR('調查資料(OUT)'!$AR$1*'調查資料(OUT)'!AR28,0)+IFERROR('調查資料(OUT)'!$AV$1*'調查資料(OUT)'!AV28,0)</f>
        <v>0</v>
      </c>
      <c r="U22" s="252">
        <f>IFERROR('調查資料(OUT)'!$AO$1*'調查資料(OUT)'!AO28,0)+IFERROR('調查資料(OUT)'!$AS$1*'調查資料(OUT)'!AS28,0)+IFERROR('調查資料(OUT)'!$AW$1*'調查資料(OUT)'!AW28,0)</f>
        <v>0</v>
      </c>
      <c r="V22" s="50">
        <f t="shared" si="85"/>
        <v>0</v>
      </c>
      <c r="W22" s="50">
        <f>IFERROR('調查資料(OUT)'!$AX$1*'調查資料(OUT)'!AX28,0)+IFERROR('調查資料(OUT)'!$BB$1*'調查資料(OUT)'!BB28,0)+IFERROR('調查資料(OUT)'!$BF$1*'調查資料(OUT)'!BF28,0)</f>
        <v>0</v>
      </c>
      <c r="X22" s="50">
        <f>IFERROR('調查資料(OUT)'!$AY$1*'調查資料(OUT)'!AY28,0)+IFERROR('調查資料(OUT)'!$BC$1*'調查資料(OUT)'!BC28,0)+IFERROR('調查資料(OUT)'!$BG$1*'調查資料(OUT)'!BG28,0)</f>
        <v>0</v>
      </c>
      <c r="Y22" s="50">
        <f>IFERROR('調查資料(OUT)'!$AZ$1*'調查資料(OUT)'!AZ28,0)+IFERROR('調查資料(OUT)'!$BD$1*'調查資料(OUT)'!BD28,0)+IFERROR('調查資料(OUT)'!$BH$1*'調查資料(OUT)'!BH28,0)</f>
        <v>0</v>
      </c>
      <c r="Z22" s="252">
        <f>IFERROR('調查資料(OUT)'!$BA$1*'調查資料(OUT)'!BA28,0)+IFERROR('調查資料(OUT)'!$BE$1*'調查資料(OUT)'!BE28,0)+IFERROR('調查資料(OUT)'!$BI$1*'調查資料(OUT)'!BI28,0)</f>
        <v>0</v>
      </c>
      <c r="AA22" s="253">
        <f t="shared" si="86"/>
        <v>0</v>
      </c>
      <c r="AC22" s="251">
        <f>'調查資料(OUT)'!A28</f>
        <v>415</v>
      </c>
      <c r="AD22" s="254">
        <f t="shared" si="91"/>
        <v>515</v>
      </c>
      <c r="AE22" s="50">
        <f t="shared" si="92"/>
        <v>0</v>
      </c>
      <c r="AF22" s="255"/>
      <c r="AG22" s="50">
        <f t="shared" si="1"/>
        <v>0</v>
      </c>
      <c r="AH22" s="256" t="e">
        <f t="shared" si="2"/>
        <v>#DIV/0!</v>
      </c>
      <c r="AI22" s="256" t="e">
        <f t="shared" si="3"/>
        <v>#DIV/0!</v>
      </c>
      <c r="AJ22" s="256" t="e">
        <f t="shared" si="4"/>
        <v>#DIV/0!</v>
      </c>
      <c r="AK22" s="256" t="e">
        <f t="shared" si="5"/>
        <v>#DIV/0!</v>
      </c>
      <c r="AL22" s="256" t="e">
        <f t="shared" si="6"/>
        <v>#DIV/0!</v>
      </c>
      <c r="AM22" s="257"/>
      <c r="AN22" s="50">
        <f t="shared" si="7"/>
        <v>415</v>
      </c>
      <c r="AO22" s="252">
        <f t="shared" si="8"/>
        <v>515</v>
      </c>
      <c r="AP22" s="50">
        <f t="shared" si="93"/>
        <v>0</v>
      </c>
      <c r="AQ22" s="50">
        <f>IF($AN22="N","N",SUM('調查資料(OUT)'!B28:B31))</f>
        <v>0</v>
      </c>
      <c r="AR22" s="50">
        <f>IF($AN22="N","N",SUM('調查資料(OUT)'!F28:F31))</f>
        <v>0</v>
      </c>
      <c r="AS22" s="50">
        <f>IF($AN22="N","N",SUM('調查資料(OUT)'!J28:J31))</f>
        <v>0</v>
      </c>
      <c r="AT22" s="56" t="e">
        <f t="shared" si="94"/>
        <v>#DIV/0!</v>
      </c>
      <c r="AU22" s="50">
        <f t="shared" si="95"/>
        <v>0</v>
      </c>
      <c r="AV22" s="50">
        <f>IF($AN22="N","N",SUM('調查資料(OUT)'!C28:C31))</f>
        <v>0</v>
      </c>
      <c r="AW22" s="50">
        <f>IF($AN22="N","N",SUM('調查資料(OUT)'!G28:G31))</f>
        <v>0</v>
      </c>
      <c r="AX22" s="50">
        <f>IF($AN22="N","N",SUM('調查資料(OUT)'!K28:K31))</f>
        <v>0</v>
      </c>
      <c r="AY22" s="56" t="e">
        <f t="shared" si="96"/>
        <v>#DIV/0!</v>
      </c>
      <c r="AZ22" s="50">
        <f t="shared" si="97"/>
        <v>0</v>
      </c>
      <c r="BA22" s="50">
        <f>IF($AN22="N","N",SUM('調查資料(OUT)'!D28:D31))</f>
        <v>0</v>
      </c>
      <c r="BB22" s="50">
        <f>IF($AN22="N","N",SUM('調查資料(OUT)'!H28:H31))</f>
        <v>0</v>
      </c>
      <c r="BC22" s="50">
        <f>IF($AN22="N","N",SUM('調查資料(OUT)'!L28:L31))</f>
        <v>0</v>
      </c>
      <c r="BD22" s="56" t="e">
        <f t="shared" si="98"/>
        <v>#DIV/0!</v>
      </c>
      <c r="BE22" s="50">
        <f t="shared" si="99"/>
        <v>0</v>
      </c>
      <c r="BF22" s="50">
        <f>IF($AN22="N","N",SUM('調查資料(OUT)'!E28:E31))</f>
        <v>0</v>
      </c>
      <c r="BG22" s="50">
        <f>IF($AN22="N","N",SUM('調查資料(OUT)'!I28:I31))</f>
        <v>0</v>
      </c>
      <c r="BH22" s="50">
        <f>IF($AN22="N","N",SUM('調查資料(OUT)'!M28:M31))</f>
        <v>0</v>
      </c>
      <c r="BI22" s="56" t="e">
        <f t="shared" si="100"/>
        <v>#DIV/0!</v>
      </c>
      <c r="BJ22" s="50">
        <f t="shared" si="101"/>
        <v>0</v>
      </c>
      <c r="BK22" s="56" t="e">
        <f t="shared" si="102"/>
        <v>#DIV/0!</v>
      </c>
      <c r="BL22" s="50">
        <f t="shared" si="103"/>
        <v>0</v>
      </c>
      <c r="BM22" s="56" t="e">
        <f t="shared" si="104"/>
        <v>#DIV/0!</v>
      </c>
      <c r="BN22" s="50">
        <f t="shared" si="105"/>
        <v>0</v>
      </c>
      <c r="BO22" s="56" t="e">
        <f t="shared" si="106"/>
        <v>#DIV/0!</v>
      </c>
      <c r="BP22" s="50">
        <f t="shared" si="107"/>
        <v>0</v>
      </c>
      <c r="BQ22" s="50">
        <f t="shared" si="108"/>
        <v>0</v>
      </c>
      <c r="BR22" s="50">
        <f>IF($AN22="N","N",SUM('調查資料(OUT)'!N28:N31))</f>
        <v>0</v>
      </c>
      <c r="BS22" s="50">
        <f>IF($AN22="N","N",SUM('調查資料(OUT)'!R28:R31))</f>
        <v>0</v>
      </c>
      <c r="BT22" s="50">
        <f>IF($AN22="N","N",SUM('調查資料(OUT)'!V28:V31))</f>
        <v>0</v>
      </c>
      <c r="BU22" s="56" t="e">
        <f t="shared" si="109"/>
        <v>#DIV/0!</v>
      </c>
      <c r="BV22" s="50">
        <f t="shared" si="110"/>
        <v>0</v>
      </c>
      <c r="BW22" s="50">
        <f>IF($AN22="N","N",SUM('調查資料(OUT)'!O28:O31))</f>
        <v>0</v>
      </c>
      <c r="BX22" s="50">
        <f>IF($AN22="N","N",SUM('調查資料(OUT)'!S28:S31))</f>
        <v>0</v>
      </c>
      <c r="BY22" s="50">
        <f>IF($AN22="N","N",SUM('調查資料(OUT)'!W28:W31))</f>
        <v>0</v>
      </c>
      <c r="BZ22" s="56" t="e">
        <f t="shared" si="111"/>
        <v>#DIV/0!</v>
      </c>
      <c r="CA22" s="50">
        <f t="shared" si="112"/>
        <v>0</v>
      </c>
      <c r="CB22" s="50">
        <f>IF($AN22="N","N",SUM('調查資料(OUT)'!P28:P31))</f>
        <v>0</v>
      </c>
      <c r="CC22" s="50">
        <f>IF($AN22="N","N",SUM('調查資料(OUT)'!T28:T31))</f>
        <v>0</v>
      </c>
      <c r="CD22" s="50">
        <f>IF($AN22="N","N",SUM('調查資料(OUT)'!X28:X31))</f>
        <v>0</v>
      </c>
      <c r="CE22" s="56" t="e">
        <f t="shared" si="113"/>
        <v>#DIV/0!</v>
      </c>
      <c r="CF22" s="50">
        <f t="shared" si="114"/>
        <v>0</v>
      </c>
      <c r="CG22" s="50">
        <f>IF($AN22="N","N",SUM('調查資料(OUT)'!Q28:Q31))</f>
        <v>0</v>
      </c>
      <c r="CH22" s="50">
        <f>IF($AN22="N","N",SUM('調查資料(OUT)'!U28:U31))</f>
        <v>0</v>
      </c>
      <c r="CI22" s="50">
        <f>IF($AN22="N","N",SUM('調查資料(OUT)'!Y28:Y31))</f>
        <v>0</v>
      </c>
      <c r="CJ22" s="56" t="e">
        <f t="shared" si="115"/>
        <v>#DIV/0!</v>
      </c>
      <c r="CK22" s="50">
        <f t="shared" si="116"/>
        <v>0</v>
      </c>
      <c r="CL22" s="56" t="e">
        <f t="shared" si="117"/>
        <v>#DIV/0!</v>
      </c>
      <c r="CM22" s="50">
        <f t="shared" si="118"/>
        <v>0</v>
      </c>
      <c r="CN22" s="56" t="e">
        <f t="shared" si="119"/>
        <v>#DIV/0!</v>
      </c>
      <c r="CO22" s="50">
        <f t="shared" si="120"/>
        <v>0</v>
      </c>
      <c r="CP22" s="56" t="e">
        <f t="shared" si="121"/>
        <v>#DIV/0!</v>
      </c>
      <c r="CQ22" s="50">
        <f t="shared" si="122"/>
        <v>0</v>
      </c>
      <c r="CR22" s="50">
        <f t="shared" si="123"/>
        <v>0</v>
      </c>
      <c r="CS22" s="50">
        <f>IF($AN22="N","N",SUM('調查資料(OUT)'!Z28:Z31))</f>
        <v>0</v>
      </c>
      <c r="CT22" s="50">
        <f>IF($AN22="N","N",SUM('調查資料(OUT)'!AD28:AD31))</f>
        <v>0</v>
      </c>
      <c r="CU22" s="50">
        <f>IF($AN22="N","N",SUM('調查資料(OUT)'!AH28:AH31))</f>
        <v>0</v>
      </c>
      <c r="CV22" s="56" t="e">
        <f t="shared" si="124"/>
        <v>#DIV/0!</v>
      </c>
      <c r="CW22" s="50">
        <f t="shared" si="125"/>
        <v>0</v>
      </c>
      <c r="CX22" s="50">
        <f>IF($AN22="N","N",SUM('調查資料(OUT)'!AA28:AA31))</f>
        <v>0</v>
      </c>
      <c r="CY22" s="50">
        <f>IF($AN22="N","N",SUM('調查資料(OUT)'!AE28:AE31))</f>
        <v>0</v>
      </c>
      <c r="CZ22" s="50">
        <f>IF($AN22="N","N",SUM('調查資料(OUT)'!AI28:AI31))</f>
        <v>0</v>
      </c>
      <c r="DA22" s="56" t="e">
        <f t="shared" si="126"/>
        <v>#DIV/0!</v>
      </c>
      <c r="DB22" s="50">
        <f t="shared" si="127"/>
        <v>0</v>
      </c>
      <c r="DC22" s="50">
        <f>IF($AN22="N","N",SUM('調查資料(OUT)'!AB28:AB31))</f>
        <v>0</v>
      </c>
      <c r="DD22" s="50">
        <f>IF($AN22="N","N",SUM('調查資料(OUT)'!AF28:AF31))</f>
        <v>0</v>
      </c>
      <c r="DE22" s="50">
        <f>IF($AN22="N","N",SUM('調查資料(OUT)'!AJ28:AJ31))</f>
        <v>0</v>
      </c>
      <c r="DF22" s="56" t="e">
        <f t="shared" si="128"/>
        <v>#DIV/0!</v>
      </c>
      <c r="DG22" s="50">
        <f t="shared" si="129"/>
        <v>0</v>
      </c>
      <c r="DH22" s="50">
        <f>IF($AN22="N","N",SUM('調查資料(OUT)'!AC28:AC31))</f>
        <v>0</v>
      </c>
      <c r="DI22" s="50">
        <f>IF($AN22="N","N",SUM('調查資料(OUT)'!AG28:AG31))</f>
        <v>0</v>
      </c>
      <c r="DJ22" s="50">
        <f>IF($AN22="N","N",SUM('調查資料(OUT)'!AK28:AK31))</f>
        <v>0</v>
      </c>
      <c r="DK22" s="56" t="e">
        <f t="shared" si="130"/>
        <v>#DIV/0!</v>
      </c>
      <c r="DL22" s="50">
        <f t="shared" si="131"/>
        <v>0</v>
      </c>
      <c r="DM22" s="56" t="e">
        <f t="shared" si="132"/>
        <v>#DIV/0!</v>
      </c>
      <c r="DN22" s="50">
        <f t="shared" si="133"/>
        <v>0</v>
      </c>
      <c r="DO22" s="56" t="e">
        <f t="shared" si="134"/>
        <v>#DIV/0!</v>
      </c>
      <c r="DP22" s="50">
        <f t="shared" si="135"/>
        <v>0</v>
      </c>
      <c r="DQ22" s="56" t="e">
        <f t="shared" si="136"/>
        <v>#DIV/0!</v>
      </c>
      <c r="DR22" s="50">
        <f t="shared" si="137"/>
        <v>0</v>
      </c>
      <c r="DS22" s="50">
        <f t="shared" si="138"/>
        <v>0</v>
      </c>
      <c r="DT22" s="50">
        <f>IF($AN22="N","N",SUM('調查資料(OUT)'!AL28:AL31))</f>
        <v>0</v>
      </c>
      <c r="DU22" s="50">
        <f>IF($AN22="N","N",SUM('調查資料(OUT)'!AP28:AP31))</f>
        <v>0</v>
      </c>
      <c r="DV22" s="50">
        <f>IF($AN22="N","N",SUM('調查資料(OUT)'!AT28:AT31))</f>
        <v>0</v>
      </c>
      <c r="DW22" s="56" t="e">
        <f t="shared" si="139"/>
        <v>#DIV/0!</v>
      </c>
      <c r="DX22" s="50">
        <f t="shared" si="140"/>
        <v>0</v>
      </c>
      <c r="DY22" s="50">
        <f>IF($AN22="N","N",SUM('調查資料(OUT)'!AM28:AM31))</f>
        <v>0</v>
      </c>
      <c r="DZ22" s="50">
        <f>IF($AN22="N","N",SUM('調查資料(OUT)'!AQ28:AQ31))</f>
        <v>0</v>
      </c>
      <c r="EA22" s="50">
        <f>IF($AN22="N","N",SUM('調查資料(OUT)'!AU28:AU31))</f>
        <v>0</v>
      </c>
      <c r="EB22" s="56" t="e">
        <f t="shared" si="141"/>
        <v>#DIV/0!</v>
      </c>
      <c r="EC22" s="50">
        <f t="shared" si="142"/>
        <v>0</v>
      </c>
      <c r="ED22" s="50">
        <f>IF($AN22="N","N",SUM('調查資料(OUT)'!AN28:AN31))</f>
        <v>0</v>
      </c>
      <c r="EE22" s="50">
        <f>IF($AN22="N","N",SUM('調查資料(OUT)'!AR28:AR31))</f>
        <v>0</v>
      </c>
      <c r="EF22" s="50">
        <f>IF($AN22="N","N",SUM('調查資料(OUT)'!AV28:AV31))</f>
        <v>0</v>
      </c>
      <c r="EG22" s="56" t="e">
        <f t="shared" si="143"/>
        <v>#DIV/0!</v>
      </c>
      <c r="EH22" s="50">
        <f t="shared" si="144"/>
        <v>0</v>
      </c>
      <c r="EI22" s="50">
        <f>IF($AN22="N","N",SUM('調查資料(OUT)'!AO28:AO31))</f>
        <v>0</v>
      </c>
      <c r="EJ22" s="50">
        <f>IF($AN22="N","N",SUM('調查資料(OUT)'!AS28:AS31))</f>
        <v>0</v>
      </c>
      <c r="EK22" s="50">
        <f>IF($AN22="N","N",SUM('調查資料(OUT)'!AW28:AW31))</f>
        <v>0</v>
      </c>
      <c r="EL22" s="56" t="e">
        <f t="shared" si="145"/>
        <v>#DIV/0!</v>
      </c>
      <c r="EM22" s="50">
        <f t="shared" si="146"/>
        <v>0</v>
      </c>
      <c r="EN22" s="56" t="e">
        <f t="shared" si="147"/>
        <v>#DIV/0!</v>
      </c>
      <c r="EO22" s="50">
        <f t="shared" si="148"/>
        <v>0</v>
      </c>
      <c r="EP22" s="56" t="e">
        <f t="shared" si="149"/>
        <v>#DIV/0!</v>
      </c>
      <c r="EQ22" s="50">
        <f t="shared" si="150"/>
        <v>0</v>
      </c>
      <c r="ER22" s="56" t="e">
        <f t="shared" si="151"/>
        <v>#DIV/0!</v>
      </c>
      <c r="ES22" s="50">
        <f t="shared" si="152"/>
        <v>0</v>
      </c>
      <c r="ET22" s="50">
        <f t="shared" si="153"/>
        <v>0</v>
      </c>
      <c r="EU22" s="50">
        <f>IF($AN22="N","N",SUM('調查資料(OUT)'!AX28:AX31))</f>
        <v>0</v>
      </c>
      <c r="EV22" s="50">
        <f>IF($AN22="N","N",SUM('調查資料(OUT)'!BB28:BB31))</f>
        <v>0</v>
      </c>
      <c r="EW22" s="50">
        <f>IF($AN22="N","N",SUM('調查資料(OUT)'!BF28:BF31))</f>
        <v>0</v>
      </c>
      <c r="EX22" s="56" t="e">
        <f t="shared" si="154"/>
        <v>#DIV/0!</v>
      </c>
      <c r="EY22" s="50">
        <f t="shared" si="155"/>
        <v>0</v>
      </c>
      <c r="EZ22" s="50">
        <f>IF($AN22="N","N",SUM('調查資料(OUT)'!AY28:AY31))</f>
        <v>0</v>
      </c>
      <c r="FA22" s="50">
        <f>IF($AN22="N","N",SUM('調查資料(OUT)'!BC28:BC31))</f>
        <v>0</v>
      </c>
      <c r="FB22" s="50">
        <f>IF($AN22="N","N",SUM('調查資料(OUT)'!BG28:BG31))</f>
        <v>0</v>
      </c>
      <c r="FC22" s="56" t="e">
        <f t="shared" si="156"/>
        <v>#DIV/0!</v>
      </c>
      <c r="FD22" s="50">
        <f t="shared" si="157"/>
        <v>0</v>
      </c>
      <c r="FE22" s="50">
        <f>IF($AN22="N","N",SUM('調查資料(OUT)'!AZ28:AZ31))</f>
        <v>0</v>
      </c>
      <c r="FF22" s="50">
        <f>IF($AN22="N","N",SUM('調查資料(OUT)'!BD28:BD31))</f>
        <v>0</v>
      </c>
      <c r="FG22" s="50">
        <f>IF($AN22="N","N",SUM('調查資料(OUT)'!BH28:BH31))</f>
        <v>0</v>
      </c>
      <c r="FH22" s="56" t="e">
        <f t="shared" si="158"/>
        <v>#DIV/0!</v>
      </c>
      <c r="FI22" s="50">
        <f t="shared" si="159"/>
        <v>0</v>
      </c>
      <c r="FJ22" s="50">
        <f>IF($AN22="N","N",SUM('調查資料(OUT)'!BA28:BA31))</f>
        <v>0</v>
      </c>
      <c r="FK22" s="50">
        <f>IF($AN22="N","N",SUM('調查資料(OUT)'!BE28:BE31))</f>
        <v>0</v>
      </c>
      <c r="FL22" s="50">
        <f>IF($AN22="N","N",SUM('調查資料(OUT)'!BI28:BI31))</f>
        <v>0</v>
      </c>
      <c r="FM22" s="56" t="e">
        <f t="shared" si="160"/>
        <v>#DIV/0!</v>
      </c>
      <c r="FN22" s="50">
        <f t="shared" si="161"/>
        <v>0</v>
      </c>
      <c r="FO22" s="56" t="e">
        <f t="shared" si="162"/>
        <v>#DIV/0!</v>
      </c>
      <c r="FP22" s="50">
        <f t="shared" si="163"/>
        <v>0</v>
      </c>
      <c r="FQ22" s="56" t="e">
        <f t="shared" si="164"/>
        <v>#DIV/0!</v>
      </c>
      <c r="FR22" s="50">
        <f t="shared" si="165"/>
        <v>0</v>
      </c>
      <c r="FS22" s="56" t="e">
        <f t="shared" si="166"/>
        <v>#DIV/0!</v>
      </c>
      <c r="FT22" s="50">
        <f t="shared" si="167"/>
        <v>0</v>
      </c>
    </row>
    <row r="23" spans="1:176">
      <c r="A23" s="274">
        <f>'調查資料(OUT)'!A29</f>
        <v>430</v>
      </c>
      <c r="B23" s="50">
        <f t="shared" si="81"/>
        <v>0</v>
      </c>
      <c r="C23" s="50">
        <f>IFERROR('調查資料(OUT)'!$B$1*'調查資料(OUT)'!B29,0)+IFERROR('調查資料(OUT)'!$F$1*'調查資料(OUT)'!F29,0)+IFERROR('調查資料(OUT)'!$J$1*'調查資料(OUT)'!J29,0)</f>
        <v>0</v>
      </c>
      <c r="D23" s="50">
        <f>IFERROR('調查資料(OUT)'!$C$1*'調查資料(OUT)'!C29,0)+IFERROR('調查資料(OUT)'!$G$1*'調查資料(OUT)'!G29,0)+IFERROR('調查資料(OUT)'!$K$1*'調查資料(OUT)'!K29,0)</f>
        <v>0</v>
      </c>
      <c r="E23" s="50">
        <f>IFERROR('調查資料(OUT)'!$D$1*'調查資料(OUT)'!D29,0)+IFERROR('調查資料(OUT)'!$H$1*'調查資料(OUT)'!H29,0)+IFERROR('調查資料(OUT)'!$L$1*'調查資料(OUT)'!L29,0)</f>
        <v>0</v>
      </c>
      <c r="F23" s="252">
        <f>IFERROR('調查資料(OUT)'!$E$1*'調查資料(OUT)'!E29,0)+IFERROR('調查資料(OUT)'!$I$1*'調查資料(OUT)'!I29,0)+IFERROR('調查資料(OUT)'!$M$1*'調查資料(OUT)'!M29,0)</f>
        <v>0</v>
      </c>
      <c r="G23" s="50">
        <f t="shared" si="82"/>
        <v>0</v>
      </c>
      <c r="H23" s="50">
        <f>IFERROR('調查資料(OUT)'!$N$1*'調查資料(OUT)'!N29,0)+IFERROR('調查資料(OUT)'!$R$1*'調查資料(OUT)'!R29,0)+IFERROR('調查資料(OUT)'!$V$1*'調查資料(OUT)'!V29,0)</f>
        <v>0</v>
      </c>
      <c r="I23" s="50">
        <f>IFERROR('調查資料(OUT)'!$O$1*'調查資料(OUT)'!O29,0)+IFERROR('調查資料(OUT)'!$S$1*'調查資料(OUT)'!S29,0)+IFERROR('調查資料(OUT)'!$W$1*'調查資料(OUT)'!W29,0)</f>
        <v>0</v>
      </c>
      <c r="J23" s="50">
        <f>IFERROR('調查資料(OUT)'!$P$1*'調查資料(OUT)'!P29,0)+IFERROR('調查資料(OUT)'!$T$1*'調查資料(OUT)'!T29,0)+IFERROR('調查資料(OUT)'!$X$1*'調查資料(OUT)'!X29,0)</f>
        <v>0</v>
      </c>
      <c r="K23" s="252">
        <f>IFERROR('調查資料(OUT)'!$Q$1*'調查資料(OUT)'!Q29,0)+IFERROR('調查資料(OUT)'!$U$1*'調查資料(OUT)'!U29,0)+IFERROR('調查資料(OUT)'!$Y$1*'調查資料(OUT)'!Y29,0)</f>
        <v>0</v>
      </c>
      <c r="L23" s="50">
        <f t="shared" si="83"/>
        <v>0</v>
      </c>
      <c r="M23" s="50">
        <f>IFERROR('調查資料(OUT)'!$Z$1*'調查資料(OUT)'!Z29,0)+IFERROR('調查資料(OUT)'!$AD$1*'調查資料(OUT)'!AD29,0)+IFERROR('調查資料(OUT)'!$AH$1*'調查資料(OUT)'!AH29,0)</f>
        <v>0</v>
      </c>
      <c r="N23" s="50">
        <f>IFERROR('調查資料(OUT)'!$AA$1*'調查資料(OUT)'!AA29,0)+IFERROR('調查資料(OUT)'!$AE$1*'調查資料(OUT)'!AE29,0)+IFERROR('調查資料(OUT)'!$AI$1*'調查資料(OUT)'!AI29,0)</f>
        <v>0</v>
      </c>
      <c r="O23" s="50">
        <f>IFERROR('調查資料(OUT)'!$AB$1*'調查資料(OUT)'!AB29,0)+IFERROR('調查資料(OUT)'!$AF$1*'調查資料(OUT)'!AF29,0)+IFERROR('調查資料(OUT)'!$AJ$1*'調查資料(OUT)'!AJ29,0)</f>
        <v>0</v>
      </c>
      <c r="P23" s="252">
        <f>IFERROR('調查資料(OUT)'!$AC$1*'調查資料(OUT)'!AC29,0)+IFERROR('調查資料(OUT)'!$AG$1*'調查資料(OUT)'!AG29,0)+IFERROR('調查資料(OUT)'!$AK$1*'調查資料(OUT)'!AK29,0)</f>
        <v>0</v>
      </c>
      <c r="Q23" s="50">
        <f t="shared" si="84"/>
        <v>0</v>
      </c>
      <c r="R23" s="50">
        <f>IFERROR('調查資料(OUT)'!$AL$1*'調查資料(OUT)'!AL29,0)+IFERROR('調查資料(OUT)'!$AP$1*'調查資料(OUT)'!AP29,0)+IFERROR('調查資料(OUT)'!$AT$1*'調查資料(OUT)'!AT29,0)</f>
        <v>0</v>
      </c>
      <c r="S23" s="50">
        <f>IFERROR('調查資料(OUT)'!$AM$1*'調查資料(OUT)'!AM29,0)+IFERROR('調查資料(OUT)'!$AQ$1*'調查資料(OUT)'!AQ29,0)+IFERROR('調查資料(OUT)'!$AU$1*'調查資料(OUT)'!AU29,0)</f>
        <v>0</v>
      </c>
      <c r="T23" s="50">
        <f>IFERROR('調查資料(OUT)'!$AN$1*'調查資料(OUT)'!AN29,0)+IFERROR('調查資料(OUT)'!$AR$1*'調查資料(OUT)'!AR29,0)+IFERROR('調查資料(OUT)'!$AV$1*'調查資料(OUT)'!AV29,0)</f>
        <v>0</v>
      </c>
      <c r="U23" s="252">
        <f>IFERROR('調查資料(OUT)'!$AO$1*'調查資料(OUT)'!AO29,0)+IFERROR('調查資料(OUT)'!$AS$1*'調查資料(OUT)'!AS29,0)+IFERROR('調查資料(OUT)'!$AW$1*'調查資料(OUT)'!AW29,0)</f>
        <v>0</v>
      </c>
      <c r="V23" s="50">
        <f t="shared" si="85"/>
        <v>0</v>
      </c>
      <c r="W23" s="50">
        <f>IFERROR('調查資料(OUT)'!$AX$1*'調查資料(OUT)'!AX29,0)+IFERROR('調查資料(OUT)'!$BB$1*'調查資料(OUT)'!BB29,0)+IFERROR('調查資料(OUT)'!$BF$1*'調查資料(OUT)'!BF29,0)</f>
        <v>0</v>
      </c>
      <c r="X23" s="50">
        <f>IFERROR('調查資料(OUT)'!$AY$1*'調查資料(OUT)'!AY29,0)+IFERROR('調查資料(OUT)'!$BC$1*'調查資料(OUT)'!BC29,0)+IFERROR('調查資料(OUT)'!$BG$1*'調查資料(OUT)'!BG29,0)</f>
        <v>0</v>
      </c>
      <c r="Y23" s="50">
        <f>IFERROR('調查資料(OUT)'!$AZ$1*'調查資料(OUT)'!AZ29,0)+IFERROR('調查資料(OUT)'!$BD$1*'調查資料(OUT)'!BD29,0)+IFERROR('調查資料(OUT)'!$BH$1*'調查資料(OUT)'!BH29,0)</f>
        <v>0</v>
      </c>
      <c r="Z23" s="252">
        <f>IFERROR('調查資料(OUT)'!$BA$1*'調查資料(OUT)'!BA29,0)+IFERROR('調查資料(OUT)'!$BE$1*'調查資料(OUT)'!BE29,0)+IFERROR('調查資料(OUT)'!$BI$1*'調查資料(OUT)'!BI29,0)</f>
        <v>0</v>
      </c>
      <c r="AA23" s="253">
        <f t="shared" si="86"/>
        <v>0</v>
      </c>
      <c r="AC23" s="251">
        <f>'調查資料(OUT)'!A29</f>
        <v>430</v>
      </c>
      <c r="AD23" s="254">
        <f t="shared" si="91"/>
        <v>530</v>
      </c>
      <c r="AE23" s="50">
        <f t="shared" si="92"/>
        <v>0</v>
      </c>
      <c r="AF23" s="255"/>
      <c r="AG23" s="50">
        <f t="shared" si="1"/>
        <v>0</v>
      </c>
      <c r="AH23" s="256" t="e">
        <f t="shared" si="2"/>
        <v>#DIV/0!</v>
      </c>
      <c r="AI23" s="256" t="e">
        <f t="shared" si="3"/>
        <v>#DIV/0!</v>
      </c>
      <c r="AJ23" s="256" t="e">
        <f t="shared" si="4"/>
        <v>#DIV/0!</v>
      </c>
      <c r="AK23" s="256" t="e">
        <f t="shared" si="5"/>
        <v>#DIV/0!</v>
      </c>
      <c r="AL23" s="256" t="e">
        <f t="shared" si="6"/>
        <v>#DIV/0!</v>
      </c>
      <c r="AM23" s="257"/>
      <c r="AN23" s="50">
        <f t="shared" si="7"/>
        <v>430</v>
      </c>
      <c r="AO23" s="252">
        <f t="shared" si="8"/>
        <v>530</v>
      </c>
      <c r="AP23" s="50">
        <f t="shared" si="93"/>
        <v>0</v>
      </c>
      <c r="AQ23" s="50">
        <f>IF($AN23="N","N",SUM('調查資料(OUT)'!B29:B32))</f>
        <v>0</v>
      </c>
      <c r="AR23" s="50">
        <f>IF($AN23="N","N",SUM('調查資料(OUT)'!F29:F32))</f>
        <v>0</v>
      </c>
      <c r="AS23" s="50">
        <f>IF($AN23="N","N",SUM('調查資料(OUT)'!J29:J32))</f>
        <v>0</v>
      </c>
      <c r="AT23" s="56" t="e">
        <f t="shared" si="94"/>
        <v>#DIV/0!</v>
      </c>
      <c r="AU23" s="50">
        <f t="shared" si="95"/>
        <v>0</v>
      </c>
      <c r="AV23" s="50">
        <f>IF($AN23="N","N",SUM('調查資料(OUT)'!C29:C32))</f>
        <v>0</v>
      </c>
      <c r="AW23" s="50">
        <f>IF($AN23="N","N",SUM('調查資料(OUT)'!G29:G32))</f>
        <v>0</v>
      </c>
      <c r="AX23" s="50">
        <f>IF($AN23="N","N",SUM('調查資料(OUT)'!K29:K32))</f>
        <v>0</v>
      </c>
      <c r="AY23" s="56" t="e">
        <f t="shared" si="96"/>
        <v>#DIV/0!</v>
      </c>
      <c r="AZ23" s="50">
        <f t="shared" si="97"/>
        <v>0</v>
      </c>
      <c r="BA23" s="50">
        <f>IF($AN23="N","N",SUM('調查資料(OUT)'!D29:D32))</f>
        <v>0</v>
      </c>
      <c r="BB23" s="50">
        <f>IF($AN23="N","N",SUM('調查資料(OUT)'!H29:H32))</f>
        <v>0</v>
      </c>
      <c r="BC23" s="50">
        <f>IF($AN23="N","N",SUM('調查資料(OUT)'!L29:L32))</f>
        <v>0</v>
      </c>
      <c r="BD23" s="56" t="e">
        <f t="shared" si="98"/>
        <v>#DIV/0!</v>
      </c>
      <c r="BE23" s="50">
        <f t="shared" si="99"/>
        <v>0</v>
      </c>
      <c r="BF23" s="50">
        <f>IF($AN23="N","N",SUM('調查資料(OUT)'!E29:E32))</f>
        <v>0</v>
      </c>
      <c r="BG23" s="50">
        <f>IF($AN23="N","N",SUM('調查資料(OUT)'!I29:I32))</f>
        <v>0</v>
      </c>
      <c r="BH23" s="50">
        <f>IF($AN23="N","N",SUM('調查資料(OUT)'!M29:M32))</f>
        <v>0</v>
      </c>
      <c r="BI23" s="56" t="e">
        <f t="shared" si="100"/>
        <v>#DIV/0!</v>
      </c>
      <c r="BJ23" s="50">
        <f t="shared" si="101"/>
        <v>0</v>
      </c>
      <c r="BK23" s="56" t="e">
        <f t="shared" si="102"/>
        <v>#DIV/0!</v>
      </c>
      <c r="BL23" s="50">
        <f t="shared" si="103"/>
        <v>0</v>
      </c>
      <c r="BM23" s="56" t="e">
        <f t="shared" si="104"/>
        <v>#DIV/0!</v>
      </c>
      <c r="BN23" s="50">
        <f t="shared" si="105"/>
        <v>0</v>
      </c>
      <c r="BO23" s="56" t="e">
        <f t="shared" si="106"/>
        <v>#DIV/0!</v>
      </c>
      <c r="BP23" s="50">
        <f t="shared" si="107"/>
        <v>0</v>
      </c>
      <c r="BQ23" s="50">
        <f t="shared" si="108"/>
        <v>0</v>
      </c>
      <c r="BR23" s="50">
        <f>IF($AN23="N","N",SUM('調查資料(OUT)'!N29:N32))</f>
        <v>0</v>
      </c>
      <c r="BS23" s="50">
        <f>IF($AN23="N","N",SUM('調查資料(OUT)'!R29:R32))</f>
        <v>0</v>
      </c>
      <c r="BT23" s="50">
        <f>IF($AN23="N","N",SUM('調查資料(OUT)'!V29:V32))</f>
        <v>0</v>
      </c>
      <c r="BU23" s="56" t="e">
        <f t="shared" si="109"/>
        <v>#DIV/0!</v>
      </c>
      <c r="BV23" s="50">
        <f t="shared" si="110"/>
        <v>0</v>
      </c>
      <c r="BW23" s="50">
        <f>IF($AN23="N","N",SUM('調查資料(OUT)'!O29:O32))</f>
        <v>0</v>
      </c>
      <c r="BX23" s="50">
        <f>IF($AN23="N","N",SUM('調查資料(OUT)'!S29:S32))</f>
        <v>0</v>
      </c>
      <c r="BY23" s="50">
        <f>IF($AN23="N","N",SUM('調查資料(OUT)'!W29:W32))</f>
        <v>0</v>
      </c>
      <c r="BZ23" s="56" t="e">
        <f t="shared" si="111"/>
        <v>#DIV/0!</v>
      </c>
      <c r="CA23" s="50">
        <f t="shared" si="112"/>
        <v>0</v>
      </c>
      <c r="CB23" s="50">
        <f>IF($AN23="N","N",SUM('調查資料(OUT)'!P29:P32))</f>
        <v>0</v>
      </c>
      <c r="CC23" s="50">
        <f>IF($AN23="N","N",SUM('調查資料(OUT)'!T29:T32))</f>
        <v>0</v>
      </c>
      <c r="CD23" s="50">
        <f>IF($AN23="N","N",SUM('調查資料(OUT)'!X29:X32))</f>
        <v>0</v>
      </c>
      <c r="CE23" s="56" t="e">
        <f t="shared" si="113"/>
        <v>#DIV/0!</v>
      </c>
      <c r="CF23" s="50">
        <f t="shared" si="114"/>
        <v>0</v>
      </c>
      <c r="CG23" s="50">
        <f>IF($AN23="N","N",SUM('調查資料(OUT)'!Q29:Q32))</f>
        <v>0</v>
      </c>
      <c r="CH23" s="50">
        <f>IF($AN23="N","N",SUM('調查資料(OUT)'!U29:U32))</f>
        <v>0</v>
      </c>
      <c r="CI23" s="50">
        <f>IF($AN23="N","N",SUM('調查資料(OUT)'!Y29:Y32))</f>
        <v>0</v>
      </c>
      <c r="CJ23" s="56" t="e">
        <f t="shared" si="115"/>
        <v>#DIV/0!</v>
      </c>
      <c r="CK23" s="50">
        <f t="shared" si="116"/>
        <v>0</v>
      </c>
      <c r="CL23" s="56" t="e">
        <f t="shared" si="117"/>
        <v>#DIV/0!</v>
      </c>
      <c r="CM23" s="50">
        <f t="shared" si="118"/>
        <v>0</v>
      </c>
      <c r="CN23" s="56" t="e">
        <f t="shared" si="119"/>
        <v>#DIV/0!</v>
      </c>
      <c r="CO23" s="50">
        <f t="shared" si="120"/>
        <v>0</v>
      </c>
      <c r="CP23" s="56" t="e">
        <f t="shared" si="121"/>
        <v>#DIV/0!</v>
      </c>
      <c r="CQ23" s="50">
        <f t="shared" si="122"/>
        <v>0</v>
      </c>
      <c r="CR23" s="50">
        <f t="shared" si="123"/>
        <v>0</v>
      </c>
      <c r="CS23" s="50">
        <f>IF($AN23="N","N",SUM('調查資料(OUT)'!Z29:Z32))</f>
        <v>0</v>
      </c>
      <c r="CT23" s="50">
        <f>IF($AN23="N","N",SUM('調查資料(OUT)'!AD29:AD32))</f>
        <v>0</v>
      </c>
      <c r="CU23" s="50">
        <f>IF($AN23="N","N",SUM('調查資料(OUT)'!AH29:AH32))</f>
        <v>0</v>
      </c>
      <c r="CV23" s="56" t="e">
        <f t="shared" si="124"/>
        <v>#DIV/0!</v>
      </c>
      <c r="CW23" s="50">
        <f t="shared" si="125"/>
        <v>0</v>
      </c>
      <c r="CX23" s="50">
        <f>IF($AN23="N","N",SUM('調查資料(OUT)'!AA29:AA32))</f>
        <v>0</v>
      </c>
      <c r="CY23" s="50">
        <f>IF($AN23="N","N",SUM('調查資料(OUT)'!AE29:AE32))</f>
        <v>0</v>
      </c>
      <c r="CZ23" s="50">
        <f>IF($AN23="N","N",SUM('調查資料(OUT)'!AI29:AI32))</f>
        <v>0</v>
      </c>
      <c r="DA23" s="56" t="e">
        <f t="shared" si="126"/>
        <v>#DIV/0!</v>
      </c>
      <c r="DB23" s="50">
        <f t="shared" si="127"/>
        <v>0</v>
      </c>
      <c r="DC23" s="50">
        <f>IF($AN23="N","N",SUM('調查資料(OUT)'!AB29:AB32))</f>
        <v>0</v>
      </c>
      <c r="DD23" s="50">
        <f>IF($AN23="N","N",SUM('調查資料(OUT)'!AF29:AF32))</f>
        <v>0</v>
      </c>
      <c r="DE23" s="50">
        <f>IF($AN23="N","N",SUM('調查資料(OUT)'!AJ29:AJ32))</f>
        <v>0</v>
      </c>
      <c r="DF23" s="56" t="e">
        <f t="shared" si="128"/>
        <v>#DIV/0!</v>
      </c>
      <c r="DG23" s="50">
        <f t="shared" si="129"/>
        <v>0</v>
      </c>
      <c r="DH23" s="50">
        <f>IF($AN23="N","N",SUM('調查資料(OUT)'!AC29:AC32))</f>
        <v>0</v>
      </c>
      <c r="DI23" s="50">
        <f>IF($AN23="N","N",SUM('調查資料(OUT)'!AG29:AG32))</f>
        <v>0</v>
      </c>
      <c r="DJ23" s="50">
        <f>IF($AN23="N","N",SUM('調查資料(OUT)'!AK29:AK32))</f>
        <v>0</v>
      </c>
      <c r="DK23" s="56" t="e">
        <f t="shared" si="130"/>
        <v>#DIV/0!</v>
      </c>
      <c r="DL23" s="50">
        <f t="shared" si="131"/>
        <v>0</v>
      </c>
      <c r="DM23" s="56" t="e">
        <f t="shared" si="132"/>
        <v>#DIV/0!</v>
      </c>
      <c r="DN23" s="50">
        <f t="shared" si="133"/>
        <v>0</v>
      </c>
      <c r="DO23" s="56" t="e">
        <f t="shared" si="134"/>
        <v>#DIV/0!</v>
      </c>
      <c r="DP23" s="50">
        <f t="shared" si="135"/>
        <v>0</v>
      </c>
      <c r="DQ23" s="56" t="e">
        <f t="shared" si="136"/>
        <v>#DIV/0!</v>
      </c>
      <c r="DR23" s="50">
        <f t="shared" si="137"/>
        <v>0</v>
      </c>
      <c r="DS23" s="50">
        <f t="shared" si="138"/>
        <v>0</v>
      </c>
      <c r="DT23" s="50">
        <f>IF($AN23="N","N",SUM('調查資料(OUT)'!AL29:AL32))</f>
        <v>0</v>
      </c>
      <c r="DU23" s="50">
        <f>IF($AN23="N","N",SUM('調查資料(OUT)'!AP29:AP32))</f>
        <v>0</v>
      </c>
      <c r="DV23" s="50">
        <f>IF($AN23="N","N",SUM('調查資料(OUT)'!AT29:AT32))</f>
        <v>0</v>
      </c>
      <c r="DW23" s="56" t="e">
        <f t="shared" si="139"/>
        <v>#DIV/0!</v>
      </c>
      <c r="DX23" s="50">
        <f t="shared" si="140"/>
        <v>0</v>
      </c>
      <c r="DY23" s="50">
        <f>IF($AN23="N","N",SUM('調查資料(OUT)'!AM29:AM32))</f>
        <v>0</v>
      </c>
      <c r="DZ23" s="50">
        <f>IF($AN23="N","N",SUM('調查資料(OUT)'!AQ29:AQ32))</f>
        <v>0</v>
      </c>
      <c r="EA23" s="50">
        <f>IF($AN23="N","N",SUM('調查資料(OUT)'!AU29:AU32))</f>
        <v>0</v>
      </c>
      <c r="EB23" s="56" t="e">
        <f t="shared" si="141"/>
        <v>#DIV/0!</v>
      </c>
      <c r="EC23" s="50">
        <f t="shared" si="142"/>
        <v>0</v>
      </c>
      <c r="ED23" s="50">
        <f>IF($AN23="N","N",SUM('調查資料(OUT)'!AN29:AN32))</f>
        <v>0</v>
      </c>
      <c r="EE23" s="50">
        <f>IF($AN23="N","N",SUM('調查資料(OUT)'!AR29:AR32))</f>
        <v>0</v>
      </c>
      <c r="EF23" s="50">
        <f>IF($AN23="N","N",SUM('調查資料(OUT)'!AV29:AV32))</f>
        <v>0</v>
      </c>
      <c r="EG23" s="56" t="e">
        <f t="shared" si="143"/>
        <v>#DIV/0!</v>
      </c>
      <c r="EH23" s="50">
        <f t="shared" si="144"/>
        <v>0</v>
      </c>
      <c r="EI23" s="50">
        <f>IF($AN23="N","N",SUM('調查資料(OUT)'!AO29:AO32))</f>
        <v>0</v>
      </c>
      <c r="EJ23" s="50">
        <f>IF($AN23="N","N",SUM('調查資料(OUT)'!AS29:AS32))</f>
        <v>0</v>
      </c>
      <c r="EK23" s="50">
        <f>IF($AN23="N","N",SUM('調查資料(OUT)'!AW29:AW32))</f>
        <v>0</v>
      </c>
      <c r="EL23" s="56" t="e">
        <f t="shared" si="145"/>
        <v>#DIV/0!</v>
      </c>
      <c r="EM23" s="50">
        <f t="shared" si="146"/>
        <v>0</v>
      </c>
      <c r="EN23" s="56" t="e">
        <f t="shared" si="147"/>
        <v>#DIV/0!</v>
      </c>
      <c r="EO23" s="50">
        <f t="shared" si="148"/>
        <v>0</v>
      </c>
      <c r="EP23" s="56" t="e">
        <f t="shared" si="149"/>
        <v>#DIV/0!</v>
      </c>
      <c r="EQ23" s="50">
        <f t="shared" si="150"/>
        <v>0</v>
      </c>
      <c r="ER23" s="56" t="e">
        <f t="shared" si="151"/>
        <v>#DIV/0!</v>
      </c>
      <c r="ES23" s="50">
        <f t="shared" si="152"/>
        <v>0</v>
      </c>
      <c r="ET23" s="50">
        <f t="shared" si="153"/>
        <v>0</v>
      </c>
      <c r="EU23" s="50">
        <f>IF($AN23="N","N",SUM('調查資料(OUT)'!AX29:AX32))</f>
        <v>0</v>
      </c>
      <c r="EV23" s="50">
        <f>IF($AN23="N","N",SUM('調查資料(OUT)'!BB29:BB32))</f>
        <v>0</v>
      </c>
      <c r="EW23" s="50">
        <f>IF($AN23="N","N",SUM('調查資料(OUT)'!BF29:BF32))</f>
        <v>0</v>
      </c>
      <c r="EX23" s="56" t="e">
        <f t="shared" si="154"/>
        <v>#DIV/0!</v>
      </c>
      <c r="EY23" s="50">
        <f t="shared" si="155"/>
        <v>0</v>
      </c>
      <c r="EZ23" s="50">
        <f>IF($AN23="N","N",SUM('調查資料(OUT)'!AY29:AY32))</f>
        <v>0</v>
      </c>
      <c r="FA23" s="50">
        <f>IF($AN23="N","N",SUM('調查資料(OUT)'!BC29:BC32))</f>
        <v>0</v>
      </c>
      <c r="FB23" s="50">
        <f>IF($AN23="N","N",SUM('調查資料(OUT)'!BG29:BG32))</f>
        <v>0</v>
      </c>
      <c r="FC23" s="56" t="e">
        <f t="shared" si="156"/>
        <v>#DIV/0!</v>
      </c>
      <c r="FD23" s="50">
        <f t="shared" si="157"/>
        <v>0</v>
      </c>
      <c r="FE23" s="50">
        <f>IF($AN23="N","N",SUM('調查資料(OUT)'!AZ29:AZ32))</f>
        <v>0</v>
      </c>
      <c r="FF23" s="50">
        <f>IF($AN23="N","N",SUM('調查資料(OUT)'!BD29:BD32))</f>
        <v>0</v>
      </c>
      <c r="FG23" s="50">
        <f>IF($AN23="N","N",SUM('調查資料(OUT)'!BH29:BH32))</f>
        <v>0</v>
      </c>
      <c r="FH23" s="56" t="e">
        <f t="shared" si="158"/>
        <v>#DIV/0!</v>
      </c>
      <c r="FI23" s="50">
        <f t="shared" si="159"/>
        <v>0</v>
      </c>
      <c r="FJ23" s="50">
        <f>IF($AN23="N","N",SUM('調查資料(OUT)'!BA29:BA32))</f>
        <v>0</v>
      </c>
      <c r="FK23" s="50">
        <f>IF($AN23="N","N",SUM('調查資料(OUT)'!BE29:BE32))</f>
        <v>0</v>
      </c>
      <c r="FL23" s="50">
        <f>IF($AN23="N","N",SUM('調查資料(OUT)'!BI29:BI32))</f>
        <v>0</v>
      </c>
      <c r="FM23" s="56" t="e">
        <f t="shared" si="160"/>
        <v>#DIV/0!</v>
      </c>
      <c r="FN23" s="50">
        <f t="shared" si="161"/>
        <v>0</v>
      </c>
      <c r="FO23" s="56" t="e">
        <f t="shared" si="162"/>
        <v>#DIV/0!</v>
      </c>
      <c r="FP23" s="50">
        <f t="shared" si="163"/>
        <v>0</v>
      </c>
      <c r="FQ23" s="56" t="e">
        <f t="shared" si="164"/>
        <v>#DIV/0!</v>
      </c>
      <c r="FR23" s="50">
        <f t="shared" si="165"/>
        <v>0</v>
      </c>
      <c r="FS23" s="56" t="e">
        <f t="shared" si="166"/>
        <v>#DIV/0!</v>
      </c>
      <c r="FT23" s="50">
        <f t="shared" si="167"/>
        <v>0</v>
      </c>
    </row>
    <row r="24" spans="1:176">
      <c r="A24" s="274">
        <f>'調查資料(OUT)'!A30</f>
        <v>445</v>
      </c>
      <c r="B24" s="50">
        <f t="shared" si="81"/>
        <v>0</v>
      </c>
      <c r="C24" s="50">
        <f>IFERROR('調查資料(OUT)'!$B$1*'調查資料(OUT)'!B30,0)+IFERROR('調查資料(OUT)'!$F$1*'調查資料(OUT)'!F30,0)+IFERROR('調查資料(OUT)'!$J$1*'調查資料(OUT)'!J30,0)</f>
        <v>0</v>
      </c>
      <c r="D24" s="50">
        <f>IFERROR('調查資料(OUT)'!$C$1*'調查資料(OUT)'!C30,0)+IFERROR('調查資料(OUT)'!$G$1*'調查資料(OUT)'!G30,0)+IFERROR('調查資料(OUT)'!$K$1*'調查資料(OUT)'!K30,0)</f>
        <v>0</v>
      </c>
      <c r="E24" s="50">
        <f>IFERROR('調查資料(OUT)'!$D$1*'調查資料(OUT)'!D30,0)+IFERROR('調查資料(OUT)'!$H$1*'調查資料(OUT)'!H30,0)+IFERROR('調查資料(OUT)'!$L$1*'調查資料(OUT)'!L30,0)</f>
        <v>0</v>
      </c>
      <c r="F24" s="252">
        <f>IFERROR('調查資料(OUT)'!$E$1*'調查資料(OUT)'!E30,0)+IFERROR('調查資料(OUT)'!$I$1*'調查資料(OUT)'!I30,0)+IFERROR('調查資料(OUT)'!$M$1*'調查資料(OUT)'!M30,0)</f>
        <v>0</v>
      </c>
      <c r="G24" s="50">
        <f t="shared" si="82"/>
        <v>0</v>
      </c>
      <c r="H24" s="50">
        <f>IFERROR('調查資料(OUT)'!$N$1*'調查資料(OUT)'!N30,0)+IFERROR('調查資料(OUT)'!$R$1*'調查資料(OUT)'!R30,0)+IFERROR('調查資料(OUT)'!$V$1*'調查資料(OUT)'!V30,0)</f>
        <v>0</v>
      </c>
      <c r="I24" s="50">
        <f>IFERROR('調查資料(OUT)'!$O$1*'調查資料(OUT)'!O30,0)+IFERROR('調查資料(OUT)'!$S$1*'調查資料(OUT)'!S30,0)+IFERROR('調查資料(OUT)'!$W$1*'調查資料(OUT)'!W30,0)</f>
        <v>0</v>
      </c>
      <c r="J24" s="50">
        <f>IFERROR('調查資料(OUT)'!$P$1*'調查資料(OUT)'!P30,0)+IFERROR('調查資料(OUT)'!$T$1*'調查資料(OUT)'!T30,0)+IFERROR('調查資料(OUT)'!$X$1*'調查資料(OUT)'!X30,0)</f>
        <v>0</v>
      </c>
      <c r="K24" s="252">
        <f>IFERROR('調查資料(OUT)'!$Q$1*'調查資料(OUT)'!Q30,0)+IFERROR('調查資料(OUT)'!$U$1*'調查資料(OUT)'!U30,0)+IFERROR('調查資料(OUT)'!$Y$1*'調查資料(OUT)'!Y30,0)</f>
        <v>0</v>
      </c>
      <c r="L24" s="50">
        <f t="shared" si="83"/>
        <v>0</v>
      </c>
      <c r="M24" s="50">
        <f>IFERROR('調查資料(OUT)'!$Z$1*'調查資料(OUT)'!Z30,0)+IFERROR('調查資料(OUT)'!$AD$1*'調查資料(OUT)'!AD30,0)+IFERROR('調查資料(OUT)'!$AH$1*'調查資料(OUT)'!AH30,0)</f>
        <v>0</v>
      </c>
      <c r="N24" s="50">
        <f>IFERROR('調查資料(OUT)'!$AA$1*'調查資料(OUT)'!AA30,0)+IFERROR('調查資料(OUT)'!$AE$1*'調查資料(OUT)'!AE30,0)+IFERROR('調查資料(OUT)'!$AI$1*'調查資料(OUT)'!AI30,0)</f>
        <v>0</v>
      </c>
      <c r="O24" s="50">
        <f>IFERROR('調查資料(OUT)'!$AB$1*'調查資料(OUT)'!AB30,0)+IFERROR('調查資料(OUT)'!$AF$1*'調查資料(OUT)'!AF30,0)+IFERROR('調查資料(OUT)'!$AJ$1*'調查資料(OUT)'!AJ30,0)</f>
        <v>0</v>
      </c>
      <c r="P24" s="252">
        <f>IFERROR('調查資料(OUT)'!$AC$1*'調查資料(OUT)'!AC30,0)+IFERROR('調查資料(OUT)'!$AG$1*'調查資料(OUT)'!AG30,0)+IFERROR('調查資料(OUT)'!$AK$1*'調查資料(OUT)'!AK30,0)</f>
        <v>0</v>
      </c>
      <c r="Q24" s="50">
        <f t="shared" si="84"/>
        <v>0</v>
      </c>
      <c r="R24" s="50">
        <f>IFERROR('調查資料(OUT)'!$AL$1*'調查資料(OUT)'!AL30,0)+IFERROR('調查資料(OUT)'!$AP$1*'調查資料(OUT)'!AP30,0)+IFERROR('調查資料(OUT)'!$AT$1*'調查資料(OUT)'!AT30,0)</f>
        <v>0</v>
      </c>
      <c r="S24" s="50">
        <f>IFERROR('調查資料(OUT)'!$AM$1*'調查資料(OUT)'!AM30,0)+IFERROR('調查資料(OUT)'!$AQ$1*'調查資料(OUT)'!AQ30,0)+IFERROR('調查資料(OUT)'!$AU$1*'調查資料(OUT)'!AU30,0)</f>
        <v>0</v>
      </c>
      <c r="T24" s="50">
        <f>IFERROR('調查資料(OUT)'!$AN$1*'調查資料(OUT)'!AN30,0)+IFERROR('調查資料(OUT)'!$AR$1*'調查資料(OUT)'!AR30,0)+IFERROR('調查資料(OUT)'!$AV$1*'調查資料(OUT)'!AV30,0)</f>
        <v>0</v>
      </c>
      <c r="U24" s="252">
        <f>IFERROR('調查資料(OUT)'!$AO$1*'調查資料(OUT)'!AO30,0)+IFERROR('調查資料(OUT)'!$AS$1*'調查資料(OUT)'!AS30,0)+IFERROR('調查資料(OUT)'!$AW$1*'調查資料(OUT)'!AW30,0)</f>
        <v>0</v>
      </c>
      <c r="V24" s="50">
        <f t="shared" si="85"/>
        <v>0</v>
      </c>
      <c r="W24" s="50">
        <f>IFERROR('調查資料(OUT)'!$AX$1*'調查資料(OUT)'!AX30,0)+IFERROR('調查資料(OUT)'!$BB$1*'調查資料(OUT)'!BB30,0)+IFERROR('調查資料(OUT)'!$BF$1*'調查資料(OUT)'!BF30,0)</f>
        <v>0</v>
      </c>
      <c r="X24" s="50">
        <f>IFERROR('調查資料(OUT)'!$AY$1*'調查資料(OUT)'!AY30,0)+IFERROR('調查資料(OUT)'!$BC$1*'調查資料(OUT)'!BC30,0)+IFERROR('調查資料(OUT)'!$BG$1*'調查資料(OUT)'!BG30,0)</f>
        <v>0</v>
      </c>
      <c r="Y24" s="50">
        <f>IFERROR('調查資料(OUT)'!$AZ$1*'調查資料(OUT)'!AZ30,0)+IFERROR('調查資料(OUT)'!$BD$1*'調查資料(OUT)'!BD30,0)+IFERROR('調查資料(OUT)'!$BH$1*'調查資料(OUT)'!BH30,0)</f>
        <v>0</v>
      </c>
      <c r="Z24" s="252">
        <f>IFERROR('調查資料(OUT)'!$BA$1*'調查資料(OUT)'!BA30,0)+IFERROR('調查資料(OUT)'!$BE$1*'調查資料(OUT)'!BE30,0)+IFERROR('調查資料(OUT)'!$BI$1*'調查資料(OUT)'!BI30,0)</f>
        <v>0</v>
      </c>
      <c r="AA24" s="253">
        <f t="shared" si="86"/>
        <v>0</v>
      </c>
      <c r="AC24" s="251">
        <f>'調查資料(OUT)'!A30</f>
        <v>445</v>
      </c>
      <c r="AD24" s="254">
        <f t="shared" si="91"/>
        <v>545</v>
      </c>
      <c r="AE24" s="50">
        <f t="shared" si="92"/>
        <v>0</v>
      </c>
      <c r="AF24" s="255"/>
      <c r="AG24" s="50">
        <f t="shared" si="1"/>
        <v>0</v>
      </c>
      <c r="AH24" s="256" t="e">
        <f t="shared" si="2"/>
        <v>#DIV/0!</v>
      </c>
      <c r="AI24" s="256" t="e">
        <f t="shared" si="3"/>
        <v>#DIV/0!</v>
      </c>
      <c r="AJ24" s="256" t="e">
        <f t="shared" si="4"/>
        <v>#DIV/0!</v>
      </c>
      <c r="AK24" s="256" t="e">
        <f t="shared" si="5"/>
        <v>#DIV/0!</v>
      </c>
      <c r="AL24" s="256" t="e">
        <f t="shared" si="6"/>
        <v>#DIV/0!</v>
      </c>
      <c r="AM24" s="257"/>
      <c r="AN24" s="50">
        <f t="shared" si="7"/>
        <v>445</v>
      </c>
      <c r="AO24" s="252">
        <f t="shared" si="8"/>
        <v>545</v>
      </c>
      <c r="AP24" s="50">
        <f t="shared" si="93"/>
        <v>0</v>
      </c>
      <c r="AQ24" s="50">
        <f>IF($AN24="N","N",SUM('調查資料(OUT)'!B30:B33))</f>
        <v>0</v>
      </c>
      <c r="AR24" s="50">
        <f>IF($AN24="N","N",SUM('調查資料(OUT)'!F30:F33))</f>
        <v>0</v>
      </c>
      <c r="AS24" s="50">
        <f>IF($AN24="N","N",SUM('調查資料(OUT)'!J30:J33))</f>
        <v>0</v>
      </c>
      <c r="AT24" s="56" t="e">
        <f t="shared" si="94"/>
        <v>#DIV/0!</v>
      </c>
      <c r="AU24" s="50">
        <f t="shared" si="95"/>
        <v>0</v>
      </c>
      <c r="AV24" s="50">
        <f>IF($AN24="N","N",SUM('調查資料(OUT)'!C30:C33))</f>
        <v>0</v>
      </c>
      <c r="AW24" s="50">
        <f>IF($AN24="N","N",SUM('調查資料(OUT)'!G30:G33))</f>
        <v>0</v>
      </c>
      <c r="AX24" s="50">
        <f>IF($AN24="N","N",SUM('調查資料(OUT)'!K30:K33))</f>
        <v>0</v>
      </c>
      <c r="AY24" s="56" t="e">
        <f t="shared" si="96"/>
        <v>#DIV/0!</v>
      </c>
      <c r="AZ24" s="50">
        <f t="shared" si="97"/>
        <v>0</v>
      </c>
      <c r="BA24" s="50">
        <f>IF($AN24="N","N",SUM('調查資料(OUT)'!D30:D33))</f>
        <v>0</v>
      </c>
      <c r="BB24" s="50">
        <f>IF($AN24="N","N",SUM('調查資料(OUT)'!H30:H33))</f>
        <v>0</v>
      </c>
      <c r="BC24" s="50">
        <f>IF($AN24="N","N",SUM('調查資料(OUT)'!L30:L33))</f>
        <v>0</v>
      </c>
      <c r="BD24" s="56" t="e">
        <f t="shared" si="98"/>
        <v>#DIV/0!</v>
      </c>
      <c r="BE24" s="50">
        <f t="shared" si="99"/>
        <v>0</v>
      </c>
      <c r="BF24" s="50">
        <f>IF($AN24="N","N",SUM('調查資料(OUT)'!E30:E33))</f>
        <v>0</v>
      </c>
      <c r="BG24" s="50">
        <f>IF($AN24="N","N",SUM('調查資料(OUT)'!I30:I33))</f>
        <v>0</v>
      </c>
      <c r="BH24" s="50">
        <f>IF($AN24="N","N",SUM('調查資料(OUT)'!M30:M33))</f>
        <v>0</v>
      </c>
      <c r="BI24" s="56" t="e">
        <f t="shared" si="100"/>
        <v>#DIV/0!</v>
      </c>
      <c r="BJ24" s="50">
        <f t="shared" si="101"/>
        <v>0</v>
      </c>
      <c r="BK24" s="56" t="e">
        <f t="shared" si="102"/>
        <v>#DIV/0!</v>
      </c>
      <c r="BL24" s="50">
        <f t="shared" si="103"/>
        <v>0</v>
      </c>
      <c r="BM24" s="56" t="e">
        <f t="shared" si="104"/>
        <v>#DIV/0!</v>
      </c>
      <c r="BN24" s="50">
        <f t="shared" si="105"/>
        <v>0</v>
      </c>
      <c r="BO24" s="56" t="e">
        <f t="shared" si="106"/>
        <v>#DIV/0!</v>
      </c>
      <c r="BP24" s="50">
        <f t="shared" si="107"/>
        <v>0</v>
      </c>
      <c r="BQ24" s="50">
        <f t="shared" si="108"/>
        <v>0</v>
      </c>
      <c r="BR24" s="50">
        <f>IF($AN24="N","N",SUM('調查資料(OUT)'!N30:N33))</f>
        <v>0</v>
      </c>
      <c r="BS24" s="50">
        <f>IF($AN24="N","N",SUM('調查資料(OUT)'!R30:R33))</f>
        <v>0</v>
      </c>
      <c r="BT24" s="50">
        <f>IF($AN24="N","N",SUM('調查資料(OUT)'!V30:V33))</f>
        <v>0</v>
      </c>
      <c r="BU24" s="56" t="e">
        <f t="shared" si="109"/>
        <v>#DIV/0!</v>
      </c>
      <c r="BV24" s="50">
        <f t="shared" si="110"/>
        <v>0</v>
      </c>
      <c r="BW24" s="50">
        <f>IF($AN24="N","N",SUM('調查資料(OUT)'!O30:O33))</f>
        <v>0</v>
      </c>
      <c r="BX24" s="50">
        <f>IF($AN24="N","N",SUM('調查資料(OUT)'!S30:S33))</f>
        <v>0</v>
      </c>
      <c r="BY24" s="50">
        <f>IF($AN24="N","N",SUM('調查資料(OUT)'!W30:W33))</f>
        <v>0</v>
      </c>
      <c r="BZ24" s="56" t="e">
        <f t="shared" si="111"/>
        <v>#DIV/0!</v>
      </c>
      <c r="CA24" s="50">
        <f t="shared" si="112"/>
        <v>0</v>
      </c>
      <c r="CB24" s="50">
        <f>IF($AN24="N","N",SUM('調查資料(OUT)'!P30:P33))</f>
        <v>0</v>
      </c>
      <c r="CC24" s="50">
        <f>IF($AN24="N","N",SUM('調查資料(OUT)'!T30:T33))</f>
        <v>0</v>
      </c>
      <c r="CD24" s="50">
        <f>IF($AN24="N","N",SUM('調查資料(OUT)'!X30:X33))</f>
        <v>0</v>
      </c>
      <c r="CE24" s="56" t="e">
        <f t="shared" si="113"/>
        <v>#DIV/0!</v>
      </c>
      <c r="CF24" s="50">
        <f t="shared" si="114"/>
        <v>0</v>
      </c>
      <c r="CG24" s="50">
        <f>IF($AN24="N","N",SUM('調查資料(OUT)'!Q30:Q33))</f>
        <v>0</v>
      </c>
      <c r="CH24" s="50">
        <f>IF($AN24="N","N",SUM('調查資料(OUT)'!U30:U33))</f>
        <v>0</v>
      </c>
      <c r="CI24" s="50">
        <f>IF($AN24="N","N",SUM('調查資料(OUT)'!Y30:Y33))</f>
        <v>0</v>
      </c>
      <c r="CJ24" s="56" t="e">
        <f t="shared" si="115"/>
        <v>#DIV/0!</v>
      </c>
      <c r="CK24" s="50">
        <f t="shared" si="116"/>
        <v>0</v>
      </c>
      <c r="CL24" s="56" t="e">
        <f t="shared" si="117"/>
        <v>#DIV/0!</v>
      </c>
      <c r="CM24" s="50">
        <f t="shared" si="118"/>
        <v>0</v>
      </c>
      <c r="CN24" s="56" t="e">
        <f t="shared" si="119"/>
        <v>#DIV/0!</v>
      </c>
      <c r="CO24" s="50">
        <f t="shared" si="120"/>
        <v>0</v>
      </c>
      <c r="CP24" s="56" t="e">
        <f t="shared" si="121"/>
        <v>#DIV/0!</v>
      </c>
      <c r="CQ24" s="50">
        <f t="shared" si="122"/>
        <v>0</v>
      </c>
      <c r="CR24" s="50">
        <f t="shared" si="123"/>
        <v>0</v>
      </c>
      <c r="CS24" s="50">
        <f>IF($AN24="N","N",SUM('調查資料(OUT)'!Z30:Z33))</f>
        <v>0</v>
      </c>
      <c r="CT24" s="50">
        <f>IF($AN24="N","N",SUM('調查資料(OUT)'!AD30:AD33))</f>
        <v>0</v>
      </c>
      <c r="CU24" s="50">
        <f>IF($AN24="N","N",SUM('調查資料(OUT)'!AH30:AH33))</f>
        <v>0</v>
      </c>
      <c r="CV24" s="56" t="e">
        <f t="shared" si="124"/>
        <v>#DIV/0!</v>
      </c>
      <c r="CW24" s="50">
        <f t="shared" si="125"/>
        <v>0</v>
      </c>
      <c r="CX24" s="50">
        <f>IF($AN24="N","N",SUM('調查資料(OUT)'!AA30:AA33))</f>
        <v>0</v>
      </c>
      <c r="CY24" s="50">
        <f>IF($AN24="N","N",SUM('調查資料(OUT)'!AE30:AE33))</f>
        <v>0</v>
      </c>
      <c r="CZ24" s="50">
        <f>IF($AN24="N","N",SUM('調查資料(OUT)'!AI30:AI33))</f>
        <v>0</v>
      </c>
      <c r="DA24" s="56" t="e">
        <f t="shared" si="126"/>
        <v>#DIV/0!</v>
      </c>
      <c r="DB24" s="50">
        <f t="shared" si="127"/>
        <v>0</v>
      </c>
      <c r="DC24" s="50">
        <f>IF($AN24="N","N",SUM('調查資料(OUT)'!AB30:AB33))</f>
        <v>0</v>
      </c>
      <c r="DD24" s="50">
        <f>IF($AN24="N","N",SUM('調查資料(OUT)'!AF30:AF33))</f>
        <v>0</v>
      </c>
      <c r="DE24" s="50">
        <f>IF($AN24="N","N",SUM('調查資料(OUT)'!AJ30:AJ33))</f>
        <v>0</v>
      </c>
      <c r="DF24" s="56" t="e">
        <f t="shared" si="128"/>
        <v>#DIV/0!</v>
      </c>
      <c r="DG24" s="50">
        <f t="shared" si="129"/>
        <v>0</v>
      </c>
      <c r="DH24" s="50">
        <f>IF($AN24="N","N",SUM('調查資料(OUT)'!AC30:AC33))</f>
        <v>0</v>
      </c>
      <c r="DI24" s="50">
        <f>IF($AN24="N","N",SUM('調查資料(OUT)'!AG30:AG33))</f>
        <v>0</v>
      </c>
      <c r="DJ24" s="50">
        <f>IF($AN24="N","N",SUM('調查資料(OUT)'!AK30:AK33))</f>
        <v>0</v>
      </c>
      <c r="DK24" s="56" t="e">
        <f t="shared" si="130"/>
        <v>#DIV/0!</v>
      </c>
      <c r="DL24" s="50">
        <f t="shared" si="131"/>
        <v>0</v>
      </c>
      <c r="DM24" s="56" t="e">
        <f t="shared" si="132"/>
        <v>#DIV/0!</v>
      </c>
      <c r="DN24" s="50">
        <f t="shared" si="133"/>
        <v>0</v>
      </c>
      <c r="DO24" s="56" t="e">
        <f t="shared" si="134"/>
        <v>#DIV/0!</v>
      </c>
      <c r="DP24" s="50">
        <f t="shared" si="135"/>
        <v>0</v>
      </c>
      <c r="DQ24" s="56" t="e">
        <f t="shared" si="136"/>
        <v>#DIV/0!</v>
      </c>
      <c r="DR24" s="50">
        <f t="shared" si="137"/>
        <v>0</v>
      </c>
      <c r="DS24" s="50">
        <f t="shared" si="138"/>
        <v>0</v>
      </c>
      <c r="DT24" s="50">
        <f>IF($AN24="N","N",SUM('調查資料(OUT)'!AL30:AL33))</f>
        <v>0</v>
      </c>
      <c r="DU24" s="50">
        <f>IF($AN24="N","N",SUM('調查資料(OUT)'!AP30:AP33))</f>
        <v>0</v>
      </c>
      <c r="DV24" s="50">
        <f>IF($AN24="N","N",SUM('調查資料(OUT)'!AT30:AT33))</f>
        <v>0</v>
      </c>
      <c r="DW24" s="56" t="e">
        <f t="shared" si="139"/>
        <v>#DIV/0!</v>
      </c>
      <c r="DX24" s="50">
        <f t="shared" si="140"/>
        <v>0</v>
      </c>
      <c r="DY24" s="50">
        <f>IF($AN24="N","N",SUM('調查資料(OUT)'!AM30:AM33))</f>
        <v>0</v>
      </c>
      <c r="DZ24" s="50">
        <f>IF($AN24="N","N",SUM('調查資料(OUT)'!AQ30:AQ33))</f>
        <v>0</v>
      </c>
      <c r="EA24" s="50">
        <f>IF($AN24="N","N",SUM('調查資料(OUT)'!AU30:AU33))</f>
        <v>0</v>
      </c>
      <c r="EB24" s="56" t="e">
        <f t="shared" si="141"/>
        <v>#DIV/0!</v>
      </c>
      <c r="EC24" s="50">
        <f t="shared" si="142"/>
        <v>0</v>
      </c>
      <c r="ED24" s="50">
        <f>IF($AN24="N","N",SUM('調查資料(OUT)'!AN30:AN33))</f>
        <v>0</v>
      </c>
      <c r="EE24" s="50">
        <f>IF($AN24="N","N",SUM('調查資料(OUT)'!AR30:AR33))</f>
        <v>0</v>
      </c>
      <c r="EF24" s="50">
        <f>IF($AN24="N","N",SUM('調查資料(OUT)'!AV30:AV33))</f>
        <v>0</v>
      </c>
      <c r="EG24" s="56" t="e">
        <f t="shared" si="143"/>
        <v>#DIV/0!</v>
      </c>
      <c r="EH24" s="50">
        <f t="shared" si="144"/>
        <v>0</v>
      </c>
      <c r="EI24" s="50">
        <f>IF($AN24="N","N",SUM('調查資料(OUT)'!AO30:AO33))</f>
        <v>0</v>
      </c>
      <c r="EJ24" s="50">
        <f>IF($AN24="N","N",SUM('調查資料(OUT)'!AS30:AS33))</f>
        <v>0</v>
      </c>
      <c r="EK24" s="50">
        <f>IF($AN24="N","N",SUM('調查資料(OUT)'!AW30:AW33))</f>
        <v>0</v>
      </c>
      <c r="EL24" s="56" t="e">
        <f t="shared" si="145"/>
        <v>#DIV/0!</v>
      </c>
      <c r="EM24" s="50">
        <f t="shared" si="146"/>
        <v>0</v>
      </c>
      <c r="EN24" s="56" t="e">
        <f t="shared" si="147"/>
        <v>#DIV/0!</v>
      </c>
      <c r="EO24" s="50">
        <f t="shared" si="148"/>
        <v>0</v>
      </c>
      <c r="EP24" s="56" t="e">
        <f t="shared" si="149"/>
        <v>#DIV/0!</v>
      </c>
      <c r="EQ24" s="50">
        <f t="shared" si="150"/>
        <v>0</v>
      </c>
      <c r="ER24" s="56" t="e">
        <f t="shared" si="151"/>
        <v>#DIV/0!</v>
      </c>
      <c r="ES24" s="50">
        <f t="shared" si="152"/>
        <v>0</v>
      </c>
      <c r="ET24" s="50">
        <f t="shared" si="153"/>
        <v>0</v>
      </c>
      <c r="EU24" s="50">
        <f>IF($AN24="N","N",SUM('調查資料(OUT)'!AX30:AX33))</f>
        <v>0</v>
      </c>
      <c r="EV24" s="50">
        <f>IF($AN24="N","N",SUM('調查資料(OUT)'!BB30:BB33))</f>
        <v>0</v>
      </c>
      <c r="EW24" s="50">
        <f>IF($AN24="N","N",SUM('調查資料(OUT)'!BF30:BF33))</f>
        <v>0</v>
      </c>
      <c r="EX24" s="56" t="e">
        <f t="shared" si="154"/>
        <v>#DIV/0!</v>
      </c>
      <c r="EY24" s="50">
        <f t="shared" si="155"/>
        <v>0</v>
      </c>
      <c r="EZ24" s="50">
        <f>IF($AN24="N","N",SUM('調查資料(OUT)'!AY30:AY33))</f>
        <v>0</v>
      </c>
      <c r="FA24" s="50">
        <f>IF($AN24="N","N",SUM('調查資料(OUT)'!BC30:BC33))</f>
        <v>0</v>
      </c>
      <c r="FB24" s="50">
        <f>IF($AN24="N","N",SUM('調查資料(OUT)'!BG30:BG33))</f>
        <v>0</v>
      </c>
      <c r="FC24" s="56" t="e">
        <f t="shared" si="156"/>
        <v>#DIV/0!</v>
      </c>
      <c r="FD24" s="50">
        <f t="shared" si="157"/>
        <v>0</v>
      </c>
      <c r="FE24" s="50">
        <f>IF($AN24="N","N",SUM('調查資料(OUT)'!AZ30:AZ33))</f>
        <v>0</v>
      </c>
      <c r="FF24" s="50">
        <f>IF($AN24="N","N",SUM('調查資料(OUT)'!BD30:BD33))</f>
        <v>0</v>
      </c>
      <c r="FG24" s="50">
        <f>IF($AN24="N","N",SUM('調查資料(OUT)'!BH30:BH33))</f>
        <v>0</v>
      </c>
      <c r="FH24" s="56" t="e">
        <f t="shared" si="158"/>
        <v>#DIV/0!</v>
      </c>
      <c r="FI24" s="50">
        <f t="shared" si="159"/>
        <v>0</v>
      </c>
      <c r="FJ24" s="50">
        <f>IF($AN24="N","N",SUM('調查資料(OUT)'!BA30:BA33))</f>
        <v>0</v>
      </c>
      <c r="FK24" s="50">
        <f>IF($AN24="N","N",SUM('調查資料(OUT)'!BE30:BE33))</f>
        <v>0</v>
      </c>
      <c r="FL24" s="50">
        <f>IF($AN24="N","N",SUM('調查資料(OUT)'!BI30:BI33))</f>
        <v>0</v>
      </c>
      <c r="FM24" s="56" t="e">
        <f t="shared" si="160"/>
        <v>#DIV/0!</v>
      </c>
      <c r="FN24" s="50">
        <f t="shared" si="161"/>
        <v>0</v>
      </c>
      <c r="FO24" s="56" t="e">
        <f t="shared" si="162"/>
        <v>#DIV/0!</v>
      </c>
      <c r="FP24" s="50">
        <f t="shared" si="163"/>
        <v>0</v>
      </c>
      <c r="FQ24" s="56" t="e">
        <f t="shared" si="164"/>
        <v>#DIV/0!</v>
      </c>
      <c r="FR24" s="50">
        <f t="shared" si="165"/>
        <v>0</v>
      </c>
      <c r="FS24" s="56" t="e">
        <f t="shared" si="166"/>
        <v>#DIV/0!</v>
      </c>
      <c r="FT24" s="50">
        <f t="shared" si="167"/>
        <v>0</v>
      </c>
    </row>
    <row r="25" spans="1:176">
      <c r="A25" s="274">
        <f>'調查資料(OUT)'!A31</f>
        <v>500</v>
      </c>
      <c r="B25" s="50">
        <f t="shared" si="81"/>
        <v>0</v>
      </c>
      <c r="C25" s="50">
        <f>IFERROR('調查資料(OUT)'!$B$1*'調查資料(OUT)'!B31,0)+IFERROR('調查資料(OUT)'!$F$1*'調查資料(OUT)'!F31,0)+IFERROR('調查資料(OUT)'!$J$1*'調查資料(OUT)'!J31,0)</f>
        <v>0</v>
      </c>
      <c r="D25" s="50">
        <f>IFERROR('調查資料(OUT)'!$C$1*'調查資料(OUT)'!C31,0)+IFERROR('調查資料(OUT)'!$G$1*'調查資料(OUT)'!G31,0)+IFERROR('調查資料(OUT)'!$K$1*'調查資料(OUT)'!K31,0)</f>
        <v>0</v>
      </c>
      <c r="E25" s="50">
        <f>IFERROR('調查資料(OUT)'!$D$1*'調查資料(OUT)'!D31,0)+IFERROR('調查資料(OUT)'!$H$1*'調查資料(OUT)'!H31,0)+IFERROR('調查資料(OUT)'!$L$1*'調查資料(OUT)'!L31,0)</f>
        <v>0</v>
      </c>
      <c r="F25" s="252">
        <f>IFERROR('調查資料(OUT)'!$E$1*'調查資料(OUT)'!E31,0)+IFERROR('調查資料(OUT)'!$I$1*'調查資料(OUT)'!I31,0)+IFERROR('調查資料(OUT)'!$M$1*'調查資料(OUT)'!M31,0)</f>
        <v>0</v>
      </c>
      <c r="G25" s="50">
        <f t="shared" si="82"/>
        <v>0</v>
      </c>
      <c r="H25" s="50">
        <f>IFERROR('調查資料(OUT)'!$N$1*'調查資料(OUT)'!N31,0)+IFERROR('調查資料(OUT)'!$R$1*'調查資料(OUT)'!R31,0)+IFERROR('調查資料(OUT)'!$V$1*'調查資料(OUT)'!V31,0)</f>
        <v>0</v>
      </c>
      <c r="I25" s="50">
        <f>IFERROR('調查資料(OUT)'!$O$1*'調查資料(OUT)'!O31,0)+IFERROR('調查資料(OUT)'!$S$1*'調查資料(OUT)'!S31,0)+IFERROR('調查資料(OUT)'!$W$1*'調查資料(OUT)'!W31,0)</f>
        <v>0</v>
      </c>
      <c r="J25" s="50">
        <f>IFERROR('調查資料(OUT)'!$P$1*'調查資料(OUT)'!P31,0)+IFERROR('調查資料(OUT)'!$T$1*'調查資料(OUT)'!T31,0)+IFERROR('調查資料(OUT)'!$X$1*'調查資料(OUT)'!X31,0)</f>
        <v>0</v>
      </c>
      <c r="K25" s="252">
        <f>IFERROR('調查資料(OUT)'!$Q$1*'調查資料(OUT)'!Q31,0)+IFERROR('調查資料(OUT)'!$U$1*'調查資料(OUT)'!U31,0)+IFERROR('調查資料(OUT)'!$Y$1*'調查資料(OUT)'!Y31,0)</f>
        <v>0</v>
      </c>
      <c r="L25" s="50">
        <f t="shared" si="83"/>
        <v>0</v>
      </c>
      <c r="M25" s="50">
        <f>IFERROR('調查資料(OUT)'!$Z$1*'調查資料(OUT)'!Z31,0)+IFERROR('調查資料(OUT)'!$AD$1*'調查資料(OUT)'!AD31,0)+IFERROR('調查資料(OUT)'!$AH$1*'調查資料(OUT)'!AH31,0)</f>
        <v>0</v>
      </c>
      <c r="N25" s="50">
        <f>IFERROR('調查資料(OUT)'!$AA$1*'調查資料(OUT)'!AA31,0)+IFERROR('調查資料(OUT)'!$AE$1*'調查資料(OUT)'!AE31,0)+IFERROR('調查資料(OUT)'!$AI$1*'調查資料(OUT)'!AI31,0)</f>
        <v>0</v>
      </c>
      <c r="O25" s="50">
        <f>IFERROR('調查資料(OUT)'!$AB$1*'調查資料(OUT)'!AB31,0)+IFERROR('調查資料(OUT)'!$AF$1*'調查資料(OUT)'!AF31,0)+IFERROR('調查資料(OUT)'!$AJ$1*'調查資料(OUT)'!AJ31,0)</f>
        <v>0</v>
      </c>
      <c r="P25" s="252">
        <f>IFERROR('調查資料(OUT)'!$AC$1*'調查資料(OUT)'!AC31,0)+IFERROR('調查資料(OUT)'!$AG$1*'調查資料(OUT)'!AG31,0)+IFERROR('調查資料(OUT)'!$AK$1*'調查資料(OUT)'!AK31,0)</f>
        <v>0</v>
      </c>
      <c r="Q25" s="50">
        <f t="shared" si="84"/>
        <v>0</v>
      </c>
      <c r="R25" s="50">
        <f>IFERROR('調查資料(OUT)'!$AL$1*'調查資料(OUT)'!AL31,0)+IFERROR('調查資料(OUT)'!$AP$1*'調查資料(OUT)'!AP31,0)+IFERROR('調查資料(OUT)'!$AT$1*'調查資料(OUT)'!AT31,0)</f>
        <v>0</v>
      </c>
      <c r="S25" s="50">
        <f>IFERROR('調查資料(OUT)'!$AM$1*'調查資料(OUT)'!AM31,0)+IFERROR('調查資料(OUT)'!$AQ$1*'調查資料(OUT)'!AQ31,0)+IFERROR('調查資料(OUT)'!$AU$1*'調查資料(OUT)'!AU31,0)</f>
        <v>0</v>
      </c>
      <c r="T25" s="50">
        <f>IFERROR('調查資料(OUT)'!$AN$1*'調查資料(OUT)'!AN31,0)+IFERROR('調查資料(OUT)'!$AR$1*'調查資料(OUT)'!AR31,0)+IFERROR('調查資料(OUT)'!$AV$1*'調查資料(OUT)'!AV31,0)</f>
        <v>0</v>
      </c>
      <c r="U25" s="252">
        <f>IFERROR('調查資料(OUT)'!$AO$1*'調查資料(OUT)'!AO31,0)+IFERROR('調查資料(OUT)'!$AS$1*'調查資料(OUT)'!AS31,0)+IFERROR('調查資料(OUT)'!$AW$1*'調查資料(OUT)'!AW31,0)</f>
        <v>0</v>
      </c>
      <c r="V25" s="50">
        <f t="shared" si="85"/>
        <v>0</v>
      </c>
      <c r="W25" s="50">
        <f>IFERROR('調查資料(OUT)'!$AX$1*'調查資料(OUT)'!AX31,0)+IFERROR('調查資料(OUT)'!$BB$1*'調查資料(OUT)'!BB31,0)+IFERROR('調查資料(OUT)'!$BF$1*'調查資料(OUT)'!BF31,0)</f>
        <v>0</v>
      </c>
      <c r="X25" s="50">
        <f>IFERROR('調查資料(OUT)'!$AY$1*'調查資料(OUT)'!AY31,0)+IFERROR('調查資料(OUT)'!$BC$1*'調查資料(OUT)'!BC31,0)+IFERROR('調查資料(OUT)'!$BG$1*'調查資料(OUT)'!BG31,0)</f>
        <v>0</v>
      </c>
      <c r="Y25" s="50">
        <f>IFERROR('調查資料(OUT)'!$AZ$1*'調查資料(OUT)'!AZ31,0)+IFERROR('調查資料(OUT)'!$BD$1*'調查資料(OUT)'!BD31,0)+IFERROR('調查資料(OUT)'!$BH$1*'調查資料(OUT)'!BH31,0)</f>
        <v>0</v>
      </c>
      <c r="Z25" s="252">
        <f>IFERROR('調查資料(OUT)'!$BA$1*'調查資料(OUT)'!BA31,0)+IFERROR('調查資料(OUT)'!$BE$1*'調查資料(OUT)'!BE31,0)+IFERROR('調查資料(OUT)'!$BI$1*'調查資料(OUT)'!BI31,0)</f>
        <v>0</v>
      </c>
      <c r="AA25" s="253">
        <f t="shared" si="86"/>
        <v>0</v>
      </c>
      <c r="AC25" s="251">
        <f>'調查資料(OUT)'!A31</f>
        <v>500</v>
      </c>
      <c r="AD25" s="254">
        <f t="shared" si="91"/>
        <v>600</v>
      </c>
      <c r="AE25" s="50">
        <f t="shared" si="92"/>
        <v>0</v>
      </c>
      <c r="AF25" s="255"/>
      <c r="AG25" s="50">
        <f t="shared" si="1"/>
        <v>0</v>
      </c>
      <c r="AH25" s="256" t="e">
        <f t="shared" si="2"/>
        <v>#DIV/0!</v>
      </c>
      <c r="AI25" s="256" t="e">
        <f t="shared" si="3"/>
        <v>#DIV/0!</v>
      </c>
      <c r="AJ25" s="256" t="e">
        <f t="shared" si="4"/>
        <v>#DIV/0!</v>
      </c>
      <c r="AK25" s="256" t="e">
        <f t="shared" si="5"/>
        <v>#DIV/0!</v>
      </c>
      <c r="AL25" s="256" t="e">
        <f t="shared" si="6"/>
        <v>#DIV/0!</v>
      </c>
      <c r="AM25" s="257"/>
      <c r="AN25" s="50">
        <f t="shared" si="7"/>
        <v>500</v>
      </c>
      <c r="AO25" s="252">
        <f t="shared" si="8"/>
        <v>600</v>
      </c>
      <c r="AP25" s="50">
        <f t="shared" si="93"/>
        <v>0</v>
      </c>
      <c r="AQ25" s="50">
        <f>IF($AN25="N","N",SUM('調查資料(OUT)'!B31:B34))</f>
        <v>0</v>
      </c>
      <c r="AR25" s="50">
        <f>IF($AN25="N","N",SUM('調查資料(OUT)'!F31:F34))</f>
        <v>0</v>
      </c>
      <c r="AS25" s="50">
        <f>IF($AN25="N","N",SUM('調查資料(OUT)'!J31:J34))</f>
        <v>0</v>
      </c>
      <c r="AT25" s="56" t="e">
        <f t="shared" si="94"/>
        <v>#DIV/0!</v>
      </c>
      <c r="AU25" s="50">
        <f t="shared" si="95"/>
        <v>0</v>
      </c>
      <c r="AV25" s="50">
        <f>IF($AN25="N","N",SUM('調查資料(OUT)'!C31:C34))</f>
        <v>0</v>
      </c>
      <c r="AW25" s="50">
        <f>IF($AN25="N","N",SUM('調查資料(OUT)'!G31:G34))</f>
        <v>0</v>
      </c>
      <c r="AX25" s="50">
        <f>IF($AN25="N","N",SUM('調查資料(OUT)'!K31:K34))</f>
        <v>0</v>
      </c>
      <c r="AY25" s="56" t="e">
        <f t="shared" si="96"/>
        <v>#DIV/0!</v>
      </c>
      <c r="AZ25" s="50">
        <f t="shared" si="97"/>
        <v>0</v>
      </c>
      <c r="BA25" s="50">
        <f>IF($AN25="N","N",SUM('調查資料(OUT)'!D31:D34))</f>
        <v>0</v>
      </c>
      <c r="BB25" s="50">
        <f>IF($AN25="N","N",SUM('調查資料(OUT)'!H31:H34))</f>
        <v>0</v>
      </c>
      <c r="BC25" s="50">
        <f>IF($AN25="N","N",SUM('調查資料(OUT)'!L31:L34))</f>
        <v>0</v>
      </c>
      <c r="BD25" s="56" t="e">
        <f t="shared" si="98"/>
        <v>#DIV/0!</v>
      </c>
      <c r="BE25" s="50">
        <f t="shared" si="99"/>
        <v>0</v>
      </c>
      <c r="BF25" s="50">
        <f>IF($AN25="N","N",SUM('調查資料(OUT)'!E31:E34))</f>
        <v>0</v>
      </c>
      <c r="BG25" s="50">
        <f>IF($AN25="N","N",SUM('調查資料(OUT)'!I31:I34))</f>
        <v>0</v>
      </c>
      <c r="BH25" s="50">
        <f>IF($AN25="N","N",SUM('調查資料(OUT)'!M31:M34))</f>
        <v>0</v>
      </c>
      <c r="BI25" s="56" t="e">
        <f t="shared" si="100"/>
        <v>#DIV/0!</v>
      </c>
      <c r="BJ25" s="50">
        <f t="shared" si="101"/>
        <v>0</v>
      </c>
      <c r="BK25" s="56" t="e">
        <f t="shared" si="102"/>
        <v>#DIV/0!</v>
      </c>
      <c r="BL25" s="50">
        <f t="shared" si="103"/>
        <v>0</v>
      </c>
      <c r="BM25" s="56" t="e">
        <f t="shared" si="104"/>
        <v>#DIV/0!</v>
      </c>
      <c r="BN25" s="50">
        <f t="shared" si="105"/>
        <v>0</v>
      </c>
      <c r="BO25" s="56" t="e">
        <f t="shared" si="106"/>
        <v>#DIV/0!</v>
      </c>
      <c r="BP25" s="50">
        <f t="shared" si="107"/>
        <v>0</v>
      </c>
      <c r="BQ25" s="50">
        <f t="shared" si="108"/>
        <v>0</v>
      </c>
      <c r="BR25" s="50">
        <f>IF($AN25="N","N",SUM('調查資料(OUT)'!N31:N34))</f>
        <v>0</v>
      </c>
      <c r="BS25" s="50">
        <f>IF($AN25="N","N",SUM('調查資料(OUT)'!R31:R34))</f>
        <v>0</v>
      </c>
      <c r="BT25" s="50">
        <f>IF($AN25="N","N",SUM('調查資料(OUT)'!V31:V34))</f>
        <v>0</v>
      </c>
      <c r="BU25" s="56" t="e">
        <f t="shared" si="109"/>
        <v>#DIV/0!</v>
      </c>
      <c r="BV25" s="50">
        <f t="shared" si="110"/>
        <v>0</v>
      </c>
      <c r="BW25" s="50">
        <f>IF($AN25="N","N",SUM('調查資料(OUT)'!O31:O34))</f>
        <v>0</v>
      </c>
      <c r="BX25" s="50">
        <f>IF($AN25="N","N",SUM('調查資料(OUT)'!S31:S34))</f>
        <v>0</v>
      </c>
      <c r="BY25" s="50">
        <f>IF($AN25="N","N",SUM('調查資料(OUT)'!W31:W34))</f>
        <v>0</v>
      </c>
      <c r="BZ25" s="56" t="e">
        <f t="shared" si="111"/>
        <v>#DIV/0!</v>
      </c>
      <c r="CA25" s="50">
        <f t="shared" si="112"/>
        <v>0</v>
      </c>
      <c r="CB25" s="50">
        <f>IF($AN25="N","N",SUM('調查資料(OUT)'!P31:P34))</f>
        <v>0</v>
      </c>
      <c r="CC25" s="50">
        <f>IF($AN25="N","N",SUM('調查資料(OUT)'!T31:T34))</f>
        <v>0</v>
      </c>
      <c r="CD25" s="50">
        <f>IF($AN25="N","N",SUM('調查資料(OUT)'!X31:X34))</f>
        <v>0</v>
      </c>
      <c r="CE25" s="56" t="e">
        <f t="shared" si="113"/>
        <v>#DIV/0!</v>
      </c>
      <c r="CF25" s="50">
        <f t="shared" si="114"/>
        <v>0</v>
      </c>
      <c r="CG25" s="50">
        <f>IF($AN25="N","N",SUM('調查資料(OUT)'!Q31:Q34))</f>
        <v>0</v>
      </c>
      <c r="CH25" s="50">
        <f>IF($AN25="N","N",SUM('調查資料(OUT)'!U31:U34))</f>
        <v>0</v>
      </c>
      <c r="CI25" s="50">
        <f>IF($AN25="N","N",SUM('調查資料(OUT)'!Y31:Y34))</f>
        <v>0</v>
      </c>
      <c r="CJ25" s="56" t="e">
        <f t="shared" si="115"/>
        <v>#DIV/0!</v>
      </c>
      <c r="CK25" s="50">
        <f t="shared" si="116"/>
        <v>0</v>
      </c>
      <c r="CL25" s="56" t="e">
        <f t="shared" si="117"/>
        <v>#DIV/0!</v>
      </c>
      <c r="CM25" s="50">
        <f t="shared" si="118"/>
        <v>0</v>
      </c>
      <c r="CN25" s="56" t="e">
        <f t="shared" si="119"/>
        <v>#DIV/0!</v>
      </c>
      <c r="CO25" s="50">
        <f t="shared" si="120"/>
        <v>0</v>
      </c>
      <c r="CP25" s="56" t="e">
        <f t="shared" si="121"/>
        <v>#DIV/0!</v>
      </c>
      <c r="CQ25" s="50">
        <f t="shared" si="122"/>
        <v>0</v>
      </c>
      <c r="CR25" s="50">
        <f t="shared" si="123"/>
        <v>0</v>
      </c>
      <c r="CS25" s="50">
        <f>IF($AN25="N","N",SUM('調查資料(OUT)'!Z31:Z34))</f>
        <v>0</v>
      </c>
      <c r="CT25" s="50">
        <f>IF($AN25="N","N",SUM('調查資料(OUT)'!AD31:AD34))</f>
        <v>0</v>
      </c>
      <c r="CU25" s="50">
        <f>IF($AN25="N","N",SUM('調查資料(OUT)'!AH31:AH34))</f>
        <v>0</v>
      </c>
      <c r="CV25" s="56" t="e">
        <f t="shared" si="124"/>
        <v>#DIV/0!</v>
      </c>
      <c r="CW25" s="50">
        <f t="shared" si="125"/>
        <v>0</v>
      </c>
      <c r="CX25" s="50">
        <f>IF($AN25="N","N",SUM('調查資料(OUT)'!AA31:AA34))</f>
        <v>0</v>
      </c>
      <c r="CY25" s="50">
        <f>IF($AN25="N","N",SUM('調查資料(OUT)'!AE31:AE34))</f>
        <v>0</v>
      </c>
      <c r="CZ25" s="50">
        <f>IF($AN25="N","N",SUM('調查資料(OUT)'!AI31:AI34))</f>
        <v>0</v>
      </c>
      <c r="DA25" s="56" t="e">
        <f t="shared" si="126"/>
        <v>#DIV/0!</v>
      </c>
      <c r="DB25" s="50">
        <f t="shared" si="127"/>
        <v>0</v>
      </c>
      <c r="DC25" s="50">
        <f>IF($AN25="N","N",SUM('調查資料(OUT)'!AB31:AB34))</f>
        <v>0</v>
      </c>
      <c r="DD25" s="50">
        <f>IF($AN25="N","N",SUM('調查資料(OUT)'!AF31:AF34))</f>
        <v>0</v>
      </c>
      <c r="DE25" s="50">
        <f>IF($AN25="N","N",SUM('調查資料(OUT)'!AJ31:AJ34))</f>
        <v>0</v>
      </c>
      <c r="DF25" s="56" t="e">
        <f t="shared" si="128"/>
        <v>#DIV/0!</v>
      </c>
      <c r="DG25" s="50">
        <f t="shared" si="129"/>
        <v>0</v>
      </c>
      <c r="DH25" s="50">
        <f>IF($AN25="N","N",SUM('調查資料(OUT)'!AC31:AC34))</f>
        <v>0</v>
      </c>
      <c r="DI25" s="50">
        <f>IF($AN25="N","N",SUM('調查資料(OUT)'!AG31:AG34))</f>
        <v>0</v>
      </c>
      <c r="DJ25" s="50">
        <f>IF($AN25="N","N",SUM('調查資料(OUT)'!AK31:AK34))</f>
        <v>0</v>
      </c>
      <c r="DK25" s="56" t="e">
        <f t="shared" si="130"/>
        <v>#DIV/0!</v>
      </c>
      <c r="DL25" s="50">
        <f t="shared" si="131"/>
        <v>0</v>
      </c>
      <c r="DM25" s="56" t="e">
        <f t="shared" si="132"/>
        <v>#DIV/0!</v>
      </c>
      <c r="DN25" s="50">
        <f t="shared" si="133"/>
        <v>0</v>
      </c>
      <c r="DO25" s="56" t="e">
        <f t="shared" si="134"/>
        <v>#DIV/0!</v>
      </c>
      <c r="DP25" s="50">
        <f t="shared" si="135"/>
        <v>0</v>
      </c>
      <c r="DQ25" s="56" t="e">
        <f t="shared" si="136"/>
        <v>#DIV/0!</v>
      </c>
      <c r="DR25" s="50">
        <f t="shared" si="137"/>
        <v>0</v>
      </c>
      <c r="DS25" s="50">
        <f t="shared" si="138"/>
        <v>0</v>
      </c>
      <c r="DT25" s="50">
        <f>IF($AN25="N","N",SUM('調查資料(OUT)'!AL31:AL34))</f>
        <v>0</v>
      </c>
      <c r="DU25" s="50">
        <f>IF($AN25="N","N",SUM('調查資料(OUT)'!AP31:AP34))</f>
        <v>0</v>
      </c>
      <c r="DV25" s="50">
        <f>IF($AN25="N","N",SUM('調查資料(OUT)'!AT31:AT34))</f>
        <v>0</v>
      </c>
      <c r="DW25" s="56" t="e">
        <f t="shared" si="139"/>
        <v>#DIV/0!</v>
      </c>
      <c r="DX25" s="50">
        <f t="shared" si="140"/>
        <v>0</v>
      </c>
      <c r="DY25" s="50">
        <f>IF($AN25="N","N",SUM('調查資料(OUT)'!AM31:AM34))</f>
        <v>0</v>
      </c>
      <c r="DZ25" s="50">
        <f>IF($AN25="N","N",SUM('調查資料(OUT)'!AQ31:AQ34))</f>
        <v>0</v>
      </c>
      <c r="EA25" s="50">
        <f>IF($AN25="N","N",SUM('調查資料(OUT)'!AU31:AU34))</f>
        <v>0</v>
      </c>
      <c r="EB25" s="56" t="e">
        <f t="shared" si="141"/>
        <v>#DIV/0!</v>
      </c>
      <c r="EC25" s="50">
        <f t="shared" si="142"/>
        <v>0</v>
      </c>
      <c r="ED25" s="50">
        <f>IF($AN25="N","N",SUM('調查資料(OUT)'!AN31:AN34))</f>
        <v>0</v>
      </c>
      <c r="EE25" s="50">
        <f>IF($AN25="N","N",SUM('調查資料(OUT)'!AR31:AR34))</f>
        <v>0</v>
      </c>
      <c r="EF25" s="50">
        <f>IF($AN25="N","N",SUM('調查資料(OUT)'!AV31:AV34))</f>
        <v>0</v>
      </c>
      <c r="EG25" s="56" t="e">
        <f t="shared" si="143"/>
        <v>#DIV/0!</v>
      </c>
      <c r="EH25" s="50">
        <f t="shared" si="144"/>
        <v>0</v>
      </c>
      <c r="EI25" s="50">
        <f>IF($AN25="N","N",SUM('調查資料(OUT)'!AO31:AO34))</f>
        <v>0</v>
      </c>
      <c r="EJ25" s="50">
        <f>IF($AN25="N","N",SUM('調查資料(OUT)'!AS31:AS34))</f>
        <v>0</v>
      </c>
      <c r="EK25" s="50">
        <f>IF($AN25="N","N",SUM('調查資料(OUT)'!AW31:AW34))</f>
        <v>0</v>
      </c>
      <c r="EL25" s="56" t="e">
        <f t="shared" si="145"/>
        <v>#DIV/0!</v>
      </c>
      <c r="EM25" s="50">
        <f t="shared" si="146"/>
        <v>0</v>
      </c>
      <c r="EN25" s="56" t="e">
        <f t="shared" si="147"/>
        <v>#DIV/0!</v>
      </c>
      <c r="EO25" s="50">
        <f t="shared" si="148"/>
        <v>0</v>
      </c>
      <c r="EP25" s="56" t="e">
        <f t="shared" si="149"/>
        <v>#DIV/0!</v>
      </c>
      <c r="EQ25" s="50">
        <f t="shared" si="150"/>
        <v>0</v>
      </c>
      <c r="ER25" s="56" t="e">
        <f t="shared" si="151"/>
        <v>#DIV/0!</v>
      </c>
      <c r="ES25" s="50">
        <f t="shared" si="152"/>
        <v>0</v>
      </c>
      <c r="ET25" s="50">
        <f t="shared" si="153"/>
        <v>0</v>
      </c>
      <c r="EU25" s="50">
        <f>IF($AN25="N","N",SUM('調查資料(OUT)'!AX31:AX34))</f>
        <v>0</v>
      </c>
      <c r="EV25" s="50">
        <f>IF($AN25="N","N",SUM('調查資料(OUT)'!BB31:BB34))</f>
        <v>0</v>
      </c>
      <c r="EW25" s="50">
        <f>IF($AN25="N","N",SUM('調查資料(OUT)'!BF31:BF34))</f>
        <v>0</v>
      </c>
      <c r="EX25" s="56" t="e">
        <f t="shared" si="154"/>
        <v>#DIV/0!</v>
      </c>
      <c r="EY25" s="50">
        <f t="shared" si="155"/>
        <v>0</v>
      </c>
      <c r="EZ25" s="50">
        <f>IF($AN25="N","N",SUM('調查資料(OUT)'!AY31:AY34))</f>
        <v>0</v>
      </c>
      <c r="FA25" s="50">
        <f>IF($AN25="N","N",SUM('調查資料(OUT)'!BC31:BC34))</f>
        <v>0</v>
      </c>
      <c r="FB25" s="50">
        <f>IF($AN25="N","N",SUM('調查資料(OUT)'!BG31:BG34))</f>
        <v>0</v>
      </c>
      <c r="FC25" s="56" t="e">
        <f t="shared" si="156"/>
        <v>#DIV/0!</v>
      </c>
      <c r="FD25" s="50">
        <f t="shared" si="157"/>
        <v>0</v>
      </c>
      <c r="FE25" s="50">
        <f>IF($AN25="N","N",SUM('調查資料(OUT)'!AZ31:AZ34))</f>
        <v>0</v>
      </c>
      <c r="FF25" s="50">
        <f>IF($AN25="N","N",SUM('調查資料(OUT)'!BD31:BD34))</f>
        <v>0</v>
      </c>
      <c r="FG25" s="50">
        <f>IF($AN25="N","N",SUM('調查資料(OUT)'!BH31:BH34))</f>
        <v>0</v>
      </c>
      <c r="FH25" s="56" t="e">
        <f t="shared" si="158"/>
        <v>#DIV/0!</v>
      </c>
      <c r="FI25" s="50">
        <f t="shared" si="159"/>
        <v>0</v>
      </c>
      <c r="FJ25" s="50">
        <f>IF($AN25="N","N",SUM('調查資料(OUT)'!BA31:BA34))</f>
        <v>0</v>
      </c>
      <c r="FK25" s="50">
        <f>IF($AN25="N","N",SUM('調查資料(OUT)'!BE31:BE34))</f>
        <v>0</v>
      </c>
      <c r="FL25" s="50">
        <f>IF($AN25="N","N",SUM('調查資料(OUT)'!BI31:BI34))</f>
        <v>0</v>
      </c>
      <c r="FM25" s="56" t="e">
        <f t="shared" si="160"/>
        <v>#DIV/0!</v>
      </c>
      <c r="FN25" s="50">
        <f t="shared" si="161"/>
        <v>0</v>
      </c>
      <c r="FO25" s="56" t="e">
        <f t="shared" si="162"/>
        <v>#DIV/0!</v>
      </c>
      <c r="FP25" s="50">
        <f t="shared" si="163"/>
        <v>0</v>
      </c>
      <c r="FQ25" s="56" t="e">
        <f t="shared" si="164"/>
        <v>#DIV/0!</v>
      </c>
      <c r="FR25" s="50">
        <f t="shared" si="165"/>
        <v>0</v>
      </c>
      <c r="FS25" s="56" t="e">
        <f t="shared" si="166"/>
        <v>#DIV/0!</v>
      </c>
      <c r="FT25" s="50">
        <f t="shared" si="167"/>
        <v>0</v>
      </c>
    </row>
    <row r="26" spans="1:176">
      <c r="A26" s="274">
        <f>'調查資料(OUT)'!A32</f>
        <v>515</v>
      </c>
      <c r="B26" s="50">
        <f t="shared" si="81"/>
        <v>0</v>
      </c>
      <c r="C26" s="50">
        <f>IFERROR('調查資料(OUT)'!$B$1*'調查資料(OUT)'!B32,0)+IFERROR('調查資料(OUT)'!$F$1*'調查資料(OUT)'!F32,0)+IFERROR('調查資料(OUT)'!$J$1*'調查資料(OUT)'!J32,0)</f>
        <v>0</v>
      </c>
      <c r="D26" s="50">
        <f>IFERROR('調查資料(OUT)'!$C$1*'調查資料(OUT)'!C32,0)+IFERROR('調查資料(OUT)'!$G$1*'調查資料(OUT)'!G32,0)+IFERROR('調查資料(OUT)'!$K$1*'調查資料(OUT)'!K32,0)</f>
        <v>0</v>
      </c>
      <c r="E26" s="50">
        <f>IFERROR('調查資料(OUT)'!$D$1*'調查資料(OUT)'!D32,0)+IFERROR('調查資料(OUT)'!$H$1*'調查資料(OUT)'!H32,0)+IFERROR('調查資料(OUT)'!$L$1*'調查資料(OUT)'!L32,0)</f>
        <v>0</v>
      </c>
      <c r="F26" s="252">
        <f>IFERROR('調查資料(OUT)'!$E$1*'調查資料(OUT)'!E32,0)+IFERROR('調查資料(OUT)'!$I$1*'調查資料(OUT)'!I32,0)+IFERROR('調查資料(OUT)'!$M$1*'調查資料(OUT)'!M32,0)</f>
        <v>0</v>
      </c>
      <c r="G26" s="50">
        <f t="shared" si="82"/>
        <v>0</v>
      </c>
      <c r="H26" s="50">
        <f>IFERROR('調查資料(OUT)'!$N$1*'調查資料(OUT)'!N32,0)+IFERROR('調查資料(OUT)'!$R$1*'調查資料(OUT)'!R32,0)+IFERROR('調查資料(OUT)'!$V$1*'調查資料(OUT)'!V32,0)</f>
        <v>0</v>
      </c>
      <c r="I26" s="50">
        <f>IFERROR('調查資料(OUT)'!$O$1*'調查資料(OUT)'!O32,0)+IFERROR('調查資料(OUT)'!$S$1*'調查資料(OUT)'!S32,0)+IFERROR('調查資料(OUT)'!$W$1*'調查資料(OUT)'!W32,0)</f>
        <v>0</v>
      </c>
      <c r="J26" s="50">
        <f>IFERROR('調查資料(OUT)'!$P$1*'調查資料(OUT)'!P32,0)+IFERROR('調查資料(OUT)'!$T$1*'調查資料(OUT)'!T32,0)+IFERROR('調查資料(OUT)'!$X$1*'調查資料(OUT)'!X32,0)</f>
        <v>0</v>
      </c>
      <c r="K26" s="252">
        <f>IFERROR('調查資料(OUT)'!$Q$1*'調查資料(OUT)'!Q32,0)+IFERROR('調查資料(OUT)'!$U$1*'調查資料(OUT)'!U32,0)+IFERROR('調查資料(OUT)'!$Y$1*'調查資料(OUT)'!Y32,0)</f>
        <v>0</v>
      </c>
      <c r="L26" s="50">
        <f t="shared" si="83"/>
        <v>0</v>
      </c>
      <c r="M26" s="50">
        <f>IFERROR('調查資料(OUT)'!$Z$1*'調查資料(OUT)'!Z32,0)+IFERROR('調查資料(OUT)'!$AD$1*'調查資料(OUT)'!AD32,0)+IFERROR('調查資料(OUT)'!$AH$1*'調查資料(OUT)'!AH32,0)</f>
        <v>0</v>
      </c>
      <c r="N26" s="50">
        <f>IFERROR('調查資料(OUT)'!$AA$1*'調查資料(OUT)'!AA32,0)+IFERROR('調查資料(OUT)'!$AE$1*'調查資料(OUT)'!AE32,0)+IFERROR('調查資料(OUT)'!$AI$1*'調查資料(OUT)'!AI32,0)</f>
        <v>0</v>
      </c>
      <c r="O26" s="50">
        <f>IFERROR('調查資料(OUT)'!$AB$1*'調查資料(OUT)'!AB32,0)+IFERROR('調查資料(OUT)'!$AF$1*'調查資料(OUT)'!AF32,0)+IFERROR('調查資料(OUT)'!$AJ$1*'調查資料(OUT)'!AJ32,0)</f>
        <v>0</v>
      </c>
      <c r="P26" s="252">
        <f>IFERROR('調查資料(OUT)'!$AC$1*'調查資料(OUT)'!AC32,0)+IFERROR('調查資料(OUT)'!$AG$1*'調查資料(OUT)'!AG32,0)+IFERROR('調查資料(OUT)'!$AK$1*'調查資料(OUT)'!AK32,0)</f>
        <v>0</v>
      </c>
      <c r="Q26" s="50">
        <f t="shared" si="84"/>
        <v>0</v>
      </c>
      <c r="R26" s="50">
        <f>IFERROR('調查資料(OUT)'!$AL$1*'調查資料(OUT)'!AL32,0)+IFERROR('調查資料(OUT)'!$AP$1*'調查資料(OUT)'!AP32,0)+IFERROR('調查資料(OUT)'!$AT$1*'調查資料(OUT)'!AT32,0)</f>
        <v>0</v>
      </c>
      <c r="S26" s="50">
        <f>IFERROR('調查資料(OUT)'!$AM$1*'調查資料(OUT)'!AM32,0)+IFERROR('調查資料(OUT)'!$AQ$1*'調查資料(OUT)'!AQ32,0)+IFERROR('調查資料(OUT)'!$AU$1*'調查資料(OUT)'!AU32,0)</f>
        <v>0</v>
      </c>
      <c r="T26" s="50">
        <f>IFERROR('調查資料(OUT)'!$AN$1*'調查資料(OUT)'!AN32,0)+IFERROR('調查資料(OUT)'!$AR$1*'調查資料(OUT)'!AR32,0)+IFERROR('調查資料(OUT)'!$AV$1*'調查資料(OUT)'!AV32,0)</f>
        <v>0</v>
      </c>
      <c r="U26" s="252">
        <f>IFERROR('調查資料(OUT)'!$AO$1*'調查資料(OUT)'!AO32,0)+IFERROR('調查資料(OUT)'!$AS$1*'調查資料(OUT)'!AS32,0)+IFERROR('調查資料(OUT)'!$AW$1*'調查資料(OUT)'!AW32,0)</f>
        <v>0</v>
      </c>
      <c r="V26" s="50">
        <f t="shared" si="85"/>
        <v>0</v>
      </c>
      <c r="W26" s="50">
        <f>IFERROR('調查資料(OUT)'!$AX$1*'調查資料(OUT)'!AX32,0)+IFERROR('調查資料(OUT)'!$BB$1*'調查資料(OUT)'!BB32,0)+IFERROR('調查資料(OUT)'!$BF$1*'調查資料(OUT)'!BF32,0)</f>
        <v>0</v>
      </c>
      <c r="X26" s="50">
        <f>IFERROR('調查資料(OUT)'!$AY$1*'調查資料(OUT)'!AY32,0)+IFERROR('調查資料(OUT)'!$BC$1*'調查資料(OUT)'!BC32,0)+IFERROR('調查資料(OUT)'!$BG$1*'調查資料(OUT)'!BG32,0)</f>
        <v>0</v>
      </c>
      <c r="Y26" s="50">
        <f>IFERROR('調查資料(OUT)'!$AZ$1*'調查資料(OUT)'!AZ32,0)+IFERROR('調查資料(OUT)'!$BD$1*'調查資料(OUT)'!BD32,0)+IFERROR('調查資料(OUT)'!$BH$1*'調查資料(OUT)'!BH32,0)</f>
        <v>0</v>
      </c>
      <c r="Z26" s="252">
        <f>IFERROR('調查資料(OUT)'!$BA$1*'調查資料(OUT)'!BA32,0)+IFERROR('調查資料(OUT)'!$BE$1*'調查資料(OUT)'!BE32,0)+IFERROR('調查資料(OUT)'!$BI$1*'調查資料(OUT)'!BI32,0)</f>
        <v>0</v>
      </c>
      <c r="AA26" s="253">
        <f t="shared" si="86"/>
        <v>0</v>
      </c>
      <c r="AC26" s="251">
        <f>'調查資料(OUT)'!A32</f>
        <v>515</v>
      </c>
      <c r="AD26" s="254">
        <f t="shared" si="91"/>
        <v>615</v>
      </c>
      <c r="AE26" s="50">
        <f t="shared" si="92"/>
        <v>0</v>
      </c>
      <c r="AF26" s="255"/>
      <c r="AG26" s="50">
        <f t="shared" si="1"/>
        <v>0</v>
      </c>
      <c r="AH26" s="256" t="e">
        <f t="shared" si="2"/>
        <v>#DIV/0!</v>
      </c>
      <c r="AI26" s="256" t="e">
        <f t="shared" si="3"/>
        <v>#DIV/0!</v>
      </c>
      <c r="AJ26" s="256" t="e">
        <f t="shared" si="4"/>
        <v>#DIV/0!</v>
      </c>
      <c r="AK26" s="256" t="e">
        <f t="shared" si="5"/>
        <v>#DIV/0!</v>
      </c>
      <c r="AL26" s="256" t="e">
        <f t="shared" si="6"/>
        <v>#DIV/0!</v>
      </c>
      <c r="AM26" s="257"/>
      <c r="AN26" s="50">
        <f t="shared" si="7"/>
        <v>515</v>
      </c>
      <c r="AO26" s="252">
        <f t="shared" si="8"/>
        <v>615</v>
      </c>
      <c r="AP26" s="50">
        <f t="shared" si="93"/>
        <v>0</v>
      </c>
      <c r="AQ26" s="50">
        <f>IF($AN26="N","N",SUM('調查資料(OUT)'!B32:B35))</f>
        <v>0</v>
      </c>
      <c r="AR26" s="50">
        <f>IF($AN26="N","N",SUM('調查資料(OUT)'!F32:F35))</f>
        <v>0</v>
      </c>
      <c r="AS26" s="50">
        <f>IF($AN26="N","N",SUM('調查資料(OUT)'!J32:J35))</f>
        <v>0</v>
      </c>
      <c r="AT26" s="56" t="e">
        <f t="shared" si="94"/>
        <v>#DIV/0!</v>
      </c>
      <c r="AU26" s="50">
        <f t="shared" si="95"/>
        <v>0</v>
      </c>
      <c r="AV26" s="50">
        <f>IF($AN26="N","N",SUM('調查資料(OUT)'!C32:C35))</f>
        <v>0</v>
      </c>
      <c r="AW26" s="50">
        <f>IF($AN26="N","N",SUM('調查資料(OUT)'!G32:G35))</f>
        <v>0</v>
      </c>
      <c r="AX26" s="50">
        <f>IF($AN26="N","N",SUM('調查資料(OUT)'!K32:K35))</f>
        <v>0</v>
      </c>
      <c r="AY26" s="56" t="e">
        <f t="shared" si="96"/>
        <v>#DIV/0!</v>
      </c>
      <c r="AZ26" s="50">
        <f t="shared" si="97"/>
        <v>0</v>
      </c>
      <c r="BA26" s="50">
        <f>IF($AN26="N","N",SUM('調查資料(OUT)'!D32:D35))</f>
        <v>0</v>
      </c>
      <c r="BB26" s="50">
        <f>IF($AN26="N","N",SUM('調查資料(OUT)'!H32:H35))</f>
        <v>0</v>
      </c>
      <c r="BC26" s="50">
        <f>IF($AN26="N","N",SUM('調查資料(OUT)'!L32:L35))</f>
        <v>0</v>
      </c>
      <c r="BD26" s="56" t="e">
        <f t="shared" si="98"/>
        <v>#DIV/0!</v>
      </c>
      <c r="BE26" s="50">
        <f t="shared" si="99"/>
        <v>0</v>
      </c>
      <c r="BF26" s="50">
        <f>IF($AN26="N","N",SUM('調查資料(OUT)'!E32:E35))</f>
        <v>0</v>
      </c>
      <c r="BG26" s="50">
        <f>IF($AN26="N","N",SUM('調查資料(OUT)'!I32:I35))</f>
        <v>0</v>
      </c>
      <c r="BH26" s="50">
        <f>IF($AN26="N","N",SUM('調查資料(OUT)'!M32:M35))</f>
        <v>0</v>
      </c>
      <c r="BI26" s="56" t="e">
        <f t="shared" si="100"/>
        <v>#DIV/0!</v>
      </c>
      <c r="BJ26" s="50">
        <f t="shared" si="101"/>
        <v>0</v>
      </c>
      <c r="BK26" s="56" t="e">
        <f t="shared" si="102"/>
        <v>#DIV/0!</v>
      </c>
      <c r="BL26" s="50">
        <f t="shared" si="103"/>
        <v>0</v>
      </c>
      <c r="BM26" s="56" t="e">
        <f t="shared" si="104"/>
        <v>#DIV/0!</v>
      </c>
      <c r="BN26" s="50">
        <f t="shared" si="105"/>
        <v>0</v>
      </c>
      <c r="BO26" s="56" t="e">
        <f t="shared" si="106"/>
        <v>#DIV/0!</v>
      </c>
      <c r="BP26" s="50">
        <f t="shared" si="107"/>
        <v>0</v>
      </c>
      <c r="BQ26" s="50">
        <f t="shared" si="108"/>
        <v>0</v>
      </c>
      <c r="BR26" s="50">
        <f>IF($AN26="N","N",SUM('調查資料(OUT)'!N32:N35))</f>
        <v>0</v>
      </c>
      <c r="BS26" s="50">
        <f>IF($AN26="N","N",SUM('調查資料(OUT)'!R32:R35))</f>
        <v>0</v>
      </c>
      <c r="BT26" s="50">
        <f>IF($AN26="N","N",SUM('調查資料(OUT)'!V32:V35))</f>
        <v>0</v>
      </c>
      <c r="BU26" s="56" t="e">
        <f t="shared" si="109"/>
        <v>#DIV/0!</v>
      </c>
      <c r="BV26" s="50">
        <f t="shared" si="110"/>
        <v>0</v>
      </c>
      <c r="BW26" s="50">
        <f>IF($AN26="N","N",SUM('調查資料(OUT)'!O32:O35))</f>
        <v>0</v>
      </c>
      <c r="BX26" s="50">
        <f>IF($AN26="N","N",SUM('調查資料(OUT)'!S32:S35))</f>
        <v>0</v>
      </c>
      <c r="BY26" s="50">
        <f>IF($AN26="N","N",SUM('調查資料(OUT)'!W32:W35))</f>
        <v>0</v>
      </c>
      <c r="BZ26" s="56" t="e">
        <f t="shared" si="111"/>
        <v>#DIV/0!</v>
      </c>
      <c r="CA26" s="50">
        <f t="shared" si="112"/>
        <v>0</v>
      </c>
      <c r="CB26" s="50">
        <f>IF($AN26="N","N",SUM('調查資料(OUT)'!P32:P35))</f>
        <v>0</v>
      </c>
      <c r="CC26" s="50">
        <f>IF($AN26="N","N",SUM('調查資料(OUT)'!T32:T35))</f>
        <v>0</v>
      </c>
      <c r="CD26" s="50">
        <f>IF($AN26="N","N",SUM('調查資料(OUT)'!X32:X35))</f>
        <v>0</v>
      </c>
      <c r="CE26" s="56" t="e">
        <f t="shared" si="113"/>
        <v>#DIV/0!</v>
      </c>
      <c r="CF26" s="50">
        <f t="shared" si="114"/>
        <v>0</v>
      </c>
      <c r="CG26" s="50">
        <f>IF($AN26="N","N",SUM('調查資料(OUT)'!Q32:Q35))</f>
        <v>0</v>
      </c>
      <c r="CH26" s="50">
        <f>IF($AN26="N","N",SUM('調查資料(OUT)'!U32:U35))</f>
        <v>0</v>
      </c>
      <c r="CI26" s="50">
        <f>IF($AN26="N","N",SUM('調查資料(OUT)'!Y32:Y35))</f>
        <v>0</v>
      </c>
      <c r="CJ26" s="56" t="e">
        <f t="shared" si="115"/>
        <v>#DIV/0!</v>
      </c>
      <c r="CK26" s="50">
        <f t="shared" si="116"/>
        <v>0</v>
      </c>
      <c r="CL26" s="56" t="e">
        <f t="shared" si="117"/>
        <v>#DIV/0!</v>
      </c>
      <c r="CM26" s="50">
        <f t="shared" si="118"/>
        <v>0</v>
      </c>
      <c r="CN26" s="56" t="e">
        <f t="shared" si="119"/>
        <v>#DIV/0!</v>
      </c>
      <c r="CO26" s="50">
        <f t="shared" si="120"/>
        <v>0</v>
      </c>
      <c r="CP26" s="56" t="e">
        <f t="shared" si="121"/>
        <v>#DIV/0!</v>
      </c>
      <c r="CQ26" s="50">
        <f t="shared" si="122"/>
        <v>0</v>
      </c>
      <c r="CR26" s="50">
        <f t="shared" si="123"/>
        <v>0</v>
      </c>
      <c r="CS26" s="50">
        <f>IF($AN26="N","N",SUM('調查資料(OUT)'!Z32:Z35))</f>
        <v>0</v>
      </c>
      <c r="CT26" s="50">
        <f>IF($AN26="N","N",SUM('調查資料(OUT)'!AD32:AD35))</f>
        <v>0</v>
      </c>
      <c r="CU26" s="50">
        <f>IF($AN26="N","N",SUM('調查資料(OUT)'!AH32:AH35))</f>
        <v>0</v>
      </c>
      <c r="CV26" s="56" t="e">
        <f t="shared" si="124"/>
        <v>#DIV/0!</v>
      </c>
      <c r="CW26" s="50">
        <f t="shared" si="125"/>
        <v>0</v>
      </c>
      <c r="CX26" s="50">
        <f>IF($AN26="N","N",SUM('調查資料(OUT)'!AA32:AA35))</f>
        <v>0</v>
      </c>
      <c r="CY26" s="50">
        <f>IF($AN26="N","N",SUM('調查資料(OUT)'!AE32:AE35))</f>
        <v>0</v>
      </c>
      <c r="CZ26" s="50">
        <f>IF($AN26="N","N",SUM('調查資料(OUT)'!AI32:AI35))</f>
        <v>0</v>
      </c>
      <c r="DA26" s="56" t="e">
        <f t="shared" si="126"/>
        <v>#DIV/0!</v>
      </c>
      <c r="DB26" s="50">
        <f t="shared" si="127"/>
        <v>0</v>
      </c>
      <c r="DC26" s="50">
        <f>IF($AN26="N","N",SUM('調查資料(OUT)'!AB32:AB35))</f>
        <v>0</v>
      </c>
      <c r="DD26" s="50">
        <f>IF($AN26="N","N",SUM('調查資料(OUT)'!AF32:AF35))</f>
        <v>0</v>
      </c>
      <c r="DE26" s="50">
        <f>IF($AN26="N","N",SUM('調查資料(OUT)'!AJ32:AJ35))</f>
        <v>0</v>
      </c>
      <c r="DF26" s="56" t="e">
        <f t="shared" si="128"/>
        <v>#DIV/0!</v>
      </c>
      <c r="DG26" s="50">
        <f t="shared" si="129"/>
        <v>0</v>
      </c>
      <c r="DH26" s="50">
        <f>IF($AN26="N","N",SUM('調查資料(OUT)'!AC32:AC35))</f>
        <v>0</v>
      </c>
      <c r="DI26" s="50">
        <f>IF($AN26="N","N",SUM('調查資料(OUT)'!AG32:AG35))</f>
        <v>0</v>
      </c>
      <c r="DJ26" s="50">
        <f>IF($AN26="N","N",SUM('調查資料(OUT)'!AK32:AK35))</f>
        <v>0</v>
      </c>
      <c r="DK26" s="56" t="e">
        <f t="shared" si="130"/>
        <v>#DIV/0!</v>
      </c>
      <c r="DL26" s="50">
        <f t="shared" si="131"/>
        <v>0</v>
      </c>
      <c r="DM26" s="56" t="e">
        <f t="shared" si="132"/>
        <v>#DIV/0!</v>
      </c>
      <c r="DN26" s="50">
        <f t="shared" si="133"/>
        <v>0</v>
      </c>
      <c r="DO26" s="56" t="e">
        <f t="shared" si="134"/>
        <v>#DIV/0!</v>
      </c>
      <c r="DP26" s="50">
        <f t="shared" si="135"/>
        <v>0</v>
      </c>
      <c r="DQ26" s="56" t="e">
        <f t="shared" si="136"/>
        <v>#DIV/0!</v>
      </c>
      <c r="DR26" s="50">
        <f t="shared" si="137"/>
        <v>0</v>
      </c>
      <c r="DS26" s="50">
        <f t="shared" si="138"/>
        <v>0</v>
      </c>
      <c r="DT26" s="50">
        <f>IF($AN26="N","N",SUM('調查資料(OUT)'!AL32:AL35))</f>
        <v>0</v>
      </c>
      <c r="DU26" s="50">
        <f>IF($AN26="N","N",SUM('調查資料(OUT)'!AP32:AP35))</f>
        <v>0</v>
      </c>
      <c r="DV26" s="50">
        <f>IF($AN26="N","N",SUM('調查資料(OUT)'!AT32:AT35))</f>
        <v>0</v>
      </c>
      <c r="DW26" s="56" t="e">
        <f t="shared" si="139"/>
        <v>#DIV/0!</v>
      </c>
      <c r="DX26" s="50">
        <f t="shared" si="140"/>
        <v>0</v>
      </c>
      <c r="DY26" s="50">
        <f>IF($AN26="N","N",SUM('調查資料(OUT)'!AM32:AM35))</f>
        <v>0</v>
      </c>
      <c r="DZ26" s="50">
        <f>IF($AN26="N","N",SUM('調查資料(OUT)'!AQ32:AQ35))</f>
        <v>0</v>
      </c>
      <c r="EA26" s="50">
        <f>IF($AN26="N","N",SUM('調查資料(OUT)'!AU32:AU35))</f>
        <v>0</v>
      </c>
      <c r="EB26" s="56" t="e">
        <f t="shared" si="141"/>
        <v>#DIV/0!</v>
      </c>
      <c r="EC26" s="50">
        <f t="shared" si="142"/>
        <v>0</v>
      </c>
      <c r="ED26" s="50">
        <f>IF($AN26="N","N",SUM('調查資料(OUT)'!AN32:AN35))</f>
        <v>0</v>
      </c>
      <c r="EE26" s="50">
        <f>IF($AN26="N","N",SUM('調查資料(OUT)'!AR32:AR35))</f>
        <v>0</v>
      </c>
      <c r="EF26" s="50">
        <f>IF($AN26="N","N",SUM('調查資料(OUT)'!AV32:AV35))</f>
        <v>0</v>
      </c>
      <c r="EG26" s="56" t="e">
        <f t="shared" si="143"/>
        <v>#DIV/0!</v>
      </c>
      <c r="EH26" s="50">
        <f t="shared" si="144"/>
        <v>0</v>
      </c>
      <c r="EI26" s="50">
        <f>IF($AN26="N","N",SUM('調查資料(OUT)'!AO32:AO35))</f>
        <v>0</v>
      </c>
      <c r="EJ26" s="50">
        <f>IF($AN26="N","N",SUM('調查資料(OUT)'!AS32:AS35))</f>
        <v>0</v>
      </c>
      <c r="EK26" s="50">
        <f>IF($AN26="N","N",SUM('調查資料(OUT)'!AW32:AW35))</f>
        <v>0</v>
      </c>
      <c r="EL26" s="56" t="e">
        <f t="shared" si="145"/>
        <v>#DIV/0!</v>
      </c>
      <c r="EM26" s="50">
        <f t="shared" si="146"/>
        <v>0</v>
      </c>
      <c r="EN26" s="56" t="e">
        <f t="shared" si="147"/>
        <v>#DIV/0!</v>
      </c>
      <c r="EO26" s="50">
        <f t="shared" si="148"/>
        <v>0</v>
      </c>
      <c r="EP26" s="56" t="e">
        <f t="shared" si="149"/>
        <v>#DIV/0!</v>
      </c>
      <c r="EQ26" s="50">
        <f t="shared" si="150"/>
        <v>0</v>
      </c>
      <c r="ER26" s="56" t="e">
        <f t="shared" si="151"/>
        <v>#DIV/0!</v>
      </c>
      <c r="ES26" s="50">
        <f t="shared" si="152"/>
        <v>0</v>
      </c>
      <c r="ET26" s="50">
        <f t="shared" si="153"/>
        <v>0</v>
      </c>
      <c r="EU26" s="50">
        <f>IF($AN26="N","N",SUM('調查資料(OUT)'!AX32:AX35))</f>
        <v>0</v>
      </c>
      <c r="EV26" s="50">
        <f>IF($AN26="N","N",SUM('調查資料(OUT)'!BB32:BB35))</f>
        <v>0</v>
      </c>
      <c r="EW26" s="50">
        <f>IF($AN26="N","N",SUM('調查資料(OUT)'!BF32:BF35))</f>
        <v>0</v>
      </c>
      <c r="EX26" s="56" t="e">
        <f t="shared" si="154"/>
        <v>#DIV/0!</v>
      </c>
      <c r="EY26" s="50">
        <f t="shared" si="155"/>
        <v>0</v>
      </c>
      <c r="EZ26" s="50">
        <f>IF($AN26="N","N",SUM('調查資料(OUT)'!AY32:AY35))</f>
        <v>0</v>
      </c>
      <c r="FA26" s="50">
        <f>IF($AN26="N","N",SUM('調查資料(OUT)'!BC32:BC35))</f>
        <v>0</v>
      </c>
      <c r="FB26" s="50">
        <f>IF($AN26="N","N",SUM('調查資料(OUT)'!BG32:BG35))</f>
        <v>0</v>
      </c>
      <c r="FC26" s="56" t="e">
        <f t="shared" si="156"/>
        <v>#DIV/0!</v>
      </c>
      <c r="FD26" s="50">
        <f t="shared" si="157"/>
        <v>0</v>
      </c>
      <c r="FE26" s="50">
        <f>IF($AN26="N","N",SUM('調查資料(OUT)'!AZ32:AZ35))</f>
        <v>0</v>
      </c>
      <c r="FF26" s="50">
        <f>IF($AN26="N","N",SUM('調查資料(OUT)'!BD32:BD35))</f>
        <v>0</v>
      </c>
      <c r="FG26" s="50">
        <f>IF($AN26="N","N",SUM('調查資料(OUT)'!BH32:BH35))</f>
        <v>0</v>
      </c>
      <c r="FH26" s="56" t="e">
        <f t="shared" si="158"/>
        <v>#DIV/0!</v>
      </c>
      <c r="FI26" s="50">
        <f t="shared" si="159"/>
        <v>0</v>
      </c>
      <c r="FJ26" s="50">
        <f>IF($AN26="N","N",SUM('調查資料(OUT)'!BA32:BA35))</f>
        <v>0</v>
      </c>
      <c r="FK26" s="50">
        <f>IF($AN26="N","N",SUM('調查資料(OUT)'!BE32:BE35))</f>
        <v>0</v>
      </c>
      <c r="FL26" s="50">
        <f>IF($AN26="N","N",SUM('調查資料(OUT)'!BI32:BI35))</f>
        <v>0</v>
      </c>
      <c r="FM26" s="56" t="e">
        <f t="shared" si="160"/>
        <v>#DIV/0!</v>
      </c>
      <c r="FN26" s="50">
        <f t="shared" si="161"/>
        <v>0</v>
      </c>
      <c r="FO26" s="56" t="e">
        <f t="shared" si="162"/>
        <v>#DIV/0!</v>
      </c>
      <c r="FP26" s="50">
        <f t="shared" si="163"/>
        <v>0</v>
      </c>
      <c r="FQ26" s="56" t="e">
        <f t="shared" si="164"/>
        <v>#DIV/0!</v>
      </c>
      <c r="FR26" s="50">
        <f t="shared" si="165"/>
        <v>0</v>
      </c>
      <c r="FS26" s="56" t="e">
        <f t="shared" si="166"/>
        <v>#DIV/0!</v>
      </c>
      <c r="FT26" s="50">
        <f t="shared" si="167"/>
        <v>0</v>
      </c>
    </row>
    <row r="27" spans="1:176">
      <c r="A27" s="274">
        <f>'調查資料(OUT)'!A33</f>
        <v>530</v>
      </c>
      <c r="B27" s="50">
        <f t="shared" si="81"/>
        <v>0</v>
      </c>
      <c r="C27" s="50">
        <f>IFERROR('調查資料(OUT)'!$B$1*'調查資料(OUT)'!B33,0)+IFERROR('調查資料(OUT)'!$F$1*'調查資料(OUT)'!F33,0)+IFERROR('調查資料(OUT)'!$J$1*'調查資料(OUT)'!J33,0)</f>
        <v>0</v>
      </c>
      <c r="D27" s="50">
        <f>IFERROR('調查資料(OUT)'!$C$1*'調查資料(OUT)'!C33,0)+IFERROR('調查資料(OUT)'!$G$1*'調查資料(OUT)'!G33,0)+IFERROR('調查資料(OUT)'!$K$1*'調查資料(OUT)'!K33,0)</f>
        <v>0</v>
      </c>
      <c r="E27" s="50">
        <f>IFERROR('調查資料(OUT)'!$D$1*'調查資料(OUT)'!D33,0)+IFERROR('調查資料(OUT)'!$H$1*'調查資料(OUT)'!H33,0)+IFERROR('調查資料(OUT)'!$L$1*'調查資料(OUT)'!L33,0)</f>
        <v>0</v>
      </c>
      <c r="F27" s="252">
        <f>IFERROR('調查資料(OUT)'!$E$1*'調查資料(OUT)'!E33,0)+IFERROR('調查資料(OUT)'!$I$1*'調查資料(OUT)'!I33,0)+IFERROR('調查資料(OUT)'!$M$1*'調查資料(OUT)'!M33,0)</f>
        <v>0</v>
      </c>
      <c r="G27" s="50">
        <f t="shared" si="82"/>
        <v>0</v>
      </c>
      <c r="H27" s="50">
        <f>IFERROR('調查資料(OUT)'!$N$1*'調查資料(OUT)'!N33,0)+IFERROR('調查資料(OUT)'!$R$1*'調查資料(OUT)'!R33,0)+IFERROR('調查資料(OUT)'!$V$1*'調查資料(OUT)'!V33,0)</f>
        <v>0</v>
      </c>
      <c r="I27" s="50">
        <f>IFERROR('調查資料(OUT)'!$O$1*'調查資料(OUT)'!O33,0)+IFERROR('調查資料(OUT)'!$S$1*'調查資料(OUT)'!S33,0)+IFERROR('調查資料(OUT)'!$W$1*'調查資料(OUT)'!W33,0)</f>
        <v>0</v>
      </c>
      <c r="J27" s="50">
        <f>IFERROR('調查資料(OUT)'!$P$1*'調查資料(OUT)'!P33,0)+IFERROR('調查資料(OUT)'!$T$1*'調查資料(OUT)'!T33,0)+IFERROR('調查資料(OUT)'!$X$1*'調查資料(OUT)'!X33,0)</f>
        <v>0</v>
      </c>
      <c r="K27" s="252">
        <f>IFERROR('調查資料(OUT)'!$Q$1*'調查資料(OUT)'!Q33,0)+IFERROR('調查資料(OUT)'!$U$1*'調查資料(OUT)'!U33,0)+IFERROR('調查資料(OUT)'!$Y$1*'調查資料(OUT)'!Y33,0)</f>
        <v>0</v>
      </c>
      <c r="L27" s="50">
        <f t="shared" si="83"/>
        <v>0</v>
      </c>
      <c r="M27" s="50">
        <f>IFERROR('調查資料(OUT)'!$Z$1*'調查資料(OUT)'!Z33,0)+IFERROR('調查資料(OUT)'!$AD$1*'調查資料(OUT)'!AD33,0)+IFERROR('調查資料(OUT)'!$AH$1*'調查資料(OUT)'!AH33,0)</f>
        <v>0</v>
      </c>
      <c r="N27" s="50">
        <f>IFERROR('調查資料(OUT)'!$AA$1*'調查資料(OUT)'!AA33,0)+IFERROR('調查資料(OUT)'!$AE$1*'調查資料(OUT)'!AE33,0)+IFERROR('調查資料(OUT)'!$AI$1*'調查資料(OUT)'!AI33,0)</f>
        <v>0</v>
      </c>
      <c r="O27" s="50">
        <f>IFERROR('調查資料(OUT)'!$AB$1*'調查資料(OUT)'!AB33,0)+IFERROR('調查資料(OUT)'!$AF$1*'調查資料(OUT)'!AF33,0)+IFERROR('調查資料(OUT)'!$AJ$1*'調查資料(OUT)'!AJ33,0)</f>
        <v>0</v>
      </c>
      <c r="P27" s="252">
        <f>IFERROR('調查資料(OUT)'!$AC$1*'調查資料(OUT)'!AC33,0)+IFERROR('調查資料(OUT)'!$AG$1*'調查資料(OUT)'!AG33,0)+IFERROR('調查資料(OUT)'!$AK$1*'調查資料(OUT)'!AK33,0)</f>
        <v>0</v>
      </c>
      <c r="Q27" s="50">
        <f t="shared" si="84"/>
        <v>0</v>
      </c>
      <c r="R27" s="50">
        <f>IFERROR('調查資料(OUT)'!$AL$1*'調查資料(OUT)'!AL33,0)+IFERROR('調查資料(OUT)'!$AP$1*'調查資料(OUT)'!AP33,0)+IFERROR('調查資料(OUT)'!$AT$1*'調查資料(OUT)'!AT33,0)</f>
        <v>0</v>
      </c>
      <c r="S27" s="50">
        <f>IFERROR('調查資料(OUT)'!$AM$1*'調查資料(OUT)'!AM33,0)+IFERROR('調查資料(OUT)'!$AQ$1*'調查資料(OUT)'!AQ33,0)+IFERROR('調查資料(OUT)'!$AU$1*'調查資料(OUT)'!AU33,0)</f>
        <v>0</v>
      </c>
      <c r="T27" s="50">
        <f>IFERROR('調查資料(OUT)'!$AN$1*'調查資料(OUT)'!AN33,0)+IFERROR('調查資料(OUT)'!$AR$1*'調查資料(OUT)'!AR33,0)+IFERROR('調查資料(OUT)'!$AV$1*'調查資料(OUT)'!AV33,0)</f>
        <v>0</v>
      </c>
      <c r="U27" s="252">
        <f>IFERROR('調查資料(OUT)'!$AO$1*'調查資料(OUT)'!AO33,0)+IFERROR('調查資料(OUT)'!$AS$1*'調查資料(OUT)'!AS33,0)+IFERROR('調查資料(OUT)'!$AW$1*'調查資料(OUT)'!AW33,0)</f>
        <v>0</v>
      </c>
      <c r="V27" s="50">
        <f t="shared" si="85"/>
        <v>0</v>
      </c>
      <c r="W27" s="50">
        <f>IFERROR('調查資料(OUT)'!$AX$1*'調查資料(OUT)'!AX33,0)+IFERROR('調查資料(OUT)'!$BB$1*'調查資料(OUT)'!BB33,0)+IFERROR('調查資料(OUT)'!$BF$1*'調查資料(OUT)'!BF33,0)</f>
        <v>0</v>
      </c>
      <c r="X27" s="50">
        <f>IFERROR('調查資料(OUT)'!$AY$1*'調查資料(OUT)'!AY33,0)+IFERROR('調查資料(OUT)'!$BC$1*'調查資料(OUT)'!BC33,0)+IFERROR('調查資料(OUT)'!$BG$1*'調查資料(OUT)'!BG33,0)</f>
        <v>0</v>
      </c>
      <c r="Y27" s="50">
        <f>IFERROR('調查資料(OUT)'!$AZ$1*'調查資料(OUT)'!AZ33,0)+IFERROR('調查資料(OUT)'!$BD$1*'調查資料(OUT)'!BD33,0)+IFERROR('調查資料(OUT)'!$BH$1*'調查資料(OUT)'!BH33,0)</f>
        <v>0</v>
      </c>
      <c r="Z27" s="252">
        <f>IFERROR('調查資料(OUT)'!$BA$1*'調查資料(OUT)'!BA33,0)+IFERROR('調查資料(OUT)'!$BE$1*'調查資料(OUT)'!BE33,0)+IFERROR('調查資料(OUT)'!$BI$1*'調查資料(OUT)'!BI33,0)</f>
        <v>0</v>
      </c>
      <c r="AA27" s="253">
        <f t="shared" si="86"/>
        <v>0</v>
      </c>
      <c r="AC27" s="251">
        <f>'調查資料(OUT)'!A33</f>
        <v>530</v>
      </c>
      <c r="AD27" s="254">
        <f t="shared" si="91"/>
        <v>630</v>
      </c>
      <c r="AE27" s="50">
        <f t="shared" si="92"/>
        <v>0</v>
      </c>
      <c r="AF27" s="255"/>
      <c r="AG27" s="50">
        <f t="shared" si="1"/>
        <v>0</v>
      </c>
      <c r="AH27" s="256" t="e">
        <f t="shared" si="2"/>
        <v>#DIV/0!</v>
      </c>
      <c r="AI27" s="256" t="e">
        <f t="shared" si="3"/>
        <v>#DIV/0!</v>
      </c>
      <c r="AJ27" s="256" t="e">
        <f t="shared" si="4"/>
        <v>#DIV/0!</v>
      </c>
      <c r="AK27" s="256" t="e">
        <f t="shared" si="5"/>
        <v>#DIV/0!</v>
      </c>
      <c r="AL27" s="256" t="e">
        <f t="shared" si="6"/>
        <v>#DIV/0!</v>
      </c>
      <c r="AM27" s="257"/>
      <c r="AN27" s="50">
        <f t="shared" si="7"/>
        <v>530</v>
      </c>
      <c r="AO27" s="252">
        <f t="shared" si="8"/>
        <v>630</v>
      </c>
      <c r="AP27" s="50">
        <f t="shared" si="93"/>
        <v>0</v>
      </c>
      <c r="AQ27" s="50">
        <f>IF($AN27="N","N",SUM('調查資料(OUT)'!B33:B36))</f>
        <v>0</v>
      </c>
      <c r="AR27" s="50">
        <f>IF($AN27="N","N",SUM('調查資料(OUT)'!F33:F36))</f>
        <v>0</v>
      </c>
      <c r="AS27" s="50">
        <f>IF($AN27="N","N",SUM('調查資料(OUT)'!J33:J36))</f>
        <v>0</v>
      </c>
      <c r="AT27" s="56" t="e">
        <f t="shared" si="94"/>
        <v>#DIV/0!</v>
      </c>
      <c r="AU27" s="50">
        <f t="shared" si="95"/>
        <v>0</v>
      </c>
      <c r="AV27" s="50">
        <f>IF($AN27="N","N",SUM('調查資料(OUT)'!C33:C36))</f>
        <v>0</v>
      </c>
      <c r="AW27" s="50">
        <f>IF($AN27="N","N",SUM('調查資料(OUT)'!G33:G36))</f>
        <v>0</v>
      </c>
      <c r="AX27" s="50">
        <f>IF($AN27="N","N",SUM('調查資料(OUT)'!K33:K36))</f>
        <v>0</v>
      </c>
      <c r="AY27" s="56" t="e">
        <f t="shared" si="96"/>
        <v>#DIV/0!</v>
      </c>
      <c r="AZ27" s="50">
        <f t="shared" si="97"/>
        <v>0</v>
      </c>
      <c r="BA27" s="50">
        <f>IF($AN27="N","N",SUM('調查資料(OUT)'!D33:D36))</f>
        <v>0</v>
      </c>
      <c r="BB27" s="50">
        <f>IF($AN27="N","N",SUM('調查資料(OUT)'!H33:H36))</f>
        <v>0</v>
      </c>
      <c r="BC27" s="50">
        <f>IF($AN27="N","N",SUM('調查資料(OUT)'!L33:L36))</f>
        <v>0</v>
      </c>
      <c r="BD27" s="56" t="e">
        <f t="shared" si="98"/>
        <v>#DIV/0!</v>
      </c>
      <c r="BE27" s="50">
        <f t="shared" si="99"/>
        <v>0</v>
      </c>
      <c r="BF27" s="50">
        <f>IF($AN27="N","N",SUM('調查資料(OUT)'!E33:E36))</f>
        <v>0</v>
      </c>
      <c r="BG27" s="50">
        <f>IF($AN27="N","N",SUM('調查資料(OUT)'!I33:I36))</f>
        <v>0</v>
      </c>
      <c r="BH27" s="50">
        <f>IF($AN27="N","N",SUM('調查資料(OUT)'!M33:M36))</f>
        <v>0</v>
      </c>
      <c r="BI27" s="56" t="e">
        <f t="shared" si="100"/>
        <v>#DIV/0!</v>
      </c>
      <c r="BJ27" s="50">
        <f t="shared" si="101"/>
        <v>0</v>
      </c>
      <c r="BK27" s="56" t="e">
        <f t="shared" si="102"/>
        <v>#DIV/0!</v>
      </c>
      <c r="BL27" s="50">
        <f t="shared" si="103"/>
        <v>0</v>
      </c>
      <c r="BM27" s="56" t="e">
        <f t="shared" si="104"/>
        <v>#DIV/0!</v>
      </c>
      <c r="BN27" s="50">
        <f t="shared" si="105"/>
        <v>0</v>
      </c>
      <c r="BO27" s="56" t="e">
        <f t="shared" si="106"/>
        <v>#DIV/0!</v>
      </c>
      <c r="BP27" s="50">
        <f t="shared" si="107"/>
        <v>0</v>
      </c>
      <c r="BQ27" s="50">
        <f t="shared" si="108"/>
        <v>0</v>
      </c>
      <c r="BR27" s="50">
        <f>IF($AN27="N","N",SUM('調查資料(OUT)'!N33:N36))</f>
        <v>0</v>
      </c>
      <c r="BS27" s="50">
        <f>IF($AN27="N","N",SUM('調查資料(OUT)'!R33:R36))</f>
        <v>0</v>
      </c>
      <c r="BT27" s="50">
        <f>IF($AN27="N","N",SUM('調查資料(OUT)'!V33:V36))</f>
        <v>0</v>
      </c>
      <c r="BU27" s="56" t="e">
        <f t="shared" si="109"/>
        <v>#DIV/0!</v>
      </c>
      <c r="BV27" s="50">
        <f t="shared" si="110"/>
        <v>0</v>
      </c>
      <c r="BW27" s="50">
        <f>IF($AN27="N","N",SUM('調查資料(OUT)'!O33:O36))</f>
        <v>0</v>
      </c>
      <c r="BX27" s="50">
        <f>IF($AN27="N","N",SUM('調查資料(OUT)'!S33:S36))</f>
        <v>0</v>
      </c>
      <c r="BY27" s="50">
        <f>IF($AN27="N","N",SUM('調查資料(OUT)'!W33:W36))</f>
        <v>0</v>
      </c>
      <c r="BZ27" s="56" t="e">
        <f t="shared" si="111"/>
        <v>#DIV/0!</v>
      </c>
      <c r="CA27" s="50">
        <f t="shared" si="112"/>
        <v>0</v>
      </c>
      <c r="CB27" s="50">
        <f>IF($AN27="N","N",SUM('調查資料(OUT)'!P33:P36))</f>
        <v>0</v>
      </c>
      <c r="CC27" s="50">
        <f>IF($AN27="N","N",SUM('調查資料(OUT)'!T33:T36))</f>
        <v>0</v>
      </c>
      <c r="CD27" s="50">
        <f>IF($AN27="N","N",SUM('調查資料(OUT)'!X33:X36))</f>
        <v>0</v>
      </c>
      <c r="CE27" s="56" t="e">
        <f t="shared" si="113"/>
        <v>#DIV/0!</v>
      </c>
      <c r="CF27" s="50">
        <f t="shared" si="114"/>
        <v>0</v>
      </c>
      <c r="CG27" s="50">
        <f>IF($AN27="N","N",SUM('調查資料(OUT)'!Q33:Q36))</f>
        <v>0</v>
      </c>
      <c r="CH27" s="50">
        <f>IF($AN27="N","N",SUM('調查資料(OUT)'!U33:U36))</f>
        <v>0</v>
      </c>
      <c r="CI27" s="50">
        <f>IF($AN27="N","N",SUM('調查資料(OUT)'!Y33:Y36))</f>
        <v>0</v>
      </c>
      <c r="CJ27" s="56" t="e">
        <f t="shared" si="115"/>
        <v>#DIV/0!</v>
      </c>
      <c r="CK27" s="50">
        <f t="shared" si="116"/>
        <v>0</v>
      </c>
      <c r="CL27" s="56" t="e">
        <f t="shared" si="117"/>
        <v>#DIV/0!</v>
      </c>
      <c r="CM27" s="50">
        <f t="shared" si="118"/>
        <v>0</v>
      </c>
      <c r="CN27" s="56" t="e">
        <f t="shared" si="119"/>
        <v>#DIV/0!</v>
      </c>
      <c r="CO27" s="50">
        <f t="shared" si="120"/>
        <v>0</v>
      </c>
      <c r="CP27" s="56" t="e">
        <f t="shared" si="121"/>
        <v>#DIV/0!</v>
      </c>
      <c r="CQ27" s="50">
        <f t="shared" si="122"/>
        <v>0</v>
      </c>
      <c r="CR27" s="50">
        <f t="shared" si="123"/>
        <v>0</v>
      </c>
      <c r="CS27" s="50">
        <f>IF($AN27="N","N",SUM('調查資料(OUT)'!Z33:Z36))</f>
        <v>0</v>
      </c>
      <c r="CT27" s="50">
        <f>IF($AN27="N","N",SUM('調查資料(OUT)'!AD33:AD36))</f>
        <v>0</v>
      </c>
      <c r="CU27" s="50">
        <f>IF($AN27="N","N",SUM('調查資料(OUT)'!AH33:AH36))</f>
        <v>0</v>
      </c>
      <c r="CV27" s="56" t="e">
        <f t="shared" si="124"/>
        <v>#DIV/0!</v>
      </c>
      <c r="CW27" s="50">
        <f t="shared" si="125"/>
        <v>0</v>
      </c>
      <c r="CX27" s="50">
        <f>IF($AN27="N","N",SUM('調查資料(OUT)'!AA33:AA36))</f>
        <v>0</v>
      </c>
      <c r="CY27" s="50">
        <f>IF($AN27="N","N",SUM('調查資料(OUT)'!AE33:AE36))</f>
        <v>0</v>
      </c>
      <c r="CZ27" s="50">
        <f>IF($AN27="N","N",SUM('調查資料(OUT)'!AI33:AI36))</f>
        <v>0</v>
      </c>
      <c r="DA27" s="56" t="e">
        <f t="shared" si="126"/>
        <v>#DIV/0!</v>
      </c>
      <c r="DB27" s="50">
        <f t="shared" si="127"/>
        <v>0</v>
      </c>
      <c r="DC27" s="50">
        <f>IF($AN27="N","N",SUM('調查資料(OUT)'!AB33:AB36))</f>
        <v>0</v>
      </c>
      <c r="DD27" s="50">
        <f>IF($AN27="N","N",SUM('調查資料(OUT)'!AF33:AF36))</f>
        <v>0</v>
      </c>
      <c r="DE27" s="50">
        <f>IF($AN27="N","N",SUM('調查資料(OUT)'!AJ33:AJ36))</f>
        <v>0</v>
      </c>
      <c r="DF27" s="56" t="e">
        <f t="shared" si="128"/>
        <v>#DIV/0!</v>
      </c>
      <c r="DG27" s="50">
        <f t="shared" si="129"/>
        <v>0</v>
      </c>
      <c r="DH27" s="50">
        <f>IF($AN27="N","N",SUM('調查資料(OUT)'!AC33:AC36))</f>
        <v>0</v>
      </c>
      <c r="DI27" s="50">
        <f>IF($AN27="N","N",SUM('調查資料(OUT)'!AG33:AG36))</f>
        <v>0</v>
      </c>
      <c r="DJ27" s="50">
        <f>IF($AN27="N","N",SUM('調查資料(OUT)'!AK33:AK36))</f>
        <v>0</v>
      </c>
      <c r="DK27" s="56" t="e">
        <f t="shared" si="130"/>
        <v>#DIV/0!</v>
      </c>
      <c r="DL27" s="50">
        <f t="shared" si="131"/>
        <v>0</v>
      </c>
      <c r="DM27" s="56" t="e">
        <f t="shared" si="132"/>
        <v>#DIV/0!</v>
      </c>
      <c r="DN27" s="50">
        <f t="shared" si="133"/>
        <v>0</v>
      </c>
      <c r="DO27" s="56" t="e">
        <f t="shared" si="134"/>
        <v>#DIV/0!</v>
      </c>
      <c r="DP27" s="50">
        <f t="shared" si="135"/>
        <v>0</v>
      </c>
      <c r="DQ27" s="56" t="e">
        <f t="shared" si="136"/>
        <v>#DIV/0!</v>
      </c>
      <c r="DR27" s="50">
        <f t="shared" si="137"/>
        <v>0</v>
      </c>
      <c r="DS27" s="50">
        <f t="shared" si="138"/>
        <v>0</v>
      </c>
      <c r="DT27" s="50">
        <f>IF($AN27="N","N",SUM('調查資料(OUT)'!AL33:AL36))</f>
        <v>0</v>
      </c>
      <c r="DU27" s="50">
        <f>IF($AN27="N","N",SUM('調查資料(OUT)'!AP33:AP36))</f>
        <v>0</v>
      </c>
      <c r="DV27" s="50">
        <f>IF($AN27="N","N",SUM('調查資料(OUT)'!AT33:AT36))</f>
        <v>0</v>
      </c>
      <c r="DW27" s="56" t="e">
        <f t="shared" si="139"/>
        <v>#DIV/0!</v>
      </c>
      <c r="DX27" s="50">
        <f t="shared" si="140"/>
        <v>0</v>
      </c>
      <c r="DY27" s="50">
        <f>IF($AN27="N","N",SUM('調查資料(OUT)'!AM33:AM36))</f>
        <v>0</v>
      </c>
      <c r="DZ27" s="50">
        <f>IF($AN27="N","N",SUM('調查資料(OUT)'!AQ33:AQ36))</f>
        <v>0</v>
      </c>
      <c r="EA27" s="50">
        <f>IF($AN27="N","N",SUM('調查資料(OUT)'!AU33:AU36))</f>
        <v>0</v>
      </c>
      <c r="EB27" s="56" t="e">
        <f t="shared" si="141"/>
        <v>#DIV/0!</v>
      </c>
      <c r="EC27" s="50">
        <f t="shared" si="142"/>
        <v>0</v>
      </c>
      <c r="ED27" s="50">
        <f>IF($AN27="N","N",SUM('調查資料(OUT)'!AN33:AN36))</f>
        <v>0</v>
      </c>
      <c r="EE27" s="50">
        <f>IF($AN27="N","N",SUM('調查資料(OUT)'!AR33:AR36))</f>
        <v>0</v>
      </c>
      <c r="EF27" s="50">
        <f>IF($AN27="N","N",SUM('調查資料(OUT)'!AV33:AV36))</f>
        <v>0</v>
      </c>
      <c r="EG27" s="56" t="e">
        <f t="shared" si="143"/>
        <v>#DIV/0!</v>
      </c>
      <c r="EH27" s="50">
        <f t="shared" si="144"/>
        <v>0</v>
      </c>
      <c r="EI27" s="50">
        <f>IF($AN27="N","N",SUM('調查資料(OUT)'!AO33:AO36))</f>
        <v>0</v>
      </c>
      <c r="EJ27" s="50">
        <f>IF($AN27="N","N",SUM('調查資料(OUT)'!AS33:AS36))</f>
        <v>0</v>
      </c>
      <c r="EK27" s="50">
        <f>IF($AN27="N","N",SUM('調查資料(OUT)'!AW33:AW36))</f>
        <v>0</v>
      </c>
      <c r="EL27" s="56" t="e">
        <f t="shared" si="145"/>
        <v>#DIV/0!</v>
      </c>
      <c r="EM27" s="50">
        <f t="shared" si="146"/>
        <v>0</v>
      </c>
      <c r="EN27" s="56" t="e">
        <f t="shared" si="147"/>
        <v>#DIV/0!</v>
      </c>
      <c r="EO27" s="50">
        <f t="shared" si="148"/>
        <v>0</v>
      </c>
      <c r="EP27" s="56" t="e">
        <f t="shared" si="149"/>
        <v>#DIV/0!</v>
      </c>
      <c r="EQ27" s="50">
        <f t="shared" si="150"/>
        <v>0</v>
      </c>
      <c r="ER27" s="56" t="e">
        <f t="shared" si="151"/>
        <v>#DIV/0!</v>
      </c>
      <c r="ES27" s="50">
        <f t="shared" si="152"/>
        <v>0</v>
      </c>
      <c r="ET27" s="50">
        <f t="shared" si="153"/>
        <v>0</v>
      </c>
      <c r="EU27" s="50">
        <f>IF($AN27="N","N",SUM('調查資料(OUT)'!AX33:AX36))</f>
        <v>0</v>
      </c>
      <c r="EV27" s="50">
        <f>IF($AN27="N","N",SUM('調查資料(OUT)'!BB33:BB36))</f>
        <v>0</v>
      </c>
      <c r="EW27" s="50">
        <f>IF($AN27="N","N",SUM('調查資料(OUT)'!BF33:BF36))</f>
        <v>0</v>
      </c>
      <c r="EX27" s="56" t="e">
        <f t="shared" si="154"/>
        <v>#DIV/0!</v>
      </c>
      <c r="EY27" s="50">
        <f t="shared" si="155"/>
        <v>0</v>
      </c>
      <c r="EZ27" s="50">
        <f>IF($AN27="N","N",SUM('調查資料(OUT)'!AY33:AY36))</f>
        <v>0</v>
      </c>
      <c r="FA27" s="50">
        <f>IF($AN27="N","N",SUM('調查資料(OUT)'!BC33:BC36))</f>
        <v>0</v>
      </c>
      <c r="FB27" s="50">
        <f>IF($AN27="N","N",SUM('調查資料(OUT)'!BG33:BG36))</f>
        <v>0</v>
      </c>
      <c r="FC27" s="56" t="e">
        <f t="shared" si="156"/>
        <v>#DIV/0!</v>
      </c>
      <c r="FD27" s="50">
        <f t="shared" si="157"/>
        <v>0</v>
      </c>
      <c r="FE27" s="50">
        <f>IF($AN27="N","N",SUM('調查資料(OUT)'!AZ33:AZ36))</f>
        <v>0</v>
      </c>
      <c r="FF27" s="50">
        <f>IF($AN27="N","N",SUM('調查資料(OUT)'!BD33:BD36))</f>
        <v>0</v>
      </c>
      <c r="FG27" s="50">
        <f>IF($AN27="N","N",SUM('調查資料(OUT)'!BH33:BH36))</f>
        <v>0</v>
      </c>
      <c r="FH27" s="56" t="e">
        <f t="shared" si="158"/>
        <v>#DIV/0!</v>
      </c>
      <c r="FI27" s="50">
        <f t="shared" si="159"/>
        <v>0</v>
      </c>
      <c r="FJ27" s="50">
        <f>IF($AN27="N","N",SUM('調查資料(OUT)'!BA33:BA36))</f>
        <v>0</v>
      </c>
      <c r="FK27" s="50">
        <f>IF($AN27="N","N",SUM('調查資料(OUT)'!BE33:BE36))</f>
        <v>0</v>
      </c>
      <c r="FL27" s="50">
        <f>IF($AN27="N","N",SUM('調查資料(OUT)'!BI33:BI36))</f>
        <v>0</v>
      </c>
      <c r="FM27" s="56" t="e">
        <f t="shared" si="160"/>
        <v>#DIV/0!</v>
      </c>
      <c r="FN27" s="50">
        <f t="shared" si="161"/>
        <v>0</v>
      </c>
      <c r="FO27" s="56" t="e">
        <f t="shared" si="162"/>
        <v>#DIV/0!</v>
      </c>
      <c r="FP27" s="50">
        <f t="shared" si="163"/>
        <v>0</v>
      </c>
      <c r="FQ27" s="56" t="e">
        <f t="shared" si="164"/>
        <v>#DIV/0!</v>
      </c>
      <c r="FR27" s="50">
        <f t="shared" si="165"/>
        <v>0</v>
      </c>
      <c r="FS27" s="56" t="e">
        <f t="shared" si="166"/>
        <v>#DIV/0!</v>
      </c>
      <c r="FT27" s="50">
        <f t="shared" si="167"/>
        <v>0</v>
      </c>
    </row>
    <row r="28" spans="1:176">
      <c r="A28" s="274">
        <f>'調查資料(OUT)'!A34</f>
        <v>545</v>
      </c>
      <c r="B28" s="50">
        <f t="shared" si="81"/>
        <v>0</v>
      </c>
      <c r="C28" s="50">
        <f>IFERROR('調查資料(OUT)'!$B$1*'調查資料(OUT)'!B34,0)+IFERROR('調查資料(OUT)'!$F$1*'調查資料(OUT)'!F34,0)+IFERROR('調查資料(OUT)'!$J$1*'調查資料(OUT)'!J34,0)</f>
        <v>0</v>
      </c>
      <c r="D28" s="50">
        <f>IFERROR('調查資料(OUT)'!$C$1*'調查資料(OUT)'!C34,0)+IFERROR('調查資料(OUT)'!$G$1*'調查資料(OUT)'!G34,0)+IFERROR('調查資料(OUT)'!$K$1*'調查資料(OUT)'!K34,0)</f>
        <v>0</v>
      </c>
      <c r="E28" s="50">
        <f>IFERROR('調查資料(OUT)'!$D$1*'調查資料(OUT)'!D34,0)+IFERROR('調查資料(OUT)'!$H$1*'調查資料(OUT)'!H34,0)+IFERROR('調查資料(OUT)'!$L$1*'調查資料(OUT)'!L34,0)</f>
        <v>0</v>
      </c>
      <c r="F28" s="252">
        <f>IFERROR('調查資料(OUT)'!$E$1*'調查資料(OUT)'!E34,0)+IFERROR('調查資料(OUT)'!$I$1*'調查資料(OUT)'!I34,0)+IFERROR('調查資料(OUT)'!$M$1*'調查資料(OUT)'!M34,0)</f>
        <v>0</v>
      </c>
      <c r="G28" s="50">
        <f t="shared" si="82"/>
        <v>0</v>
      </c>
      <c r="H28" s="50">
        <f>IFERROR('調查資料(OUT)'!$N$1*'調查資料(OUT)'!N34,0)+IFERROR('調查資料(OUT)'!$R$1*'調查資料(OUT)'!R34,0)+IFERROR('調查資料(OUT)'!$V$1*'調查資料(OUT)'!V34,0)</f>
        <v>0</v>
      </c>
      <c r="I28" s="50">
        <f>IFERROR('調查資料(OUT)'!$O$1*'調查資料(OUT)'!O34,0)+IFERROR('調查資料(OUT)'!$S$1*'調查資料(OUT)'!S34,0)+IFERROR('調查資料(OUT)'!$W$1*'調查資料(OUT)'!W34,0)</f>
        <v>0</v>
      </c>
      <c r="J28" s="50">
        <f>IFERROR('調查資料(OUT)'!$P$1*'調查資料(OUT)'!P34,0)+IFERROR('調查資料(OUT)'!$T$1*'調查資料(OUT)'!T34,0)+IFERROR('調查資料(OUT)'!$X$1*'調查資料(OUT)'!X34,0)</f>
        <v>0</v>
      </c>
      <c r="K28" s="252">
        <f>IFERROR('調查資料(OUT)'!$Q$1*'調查資料(OUT)'!Q34,0)+IFERROR('調查資料(OUT)'!$U$1*'調查資料(OUT)'!U34,0)+IFERROR('調查資料(OUT)'!$Y$1*'調查資料(OUT)'!Y34,0)</f>
        <v>0</v>
      </c>
      <c r="L28" s="50">
        <f t="shared" si="83"/>
        <v>0</v>
      </c>
      <c r="M28" s="50">
        <f>IFERROR('調查資料(OUT)'!$Z$1*'調查資料(OUT)'!Z34,0)+IFERROR('調查資料(OUT)'!$AD$1*'調查資料(OUT)'!AD34,0)+IFERROR('調查資料(OUT)'!$AH$1*'調查資料(OUT)'!AH34,0)</f>
        <v>0</v>
      </c>
      <c r="N28" s="50">
        <f>IFERROR('調查資料(OUT)'!$AA$1*'調查資料(OUT)'!AA34,0)+IFERROR('調查資料(OUT)'!$AE$1*'調查資料(OUT)'!AE34,0)+IFERROR('調查資料(OUT)'!$AI$1*'調查資料(OUT)'!AI34,0)</f>
        <v>0</v>
      </c>
      <c r="O28" s="50">
        <f>IFERROR('調查資料(OUT)'!$AB$1*'調查資料(OUT)'!AB34,0)+IFERROR('調查資料(OUT)'!$AF$1*'調查資料(OUT)'!AF34,0)+IFERROR('調查資料(OUT)'!$AJ$1*'調查資料(OUT)'!AJ34,0)</f>
        <v>0</v>
      </c>
      <c r="P28" s="252">
        <f>IFERROR('調查資料(OUT)'!$AC$1*'調查資料(OUT)'!AC34,0)+IFERROR('調查資料(OUT)'!$AG$1*'調查資料(OUT)'!AG34,0)+IFERROR('調查資料(OUT)'!$AK$1*'調查資料(OUT)'!AK34,0)</f>
        <v>0</v>
      </c>
      <c r="Q28" s="50">
        <f t="shared" si="84"/>
        <v>0</v>
      </c>
      <c r="R28" s="50">
        <f>IFERROR('調查資料(OUT)'!$AL$1*'調查資料(OUT)'!AL34,0)+IFERROR('調查資料(OUT)'!$AP$1*'調查資料(OUT)'!AP34,0)+IFERROR('調查資料(OUT)'!$AT$1*'調查資料(OUT)'!AT34,0)</f>
        <v>0</v>
      </c>
      <c r="S28" s="50">
        <f>IFERROR('調查資料(OUT)'!$AM$1*'調查資料(OUT)'!AM34,0)+IFERROR('調查資料(OUT)'!$AQ$1*'調查資料(OUT)'!AQ34,0)+IFERROR('調查資料(OUT)'!$AU$1*'調查資料(OUT)'!AU34,0)</f>
        <v>0</v>
      </c>
      <c r="T28" s="50">
        <f>IFERROR('調查資料(OUT)'!$AN$1*'調查資料(OUT)'!AN34,0)+IFERROR('調查資料(OUT)'!$AR$1*'調查資料(OUT)'!AR34,0)+IFERROR('調查資料(OUT)'!$AV$1*'調查資料(OUT)'!AV34,0)</f>
        <v>0</v>
      </c>
      <c r="U28" s="252">
        <f>IFERROR('調查資料(OUT)'!$AO$1*'調查資料(OUT)'!AO34,0)+IFERROR('調查資料(OUT)'!$AS$1*'調查資料(OUT)'!AS34,0)+IFERROR('調查資料(OUT)'!$AW$1*'調查資料(OUT)'!AW34,0)</f>
        <v>0</v>
      </c>
      <c r="V28" s="50">
        <f t="shared" si="85"/>
        <v>0</v>
      </c>
      <c r="W28" s="50">
        <f>IFERROR('調查資料(OUT)'!$AX$1*'調查資料(OUT)'!AX34,0)+IFERROR('調查資料(OUT)'!$BB$1*'調查資料(OUT)'!BB34,0)+IFERROR('調查資料(OUT)'!$BF$1*'調查資料(OUT)'!BF34,0)</f>
        <v>0</v>
      </c>
      <c r="X28" s="50">
        <f>IFERROR('調查資料(OUT)'!$AY$1*'調查資料(OUT)'!AY34,0)+IFERROR('調查資料(OUT)'!$BC$1*'調查資料(OUT)'!BC34,0)+IFERROR('調查資料(OUT)'!$BG$1*'調查資料(OUT)'!BG34,0)</f>
        <v>0</v>
      </c>
      <c r="Y28" s="50">
        <f>IFERROR('調查資料(OUT)'!$AZ$1*'調查資料(OUT)'!AZ34,0)+IFERROR('調查資料(OUT)'!$BD$1*'調查資料(OUT)'!BD34,0)+IFERROR('調查資料(OUT)'!$BH$1*'調查資料(OUT)'!BH34,0)</f>
        <v>0</v>
      </c>
      <c r="Z28" s="252">
        <f>IFERROR('調查資料(OUT)'!$BA$1*'調查資料(OUT)'!BA34,0)+IFERROR('調查資料(OUT)'!$BE$1*'調查資料(OUT)'!BE34,0)+IFERROR('調查資料(OUT)'!$BI$1*'調查資料(OUT)'!BI34,0)</f>
        <v>0</v>
      </c>
      <c r="AA28" s="253">
        <f t="shared" si="86"/>
        <v>0</v>
      </c>
      <c r="AC28" s="251">
        <f>'調查資料(OUT)'!A34</f>
        <v>545</v>
      </c>
      <c r="AD28" s="254">
        <f t="shared" si="91"/>
        <v>645</v>
      </c>
      <c r="AE28" s="50">
        <f t="shared" si="92"/>
        <v>0</v>
      </c>
      <c r="AF28" s="255"/>
      <c r="AG28" s="50">
        <f t="shared" si="1"/>
        <v>0</v>
      </c>
      <c r="AH28" s="256" t="e">
        <f t="shared" si="2"/>
        <v>#DIV/0!</v>
      </c>
      <c r="AI28" s="256" t="e">
        <f t="shared" si="3"/>
        <v>#DIV/0!</v>
      </c>
      <c r="AJ28" s="256" t="e">
        <f t="shared" si="4"/>
        <v>#DIV/0!</v>
      </c>
      <c r="AK28" s="256" t="e">
        <f t="shared" si="5"/>
        <v>#DIV/0!</v>
      </c>
      <c r="AL28" s="256" t="e">
        <f t="shared" si="6"/>
        <v>#DIV/0!</v>
      </c>
      <c r="AM28" s="257"/>
      <c r="AN28" s="50">
        <f t="shared" si="7"/>
        <v>545</v>
      </c>
      <c r="AO28" s="252">
        <f t="shared" si="8"/>
        <v>645</v>
      </c>
      <c r="AP28" s="50">
        <f t="shared" si="93"/>
        <v>0</v>
      </c>
      <c r="AQ28" s="50">
        <f>IF($AN28="N","N",SUM('調查資料(OUT)'!B34:B37))</f>
        <v>0</v>
      </c>
      <c r="AR28" s="50">
        <f>IF($AN28="N","N",SUM('調查資料(OUT)'!F34:F37))</f>
        <v>0</v>
      </c>
      <c r="AS28" s="50">
        <f>IF($AN28="N","N",SUM('調查資料(OUT)'!J34:J37))</f>
        <v>0</v>
      </c>
      <c r="AT28" s="56" t="e">
        <f t="shared" si="94"/>
        <v>#DIV/0!</v>
      </c>
      <c r="AU28" s="50">
        <f t="shared" si="95"/>
        <v>0</v>
      </c>
      <c r="AV28" s="50">
        <f>IF($AN28="N","N",SUM('調查資料(OUT)'!C34:C37))</f>
        <v>0</v>
      </c>
      <c r="AW28" s="50">
        <f>IF($AN28="N","N",SUM('調查資料(OUT)'!G34:G37))</f>
        <v>0</v>
      </c>
      <c r="AX28" s="50">
        <f>IF($AN28="N","N",SUM('調查資料(OUT)'!K34:K37))</f>
        <v>0</v>
      </c>
      <c r="AY28" s="56" t="e">
        <f t="shared" si="96"/>
        <v>#DIV/0!</v>
      </c>
      <c r="AZ28" s="50">
        <f t="shared" si="97"/>
        <v>0</v>
      </c>
      <c r="BA28" s="50">
        <f>IF($AN28="N","N",SUM('調查資料(OUT)'!D34:D37))</f>
        <v>0</v>
      </c>
      <c r="BB28" s="50">
        <f>IF($AN28="N","N",SUM('調查資料(OUT)'!H34:H37))</f>
        <v>0</v>
      </c>
      <c r="BC28" s="50">
        <f>IF($AN28="N","N",SUM('調查資料(OUT)'!L34:L37))</f>
        <v>0</v>
      </c>
      <c r="BD28" s="56" t="e">
        <f t="shared" si="98"/>
        <v>#DIV/0!</v>
      </c>
      <c r="BE28" s="50">
        <f t="shared" si="99"/>
        <v>0</v>
      </c>
      <c r="BF28" s="50">
        <f>IF($AN28="N","N",SUM('調查資料(OUT)'!E34:E37))</f>
        <v>0</v>
      </c>
      <c r="BG28" s="50">
        <f>IF($AN28="N","N",SUM('調查資料(OUT)'!I34:I37))</f>
        <v>0</v>
      </c>
      <c r="BH28" s="50">
        <f>IF($AN28="N","N",SUM('調查資料(OUT)'!M34:M37))</f>
        <v>0</v>
      </c>
      <c r="BI28" s="56" t="e">
        <f t="shared" si="100"/>
        <v>#DIV/0!</v>
      </c>
      <c r="BJ28" s="50">
        <f t="shared" si="101"/>
        <v>0</v>
      </c>
      <c r="BK28" s="56" t="e">
        <f t="shared" si="102"/>
        <v>#DIV/0!</v>
      </c>
      <c r="BL28" s="50">
        <f t="shared" si="103"/>
        <v>0</v>
      </c>
      <c r="BM28" s="56" t="e">
        <f t="shared" si="104"/>
        <v>#DIV/0!</v>
      </c>
      <c r="BN28" s="50">
        <f t="shared" si="105"/>
        <v>0</v>
      </c>
      <c r="BO28" s="56" t="e">
        <f t="shared" si="106"/>
        <v>#DIV/0!</v>
      </c>
      <c r="BP28" s="50">
        <f t="shared" si="107"/>
        <v>0</v>
      </c>
      <c r="BQ28" s="50">
        <f t="shared" si="108"/>
        <v>0</v>
      </c>
      <c r="BR28" s="50">
        <f>IF($AN28="N","N",SUM('調查資料(OUT)'!N34:N37))</f>
        <v>0</v>
      </c>
      <c r="BS28" s="50">
        <f>IF($AN28="N","N",SUM('調查資料(OUT)'!R34:R37))</f>
        <v>0</v>
      </c>
      <c r="BT28" s="50">
        <f>IF($AN28="N","N",SUM('調查資料(OUT)'!V34:V37))</f>
        <v>0</v>
      </c>
      <c r="BU28" s="56" t="e">
        <f t="shared" si="109"/>
        <v>#DIV/0!</v>
      </c>
      <c r="BV28" s="50">
        <f t="shared" si="110"/>
        <v>0</v>
      </c>
      <c r="BW28" s="50">
        <f>IF($AN28="N","N",SUM('調查資料(OUT)'!O34:O37))</f>
        <v>0</v>
      </c>
      <c r="BX28" s="50">
        <f>IF($AN28="N","N",SUM('調查資料(OUT)'!S34:S37))</f>
        <v>0</v>
      </c>
      <c r="BY28" s="50">
        <f>IF($AN28="N","N",SUM('調查資料(OUT)'!W34:W37))</f>
        <v>0</v>
      </c>
      <c r="BZ28" s="56" t="e">
        <f t="shared" si="111"/>
        <v>#DIV/0!</v>
      </c>
      <c r="CA28" s="50">
        <f t="shared" si="112"/>
        <v>0</v>
      </c>
      <c r="CB28" s="50">
        <f>IF($AN28="N","N",SUM('調查資料(OUT)'!P34:P37))</f>
        <v>0</v>
      </c>
      <c r="CC28" s="50">
        <f>IF($AN28="N","N",SUM('調查資料(OUT)'!T34:T37))</f>
        <v>0</v>
      </c>
      <c r="CD28" s="50">
        <f>IF($AN28="N","N",SUM('調查資料(OUT)'!X34:X37))</f>
        <v>0</v>
      </c>
      <c r="CE28" s="56" t="e">
        <f t="shared" si="113"/>
        <v>#DIV/0!</v>
      </c>
      <c r="CF28" s="50">
        <f t="shared" si="114"/>
        <v>0</v>
      </c>
      <c r="CG28" s="50">
        <f>IF($AN28="N","N",SUM('調查資料(OUT)'!Q34:Q37))</f>
        <v>0</v>
      </c>
      <c r="CH28" s="50">
        <f>IF($AN28="N","N",SUM('調查資料(OUT)'!U34:U37))</f>
        <v>0</v>
      </c>
      <c r="CI28" s="50">
        <f>IF($AN28="N","N",SUM('調查資料(OUT)'!Y34:Y37))</f>
        <v>0</v>
      </c>
      <c r="CJ28" s="56" t="e">
        <f t="shared" si="115"/>
        <v>#DIV/0!</v>
      </c>
      <c r="CK28" s="50">
        <f t="shared" si="116"/>
        <v>0</v>
      </c>
      <c r="CL28" s="56" t="e">
        <f t="shared" si="117"/>
        <v>#DIV/0!</v>
      </c>
      <c r="CM28" s="50">
        <f t="shared" si="118"/>
        <v>0</v>
      </c>
      <c r="CN28" s="56" t="e">
        <f t="shared" si="119"/>
        <v>#DIV/0!</v>
      </c>
      <c r="CO28" s="50">
        <f t="shared" si="120"/>
        <v>0</v>
      </c>
      <c r="CP28" s="56" t="e">
        <f t="shared" si="121"/>
        <v>#DIV/0!</v>
      </c>
      <c r="CQ28" s="50">
        <f t="shared" si="122"/>
        <v>0</v>
      </c>
      <c r="CR28" s="50">
        <f t="shared" si="123"/>
        <v>0</v>
      </c>
      <c r="CS28" s="50">
        <f>IF($AN28="N","N",SUM('調查資料(OUT)'!Z34:Z37))</f>
        <v>0</v>
      </c>
      <c r="CT28" s="50">
        <f>IF($AN28="N","N",SUM('調查資料(OUT)'!AD34:AD37))</f>
        <v>0</v>
      </c>
      <c r="CU28" s="50">
        <f>IF($AN28="N","N",SUM('調查資料(OUT)'!AH34:AH37))</f>
        <v>0</v>
      </c>
      <c r="CV28" s="56" t="e">
        <f t="shared" si="124"/>
        <v>#DIV/0!</v>
      </c>
      <c r="CW28" s="50">
        <f t="shared" si="125"/>
        <v>0</v>
      </c>
      <c r="CX28" s="50">
        <f>IF($AN28="N","N",SUM('調查資料(OUT)'!AA34:AA37))</f>
        <v>0</v>
      </c>
      <c r="CY28" s="50">
        <f>IF($AN28="N","N",SUM('調查資料(OUT)'!AE34:AE37))</f>
        <v>0</v>
      </c>
      <c r="CZ28" s="50">
        <f>IF($AN28="N","N",SUM('調查資料(OUT)'!AI34:AI37))</f>
        <v>0</v>
      </c>
      <c r="DA28" s="56" t="e">
        <f t="shared" si="126"/>
        <v>#DIV/0!</v>
      </c>
      <c r="DB28" s="50">
        <f t="shared" si="127"/>
        <v>0</v>
      </c>
      <c r="DC28" s="50">
        <f>IF($AN28="N","N",SUM('調查資料(OUT)'!AB34:AB37))</f>
        <v>0</v>
      </c>
      <c r="DD28" s="50">
        <f>IF($AN28="N","N",SUM('調查資料(OUT)'!AF34:AF37))</f>
        <v>0</v>
      </c>
      <c r="DE28" s="50">
        <f>IF($AN28="N","N",SUM('調查資料(OUT)'!AJ34:AJ37))</f>
        <v>0</v>
      </c>
      <c r="DF28" s="56" t="e">
        <f t="shared" si="128"/>
        <v>#DIV/0!</v>
      </c>
      <c r="DG28" s="50">
        <f t="shared" si="129"/>
        <v>0</v>
      </c>
      <c r="DH28" s="50">
        <f>IF($AN28="N","N",SUM('調查資料(OUT)'!AC34:AC37))</f>
        <v>0</v>
      </c>
      <c r="DI28" s="50">
        <f>IF($AN28="N","N",SUM('調查資料(OUT)'!AG34:AG37))</f>
        <v>0</v>
      </c>
      <c r="DJ28" s="50">
        <f>IF($AN28="N","N",SUM('調查資料(OUT)'!AK34:AK37))</f>
        <v>0</v>
      </c>
      <c r="DK28" s="56" t="e">
        <f t="shared" si="130"/>
        <v>#DIV/0!</v>
      </c>
      <c r="DL28" s="50">
        <f t="shared" si="131"/>
        <v>0</v>
      </c>
      <c r="DM28" s="56" t="e">
        <f t="shared" si="132"/>
        <v>#DIV/0!</v>
      </c>
      <c r="DN28" s="50">
        <f t="shared" si="133"/>
        <v>0</v>
      </c>
      <c r="DO28" s="56" t="e">
        <f t="shared" si="134"/>
        <v>#DIV/0!</v>
      </c>
      <c r="DP28" s="50">
        <f t="shared" si="135"/>
        <v>0</v>
      </c>
      <c r="DQ28" s="56" t="e">
        <f t="shared" si="136"/>
        <v>#DIV/0!</v>
      </c>
      <c r="DR28" s="50">
        <f t="shared" si="137"/>
        <v>0</v>
      </c>
      <c r="DS28" s="50">
        <f t="shared" si="138"/>
        <v>0</v>
      </c>
      <c r="DT28" s="50">
        <f>IF($AN28="N","N",SUM('調查資料(OUT)'!AL34:AL37))</f>
        <v>0</v>
      </c>
      <c r="DU28" s="50">
        <f>IF($AN28="N","N",SUM('調查資料(OUT)'!AP34:AP37))</f>
        <v>0</v>
      </c>
      <c r="DV28" s="50">
        <f>IF($AN28="N","N",SUM('調查資料(OUT)'!AT34:AT37))</f>
        <v>0</v>
      </c>
      <c r="DW28" s="56" t="e">
        <f t="shared" si="139"/>
        <v>#DIV/0!</v>
      </c>
      <c r="DX28" s="50">
        <f t="shared" si="140"/>
        <v>0</v>
      </c>
      <c r="DY28" s="50">
        <f>IF($AN28="N","N",SUM('調查資料(OUT)'!AM34:AM37))</f>
        <v>0</v>
      </c>
      <c r="DZ28" s="50">
        <f>IF($AN28="N","N",SUM('調查資料(OUT)'!AQ34:AQ37))</f>
        <v>0</v>
      </c>
      <c r="EA28" s="50">
        <f>IF($AN28="N","N",SUM('調查資料(OUT)'!AU34:AU37))</f>
        <v>0</v>
      </c>
      <c r="EB28" s="56" t="e">
        <f t="shared" si="141"/>
        <v>#DIV/0!</v>
      </c>
      <c r="EC28" s="50">
        <f t="shared" si="142"/>
        <v>0</v>
      </c>
      <c r="ED28" s="50">
        <f>IF($AN28="N","N",SUM('調查資料(OUT)'!AN34:AN37))</f>
        <v>0</v>
      </c>
      <c r="EE28" s="50">
        <f>IF($AN28="N","N",SUM('調查資料(OUT)'!AR34:AR37))</f>
        <v>0</v>
      </c>
      <c r="EF28" s="50">
        <f>IF($AN28="N","N",SUM('調查資料(OUT)'!AV34:AV37))</f>
        <v>0</v>
      </c>
      <c r="EG28" s="56" t="e">
        <f t="shared" si="143"/>
        <v>#DIV/0!</v>
      </c>
      <c r="EH28" s="50">
        <f t="shared" si="144"/>
        <v>0</v>
      </c>
      <c r="EI28" s="50">
        <f>IF($AN28="N","N",SUM('調查資料(OUT)'!AO34:AO37))</f>
        <v>0</v>
      </c>
      <c r="EJ28" s="50">
        <f>IF($AN28="N","N",SUM('調查資料(OUT)'!AS34:AS37))</f>
        <v>0</v>
      </c>
      <c r="EK28" s="50">
        <f>IF($AN28="N","N",SUM('調查資料(OUT)'!AW34:AW37))</f>
        <v>0</v>
      </c>
      <c r="EL28" s="56" t="e">
        <f t="shared" si="145"/>
        <v>#DIV/0!</v>
      </c>
      <c r="EM28" s="50">
        <f t="shared" si="146"/>
        <v>0</v>
      </c>
      <c r="EN28" s="56" t="e">
        <f t="shared" si="147"/>
        <v>#DIV/0!</v>
      </c>
      <c r="EO28" s="50">
        <f t="shared" si="148"/>
        <v>0</v>
      </c>
      <c r="EP28" s="56" t="e">
        <f t="shared" si="149"/>
        <v>#DIV/0!</v>
      </c>
      <c r="EQ28" s="50">
        <f t="shared" si="150"/>
        <v>0</v>
      </c>
      <c r="ER28" s="56" t="e">
        <f t="shared" si="151"/>
        <v>#DIV/0!</v>
      </c>
      <c r="ES28" s="50">
        <f t="shared" si="152"/>
        <v>0</v>
      </c>
      <c r="ET28" s="50">
        <f t="shared" si="153"/>
        <v>0</v>
      </c>
      <c r="EU28" s="50">
        <f>IF($AN28="N","N",SUM('調查資料(OUT)'!AX34:AX37))</f>
        <v>0</v>
      </c>
      <c r="EV28" s="50">
        <f>IF($AN28="N","N",SUM('調查資料(OUT)'!BB34:BB37))</f>
        <v>0</v>
      </c>
      <c r="EW28" s="50">
        <f>IF($AN28="N","N",SUM('調查資料(OUT)'!BF34:BF37))</f>
        <v>0</v>
      </c>
      <c r="EX28" s="56" t="e">
        <f t="shared" si="154"/>
        <v>#DIV/0!</v>
      </c>
      <c r="EY28" s="50">
        <f t="shared" si="155"/>
        <v>0</v>
      </c>
      <c r="EZ28" s="50">
        <f>IF($AN28="N","N",SUM('調查資料(OUT)'!AY34:AY37))</f>
        <v>0</v>
      </c>
      <c r="FA28" s="50">
        <f>IF($AN28="N","N",SUM('調查資料(OUT)'!BC34:BC37))</f>
        <v>0</v>
      </c>
      <c r="FB28" s="50">
        <f>IF($AN28="N","N",SUM('調查資料(OUT)'!BG34:BG37))</f>
        <v>0</v>
      </c>
      <c r="FC28" s="56" t="e">
        <f t="shared" si="156"/>
        <v>#DIV/0!</v>
      </c>
      <c r="FD28" s="50">
        <f t="shared" si="157"/>
        <v>0</v>
      </c>
      <c r="FE28" s="50">
        <f>IF($AN28="N","N",SUM('調查資料(OUT)'!AZ34:AZ37))</f>
        <v>0</v>
      </c>
      <c r="FF28" s="50">
        <f>IF($AN28="N","N",SUM('調查資料(OUT)'!BD34:BD37))</f>
        <v>0</v>
      </c>
      <c r="FG28" s="50">
        <f>IF($AN28="N","N",SUM('調查資料(OUT)'!BH34:BH37))</f>
        <v>0</v>
      </c>
      <c r="FH28" s="56" t="e">
        <f t="shared" si="158"/>
        <v>#DIV/0!</v>
      </c>
      <c r="FI28" s="50">
        <f t="shared" si="159"/>
        <v>0</v>
      </c>
      <c r="FJ28" s="50">
        <f>IF($AN28="N","N",SUM('調查資料(OUT)'!BA34:BA37))</f>
        <v>0</v>
      </c>
      <c r="FK28" s="50">
        <f>IF($AN28="N","N",SUM('調查資料(OUT)'!BE34:BE37))</f>
        <v>0</v>
      </c>
      <c r="FL28" s="50">
        <f>IF($AN28="N","N",SUM('調查資料(OUT)'!BI34:BI37))</f>
        <v>0</v>
      </c>
      <c r="FM28" s="56" t="e">
        <f t="shared" si="160"/>
        <v>#DIV/0!</v>
      </c>
      <c r="FN28" s="50">
        <f t="shared" si="161"/>
        <v>0</v>
      </c>
      <c r="FO28" s="56" t="e">
        <f t="shared" si="162"/>
        <v>#DIV/0!</v>
      </c>
      <c r="FP28" s="50">
        <f t="shared" si="163"/>
        <v>0</v>
      </c>
      <c r="FQ28" s="56" t="e">
        <f t="shared" si="164"/>
        <v>#DIV/0!</v>
      </c>
      <c r="FR28" s="50">
        <f t="shared" si="165"/>
        <v>0</v>
      </c>
      <c r="FS28" s="56" t="e">
        <f t="shared" si="166"/>
        <v>#DIV/0!</v>
      </c>
      <c r="FT28" s="50">
        <f t="shared" si="167"/>
        <v>0</v>
      </c>
    </row>
    <row r="29" spans="1:176">
      <c r="A29" s="274">
        <f>'調查資料(OUT)'!A35</f>
        <v>600</v>
      </c>
      <c r="B29" s="50">
        <f>SUM(C29:F29)</f>
        <v>0</v>
      </c>
      <c r="C29" s="50">
        <f>IFERROR('調查資料(OUT)'!$B$1*'調查資料(OUT)'!B35,0)+IFERROR('調查資料(OUT)'!$F$1*'調查資料(OUT)'!F35,0)+IFERROR('調查資料(OUT)'!$J$1*'調查資料(OUT)'!J35,0)</f>
        <v>0</v>
      </c>
      <c r="D29" s="50">
        <f>IFERROR('調查資料(OUT)'!$C$1*'調查資料(OUT)'!C35,0)+IFERROR('調查資料(OUT)'!$G$1*'調查資料(OUT)'!G35,0)+IFERROR('調查資料(OUT)'!$K$1*'調查資料(OUT)'!K35,0)</f>
        <v>0</v>
      </c>
      <c r="E29" s="50">
        <f>IFERROR('調查資料(OUT)'!$D$1*'調查資料(OUT)'!D35,0)+IFERROR('調查資料(OUT)'!$H$1*'調查資料(OUT)'!H35,0)+IFERROR('調查資料(OUT)'!$L$1*'調查資料(OUT)'!L35,0)</f>
        <v>0</v>
      </c>
      <c r="F29" s="252">
        <f>IFERROR('調查資料(OUT)'!$E$1*'調查資料(OUT)'!E35,0)+IFERROR('調查資料(OUT)'!$I$1*'調查資料(OUT)'!I35,0)+IFERROR('調查資料(OUT)'!$M$1*'調查資料(OUT)'!M35,0)</f>
        <v>0</v>
      </c>
      <c r="G29" s="50">
        <f>SUM(H29:K29)</f>
        <v>0</v>
      </c>
      <c r="H29" s="50">
        <f>IFERROR('調查資料(OUT)'!$N$1*'調查資料(OUT)'!N35,0)+IFERROR('調查資料(OUT)'!$R$1*'調查資料(OUT)'!R35,0)+IFERROR('調查資料(OUT)'!$V$1*'調查資料(OUT)'!V35,0)</f>
        <v>0</v>
      </c>
      <c r="I29" s="50">
        <f>IFERROR('調查資料(OUT)'!$O$1*'調查資料(OUT)'!O35,0)+IFERROR('調查資料(OUT)'!$S$1*'調查資料(OUT)'!S35,0)+IFERROR('調查資料(OUT)'!$W$1*'調查資料(OUT)'!W35,0)</f>
        <v>0</v>
      </c>
      <c r="J29" s="50">
        <f>IFERROR('調查資料(OUT)'!$P$1*'調查資料(OUT)'!P35,0)+IFERROR('調查資料(OUT)'!$T$1*'調查資料(OUT)'!T35,0)+IFERROR('調查資料(OUT)'!$X$1*'調查資料(OUT)'!X35,0)</f>
        <v>0</v>
      </c>
      <c r="K29" s="252">
        <f>IFERROR('調查資料(OUT)'!$Q$1*'調查資料(OUT)'!Q35,0)+IFERROR('調查資料(OUT)'!$U$1*'調查資料(OUT)'!U35,0)+IFERROR('調查資料(OUT)'!$Y$1*'調查資料(OUT)'!Y35,0)</f>
        <v>0</v>
      </c>
      <c r="L29" s="50">
        <f>SUM(M29:P29)</f>
        <v>0</v>
      </c>
      <c r="M29" s="50">
        <f>IFERROR('調查資料(OUT)'!$Z$1*'調查資料(OUT)'!Z35,0)+IFERROR('調查資料(OUT)'!$AD$1*'調查資料(OUT)'!AD35,0)+IFERROR('調查資料(OUT)'!$AH$1*'調查資料(OUT)'!AH35,0)</f>
        <v>0</v>
      </c>
      <c r="N29" s="50">
        <f>IFERROR('調查資料(OUT)'!$AA$1*'調查資料(OUT)'!AA35,0)+IFERROR('調查資料(OUT)'!$AE$1*'調查資料(OUT)'!AE35,0)+IFERROR('調查資料(OUT)'!$AI$1*'調查資料(OUT)'!AI35,0)</f>
        <v>0</v>
      </c>
      <c r="O29" s="50">
        <f>IFERROR('調查資料(OUT)'!$AB$1*'調查資料(OUT)'!AB35,0)+IFERROR('調查資料(OUT)'!$AF$1*'調查資料(OUT)'!AF35,0)+IFERROR('調查資料(OUT)'!$AJ$1*'調查資料(OUT)'!AJ35,0)</f>
        <v>0</v>
      </c>
      <c r="P29" s="252">
        <f>IFERROR('調查資料(OUT)'!$AC$1*'調查資料(OUT)'!AC35,0)+IFERROR('調查資料(OUT)'!$AG$1*'調查資料(OUT)'!AG35,0)+IFERROR('調查資料(OUT)'!$AK$1*'調查資料(OUT)'!AK35,0)</f>
        <v>0</v>
      </c>
      <c r="Q29" s="50">
        <f>SUM(R29:U29)</f>
        <v>0</v>
      </c>
      <c r="R29" s="50">
        <f>IFERROR('調查資料(OUT)'!$AL$1*'調查資料(OUT)'!AL35,0)+IFERROR('調查資料(OUT)'!$AP$1*'調查資料(OUT)'!AP35,0)+IFERROR('調查資料(OUT)'!$AT$1*'調查資料(OUT)'!AT35,0)</f>
        <v>0</v>
      </c>
      <c r="S29" s="50">
        <f>IFERROR('調查資料(OUT)'!$AM$1*'調查資料(OUT)'!AM35,0)+IFERROR('調查資料(OUT)'!$AQ$1*'調查資料(OUT)'!AQ35,0)+IFERROR('調查資料(OUT)'!$AU$1*'調查資料(OUT)'!AU35,0)</f>
        <v>0</v>
      </c>
      <c r="T29" s="50">
        <f>IFERROR('調查資料(OUT)'!$AN$1*'調查資料(OUT)'!AN35,0)+IFERROR('調查資料(OUT)'!$AR$1*'調查資料(OUT)'!AR35,0)+IFERROR('調查資料(OUT)'!$AV$1*'調查資料(OUT)'!AV35,0)</f>
        <v>0</v>
      </c>
      <c r="U29" s="252">
        <f>IFERROR('調查資料(OUT)'!$AO$1*'調查資料(OUT)'!AO35,0)+IFERROR('調查資料(OUT)'!$AS$1*'調查資料(OUT)'!AS35,0)+IFERROR('調查資料(OUT)'!$AW$1*'調查資料(OUT)'!AW35,0)</f>
        <v>0</v>
      </c>
      <c r="V29" s="50">
        <f>SUM(W29:Z29)</f>
        <v>0</v>
      </c>
      <c r="W29" s="50">
        <f>IFERROR('調查資料(OUT)'!$AX$1*'調查資料(OUT)'!AX35,0)+IFERROR('調查資料(OUT)'!$BB$1*'調查資料(OUT)'!BB35,0)+IFERROR('調查資料(OUT)'!$BF$1*'調查資料(OUT)'!BF35,0)</f>
        <v>0</v>
      </c>
      <c r="X29" s="50">
        <f>IFERROR('調查資料(OUT)'!$AY$1*'調查資料(OUT)'!AY35,0)+IFERROR('調查資料(OUT)'!$BC$1*'調查資料(OUT)'!BC35,0)+IFERROR('調查資料(OUT)'!$BG$1*'調查資料(OUT)'!BG35,0)</f>
        <v>0</v>
      </c>
      <c r="Y29" s="50">
        <f>IFERROR('調查資料(OUT)'!$AZ$1*'調查資料(OUT)'!AZ35,0)+IFERROR('調查資料(OUT)'!$BD$1*'調查資料(OUT)'!BD35,0)+IFERROR('調查資料(OUT)'!$BH$1*'調查資料(OUT)'!BH35,0)</f>
        <v>0</v>
      </c>
      <c r="Z29" s="252">
        <f>IFERROR('調查資料(OUT)'!$BA$1*'調查資料(OUT)'!BA35,0)+IFERROR('調查資料(OUT)'!$BE$1*'調查資料(OUT)'!BE35,0)+IFERROR('調查資料(OUT)'!$BI$1*'調查資料(OUT)'!BI35,0)</f>
        <v>0</v>
      </c>
      <c r="AA29" s="253">
        <f>B29+G29+L29+Q29+V29</f>
        <v>0</v>
      </c>
      <c r="AC29" s="251">
        <f>'調查資料(OUT)'!A35</f>
        <v>600</v>
      </c>
      <c r="AD29" s="254">
        <f>AC29+100</f>
        <v>700</v>
      </c>
      <c r="AE29" s="50">
        <f>SUM(AA29:AA32)</f>
        <v>0</v>
      </c>
      <c r="AF29" s="51"/>
      <c r="AG29" s="50">
        <f t="shared" si="1"/>
        <v>0</v>
      </c>
      <c r="AH29" s="256" t="e">
        <f t="shared" si="2"/>
        <v>#DIV/0!</v>
      </c>
      <c r="AI29" s="256" t="e">
        <f t="shared" si="3"/>
        <v>#DIV/0!</v>
      </c>
      <c r="AJ29" s="256" t="e">
        <f t="shared" si="4"/>
        <v>#DIV/0!</v>
      </c>
      <c r="AK29" s="256" t="e">
        <f t="shared" si="5"/>
        <v>#DIV/0!</v>
      </c>
      <c r="AL29" s="256" t="e">
        <f t="shared" si="6"/>
        <v>#DIV/0!</v>
      </c>
      <c r="AN29" s="50">
        <f t="shared" si="7"/>
        <v>600</v>
      </c>
      <c r="AO29" s="252">
        <f t="shared" si="8"/>
        <v>700</v>
      </c>
      <c r="AP29" s="50">
        <f t="shared" ref="AP29" si="168">IF($AN29="N","N",SUM(C29:C32))</f>
        <v>0</v>
      </c>
      <c r="AQ29" s="50">
        <f>IF($AN29="N","N",SUM('調查資料(OUT)'!B35:B38))</f>
        <v>0</v>
      </c>
      <c r="AR29" s="50">
        <f>IF($AN29="N","N",SUM('調查資料(OUT)'!F35:F38))</f>
        <v>0</v>
      </c>
      <c r="AS29" s="50">
        <f>IF($AN29="N","N",SUM('調查資料(OUT)'!J35:J38))</f>
        <v>0</v>
      </c>
      <c r="AT29" s="56" t="e">
        <f t="shared" ref="AT29:AT60" si="169">IF($AN29="N","N",(AP29/$BP29)*100)</f>
        <v>#DIV/0!</v>
      </c>
      <c r="AU29" s="50">
        <f t="shared" ref="AU29:AU60" si="170">IF($AN29="N","N",SUM(D29:D32))</f>
        <v>0</v>
      </c>
      <c r="AV29" s="50">
        <f>IF($AN29="N","N",SUM('調查資料(OUT)'!C35:C38))</f>
        <v>0</v>
      </c>
      <c r="AW29" s="50">
        <f>IF($AN29="N","N",SUM('調查資料(OUT)'!G35:G38))</f>
        <v>0</v>
      </c>
      <c r="AX29" s="50">
        <f>IF($AN29="N","N",SUM('調查資料(OUT)'!K35:K38))</f>
        <v>0</v>
      </c>
      <c r="AY29" s="56" t="e">
        <f t="shared" ref="AY29:AY60" si="171">IF($AN29="N","N",(AU29/$BP29)*100)</f>
        <v>#DIV/0!</v>
      </c>
      <c r="AZ29" s="50">
        <f t="shared" ref="AZ29:AZ60" si="172">IF($AN29="N","N",SUM(E29:E32))</f>
        <v>0</v>
      </c>
      <c r="BA29" s="50">
        <f>IF($AN29="N","N",SUM('調查資料(OUT)'!D35:D38))</f>
        <v>0</v>
      </c>
      <c r="BB29" s="50">
        <f>IF($AN29="N","N",SUM('調查資料(OUT)'!H35:H38))</f>
        <v>0</v>
      </c>
      <c r="BC29" s="50">
        <f>IF($AN29="N","N",SUM('調查資料(OUT)'!L35:L38))</f>
        <v>0</v>
      </c>
      <c r="BD29" s="56" t="e">
        <f t="shared" ref="BD29:BD60" si="173">IF($AN29="N","N",(AZ29/$BP29)*100)</f>
        <v>#DIV/0!</v>
      </c>
      <c r="BE29" s="50">
        <f t="shared" ref="BE29:BE60" si="174">IF($AN29="N","N",SUM(F29:F32))</f>
        <v>0</v>
      </c>
      <c r="BF29" s="50">
        <f>IF($AN29="N","N",SUM('調查資料(OUT)'!E35:E38))</f>
        <v>0</v>
      </c>
      <c r="BG29" s="50">
        <f>IF($AN29="N","N",SUM('調查資料(OUT)'!I35:I38))</f>
        <v>0</v>
      </c>
      <c r="BH29" s="50">
        <f>IF($AN29="N","N",SUM('調查資料(OUT)'!M35:M38))</f>
        <v>0</v>
      </c>
      <c r="BI29" s="56" t="e">
        <f t="shared" ref="BI29:BI60" si="175">IF($AN29="N","N",(BE29/$BP29)*100)</f>
        <v>#DIV/0!</v>
      </c>
      <c r="BJ29" s="50">
        <f t="shared" ref="BJ29:BJ33" si="176">IF($AN29="N","N",AQ29+AV29+BA29+BF29)</f>
        <v>0</v>
      </c>
      <c r="BK29" s="56" t="e">
        <f t="shared" ref="BK29:BK33" si="177">IF($AN29="N","N",(BJ29/($BJ29+$BL29+$BN29))*100)</f>
        <v>#DIV/0!</v>
      </c>
      <c r="BL29" s="50">
        <f t="shared" ref="BL29:BL33" si="178">IF($AN29="N","N",AR29+AW29+BB29+BG29)</f>
        <v>0</v>
      </c>
      <c r="BM29" s="56" t="e">
        <f t="shared" ref="BM29:BM33" si="179">IF($AN29="N","N",(BL29/($BJ29+$BL29+$BN29))*100)</f>
        <v>#DIV/0!</v>
      </c>
      <c r="BN29" s="50">
        <f t="shared" ref="BN29:BN33" si="180">IF($AN29="N","N",AS29+AX29+BC29+BH29)</f>
        <v>0</v>
      </c>
      <c r="BO29" s="56" t="e">
        <f t="shared" ref="BO29:BO33" si="181">IF($AN29="N","N",(BN29/($BJ29+$BL29+$BN29))*100)</f>
        <v>#DIV/0!</v>
      </c>
      <c r="BP29" s="50">
        <f t="shared" ref="BP29:BP33" si="182">IF($AN29="N","N",AP29+AU29+AZ29+BE29)</f>
        <v>0</v>
      </c>
      <c r="BQ29" s="50">
        <f t="shared" ref="BQ29:BQ60" si="183">IF($AN29="N","N",SUM(H29:H32))</f>
        <v>0</v>
      </c>
      <c r="BR29" s="50">
        <f>IF($AN29="N","N",SUM('調查資料(OUT)'!N35:N38))</f>
        <v>0</v>
      </c>
      <c r="BS29" s="50">
        <f>IF($AN29="N","N",SUM('調查資料(OUT)'!R35:R38))</f>
        <v>0</v>
      </c>
      <c r="BT29" s="50">
        <f>IF($AN29="N","N",SUM('調查資料(OUT)'!V35:V38))</f>
        <v>0</v>
      </c>
      <c r="BU29" s="56" t="e">
        <f t="shared" ref="BU29:BU60" si="184">IF($AN29="N","N",(BQ29/CQ29)*100)</f>
        <v>#DIV/0!</v>
      </c>
      <c r="BV29" s="50">
        <f t="shared" ref="BV29:BV60" si="185">IF($AN29="N","N",SUM(I29:I32))</f>
        <v>0</v>
      </c>
      <c r="BW29" s="50">
        <f>IF($AN29="N","N",SUM('調查資料(OUT)'!O35:O38))</f>
        <v>0</v>
      </c>
      <c r="BX29" s="50">
        <f>IF($AN29="N","N",SUM('調查資料(OUT)'!S35:S38))</f>
        <v>0</v>
      </c>
      <c r="BY29" s="50">
        <f>IF($AN29="N","N",SUM('調查資料(OUT)'!W35:W38))</f>
        <v>0</v>
      </c>
      <c r="BZ29" s="56" t="e">
        <f t="shared" ref="BZ29:BZ60" si="186">IF($AN29="N","N",(BV29/$CQ29)*100)</f>
        <v>#DIV/0!</v>
      </c>
      <c r="CA29" s="50">
        <f t="shared" ref="CA29:CA60" si="187">IF($AN29="N","N",SUM(J29:J32))</f>
        <v>0</v>
      </c>
      <c r="CB29" s="50">
        <f>IF($AN29="N","N",SUM('調查資料(OUT)'!P35:P38))</f>
        <v>0</v>
      </c>
      <c r="CC29" s="50">
        <f>IF($AN29="N","N",SUM('調查資料(OUT)'!T35:T38))</f>
        <v>0</v>
      </c>
      <c r="CD29" s="50">
        <f>IF($AN29="N","N",SUM('調查資料(OUT)'!X35:X38))</f>
        <v>0</v>
      </c>
      <c r="CE29" s="56" t="e">
        <f t="shared" ref="CE29:CE60" si="188">IF($AN29="N","N",(CA29/$CQ29)*100)</f>
        <v>#DIV/0!</v>
      </c>
      <c r="CF29" s="50">
        <f t="shared" ref="CF29:CF60" si="189">IF($AN29="N","N",SUM(K29:K32))</f>
        <v>0</v>
      </c>
      <c r="CG29" s="50">
        <f>IF($AN29="N","N",SUM('調查資料(OUT)'!Q35:Q38))</f>
        <v>0</v>
      </c>
      <c r="CH29" s="50">
        <f>IF($AN29="N","N",SUM('調查資料(OUT)'!U35:U38))</f>
        <v>0</v>
      </c>
      <c r="CI29" s="50">
        <f>IF($AN29="N","N",SUM('調查資料(OUT)'!Y35:Y38))</f>
        <v>0</v>
      </c>
      <c r="CJ29" s="56" t="e">
        <f t="shared" ref="CJ29:CJ60" si="190">IF($AN29="N","N",(CF29/CQ29)*100)</f>
        <v>#DIV/0!</v>
      </c>
      <c r="CK29" s="50">
        <f t="shared" ref="CK29:CK33" si="191">IF($AN29="N","N",BR29+BW29+CB29+CG29)</f>
        <v>0</v>
      </c>
      <c r="CL29" s="56" t="e">
        <f t="shared" ref="CL29:CL33" si="192">IF($AN29="N","N",(CK29/($CK29+$CM29+$CO29))*100)</f>
        <v>#DIV/0!</v>
      </c>
      <c r="CM29" s="50">
        <f t="shared" ref="CM29:CM33" si="193">IF($AN29="N","N",BS29+BX29+CC29+CH29)</f>
        <v>0</v>
      </c>
      <c r="CN29" s="56" t="e">
        <f t="shared" ref="CN29:CN33" si="194">IF($AN29="N","N",(CM29/($CK29+$CM29+$CO29))*100)</f>
        <v>#DIV/0!</v>
      </c>
      <c r="CO29" s="50">
        <f t="shared" ref="CO29:CO33" si="195">IF($AN29="N","N",BT29+BY29+CD29+CI29)</f>
        <v>0</v>
      </c>
      <c r="CP29" s="56" t="e">
        <f t="shared" ref="CP29:CP33" si="196">IF($AN29="N","N",(CO29/($CK29+$CM29+$CO29))*100)</f>
        <v>#DIV/0!</v>
      </c>
      <c r="CQ29" s="50">
        <f t="shared" ref="CQ29:CQ33" si="197">IF($AN29="N","N",BQ29+BV29+CA29+CF29)</f>
        <v>0</v>
      </c>
      <c r="CR29" s="50">
        <f t="shared" ref="CR29:CR60" si="198">IF($AN29="N","N",SUM(M29:M32))</f>
        <v>0</v>
      </c>
      <c r="CS29" s="50">
        <f>IF($AN29="N","N",SUM('調查資料(OUT)'!Z35:Z38))</f>
        <v>0</v>
      </c>
      <c r="CT29" s="50">
        <f>IF($AN29="N","N",SUM('調查資料(OUT)'!AD35:AD38))</f>
        <v>0</v>
      </c>
      <c r="CU29" s="50">
        <f>IF($AN29="N","N",SUM('調查資料(OUT)'!AH35:AH38))</f>
        <v>0</v>
      </c>
      <c r="CV29" s="56" t="e">
        <f t="shared" ref="CV29:CV60" si="199">IF($AN29="N","N",(CR29/DR29)*100)</f>
        <v>#DIV/0!</v>
      </c>
      <c r="CW29" s="50">
        <f t="shared" ref="CW29:CW60" si="200">IF($AN29="N","N",SUM(N29:N32))</f>
        <v>0</v>
      </c>
      <c r="CX29" s="50">
        <f>IF($AN29="N","N",SUM('調查資料(OUT)'!AA35:AA38))</f>
        <v>0</v>
      </c>
      <c r="CY29" s="50">
        <f>IF($AN29="N","N",SUM('調查資料(OUT)'!AE35:AE38))</f>
        <v>0</v>
      </c>
      <c r="CZ29" s="50">
        <f>IF($AN29="N","N",SUM('調查資料(OUT)'!AI35:AI38))</f>
        <v>0</v>
      </c>
      <c r="DA29" s="56" t="e">
        <f t="shared" ref="DA29:DA60" si="201">IF($AN29="N","N",(CW29/$DR29)*100)</f>
        <v>#DIV/0!</v>
      </c>
      <c r="DB29" s="50">
        <f t="shared" ref="DB29:DB60" si="202">IF($AN29="N","N",SUM(O29:O32))</f>
        <v>0</v>
      </c>
      <c r="DC29" s="50">
        <f>IF($AN29="N","N",SUM('調查資料(OUT)'!AB35:AB38))</f>
        <v>0</v>
      </c>
      <c r="DD29" s="50">
        <f>IF($AN29="N","N",SUM('調查資料(OUT)'!AF35:AF38))</f>
        <v>0</v>
      </c>
      <c r="DE29" s="50">
        <f>IF($AN29="N","N",SUM('調查資料(OUT)'!AJ35:AJ38))</f>
        <v>0</v>
      </c>
      <c r="DF29" s="56" t="e">
        <f t="shared" ref="DF29:DF60" si="203">IF($AN29="N","N",(DB29/$DR29)*100)</f>
        <v>#DIV/0!</v>
      </c>
      <c r="DG29" s="50">
        <f t="shared" ref="DG29:DG60" si="204">IF($AN29="N","N",SUM(P29:P32))</f>
        <v>0</v>
      </c>
      <c r="DH29" s="50">
        <f>IF($AN29="N","N",SUM('調查資料(OUT)'!AC35:AC38))</f>
        <v>0</v>
      </c>
      <c r="DI29" s="50">
        <f>IF($AN29="N","N",SUM('調查資料(OUT)'!AG35:AG38))</f>
        <v>0</v>
      </c>
      <c r="DJ29" s="50">
        <f>IF($AN29="N","N",SUM('調查資料(OUT)'!AK35:AK38))</f>
        <v>0</v>
      </c>
      <c r="DK29" s="56" t="e">
        <f t="shared" ref="DK29:DK60" si="205">IF($AN29="N","N",(DG29/DR29)*100)</f>
        <v>#DIV/0!</v>
      </c>
      <c r="DL29" s="50">
        <f t="shared" ref="DL29:DL33" si="206">IF($AN29="N","N",CS29+CX29+DC29+DH29)</f>
        <v>0</v>
      </c>
      <c r="DM29" s="56" t="e">
        <f t="shared" ref="DM29:DM33" si="207">IF($AN29="N","N",(DL29/($DL29+$DN29+$DP29))*100)</f>
        <v>#DIV/0!</v>
      </c>
      <c r="DN29" s="50">
        <f t="shared" ref="DN29:DN33" si="208">IF($AN29="N","N",CT29+CY29+DD29+DI29)</f>
        <v>0</v>
      </c>
      <c r="DO29" s="56" t="e">
        <f t="shared" ref="DO29:DO33" si="209">IF($AN29="N","N",(DN29/($DL29+$DN29+$DP29))*100)</f>
        <v>#DIV/0!</v>
      </c>
      <c r="DP29" s="50">
        <f t="shared" ref="DP29:DP33" si="210">IF($AN29="N","N",CU29+CZ29+DE29+DJ29)</f>
        <v>0</v>
      </c>
      <c r="DQ29" s="56" t="e">
        <f t="shared" ref="DQ29:DQ33" si="211">IF($AN29="N","N",(DP29/($DL29+$DN29+$DP29))*100)</f>
        <v>#DIV/0!</v>
      </c>
      <c r="DR29" s="50">
        <f t="shared" ref="DR29:DR33" si="212">IF($AN29="N","N",CR29+CW29+DB29+DG29)</f>
        <v>0</v>
      </c>
      <c r="DS29" s="50">
        <f t="shared" ref="DS29:DS60" si="213">IF($AN29="N","N",SUM(R29:R32))</f>
        <v>0</v>
      </c>
      <c r="DT29" s="50">
        <f>IF($AN29="N","N",SUM('調查資料(OUT)'!AL35:AL38))</f>
        <v>0</v>
      </c>
      <c r="DU29" s="50">
        <f>IF($AN29="N","N",SUM('調查資料(OUT)'!AP35:AP38))</f>
        <v>0</v>
      </c>
      <c r="DV29" s="50">
        <f>IF($AN29="N","N",SUM('調查資料(OUT)'!AT35:AT38))</f>
        <v>0</v>
      </c>
      <c r="DW29" s="56" t="e">
        <f t="shared" ref="DW29:DW60" si="214">IF($AN29="N","N",(DS29/ES29)*100)</f>
        <v>#DIV/0!</v>
      </c>
      <c r="DX29" s="50">
        <f t="shared" ref="DX29:DX60" si="215">IF($AN29="N","N",SUM(S29:S32))</f>
        <v>0</v>
      </c>
      <c r="DY29" s="50">
        <f>IF($AN29="N","N",SUM('調查資料(OUT)'!AM35:AM38))</f>
        <v>0</v>
      </c>
      <c r="DZ29" s="50">
        <f>IF($AN29="N","N",SUM('調查資料(OUT)'!AQ35:AQ38))</f>
        <v>0</v>
      </c>
      <c r="EA29" s="50">
        <f>IF($AN29="N","N",SUM('調查資料(OUT)'!AU35:AU38))</f>
        <v>0</v>
      </c>
      <c r="EB29" s="56" t="e">
        <f t="shared" ref="EB29:EB60" si="216">IF($AN29="N","N",(DX29/$ES29)*100)</f>
        <v>#DIV/0!</v>
      </c>
      <c r="EC29" s="50">
        <f t="shared" ref="EC29:EC60" si="217">IF($AN29="N","N",SUM(T29:T32))</f>
        <v>0</v>
      </c>
      <c r="ED29" s="50">
        <f>IF($AN29="N","N",SUM('調查資料(OUT)'!AN35:AN38))</f>
        <v>0</v>
      </c>
      <c r="EE29" s="50">
        <f>IF($AN29="N","N",SUM('調查資料(OUT)'!AR35:AR38))</f>
        <v>0</v>
      </c>
      <c r="EF29" s="50">
        <f>IF($AN29="N","N",SUM('調查資料(OUT)'!AV35:AV38))</f>
        <v>0</v>
      </c>
      <c r="EG29" s="56" t="e">
        <f t="shared" ref="EG29:EG60" si="218">IF($AN29="N","N",(EC29/$ES29)*100)</f>
        <v>#DIV/0!</v>
      </c>
      <c r="EH29" s="50">
        <f t="shared" ref="EH29:EH60" si="219">IF($AN29="N","N",SUM(U29:U32))</f>
        <v>0</v>
      </c>
      <c r="EI29" s="50">
        <f>IF($AN29="N","N",SUM('調查資料(OUT)'!AO35:AO38))</f>
        <v>0</v>
      </c>
      <c r="EJ29" s="50">
        <f>IF($AN29="N","N",SUM('調查資料(OUT)'!AS35:AS38))</f>
        <v>0</v>
      </c>
      <c r="EK29" s="50">
        <f>IF($AN29="N","N",SUM('調查資料(OUT)'!AW35:AW38))</f>
        <v>0</v>
      </c>
      <c r="EL29" s="56" t="e">
        <f t="shared" ref="EL29:EL60" si="220">IF($AN29="N","N",(EH29/ES29)*100)</f>
        <v>#DIV/0!</v>
      </c>
      <c r="EM29" s="50">
        <f t="shared" ref="EM29:EM33" si="221">IF($AN29="N","N",DT29+DY29+ED29+EI29)</f>
        <v>0</v>
      </c>
      <c r="EN29" s="56" t="e">
        <f t="shared" ref="EN29:EN33" si="222">IF($AN29="N","N",(EM29/($EM29+$EO29+$EQ29))*100)</f>
        <v>#DIV/0!</v>
      </c>
      <c r="EO29" s="50">
        <f t="shared" ref="EO29:EO33" si="223">IF($AN29="N","N",DU29+DZ29+EE29+EJ29)</f>
        <v>0</v>
      </c>
      <c r="EP29" s="56" t="e">
        <f t="shared" ref="EP29:EP33" si="224">IF($AN29="N","N",(EO29/($EM29+$EO29+$EQ29))*100)</f>
        <v>#DIV/0!</v>
      </c>
      <c r="EQ29" s="50">
        <f t="shared" ref="EQ29:EQ33" si="225">IF($AN29="N","N",DV29+EA29+EF29+EK29)</f>
        <v>0</v>
      </c>
      <c r="ER29" s="56" t="e">
        <f>IF($AN29="N","N",(EQ29/($EM29+$EO29+$EQ29))*100)</f>
        <v>#DIV/0!</v>
      </c>
      <c r="ES29" s="50">
        <f t="shared" ref="ES29:ES33" si="226">IF($AN29="N","N",DS29+DX29+EC29+EH29)</f>
        <v>0</v>
      </c>
      <c r="ET29" s="50">
        <f t="shared" ref="ET29:ET60" si="227">IF($AN29="N","N",SUM(W29:W32))</f>
        <v>0</v>
      </c>
      <c r="EU29" s="50">
        <f>IF($AN29="N","N",SUM('調查資料(OUT)'!AX35:AX38))</f>
        <v>0</v>
      </c>
      <c r="EV29" s="50">
        <f>IF($AN29="N","N",SUM('調查資料(OUT)'!BB35:BB38))</f>
        <v>0</v>
      </c>
      <c r="EW29" s="50">
        <f>IF($AN29="N","N",SUM('調查資料(OUT)'!BF35:BF38))</f>
        <v>0</v>
      </c>
      <c r="EX29" s="56" t="e">
        <f t="shared" ref="EX29:EX60" si="228">IF($AN29="N","N",(ET29/FT29)*100)</f>
        <v>#DIV/0!</v>
      </c>
      <c r="EY29" s="50">
        <f t="shared" ref="EY29:EY60" si="229">IF($AN29="N","N",SUM(X29:X32))</f>
        <v>0</v>
      </c>
      <c r="EZ29" s="50">
        <f>IF($AN29="N","N",SUM('調查資料(OUT)'!AY35:AY38))</f>
        <v>0</v>
      </c>
      <c r="FA29" s="50">
        <f>IF($AN29="N","N",SUM('調查資料(OUT)'!BC35:BC38))</f>
        <v>0</v>
      </c>
      <c r="FB29" s="50">
        <f>IF($AN29="N","N",SUM('調查資料(OUT)'!BG35:BG38))</f>
        <v>0</v>
      </c>
      <c r="FC29" s="56" t="e">
        <f t="shared" ref="FC29:FC60" si="230">IF($AN29="N","N",(EY29/$FT29)*100)</f>
        <v>#DIV/0!</v>
      </c>
      <c r="FD29" s="50">
        <f t="shared" ref="FD29:FD60" si="231">IF($AN29="N","N",SUM(Y29:Y32))</f>
        <v>0</v>
      </c>
      <c r="FE29" s="50">
        <f>IF($AN29="N","N",SUM('調查資料(OUT)'!AZ35:AZ38))</f>
        <v>0</v>
      </c>
      <c r="FF29" s="50">
        <f>IF($AN29="N","N",SUM('調查資料(OUT)'!BD35:BD38))</f>
        <v>0</v>
      </c>
      <c r="FG29" s="50">
        <f>IF($AN29="N","N",SUM('調查資料(OUT)'!BH35:BH38))</f>
        <v>0</v>
      </c>
      <c r="FH29" s="56" t="e">
        <f t="shared" ref="FH29:FH60" si="232">IF($AN29="N","N",(FD29/$FT29)*100)</f>
        <v>#DIV/0!</v>
      </c>
      <c r="FI29" s="50">
        <f t="shared" ref="FI29:FI60" si="233">IF($AN29="N","N",SUM(Z29:Z32))</f>
        <v>0</v>
      </c>
      <c r="FJ29" s="50">
        <f>IF($AN29="N","N",SUM('調查資料(OUT)'!BA35:BA38))</f>
        <v>0</v>
      </c>
      <c r="FK29" s="50">
        <f>IF($AN29="N","N",SUM('調查資料(OUT)'!BE35:BE38))</f>
        <v>0</v>
      </c>
      <c r="FL29" s="50">
        <f>IF($AN29="N","N",SUM('調查資料(OUT)'!BI35:BI38))</f>
        <v>0</v>
      </c>
      <c r="FM29" s="56" t="e">
        <f t="shared" ref="FM29:FM60" si="234">IF($AN29="N","N",(FI29/FT29)*100)</f>
        <v>#DIV/0!</v>
      </c>
      <c r="FN29" s="50">
        <f t="shared" ref="FN29" si="235">IF($AN29="N","N",EU29+EZ29+FE29+FJ29)</f>
        <v>0</v>
      </c>
      <c r="FO29" s="56" t="e">
        <f>IF($AN29="N","N",(FN29/($FN29+$FP29+$FR29))*100)</f>
        <v>#DIV/0!</v>
      </c>
      <c r="FP29" s="50">
        <f t="shared" ref="FP29" si="236">IF($AN29="N","N",EV29+FA29+FF29+FK29)</f>
        <v>0</v>
      </c>
      <c r="FQ29" s="56" t="e">
        <f>IF($AN29="N","N",(FP29/($FN29+$FP29+$FR29))*100)</f>
        <v>#DIV/0!</v>
      </c>
      <c r="FR29" s="50">
        <f t="shared" ref="FR29" si="237">IF($AN29="N","N",EW29+FB29+FG29+FL29)</f>
        <v>0</v>
      </c>
      <c r="FS29" s="56" t="e">
        <f>IF($AN29="N","N",(FR29/($FN29+$FP29+$FR29))*100)</f>
        <v>#DIV/0!</v>
      </c>
      <c r="FT29" s="50">
        <f>IF($AN29="N","N",ET29+EY29+FD29+FI29)</f>
        <v>0</v>
      </c>
    </row>
    <row r="30" spans="1:176">
      <c r="A30" s="274">
        <f>'調查資料(OUT)'!A36</f>
        <v>615</v>
      </c>
      <c r="B30" s="50">
        <f t="shared" ref="B30:B92" si="238">SUM(C30:F30)</f>
        <v>0</v>
      </c>
      <c r="C30" s="50">
        <f>IFERROR('調查資料(OUT)'!$B$1*'調查資料(OUT)'!B36,0)+IFERROR('調查資料(OUT)'!$F$1*'調查資料(OUT)'!F36,0)+IFERROR('調查資料(OUT)'!$J$1*'調查資料(OUT)'!J36,0)</f>
        <v>0</v>
      </c>
      <c r="D30" s="50">
        <f>IFERROR('調查資料(OUT)'!$C$1*'調查資料(OUT)'!C36,0)+IFERROR('調查資料(OUT)'!$G$1*'調查資料(OUT)'!G36,0)+IFERROR('調查資料(OUT)'!$K$1*'調查資料(OUT)'!K36,0)</f>
        <v>0</v>
      </c>
      <c r="E30" s="50">
        <f>IFERROR('調查資料(OUT)'!$D$1*'調查資料(OUT)'!D36,0)+IFERROR('調查資料(OUT)'!$H$1*'調查資料(OUT)'!H36,0)+IFERROR('調查資料(OUT)'!$L$1*'調查資料(OUT)'!L36,0)</f>
        <v>0</v>
      </c>
      <c r="F30" s="252">
        <f>IFERROR('調查資料(OUT)'!$E$1*'調查資料(OUT)'!E36,0)+IFERROR('調查資料(OUT)'!$I$1*'調查資料(OUT)'!I36,0)+IFERROR('調查資料(OUT)'!$M$1*'調查資料(OUT)'!M36,0)</f>
        <v>0</v>
      </c>
      <c r="G30" s="50">
        <f t="shared" ref="G30:G92" si="239">SUM(H30:K30)</f>
        <v>0</v>
      </c>
      <c r="H30" s="50">
        <f>IFERROR('調查資料(OUT)'!$N$1*'調查資料(OUT)'!N36,0)+IFERROR('調查資料(OUT)'!$R$1*'調查資料(OUT)'!R36,0)+IFERROR('調查資料(OUT)'!$V$1*'調查資料(OUT)'!V36,0)</f>
        <v>0</v>
      </c>
      <c r="I30" s="50">
        <f>IFERROR('調查資料(OUT)'!$O$1*'調查資料(OUT)'!O36,0)+IFERROR('調查資料(OUT)'!$S$1*'調查資料(OUT)'!S36,0)+IFERROR('調查資料(OUT)'!$W$1*'調查資料(OUT)'!W36,0)</f>
        <v>0</v>
      </c>
      <c r="J30" s="50">
        <f>IFERROR('調查資料(OUT)'!$P$1*'調查資料(OUT)'!P36,0)+IFERROR('調查資料(OUT)'!$T$1*'調查資料(OUT)'!T36,0)+IFERROR('調查資料(OUT)'!$X$1*'調查資料(OUT)'!X36,0)</f>
        <v>0</v>
      </c>
      <c r="K30" s="252">
        <f>IFERROR('調查資料(OUT)'!$Q$1*'調查資料(OUT)'!Q36,0)+IFERROR('調查資料(OUT)'!$U$1*'調查資料(OUT)'!U36,0)+IFERROR('調查資料(OUT)'!$Y$1*'調查資料(OUT)'!Y36,0)</f>
        <v>0</v>
      </c>
      <c r="L30" s="50">
        <f t="shared" ref="L30:L92" si="240">SUM(M30:P30)</f>
        <v>0</v>
      </c>
      <c r="M30" s="50">
        <f>IFERROR('調查資料(OUT)'!$Z$1*'調查資料(OUT)'!Z36,0)+IFERROR('調查資料(OUT)'!$AD$1*'調查資料(OUT)'!AD36,0)+IFERROR('調查資料(OUT)'!$AH$1*'調查資料(OUT)'!AH36,0)</f>
        <v>0</v>
      </c>
      <c r="N30" s="50">
        <f>IFERROR('調查資料(OUT)'!$AA$1*'調查資料(OUT)'!AA36,0)+IFERROR('調查資料(OUT)'!$AE$1*'調查資料(OUT)'!AE36,0)+IFERROR('調查資料(OUT)'!$AI$1*'調查資料(OUT)'!AI36,0)</f>
        <v>0</v>
      </c>
      <c r="O30" s="50">
        <f>IFERROR('調查資料(OUT)'!$AB$1*'調查資料(OUT)'!AB36,0)+IFERROR('調查資料(OUT)'!$AF$1*'調查資料(OUT)'!AF36,0)+IFERROR('調查資料(OUT)'!$AJ$1*'調查資料(OUT)'!AJ36,0)</f>
        <v>0</v>
      </c>
      <c r="P30" s="252">
        <f>IFERROR('調查資料(OUT)'!$AC$1*'調查資料(OUT)'!AC36,0)+IFERROR('調查資料(OUT)'!$AG$1*'調查資料(OUT)'!AG36,0)+IFERROR('調查資料(OUT)'!$AK$1*'調查資料(OUT)'!AK36,0)</f>
        <v>0</v>
      </c>
      <c r="Q30" s="50">
        <f t="shared" ref="Q30:Q92" si="241">SUM(R30:U30)</f>
        <v>0</v>
      </c>
      <c r="R30" s="50">
        <f>IFERROR('調查資料(OUT)'!$AL$1*'調查資料(OUT)'!AL36,0)+IFERROR('調查資料(OUT)'!$AP$1*'調查資料(OUT)'!AP36,0)+IFERROR('調查資料(OUT)'!$AT$1*'調查資料(OUT)'!AT36,0)</f>
        <v>0</v>
      </c>
      <c r="S30" s="50">
        <f>IFERROR('調查資料(OUT)'!$AM$1*'調查資料(OUT)'!AM36,0)+IFERROR('調查資料(OUT)'!$AQ$1*'調查資料(OUT)'!AQ36,0)+IFERROR('調查資料(OUT)'!$AU$1*'調查資料(OUT)'!AU36,0)</f>
        <v>0</v>
      </c>
      <c r="T30" s="50">
        <f>IFERROR('調查資料(OUT)'!$AN$1*'調查資料(OUT)'!AN36,0)+IFERROR('調查資料(OUT)'!$AR$1*'調查資料(OUT)'!AR36,0)+IFERROR('調查資料(OUT)'!$AV$1*'調查資料(OUT)'!AV36,0)</f>
        <v>0</v>
      </c>
      <c r="U30" s="252">
        <f>IFERROR('調查資料(OUT)'!$AO$1*'調查資料(OUT)'!AO36,0)+IFERROR('調查資料(OUT)'!$AS$1*'調查資料(OUT)'!AS36,0)+IFERROR('調查資料(OUT)'!$AW$1*'調查資料(OUT)'!AW36,0)</f>
        <v>0</v>
      </c>
      <c r="V30" s="50">
        <f t="shared" ref="V30:V92" si="242">SUM(W30:Z30)</f>
        <v>0</v>
      </c>
      <c r="W30" s="50">
        <f>IFERROR('調查資料(OUT)'!$AX$1*'調查資料(OUT)'!AX36,0)+IFERROR('調查資料(OUT)'!$BB$1*'調查資料(OUT)'!BB36,0)+IFERROR('調查資料(OUT)'!$BF$1*'調查資料(OUT)'!BF36,0)</f>
        <v>0</v>
      </c>
      <c r="X30" s="50">
        <f>IFERROR('調查資料(OUT)'!$AY$1*'調查資料(OUT)'!AY36,0)+IFERROR('調查資料(OUT)'!$BC$1*'調查資料(OUT)'!BC36,0)+IFERROR('調查資料(OUT)'!$BG$1*'調查資料(OUT)'!BG36,0)</f>
        <v>0</v>
      </c>
      <c r="Y30" s="50">
        <f>IFERROR('調查資料(OUT)'!$AZ$1*'調查資料(OUT)'!AZ36,0)+IFERROR('調查資料(OUT)'!$BD$1*'調查資料(OUT)'!BD36,0)+IFERROR('調查資料(OUT)'!$BH$1*'調查資料(OUT)'!BH36,0)</f>
        <v>0</v>
      </c>
      <c r="Z30" s="252">
        <f>IFERROR('調查資料(OUT)'!$BA$1*'調查資料(OUT)'!BA36,0)+IFERROR('調查資料(OUT)'!$BE$1*'調查資料(OUT)'!BE36,0)+IFERROR('調查資料(OUT)'!$BI$1*'調查資料(OUT)'!BI36,0)</f>
        <v>0</v>
      </c>
      <c r="AA30" s="253">
        <f t="shared" ref="AA30:AA92" si="243">B30+G30+L30+Q30+V30</f>
        <v>0</v>
      </c>
      <c r="AC30" s="251">
        <f>'調查資料(OUT)'!A36</f>
        <v>615</v>
      </c>
      <c r="AD30" s="254">
        <f t="shared" ref="AD30:AD92" si="244">AC30+100</f>
        <v>715</v>
      </c>
      <c r="AE30" s="50">
        <f>SUM(AA30:AA33)</f>
        <v>0</v>
      </c>
      <c r="AG30" s="50">
        <f t="shared" si="1"/>
        <v>0</v>
      </c>
      <c r="AH30" s="256" t="e">
        <f t="shared" si="2"/>
        <v>#DIV/0!</v>
      </c>
      <c r="AI30" s="256" t="e">
        <f t="shared" si="3"/>
        <v>#DIV/0!</v>
      </c>
      <c r="AJ30" s="256" t="e">
        <f t="shared" si="4"/>
        <v>#DIV/0!</v>
      </c>
      <c r="AK30" s="256" t="e">
        <f t="shared" si="5"/>
        <v>#DIV/0!</v>
      </c>
      <c r="AL30" s="256" t="e">
        <f t="shared" si="6"/>
        <v>#DIV/0!</v>
      </c>
      <c r="AM30" s="50"/>
      <c r="AN30" s="50">
        <f t="shared" si="7"/>
        <v>615</v>
      </c>
      <c r="AO30" s="252">
        <f t="shared" si="8"/>
        <v>715</v>
      </c>
      <c r="AP30" s="50">
        <f t="shared" ref="AP30:AP92" si="245">IF($AN30="N","N",SUM(C30:C33))</f>
        <v>0</v>
      </c>
      <c r="AQ30" s="50">
        <f>IF($AN30="N","N",SUM('調查資料(OUT)'!B36:B39))</f>
        <v>0</v>
      </c>
      <c r="AR30" s="50">
        <f>IF($AN30="N","N",SUM('調查資料(OUT)'!F36:F39))</f>
        <v>0</v>
      </c>
      <c r="AS30" s="50">
        <f>IF($AN30="N","N",SUM('調查資料(OUT)'!J36:J39))</f>
        <v>0</v>
      </c>
      <c r="AT30" s="56" t="e">
        <f t="shared" si="169"/>
        <v>#DIV/0!</v>
      </c>
      <c r="AU30" s="50">
        <f t="shared" si="170"/>
        <v>0</v>
      </c>
      <c r="AV30" s="50">
        <f>IF($AN30="N","N",SUM('調查資料(OUT)'!C36:C39))</f>
        <v>0</v>
      </c>
      <c r="AW30" s="50">
        <f>IF($AN30="N","N",SUM('調查資料(OUT)'!G36:G39))</f>
        <v>0</v>
      </c>
      <c r="AX30" s="50">
        <f>IF($AN30="N","N",SUM('調查資料(OUT)'!K36:K39))</f>
        <v>0</v>
      </c>
      <c r="AY30" s="56" t="e">
        <f t="shared" si="171"/>
        <v>#DIV/0!</v>
      </c>
      <c r="AZ30" s="50">
        <f t="shared" si="172"/>
        <v>0</v>
      </c>
      <c r="BA30" s="50">
        <f>IF($AN30="N","N",SUM('調查資料(OUT)'!D36:D39))</f>
        <v>0</v>
      </c>
      <c r="BB30" s="50">
        <f>IF($AN30="N","N",SUM('調查資料(OUT)'!H36:H39))</f>
        <v>0</v>
      </c>
      <c r="BC30" s="50">
        <f>IF($AN30="N","N",SUM('調查資料(OUT)'!L36:L39))</f>
        <v>0</v>
      </c>
      <c r="BD30" s="56" t="e">
        <f t="shared" si="173"/>
        <v>#DIV/0!</v>
      </c>
      <c r="BE30" s="50">
        <f t="shared" si="174"/>
        <v>0</v>
      </c>
      <c r="BF30" s="50">
        <f>IF($AN30="N","N",SUM('調查資料(OUT)'!E36:E39))</f>
        <v>0</v>
      </c>
      <c r="BG30" s="50">
        <f>IF($AN30="N","N",SUM('調查資料(OUT)'!I36:I39))</f>
        <v>0</v>
      </c>
      <c r="BH30" s="50">
        <f>IF($AN30="N","N",SUM('調查資料(OUT)'!M36:M39))</f>
        <v>0</v>
      </c>
      <c r="BI30" s="56" t="e">
        <f t="shared" si="175"/>
        <v>#DIV/0!</v>
      </c>
      <c r="BJ30" s="50">
        <f t="shared" si="176"/>
        <v>0</v>
      </c>
      <c r="BK30" s="56" t="e">
        <f t="shared" si="177"/>
        <v>#DIV/0!</v>
      </c>
      <c r="BL30" s="50">
        <f t="shared" si="178"/>
        <v>0</v>
      </c>
      <c r="BM30" s="56" t="e">
        <f t="shared" si="179"/>
        <v>#DIV/0!</v>
      </c>
      <c r="BN30" s="50">
        <f t="shared" si="180"/>
        <v>0</v>
      </c>
      <c r="BO30" s="56" t="e">
        <f t="shared" si="181"/>
        <v>#DIV/0!</v>
      </c>
      <c r="BP30" s="50">
        <f t="shared" si="182"/>
        <v>0</v>
      </c>
      <c r="BQ30" s="50">
        <f t="shared" si="183"/>
        <v>0</v>
      </c>
      <c r="BR30" s="50">
        <f>IF($AN30="N","N",SUM('調查資料(OUT)'!N36:N39))</f>
        <v>0</v>
      </c>
      <c r="BS30" s="50">
        <f>IF($AN30="N","N",SUM('調查資料(OUT)'!R36:R39))</f>
        <v>0</v>
      </c>
      <c r="BT30" s="50">
        <f>IF($AN30="N","N",SUM('調查資料(OUT)'!V36:V39))</f>
        <v>0</v>
      </c>
      <c r="BU30" s="56" t="e">
        <f t="shared" si="184"/>
        <v>#DIV/0!</v>
      </c>
      <c r="BV30" s="50">
        <f t="shared" si="185"/>
        <v>0</v>
      </c>
      <c r="BW30" s="50">
        <f>IF($AN30="N","N",SUM('調查資料(OUT)'!O36:O39))</f>
        <v>0</v>
      </c>
      <c r="BX30" s="50">
        <f>IF($AN30="N","N",SUM('調查資料(OUT)'!S36:S39))</f>
        <v>0</v>
      </c>
      <c r="BY30" s="50">
        <f>IF($AN30="N","N",SUM('調查資料(OUT)'!W36:W39))</f>
        <v>0</v>
      </c>
      <c r="BZ30" s="56" t="e">
        <f t="shared" si="186"/>
        <v>#DIV/0!</v>
      </c>
      <c r="CA30" s="50">
        <f t="shared" si="187"/>
        <v>0</v>
      </c>
      <c r="CB30" s="50">
        <f>IF($AN30="N","N",SUM('調查資料(OUT)'!P36:P39))</f>
        <v>0</v>
      </c>
      <c r="CC30" s="50">
        <f>IF($AN30="N","N",SUM('調查資料(OUT)'!T36:T39))</f>
        <v>0</v>
      </c>
      <c r="CD30" s="50">
        <f>IF($AN30="N","N",SUM('調查資料(OUT)'!X36:X39))</f>
        <v>0</v>
      </c>
      <c r="CE30" s="56" t="e">
        <f t="shared" si="188"/>
        <v>#DIV/0!</v>
      </c>
      <c r="CF30" s="50">
        <f t="shared" si="189"/>
        <v>0</v>
      </c>
      <c r="CG30" s="50">
        <f>IF($AN30="N","N",SUM('調查資料(OUT)'!Q36:Q39))</f>
        <v>0</v>
      </c>
      <c r="CH30" s="50">
        <f>IF($AN30="N","N",SUM('調查資料(OUT)'!U36:U39))</f>
        <v>0</v>
      </c>
      <c r="CI30" s="50">
        <f>IF($AN30="N","N",SUM('調查資料(OUT)'!Y36:Y39))</f>
        <v>0</v>
      </c>
      <c r="CJ30" s="56" t="e">
        <f t="shared" si="190"/>
        <v>#DIV/0!</v>
      </c>
      <c r="CK30" s="50">
        <f t="shared" si="191"/>
        <v>0</v>
      </c>
      <c r="CL30" s="56" t="e">
        <f t="shared" si="192"/>
        <v>#DIV/0!</v>
      </c>
      <c r="CM30" s="50">
        <f t="shared" si="193"/>
        <v>0</v>
      </c>
      <c r="CN30" s="56" t="e">
        <f t="shared" si="194"/>
        <v>#DIV/0!</v>
      </c>
      <c r="CO30" s="50">
        <f t="shared" si="195"/>
        <v>0</v>
      </c>
      <c r="CP30" s="56" t="e">
        <f t="shared" si="196"/>
        <v>#DIV/0!</v>
      </c>
      <c r="CQ30" s="50">
        <f t="shared" si="197"/>
        <v>0</v>
      </c>
      <c r="CR30" s="50">
        <f t="shared" si="198"/>
        <v>0</v>
      </c>
      <c r="CS30" s="50">
        <f>IF($AN30="N","N",SUM('調查資料(OUT)'!Z36:Z39))</f>
        <v>0</v>
      </c>
      <c r="CT30" s="50">
        <f>IF($AN30="N","N",SUM('調查資料(OUT)'!AD36:AD39))</f>
        <v>0</v>
      </c>
      <c r="CU30" s="50">
        <f>IF($AN30="N","N",SUM('調查資料(OUT)'!AH36:AH39))</f>
        <v>0</v>
      </c>
      <c r="CV30" s="56" t="e">
        <f t="shared" si="199"/>
        <v>#DIV/0!</v>
      </c>
      <c r="CW30" s="50">
        <f t="shared" si="200"/>
        <v>0</v>
      </c>
      <c r="CX30" s="50">
        <f>IF($AN30="N","N",SUM('調查資料(OUT)'!AA36:AA39))</f>
        <v>0</v>
      </c>
      <c r="CY30" s="50">
        <f>IF($AN30="N","N",SUM('調查資料(OUT)'!AE36:AE39))</f>
        <v>0</v>
      </c>
      <c r="CZ30" s="50">
        <f>IF($AN30="N","N",SUM('調查資料(OUT)'!AI36:AI39))</f>
        <v>0</v>
      </c>
      <c r="DA30" s="56" t="e">
        <f t="shared" si="201"/>
        <v>#DIV/0!</v>
      </c>
      <c r="DB30" s="50">
        <f t="shared" si="202"/>
        <v>0</v>
      </c>
      <c r="DC30" s="50">
        <f>IF($AN30="N","N",SUM('調查資料(OUT)'!AB36:AB39))</f>
        <v>0</v>
      </c>
      <c r="DD30" s="50">
        <f>IF($AN30="N","N",SUM('調查資料(OUT)'!AF36:AF39))</f>
        <v>0</v>
      </c>
      <c r="DE30" s="50">
        <f>IF($AN30="N","N",SUM('調查資料(OUT)'!AJ36:AJ39))</f>
        <v>0</v>
      </c>
      <c r="DF30" s="56" t="e">
        <f t="shared" si="203"/>
        <v>#DIV/0!</v>
      </c>
      <c r="DG30" s="50">
        <f t="shared" si="204"/>
        <v>0</v>
      </c>
      <c r="DH30" s="50">
        <f>IF($AN30="N","N",SUM('調查資料(OUT)'!AC36:AC39))</f>
        <v>0</v>
      </c>
      <c r="DI30" s="50">
        <f>IF($AN30="N","N",SUM('調查資料(OUT)'!AG36:AG39))</f>
        <v>0</v>
      </c>
      <c r="DJ30" s="50">
        <f>IF($AN30="N","N",SUM('調查資料(OUT)'!AK36:AK39))</f>
        <v>0</v>
      </c>
      <c r="DK30" s="56" t="e">
        <f t="shared" si="205"/>
        <v>#DIV/0!</v>
      </c>
      <c r="DL30" s="50">
        <f t="shared" si="206"/>
        <v>0</v>
      </c>
      <c r="DM30" s="56" t="e">
        <f t="shared" si="207"/>
        <v>#DIV/0!</v>
      </c>
      <c r="DN30" s="50">
        <f t="shared" si="208"/>
        <v>0</v>
      </c>
      <c r="DO30" s="56" t="e">
        <f t="shared" si="209"/>
        <v>#DIV/0!</v>
      </c>
      <c r="DP30" s="50">
        <f t="shared" si="210"/>
        <v>0</v>
      </c>
      <c r="DQ30" s="56" t="e">
        <f t="shared" si="211"/>
        <v>#DIV/0!</v>
      </c>
      <c r="DR30" s="50">
        <f t="shared" si="212"/>
        <v>0</v>
      </c>
      <c r="DS30" s="50">
        <f t="shared" si="213"/>
        <v>0</v>
      </c>
      <c r="DT30" s="50">
        <f>IF($AN30="N","N",SUM('調查資料(OUT)'!AL36:AL39))</f>
        <v>0</v>
      </c>
      <c r="DU30" s="50">
        <f>IF($AN30="N","N",SUM('調查資料(OUT)'!AP36:AP39))</f>
        <v>0</v>
      </c>
      <c r="DV30" s="50">
        <f>IF($AN30="N","N",SUM('調查資料(OUT)'!AT36:AT39))</f>
        <v>0</v>
      </c>
      <c r="DW30" s="56" t="e">
        <f t="shared" si="214"/>
        <v>#DIV/0!</v>
      </c>
      <c r="DX30" s="50">
        <f t="shared" si="215"/>
        <v>0</v>
      </c>
      <c r="DY30" s="50">
        <f>IF($AN30="N","N",SUM('調查資料(OUT)'!AM36:AM39))</f>
        <v>0</v>
      </c>
      <c r="DZ30" s="50">
        <f>IF($AN30="N","N",SUM('調查資料(OUT)'!AQ36:AQ39))</f>
        <v>0</v>
      </c>
      <c r="EA30" s="50">
        <f>IF($AN30="N","N",SUM('調查資料(OUT)'!AU36:AU39))</f>
        <v>0</v>
      </c>
      <c r="EB30" s="56" t="e">
        <f t="shared" si="216"/>
        <v>#DIV/0!</v>
      </c>
      <c r="EC30" s="50">
        <f t="shared" si="217"/>
        <v>0</v>
      </c>
      <c r="ED30" s="50">
        <f>IF($AN30="N","N",SUM('調查資料(OUT)'!AN36:AN39))</f>
        <v>0</v>
      </c>
      <c r="EE30" s="50">
        <f>IF($AN30="N","N",SUM('調查資料(OUT)'!AR36:AR39))</f>
        <v>0</v>
      </c>
      <c r="EF30" s="50">
        <f>IF($AN30="N","N",SUM('調查資料(OUT)'!AV36:AV39))</f>
        <v>0</v>
      </c>
      <c r="EG30" s="56" t="e">
        <f t="shared" si="218"/>
        <v>#DIV/0!</v>
      </c>
      <c r="EH30" s="50">
        <f t="shared" si="219"/>
        <v>0</v>
      </c>
      <c r="EI30" s="50">
        <f>IF($AN30="N","N",SUM('調查資料(OUT)'!AO36:AO39))</f>
        <v>0</v>
      </c>
      <c r="EJ30" s="50">
        <f>IF($AN30="N","N",SUM('調查資料(OUT)'!AS36:AS39))</f>
        <v>0</v>
      </c>
      <c r="EK30" s="50">
        <f>IF($AN30="N","N",SUM('調查資料(OUT)'!AW36:AW39))</f>
        <v>0</v>
      </c>
      <c r="EL30" s="56" t="e">
        <f t="shared" si="220"/>
        <v>#DIV/0!</v>
      </c>
      <c r="EM30" s="50">
        <f t="shared" si="221"/>
        <v>0</v>
      </c>
      <c r="EN30" s="56" t="e">
        <f t="shared" si="222"/>
        <v>#DIV/0!</v>
      </c>
      <c r="EO30" s="50">
        <f t="shared" si="223"/>
        <v>0</v>
      </c>
      <c r="EP30" s="56" t="e">
        <f t="shared" si="224"/>
        <v>#DIV/0!</v>
      </c>
      <c r="EQ30" s="50">
        <f t="shared" si="225"/>
        <v>0</v>
      </c>
      <c r="ER30" s="56" t="e">
        <f>IF($AN30="N","N",(EQ30/($EM30+$EO30+$EQ30))*100)</f>
        <v>#DIV/0!</v>
      </c>
      <c r="ES30" s="50">
        <f t="shared" si="226"/>
        <v>0</v>
      </c>
      <c r="ET30" s="50">
        <f t="shared" si="227"/>
        <v>0</v>
      </c>
      <c r="EU30" s="50">
        <f>IF($AN30="N","N",SUM('調查資料(OUT)'!AX36:AX39))</f>
        <v>0</v>
      </c>
      <c r="EV30" s="50">
        <f>IF($AN30="N","N",SUM('調查資料(OUT)'!BB36:BB39))</f>
        <v>0</v>
      </c>
      <c r="EW30" s="50">
        <f>IF($AN30="N","N",SUM('調查資料(OUT)'!BF36:BF39))</f>
        <v>0</v>
      </c>
      <c r="EX30" s="56" t="e">
        <f t="shared" si="228"/>
        <v>#DIV/0!</v>
      </c>
      <c r="EY30" s="50">
        <f t="shared" si="229"/>
        <v>0</v>
      </c>
      <c r="EZ30" s="50">
        <f>IF($AN30="N","N",SUM('調查資料(OUT)'!AY36:AY39))</f>
        <v>0</v>
      </c>
      <c r="FA30" s="50">
        <f>IF($AN30="N","N",SUM('調查資料(OUT)'!BC36:BC39))</f>
        <v>0</v>
      </c>
      <c r="FB30" s="50">
        <f>IF($AN30="N","N",SUM('調查資料(OUT)'!BG36:BG39))</f>
        <v>0</v>
      </c>
      <c r="FC30" s="56" t="e">
        <f t="shared" si="230"/>
        <v>#DIV/0!</v>
      </c>
      <c r="FD30" s="50">
        <f t="shared" si="231"/>
        <v>0</v>
      </c>
      <c r="FE30" s="50">
        <f>IF($AN30="N","N",SUM('調查資料(OUT)'!AZ36:AZ39))</f>
        <v>0</v>
      </c>
      <c r="FF30" s="50">
        <f>IF($AN30="N","N",SUM('調查資料(OUT)'!BD36:BD39))</f>
        <v>0</v>
      </c>
      <c r="FG30" s="50">
        <f>IF($AN30="N","N",SUM('調查資料(OUT)'!BH36:BH39))</f>
        <v>0</v>
      </c>
      <c r="FH30" s="56" t="e">
        <f t="shared" si="232"/>
        <v>#DIV/0!</v>
      </c>
      <c r="FI30" s="50">
        <f t="shared" si="233"/>
        <v>0</v>
      </c>
      <c r="FJ30" s="50">
        <f>IF($AN30="N","N",SUM('調查資料(OUT)'!BA36:BA39))</f>
        <v>0</v>
      </c>
      <c r="FK30" s="50">
        <f>IF($AN30="N","N",SUM('調查資料(OUT)'!BE36:BE39))</f>
        <v>0</v>
      </c>
      <c r="FL30" s="50">
        <f>IF($AN30="N","N",SUM('調查資料(OUT)'!BI36:BI39))</f>
        <v>0</v>
      </c>
      <c r="FM30" s="56" t="e">
        <f t="shared" si="234"/>
        <v>#DIV/0!</v>
      </c>
      <c r="FN30" s="50">
        <f t="shared" ref="FN30:FN92" si="246">IF($AN30="N","N",EU30+EZ30+FE30+FJ30)</f>
        <v>0</v>
      </c>
      <c r="FO30" s="56" t="e">
        <f t="shared" ref="FO30:FO92" si="247">IF($AN30="N","N",(FN30/($FN30+$FP30+$FR30))*100)</f>
        <v>#DIV/0!</v>
      </c>
      <c r="FP30" s="50">
        <f t="shared" ref="FP30:FP92" si="248">IF($AN30="N","N",EV30+FA30+FF30+FK30)</f>
        <v>0</v>
      </c>
      <c r="FQ30" s="56" t="e">
        <f t="shared" ref="FQ30:FQ92" si="249">IF($AN30="N","N",(FP30/($FN30+$FP30+$FR30))*100)</f>
        <v>#DIV/0!</v>
      </c>
      <c r="FR30" s="50">
        <f t="shared" ref="FR30:FR92" si="250">IF($AN30="N","N",EW30+FB30+FG30+FL30)</f>
        <v>0</v>
      </c>
      <c r="FS30" s="56" t="e">
        <f t="shared" ref="FS30:FS92" si="251">IF($AN30="N","N",(FR30/($FN30+$FP30+$FR30))*100)</f>
        <v>#DIV/0!</v>
      </c>
      <c r="FT30" s="50">
        <f t="shared" ref="FT30:FT92" si="252">IF($AN30="N","N",ET30+EY30+FD30+FI30)</f>
        <v>0</v>
      </c>
    </row>
    <row r="31" spans="1:176">
      <c r="A31" s="274">
        <f>'調查資料(OUT)'!A37</f>
        <v>630</v>
      </c>
      <c r="B31" s="50">
        <f t="shared" si="238"/>
        <v>0</v>
      </c>
      <c r="C31" s="50">
        <f>IFERROR('調查資料(OUT)'!$B$1*'調查資料(OUT)'!B37,0)+IFERROR('調查資料(OUT)'!$F$1*'調查資料(OUT)'!F37,0)+IFERROR('調查資料(OUT)'!$J$1*'調查資料(OUT)'!J37,0)</f>
        <v>0</v>
      </c>
      <c r="D31" s="50">
        <f>IFERROR('調查資料(OUT)'!$C$1*'調查資料(OUT)'!C37,0)+IFERROR('調查資料(OUT)'!$G$1*'調查資料(OUT)'!G37,0)+IFERROR('調查資料(OUT)'!$K$1*'調查資料(OUT)'!K37,0)</f>
        <v>0</v>
      </c>
      <c r="E31" s="50">
        <f>IFERROR('調查資料(OUT)'!$D$1*'調查資料(OUT)'!D37,0)+IFERROR('調查資料(OUT)'!$H$1*'調查資料(OUT)'!H37,0)+IFERROR('調查資料(OUT)'!$L$1*'調查資料(OUT)'!L37,0)</f>
        <v>0</v>
      </c>
      <c r="F31" s="252">
        <f>IFERROR('調查資料(OUT)'!$E$1*'調查資料(OUT)'!E37,0)+IFERROR('調查資料(OUT)'!$I$1*'調查資料(OUT)'!I37,0)+IFERROR('調查資料(OUT)'!$M$1*'調查資料(OUT)'!M37,0)</f>
        <v>0</v>
      </c>
      <c r="G31" s="50">
        <f t="shared" si="239"/>
        <v>0</v>
      </c>
      <c r="H31" s="50">
        <f>IFERROR('調查資料(OUT)'!$N$1*'調查資料(OUT)'!N37,0)+IFERROR('調查資料(OUT)'!$R$1*'調查資料(OUT)'!R37,0)+IFERROR('調查資料(OUT)'!$V$1*'調查資料(OUT)'!V37,0)</f>
        <v>0</v>
      </c>
      <c r="I31" s="50">
        <f>IFERROR('調查資料(OUT)'!$O$1*'調查資料(OUT)'!O37,0)+IFERROR('調查資料(OUT)'!$S$1*'調查資料(OUT)'!S37,0)+IFERROR('調查資料(OUT)'!$W$1*'調查資料(OUT)'!W37,0)</f>
        <v>0</v>
      </c>
      <c r="J31" s="50">
        <f>IFERROR('調查資料(OUT)'!$P$1*'調查資料(OUT)'!P37,0)+IFERROR('調查資料(OUT)'!$T$1*'調查資料(OUT)'!T37,0)+IFERROR('調查資料(OUT)'!$X$1*'調查資料(OUT)'!X37,0)</f>
        <v>0</v>
      </c>
      <c r="K31" s="252">
        <f>IFERROR('調查資料(OUT)'!$Q$1*'調查資料(OUT)'!Q37,0)+IFERROR('調查資料(OUT)'!$U$1*'調查資料(OUT)'!U37,0)+IFERROR('調查資料(OUT)'!$Y$1*'調查資料(OUT)'!Y37,0)</f>
        <v>0</v>
      </c>
      <c r="L31" s="50">
        <f t="shared" si="240"/>
        <v>0</v>
      </c>
      <c r="M31" s="50">
        <f>IFERROR('調查資料(OUT)'!$Z$1*'調查資料(OUT)'!Z37,0)+IFERROR('調查資料(OUT)'!$AD$1*'調查資料(OUT)'!AD37,0)+IFERROR('調查資料(OUT)'!$AH$1*'調查資料(OUT)'!AH37,0)</f>
        <v>0</v>
      </c>
      <c r="N31" s="50">
        <f>IFERROR('調查資料(OUT)'!$AA$1*'調查資料(OUT)'!AA37,0)+IFERROR('調查資料(OUT)'!$AE$1*'調查資料(OUT)'!AE37,0)+IFERROR('調查資料(OUT)'!$AI$1*'調查資料(OUT)'!AI37,0)</f>
        <v>0</v>
      </c>
      <c r="O31" s="50">
        <f>IFERROR('調查資料(OUT)'!$AB$1*'調查資料(OUT)'!AB37,0)+IFERROR('調查資料(OUT)'!$AF$1*'調查資料(OUT)'!AF37,0)+IFERROR('調查資料(OUT)'!$AJ$1*'調查資料(OUT)'!AJ37,0)</f>
        <v>0</v>
      </c>
      <c r="P31" s="252">
        <f>IFERROR('調查資料(OUT)'!$AC$1*'調查資料(OUT)'!AC37,0)+IFERROR('調查資料(OUT)'!$AG$1*'調查資料(OUT)'!AG37,0)+IFERROR('調查資料(OUT)'!$AK$1*'調查資料(OUT)'!AK37,0)</f>
        <v>0</v>
      </c>
      <c r="Q31" s="50">
        <f t="shared" si="241"/>
        <v>0</v>
      </c>
      <c r="R31" s="50">
        <f>IFERROR('調查資料(OUT)'!$AL$1*'調查資料(OUT)'!AL37,0)+IFERROR('調查資料(OUT)'!$AP$1*'調查資料(OUT)'!AP37,0)+IFERROR('調查資料(OUT)'!$AT$1*'調查資料(OUT)'!AT37,0)</f>
        <v>0</v>
      </c>
      <c r="S31" s="50">
        <f>IFERROR('調查資料(OUT)'!$AM$1*'調查資料(OUT)'!AM37,0)+IFERROR('調查資料(OUT)'!$AQ$1*'調查資料(OUT)'!AQ37,0)+IFERROR('調查資料(OUT)'!$AU$1*'調查資料(OUT)'!AU37,0)</f>
        <v>0</v>
      </c>
      <c r="T31" s="50">
        <f>IFERROR('調查資料(OUT)'!$AN$1*'調查資料(OUT)'!AN37,0)+IFERROR('調查資料(OUT)'!$AR$1*'調查資料(OUT)'!AR37,0)+IFERROR('調查資料(OUT)'!$AV$1*'調查資料(OUT)'!AV37,0)</f>
        <v>0</v>
      </c>
      <c r="U31" s="252">
        <f>IFERROR('調查資料(OUT)'!$AO$1*'調查資料(OUT)'!AO37,0)+IFERROR('調查資料(OUT)'!$AS$1*'調查資料(OUT)'!AS37,0)+IFERROR('調查資料(OUT)'!$AW$1*'調查資料(OUT)'!AW37,0)</f>
        <v>0</v>
      </c>
      <c r="V31" s="50">
        <f t="shared" si="242"/>
        <v>0</v>
      </c>
      <c r="W31" s="50">
        <f>IFERROR('調查資料(OUT)'!$AX$1*'調查資料(OUT)'!AX37,0)+IFERROR('調查資料(OUT)'!$BB$1*'調查資料(OUT)'!BB37,0)+IFERROR('調查資料(OUT)'!$BF$1*'調查資料(OUT)'!BF37,0)</f>
        <v>0</v>
      </c>
      <c r="X31" s="50">
        <f>IFERROR('調查資料(OUT)'!$AY$1*'調查資料(OUT)'!AY37,0)+IFERROR('調查資料(OUT)'!$BC$1*'調查資料(OUT)'!BC37,0)+IFERROR('調查資料(OUT)'!$BG$1*'調查資料(OUT)'!BG37,0)</f>
        <v>0</v>
      </c>
      <c r="Y31" s="50">
        <f>IFERROR('調查資料(OUT)'!$AZ$1*'調查資料(OUT)'!AZ37,0)+IFERROR('調查資料(OUT)'!$BD$1*'調查資料(OUT)'!BD37,0)+IFERROR('調查資料(OUT)'!$BH$1*'調查資料(OUT)'!BH37,0)</f>
        <v>0</v>
      </c>
      <c r="Z31" s="252">
        <f>IFERROR('調查資料(OUT)'!$BA$1*'調查資料(OUT)'!BA37,0)+IFERROR('調查資料(OUT)'!$BE$1*'調查資料(OUT)'!BE37,0)+IFERROR('調查資料(OUT)'!$BI$1*'調查資料(OUT)'!BI37,0)</f>
        <v>0</v>
      </c>
      <c r="AA31" s="253">
        <f t="shared" si="243"/>
        <v>0</v>
      </c>
      <c r="AC31" s="251">
        <f>'調查資料(OUT)'!A37</f>
        <v>630</v>
      </c>
      <c r="AD31" s="254">
        <f t="shared" si="244"/>
        <v>730</v>
      </c>
      <c r="AE31" s="50">
        <f>SUM(AA31:AA34)</f>
        <v>0</v>
      </c>
      <c r="AG31" s="50">
        <f t="shared" si="1"/>
        <v>0</v>
      </c>
      <c r="AH31" s="256" t="e">
        <f t="shared" si="2"/>
        <v>#DIV/0!</v>
      </c>
      <c r="AI31" s="256" t="e">
        <f t="shared" si="3"/>
        <v>#DIV/0!</v>
      </c>
      <c r="AJ31" s="256" t="e">
        <f t="shared" si="4"/>
        <v>#DIV/0!</v>
      </c>
      <c r="AK31" s="256" t="e">
        <f t="shared" si="5"/>
        <v>#DIV/0!</v>
      </c>
      <c r="AL31" s="256" t="e">
        <f t="shared" si="6"/>
        <v>#DIV/0!</v>
      </c>
      <c r="AN31" s="50">
        <f t="shared" si="7"/>
        <v>630</v>
      </c>
      <c r="AO31" s="252">
        <f t="shared" si="8"/>
        <v>730</v>
      </c>
      <c r="AP31" s="50">
        <f t="shared" si="245"/>
        <v>0</v>
      </c>
      <c r="AQ31" s="50">
        <f>IF($AN31="N","N",SUM('調查資料(OUT)'!B37:B40))</f>
        <v>0</v>
      </c>
      <c r="AR31" s="50">
        <f>IF($AN31="N","N",SUM('調查資料(OUT)'!F37:F40))</f>
        <v>0</v>
      </c>
      <c r="AS31" s="50">
        <f>IF($AN31="N","N",SUM('調查資料(OUT)'!J37:J40))</f>
        <v>0</v>
      </c>
      <c r="AT31" s="56" t="e">
        <f t="shared" si="169"/>
        <v>#DIV/0!</v>
      </c>
      <c r="AU31" s="50">
        <f t="shared" si="170"/>
        <v>0</v>
      </c>
      <c r="AV31" s="50">
        <f>IF($AN31="N","N",SUM('調查資料(OUT)'!C37:C40))</f>
        <v>0</v>
      </c>
      <c r="AW31" s="50">
        <f>IF($AN31="N","N",SUM('調查資料(OUT)'!G37:G40))</f>
        <v>0</v>
      </c>
      <c r="AX31" s="50">
        <f>IF($AN31="N","N",SUM('調查資料(OUT)'!K37:K40))</f>
        <v>0</v>
      </c>
      <c r="AY31" s="56" t="e">
        <f t="shared" si="171"/>
        <v>#DIV/0!</v>
      </c>
      <c r="AZ31" s="50">
        <f t="shared" si="172"/>
        <v>0</v>
      </c>
      <c r="BA31" s="50">
        <f>IF($AN31="N","N",SUM('調查資料(OUT)'!D37:D40))</f>
        <v>0</v>
      </c>
      <c r="BB31" s="50">
        <f>IF($AN31="N","N",SUM('調查資料(OUT)'!H37:H40))</f>
        <v>0</v>
      </c>
      <c r="BC31" s="50">
        <f>IF($AN31="N","N",SUM('調查資料(OUT)'!L37:L40))</f>
        <v>0</v>
      </c>
      <c r="BD31" s="56" t="e">
        <f t="shared" si="173"/>
        <v>#DIV/0!</v>
      </c>
      <c r="BE31" s="50">
        <f t="shared" si="174"/>
        <v>0</v>
      </c>
      <c r="BF31" s="50">
        <f>IF($AN31="N","N",SUM('調查資料(OUT)'!E37:E40))</f>
        <v>0</v>
      </c>
      <c r="BG31" s="50">
        <f>IF($AN31="N","N",SUM('調查資料(OUT)'!I37:I40))</f>
        <v>0</v>
      </c>
      <c r="BH31" s="50">
        <f>IF($AN31="N","N",SUM('調查資料(OUT)'!M37:M40))</f>
        <v>0</v>
      </c>
      <c r="BI31" s="56" t="e">
        <f t="shared" si="175"/>
        <v>#DIV/0!</v>
      </c>
      <c r="BJ31" s="50">
        <f t="shared" si="176"/>
        <v>0</v>
      </c>
      <c r="BK31" s="56" t="e">
        <f t="shared" si="177"/>
        <v>#DIV/0!</v>
      </c>
      <c r="BL31" s="50">
        <f t="shared" si="178"/>
        <v>0</v>
      </c>
      <c r="BM31" s="56" t="e">
        <f t="shared" si="179"/>
        <v>#DIV/0!</v>
      </c>
      <c r="BN31" s="50">
        <f t="shared" si="180"/>
        <v>0</v>
      </c>
      <c r="BO31" s="56" t="e">
        <f t="shared" si="181"/>
        <v>#DIV/0!</v>
      </c>
      <c r="BP31" s="50">
        <f t="shared" si="182"/>
        <v>0</v>
      </c>
      <c r="BQ31" s="50">
        <f t="shared" si="183"/>
        <v>0</v>
      </c>
      <c r="BR31" s="50">
        <f>IF($AN31="N","N",SUM('調查資料(OUT)'!N37:N40))</f>
        <v>0</v>
      </c>
      <c r="BS31" s="50">
        <f>IF($AN31="N","N",SUM('調查資料(OUT)'!R37:R40))</f>
        <v>0</v>
      </c>
      <c r="BT31" s="50">
        <f>IF($AN31="N","N",SUM('調查資料(OUT)'!V37:V40))</f>
        <v>0</v>
      </c>
      <c r="BU31" s="56" t="e">
        <f t="shared" si="184"/>
        <v>#DIV/0!</v>
      </c>
      <c r="BV31" s="50">
        <f t="shared" si="185"/>
        <v>0</v>
      </c>
      <c r="BW31" s="50">
        <f>IF($AN31="N","N",SUM('調查資料(OUT)'!O37:O40))</f>
        <v>0</v>
      </c>
      <c r="BX31" s="50">
        <f>IF($AN31="N","N",SUM('調查資料(OUT)'!S37:S40))</f>
        <v>0</v>
      </c>
      <c r="BY31" s="50">
        <f>IF($AN31="N","N",SUM('調查資料(OUT)'!W37:W40))</f>
        <v>0</v>
      </c>
      <c r="BZ31" s="56" t="e">
        <f t="shared" si="186"/>
        <v>#DIV/0!</v>
      </c>
      <c r="CA31" s="50">
        <f t="shared" si="187"/>
        <v>0</v>
      </c>
      <c r="CB31" s="50">
        <f>IF($AN31="N","N",SUM('調查資料(OUT)'!P37:P40))</f>
        <v>0</v>
      </c>
      <c r="CC31" s="50">
        <f>IF($AN31="N","N",SUM('調查資料(OUT)'!T37:T40))</f>
        <v>0</v>
      </c>
      <c r="CD31" s="50">
        <f>IF($AN31="N","N",SUM('調查資料(OUT)'!X37:X40))</f>
        <v>0</v>
      </c>
      <c r="CE31" s="56" t="e">
        <f t="shared" si="188"/>
        <v>#DIV/0!</v>
      </c>
      <c r="CF31" s="50">
        <f t="shared" si="189"/>
        <v>0</v>
      </c>
      <c r="CG31" s="50">
        <f>IF($AN31="N","N",SUM('調查資料(OUT)'!Q37:Q40))</f>
        <v>0</v>
      </c>
      <c r="CH31" s="50">
        <f>IF($AN31="N","N",SUM('調查資料(OUT)'!U37:U40))</f>
        <v>0</v>
      </c>
      <c r="CI31" s="50">
        <f>IF($AN31="N","N",SUM('調查資料(OUT)'!Y37:Y40))</f>
        <v>0</v>
      </c>
      <c r="CJ31" s="56" t="e">
        <f t="shared" si="190"/>
        <v>#DIV/0!</v>
      </c>
      <c r="CK31" s="50">
        <f t="shared" si="191"/>
        <v>0</v>
      </c>
      <c r="CL31" s="56" t="e">
        <f t="shared" si="192"/>
        <v>#DIV/0!</v>
      </c>
      <c r="CM31" s="50">
        <f t="shared" si="193"/>
        <v>0</v>
      </c>
      <c r="CN31" s="56" t="e">
        <f t="shared" si="194"/>
        <v>#DIV/0!</v>
      </c>
      <c r="CO31" s="50">
        <f t="shared" si="195"/>
        <v>0</v>
      </c>
      <c r="CP31" s="56" t="e">
        <f t="shared" si="196"/>
        <v>#DIV/0!</v>
      </c>
      <c r="CQ31" s="50">
        <f t="shared" si="197"/>
        <v>0</v>
      </c>
      <c r="CR31" s="50">
        <f t="shared" si="198"/>
        <v>0</v>
      </c>
      <c r="CS31" s="50">
        <f>IF($AN31="N","N",SUM('調查資料(OUT)'!Z37:Z40))</f>
        <v>0</v>
      </c>
      <c r="CT31" s="50">
        <f>IF($AN31="N","N",SUM('調查資料(OUT)'!AD37:AD40))</f>
        <v>0</v>
      </c>
      <c r="CU31" s="50">
        <f>IF($AN31="N","N",SUM('調查資料(OUT)'!AH37:AH40))</f>
        <v>0</v>
      </c>
      <c r="CV31" s="56" t="e">
        <f t="shared" si="199"/>
        <v>#DIV/0!</v>
      </c>
      <c r="CW31" s="50">
        <f t="shared" si="200"/>
        <v>0</v>
      </c>
      <c r="CX31" s="50">
        <f>IF($AN31="N","N",SUM('調查資料(OUT)'!AA37:AA40))</f>
        <v>0</v>
      </c>
      <c r="CY31" s="50">
        <f>IF($AN31="N","N",SUM('調查資料(OUT)'!AE37:AE40))</f>
        <v>0</v>
      </c>
      <c r="CZ31" s="50">
        <f>IF($AN31="N","N",SUM('調查資料(OUT)'!AI37:AI40))</f>
        <v>0</v>
      </c>
      <c r="DA31" s="56" t="e">
        <f t="shared" si="201"/>
        <v>#DIV/0!</v>
      </c>
      <c r="DB31" s="50">
        <f t="shared" si="202"/>
        <v>0</v>
      </c>
      <c r="DC31" s="50">
        <f>IF($AN31="N","N",SUM('調查資料(OUT)'!AB37:AB40))</f>
        <v>0</v>
      </c>
      <c r="DD31" s="50">
        <f>IF($AN31="N","N",SUM('調查資料(OUT)'!AF37:AF40))</f>
        <v>0</v>
      </c>
      <c r="DE31" s="50">
        <f>IF($AN31="N","N",SUM('調查資料(OUT)'!AJ37:AJ40))</f>
        <v>0</v>
      </c>
      <c r="DF31" s="56" t="e">
        <f t="shared" si="203"/>
        <v>#DIV/0!</v>
      </c>
      <c r="DG31" s="50">
        <f t="shared" si="204"/>
        <v>0</v>
      </c>
      <c r="DH31" s="50">
        <f>IF($AN31="N","N",SUM('調查資料(OUT)'!AC37:AC40))</f>
        <v>0</v>
      </c>
      <c r="DI31" s="50">
        <f>IF($AN31="N","N",SUM('調查資料(OUT)'!AG37:AG40))</f>
        <v>0</v>
      </c>
      <c r="DJ31" s="50">
        <f>IF($AN31="N","N",SUM('調查資料(OUT)'!AK37:AK40))</f>
        <v>0</v>
      </c>
      <c r="DK31" s="56" t="e">
        <f t="shared" si="205"/>
        <v>#DIV/0!</v>
      </c>
      <c r="DL31" s="50">
        <f t="shared" si="206"/>
        <v>0</v>
      </c>
      <c r="DM31" s="56" t="e">
        <f t="shared" si="207"/>
        <v>#DIV/0!</v>
      </c>
      <c r="DN31" s="50">
        <f t="shared" si="208"/>
        <v>0</v>
      </c>
      <c r="DO31" s="56" t="e">
        <f t="shared" si="209"/>
        <v>#DIV/0!</v>
      </c>
      <c r="DP31" s="50">
        <f t="shared" si="210"/>
        <v>0</v>
      </c>
      <c r="DQ31" s="56" t="e">
        <f t="shared" si="211"/>
        <v>#DIV/0!</v>
      </c>
      <c r="DR31" s="50">
        <f t="shared" si="212"/>
        <v>0</v>
      </c>
      <c r="DS31" s="50">
        <f t="shared" si="213"/>
        <v>0</v>
      </c>
      <c r="DT31" s="50">
        <f>IF($AN31="N","N",SUM('調查資料(OUT)'!AL37:AL40))</f>
        <v>0</v>
      </c>
      <c r="DU31" s="50">
        <f>IF($AN31="N","N",SUM('調查資料(OUT)'!AP37:AP40))</f>
        <v>0</v>
      </c>
      <c r="DV31" s="50">
        <f>IF($AN31="N","N",SUM('調查資料(OUT)'!AT37:AT40))</f>
        <v>0</v>
      </c>
      <c r="DW31" s="56" t="e">
        <f t="shared" si="214"/>
        <v>#DIV/0!</v>
      </c>
      <c r="DX31" s="50">
        <f t="shared" si="215"/>
        <v>0</v>
      </c>
      <c r="DY31" s="50">
        <f>IF($AN31="N","N",SUM('調查資料(OUT)'!AM37:AM40))</f>
        <v>0</v>
      </c>
      <c r="DZ31" s="50">
        <f>IF($AN31="N","N",SUM('調查資料(OUT)'!AQ37:AQ40))</f>
        <v>0</v>
      </c>
      <c r="EA31" s="50">
        <f>IF($AN31="N","N",SUM('調查資料(OUT)'!AU37:AU40))</f>
        <v>0</v>
      </c>
      <c r="EB31" s="56" t="e">
        <f t="shared" si="216"/>
        <v>#DIV/0!</v>
      </c>
      <c r="EC31" s="50">
        <f t="shared" si="217"/>
        <v>0</v>
      </c>
      <c r="ED31" s="50">
        <f>IF($AN31="N","N",SUM('調查資料(OUT)'!AN37:AN40))</f>
        <v>0</v>
      </c>
      <c r="EE31" s="50">
        <f>IF($AN31="N","N",SUM('調查資料(OUT)'!AR37:AR40))</f>
        <v>0</v>
      </c>
      <c r="EF31" s="50">
        <f>IF($AN31="N","N",SUM('調查資料(OUT)'!AV37:AV40))</f>
        <v>0</v>
      </c>
      <c r="EG31" s="56" t="e">
        <f t="shared" si="218"/>
        <v>#DIV/0!</v>
      </c>
      <c r="EH31" s="50">
        <f t="shared" si="219"/>
        <v>0</v>
      </c>
      <c r="EI31" s="50">
        <f>IF($AN31="N","N",SUM('調查資料(OUT)'!AO37:AO40))</f>
        <v>0</v>
      </c>
      <c r="EJ31" s="50">
        <f>IF($AN31="N","N",SUM('調查資料(OUT)'!AS37:AS40))</f>
        <v>0</v>
      </c>
      <c r="EK31" s="50">
        <f>IF($AN31="N","N",SUM('調查資料(OUT)'!AW37:AW40))</f>
        <v>0</v>
      </c>
      <c r="EL31" s="56" t="e">
        <f t="shared" si="220"/>
        <v>#DIV/0!</v>
      </c>
      <c r="EM31" s="50">
        <f t="shared" si="221"/>
        <v>0</v>
      </c>
      <c r="EN31" s="56" t="e">
        <f t="shared" si="222"/>
        <v>#DIV/0!</v>
      </c>
      <c r="EO31" s="50">
        <f t="shared" si="223"/>
        <v>0</v>
      </c>
      <c r="EP31" s="56" t="e">
        <f t="shared" si="224"/>
        <v>#DIV/0!</v>
      </c>
      <c r="EQ31" s="50">
        <f t="shared" si="225"/>
        <v>0</v>
      </c>
      <c r="ER31" s="56" t="e">
        <f t="shared" ref="ER31:ER33" si="253">IF($AN31="N","N",(EQ31/($EM31+$EO31+$EQ31))*100)</f>
        <v>#DIV/0!</v>
      </c>
      <c r="ES31" s="50">
        <f t="shared" si="226"/>
        <v>0</v>
      </c>
      <c r="ET31" s="50">
        <f t="shared" si="227"/>
        <v>0</v>
      </c>
      <c r="EU31" s="50">
        <f>IF($AN31="N","N",SUM('調查資料(OUT)'!AX37:AX40))</f>
        <v>0</v>
      </c>
      <c r="EV31" s="50">
        <f>IF($AN31="N","N",SUM('調查資料(OUT)'!BB37:BB40))</f>
        <v>0</v>
      </c>
      <c r="EW31" s="50">
        <f>IF($AN31="N","N",SUM('調查資料(OUT)'!BF37:BF40))</f>
        <v>0</v>
      </c>
      <c r="EX31" s="56" t="e">
        <f t="shared" si="228"/>
        <v>#DIV/0!</v>
      </c>
      <c r="EY31" s="50">
        <f t="shared" si="229"/>
        <v>0</v>
      </c>
      <c r="EZ31" s="50">
        <f>IF($AN31="N","N",SUM('調查資料(OUT)'!AY37:AY40))</f>
        <v>0</v>
      </c>
      <c r="FA31" s="50">
        <f>IF($AN31="N","N",SUM('調查資料(OUT)'!BC37:BC40))</f>
        <v>0</v>
      </c>
      <c r="FB31" s="50">
        <f>IF($AN31="N","N",SUM('調查資料(OUT)'!BG37:BG40))</f>
        <v>0</v>
      </c>
      <c r="FC31" s="56" t="e">
        <f t="shared" si="230"/>
        <v>#DIV/0!</v>
      </c>
      <c r="FD31" s="50">
        <f t="shared" si="231"/>
        <v>0</v>
      </c>
      <c r="FE31" s="50">
        <f>IF($AN31="N","N",SUM('調查資料(OUT)'!AZ37:AZ40))</f>
        <v>0</v>
      </c>
      <c r="FF31" s="50">
        <f>IF($AN31="N","N",SUM('調查資料(OUT)'!BD37:BD40))</f>
        <v>0</v>
      </c>
      <c r="FG31" s="50">
        <f>IF($AN31="N","N",SUM('調查資料(OUT)'!BH37:BH40))</f>
        <v>0</v>
      </c>
      <c r="FH31" s="56" t="e">
        <f t="shared" si="232"/>
        <v>#DIV/0!</v>
      </c>
      <c r="FI31" s="50">
        <f t="shared" si="233"/>
        <v>0</v>
      </c>
      <c r="FJ31" s="50">
        <f>IF($AN31="N","N",SUM('調查資料(OUT)'!BA37:BA40))</f>
        <v>0</v>
      </c>
      <c r="FK31" s="50">
        <f>IF($AN31="N","N",SUM('調查資料(OUT)'!BE37:BE40))</f>
        <v>0</v>
      </c>
      <c r="FL31" s="50">
        <f>IF($AN31="N","N",SUM('調查資料(OUT)'!BI37:BI40))</f>
        <v>0</v>
      </c>
      <c r="FM31" s="56" t="e">
        <f t="shared" si="234"/>
        <v>#DIV/0!</v>
      </c>
      <c r="FN31" s="50">
        <f t="shared" si="246"/>
        <v>0</v>
      </c>
      <c r="FO31" s="56" t="e">
        <f t="shared" si="247"/>
        <v>#DIV/0!</v>
      </c>
      <c r="FP31" s="50">
        <f t="shared" si="248"/>
        <v>0</v>
      </c>
      <c r="FQ31" s="56" t="e">
        <f t="shared" si="249"/>
        <v>#DIV/0!</v>
      </c>
      <c r="FR31" s="50">
        <f t="shared" si="250"/>
        <v>0</v>
      </c>
      <c r="FS31" s="56" t="e">
        <f t="shared" si="251"/>
        <v>#DIV/0!</v>
      </c>
      <c r="FT31" s="50">
        <f t="shared" si="252"/>
        <v>0</v>
      </c>
    </row>
    <row r="32" spans="1:176">
      <c r="A32" s="274">
        <f>'調查資料(OUT)'!A38</f>
        <v>645</v>
      </c>
      <c r="B32" s="50">
        <f t="shared" si="238"/>
        <v>0</v>
      </c>
      <c r="C32" s="50">
        <f>IFERROR('調查資料(OUT)'!$B$1*'調查資料(OUT)'!B38,0)+IFERROR('調查資料(OUT)'!$F$1*'調查資料(OUT)'!F38,0)+IFERROR('調查資料(OUT)'!$J$1*'調查資料(OUT)'!J38,0)</f>
        <v>0</v>
      </c>
      <c r="D32" s="50">
        <f>IFERROR('調查資料(OUT)'!$C$1*'調查資料(OUT)'!C38,0)+IFERROR('調查資料(OUT)'!$G$1*'調查資料(OUT)'!G38,0)+IFERROR('調查資料(OUT)'!$K$1*'調查資料(OUT)'!K38,0)</f>
        <v>0</v>
      </c>
      <c r="E32" s="50">
        <f>IFERROR('調查資料(OUT)'!$D$1*'調查資料(OUT)'!D38,0)+IFERROR('調查資料(OUT)'!$H$1*'調查資料(OUT)'!H38,0)+IFERROR('調查資料(OUT)'!$L$1*'調查資料(OUT)'!L38,0)</f>
        <v>0</v>
      </c>
      <c r="F32" s="252">
        <f>IFERROR('調查資料(OUT)'!$E$1*'調查資料(OUT)'!E38,0)+IFERROR('調查資料(OUT)'!$I$1*'調查資料(OUT)'!I38,0)+IFERROR('調查資料(OUT)'!$M$1*'調查資料(OUT)'!M38,0)</f>
        <v>0</v>
      </c>
      <c r="G32" s="50">
        <f t="shared" si="239"/>
        <v>0</v>
      </c>
      <c r="H32" s="50">
        <f>IFERROR('調查資料(OUT)'!$N$1*'調查資料(OUT)'!N38,0)+IFERROR('調查資料(OUT)'!$R$1*'調查資料(OUT)'!R38,0)+IFERROR('調查資料(OUT)'!$V$1*'調查資料(OUT)'!V38,0)</f>
        <v>0</v>
      </c>
      <c r="I32" s="50">
        <f>IFERROR('調查資料(OUT)'!$O$1*'調查資料(OUT)'!O38,0)+IFERROR('調查資料(OUT)'!$S$1*'調查資料(OUT)'!S38,0)+IFERROR('調查資料(OUT)'!$W$1*'調查資料(OUT)'!W38,0)</f>
        <v>0</v>
      </c>
      <c r="J32" s="50">
        <f>IFERROR('調查資料(OUT)'!$P$1*'調查資料(OUT)'!P38,0)+IFERROR('調查資料(OUT)'!$T$1*'調查資料(OUT)'!T38,0)+IFERROR('調查資料(OUT)'!$X$1*'調查資料(OUT)'!X38,0)</f>
        <v>0</v>
      </c>
      <c r="K32" s="252">
        <f>IFERROR('調查資料(OUT)'!$Q$1*'調查資料(OUT)'!Q38,0)+IFERROR('調查資料(OUT)'!$U$1*'調查資料(OUT)'!U38,0)+IFERROR('調查資料(OUT)'!$Y$1*'調查資料(OUT)'!Y38,0)</f>
        <v>0</v>
      </c>
      <c r="L32" s="50">
        <f t="shared" si="240"/>
        <v>0</v>
      </c>
      <c r="M32" s="50">
        <f>IFERROR('調查資料(OUT)'!$Z$1*'調查資料(OUT)'!Z38,0)+IFERROR('調查資料(OUT)'!$AD$1*'調查資料(OUT)'!AD38,0)+IFERROR('調查資料(OUT)'!$AH$1*'調查資料(OUT)'!AH38,0)</f>
        <v>0</v>
      </c>
      <c r="N32" s="50">
        <f>IFERROR('調查資料(OUT)'!$AA$1*'調查資料(OUT)'!AA38,0)+IFERROR('調查資料(OUT)'!$AE$1*'調查資料(OUT)'!AE38,0)+IFERROR('調查資料(OUT)'!$AI$1*'調查資料(OUT)'!AI38,0)</f>
        <v>0</v>
      </c>
      <c r="O32" s="50">
        <f>IFERROR('調查資料(OUT)'!$AB$1*'調查資料(OUT)'!AB38,0)+IFERROR('調查資料(OUT)'!$AF$1*'調查資料(OUT)'!AF38,0)+IFERROR('調查資料(OUT)'!$AJ$1*'調查資料(OUT)'!AJ38,0)</f>
        <v>0</v>
      </c>
      <c r="P32" s="252">
        <f>IFERROR('調查資料(OUT)'!$AC$1*'調查資料(OUT)'!AC38,0)+IFERROR('調查資料(OUT)'!$AG$1*'調查資料(OUT)'!AG38,0)+IFERROR('調查資料(OUT)'!$AK$1*'調查資料(OUT)'!AK38,0)</f>
        <v>0</v>
      </c>
      <c r="Q32" s="50">
        <f t="shared" si="241"/>
        <v>0</v>
      </c>
      <c r="R32" s="50">
        <f>IFERROR('調查資料(OUT)'!$AL$1*'調查資料(OUT)'!AL38,0)+IFERROR('調查資料(OUT)'!$AP$1*'調查資料(OUT)'!AP38,0)+IFERROR('調查資料(OUT)'!$AT$1*'調查資料(OUT)'!AT38,0)</f>
        <v>0</v>
      </c>
      <c r="S32" s="50">
        <f>IFERROR('調查資料(OUT)'!$AM$1*'調查資料(OUT)'!AM38,0)+IFERROR('調查資料(OUT)'!$AQ$1*'調查資料(OUT)'!AQ38,0)+IFERROR('調查資料(OUT)'!$AU$1*'調查資料(OUT)'!AU38,0)</f>
        <v>0</v>
      </c>
      <c r="T32" s="50">
        <f>IFERROR('調查資料(OUT)'!$AN$1*'調查資料(OUT)'!AN38,0)+IFERROR('調查資料(OUT)'!$AR$1*'調查資料(OUT)'!AR38,0)+IFERROR('調查資料(OUT)'!$AV$1*'調查資料(OUT)'!AV38,0)</f>
        <v>0</v>
      </c>
      <c r="U32" s="252">
        <f>IFERROR('調查資料(OUT)'!$AO$1*'調查資料(OUT)'!AO38,0)+IFERROR('調查資料(OUT)'!$AS$1*'調查資料(OUT)'!AS38,0)+IFERROR('調查資料(OUT)'!$AW$1*'調查資料(OUT)'!AW38,0)</f>
        <v>0</v>
      </c>
      <c r="V32" s="50">
        <f t="shared" si="242"/>
        <v>0</v>
      </c>
      <c r="W32" s="50">
        <f>IFERROR('調查資料(OUT)'!$AX$1*'調查資料(OUT)'!AX38,0)+IFERROR('調查資料(OUT)'!$BB$1*'調查資料(OUT)'!BB38,0)+IFERROR('調查資料(OUT)'!$BF$1*'調查資料(OUT)'!BF38,0)</f>
        <v>0</v>
      </c>
      <c r="X32" s="50">
        <f>IFERROR('調查資料(OUT)'!$AY$1*'調查資料(OUT)'!AY38,0)+IFERROR('調查資料(OUT)'!$BC$1*'調查資料(OUT)'!BC38,0)+IFERROR('調查資料(OUT)'!$BG$1*'調查資料(OUT)'!BG38,0)</f>
        <v>0</v>
      </c>
      <c r="Y32" s="50">
        <f>IFERROR('調查資料(OUT)'!$AZ$1*'調查資料(OUT)'!AZ38,0)+IFERROR('調查資料(OUT)'!$BD$1*'調查資料(OUT)'!BD38,0)+IFERROR('調查資料(OUT)'!$BH$1*'調查資料(OUT)'!BH38,0)</f>
        <v>0</v>
      </c>
      <c r="Z32" s="252">
        <f>IFERROR('調查資料(OUT)'!$BA$1*'調查資料(OUT)'!BA38,0)+IFERROR('調查資料(OUT)'!$BE$1*'調查資料(OUT)'!BE38,0)+IFERROR('調查資料(OUT)'!$BI$1*'調查資料(OUT)'!BI38,0)</f>
        <v>0</v>
      </c>
      <c r="AA32" s="253">
        <f t="shared" si="243"/>
        <v>0</v>
      </c>
      <c r="AC32" s="251">
        <f>'調查資料(OUT)'!A38</f>
        <v>645</v>
      </c>
      <c r="AD32" s="254">
        <f t="shared" si="244"/>
        <v>745</v>
      </c>
      <c r="AE32" s="50">
        <f t="shared" ref="AE32:AE92" si="254">SUM(AA32:AA35)</f>
        <v>0</v>
      </c>
      <c r="AG32" s="50">
        <f t="shared" si="1"/>
        <v>0</v>
      </c>
      <c r="AH32" s="256" t="e">
        <f t="shared" si="2"/>
        <v>#DIV/0!</v>
      </c>
      <c r="AI32" s="256" t="e">
        <f t="shared" si="3"/>
        <v>#DIV/0!</v>
      </c>
      <c r="AJ32" s="256" t="e">
        <f t="shared" si="4"/>
        <v>#DIV/0!</v>
      </c>
      <c r="AK32" s="256" t="e">
        <f t="shared" si="5"/>
        <v>#DIV/0!</v>
      </c>
      <c r="AL32" s="256" t="e">
        <f t="shared" si="6"/>
        <v>#DIV/0!</v>
      </c>
      <c r="AN32" s="50">
        <f t="shared" si="7"/>
        <v>645</v>
      </c>
      <c r="AO32" s="252">
        <f t="shared" si="8"/>
        <v>745</v>
      </c>
      <c r="AP32" s="50">
        <f t="shared" si="245"/>
        <v>0</v>
      </c>
      <c r="AQ32" s="50">
        <f>IF($AN32="N","N",SUM('調查資料(OUT)'!B38:B41))</f>
        <v>0</v>
      </c>
      <c r="AR32" s="50">
        <f>IF($AN32="N","N",SUM('調查資料(OUT)'!F38:F41))</f>
        <v>0</v>
      </c>
      <c r="AS32" s="50">
        <f>IF($AN32="N","N",SUM('調查資料(OUT)'!J38:J41))</f>
        <v>0</v>
      </c>
      <c r="AT32" s="56" t="e">
        <f t="shared" si="169"/>
        <v>#DIV/0!</v>
      </c>
      <c r="AU32" s="50">
        <f t="shared" si="170"/>
        <v>0</v>
      </c>
      <c r="AV32" s="50">
        <f>IF($AN32="N","N",SUM('調查資料(OUT)'!C38:C41))</f>
        <v>0</v>
      </c>
      <c r="AW32" s="50">
        <f>IF($AN32="N","N",SUM('調查資料(OUT)'!G38:G41))</f>
        <v>0</v>
      </c>
      <c r="AX32" s="50">
        <f>IF($AN32="N","N",SUM('調查資料(OUT)'!K38:K41))</f>
        <v>0</v>
      </c>
      <c r="AY32" s="56" t="e">
        <f t="shared" si="171"/>
        <v>#DIV/0!</v>
      </c>
      <c r="AZ32" s="50">
        <f t="shared" si="172"/>
        <v>0</v>
      </c>
      <c r="BA32" s="50">
        <f>IF($AN32="N","N",SUM('調查資料(OUT)'!D38:D41))</f>
        <v>0</v>
      </c>
      <c r="BB32" s="50">
        <f>IF($AN32="N","N",SUM('調查資料(OUT)'!H38:H41))</f>
        <v>0</v>
      </c>
      <c r="BC32" s="50">
        <f>IF($AN32="N","N",SUM('調查資料(OUT)'!L38:L41))</f>
        <v>0</v>
      </c>
      <c r="BD32" s="56" t="e">
        <f t="shared" si="173"/>
        <v>#DIV/0!</v>
      </c>
      <c r="BE32" s="50">
        <f t="shared" si="174"/>
        <v>0</v>
      </c>
      <c r="BF32" s="50">
        <f>IF($AN32="N","N",SUM('調查資料(OUT)'!E38:E41))</f>
        <v>0</v>
      </c>
      <c r="BG32" s="50">
        <f>IF($AN32="N","N",SUM('調查資料(OUT)'!I38:I41))</f>
        <v>0</v>
      </c>
      <c r="BH32" s="50">
        <f>IF($AN32="N","N",SUM('調查資料(OUT)'!M38:M41))</f>
        <v>0</v>
      </c>
      <c r="BI32" s="56" t="e">
        <f t="shared" si="175"/>
        <v>#DIV/0!</v>
      </c>
      <c r="BJ32" s="50">
        <f t="shared" si="176"/>
        <v>0</v>
      </c>
      <c r="BK32" s="56" t="e">
        <f t="shared" si="177"/>
        <v>#DIV/0!</v>
      </c>
      <c r="BL32" s="50">
        <f t="shared" si="178"/>
        <v>0</v>
      </c>
      <c r="BM32" s="56" t="e">
        <f t="shared" si="179"/>
        <v>#DIV/0!</v>
      </c>
      <c r="BN32" s="50">
        <f t="shared" si="180"/>
        <v>0</v>
      </c>
      <c r="BO32" s="56" t="e">
        <f t="shared" si="181"/>
        <v>#DIV/0!</v>
      </c>
      <c r="BP32" s="50">
        <f t="shared" si="182"/>
        <v>0</v>
      </c>
      <c r="BQ32" s="50">
        <f t="shared" si="183"/>
        <v>0</v>
      </c>
      <c r="BR32" s="50">
        <f>IF($AN32="N","N",SUM('調查資料(OUT)'!N38:N41))</f>
        <v>0</v>
      </c>
      <c r="BS32" s="50">
        <f>IF($AN32="N","N",SUM('調查資料(OUT)'!R38:R41))</f>
        <v>0</v>
      </c>
      <c r="BT32" s="50">
        <f>IF($AN32="N","N",SUM('調查資料(OUT)'!V38:V41))</f>
        <v>0</v>
      </c>
      <c r="BU32" s="56" t="e">
        <f t="shared" si="184"/>
        <v>#DIV/0!</v>
      </c>
      <c r="BV32" s="50">
        <f t="shared" si="185"/>
        <v>0</v>
      </c>
      <c r="BW32" s="50">
        <f>IF($AN32="N","N",SUM('調查資料(OUT)'!O38:O41))</f>
        <v>0</v>
      </c>
      <c r="BX32" s="50">
        <f>IF($AN32="N","N",SUM('調查資料(OUT)'!S38:S41))</f>
        <v>0</v>
      </c>
      <c r="BY32" s="50">
        <f>IF($AN32="N","N",SUM('調查資料(OUT)'!W38:W41))</f>
        <v>0</v>
      </c>
      <c r="BZ32" s="56" t="e">
        <f t="shared" si="186"/>
        <v>#DIV/0!</v>
      </c>
      <c r="CA32" s="50">
        <f t="shared" si="187"/>
        <v>0</v>
      </c>
      <c r="CB32" s="50">
        <f>IF($AN32="N","N",SUM('調查資料(OUT)'!P38:P41))</f>
        <v>0</v>
      </c>
      <c r="CC32" s="50">
        <f>IF($AN32="N","N",SUM('調查資料(OUT)'!T38:T41))</f>
        <v>0</v>
      </c>
      <c r="CD32" s="50">
        <f>IF($AN32="N","N",SUM('調查資料(OUT)'!X38:X41))</f>
        <v>0</v>
      </c>
      <c r="CE32" s="56" t="e">
        <f t="shared" si="188"/>
        <v>#DIV/0!</v>
      </c>
      <c r="CF32" s="50">
        <f t="shared" si="189"/>
        <v>0</v>
      </c>
      <c r="CG32" s="50">
        <f>IF($AN32="N","N",SUM('調查資料(OUT)'!Q38:Q41))</f>
        <v>0</v>
      </c>
      <c r="CH32" s="50">
        <f>IF($AN32="N","N",SUM('調查資料(OUT)'!U38:U41))</f>
        <v>0</v>
      </c>
      <c r="CI32" s="50">
        <f>IF($AN32="N","N",SUM('調查資料(OUT)'!Y38:Y41))</f>
        <v>0</v>
      </c>
      <c r="CJ32" s="56" t="e">
        <f t="shared" si="190"/>
        <v>#DIV/0!</v>
      </c>
      <c r="CK32" s="50">
        <f t="shared" si="191"/>
        <v>0</v>
      </c>
      <c r="CL32" s="56" t="e">
        <f t="shared" si="192"/>
        <v>#DIV/0!</v>
      </c>
      <c r="CM32" s="50">
        <f t="shared" si="193"/>
        <v>0</v>
      </c>
      <c r="CN32" s="56" t="e">
        <f t="shared" si="194"/>
        <v>#DIV/0!</v>
      </c>
      <c r="CO32" s="50">
        <f t="shared" si="195"/>
        <v>0</v>
      </c>
      <c r="CP32" s="56" t="e">
        <f t="shared" si="196"/>
        <v>#DIV/0!</v>
      </c>
      <c r="CQ32" s="50">
        <f t="shared" si="197"/>
        <v>0</v>
      </c>
      <c r="CR32" s="50">
        <f t="shared" si="198"/>
        <v>0</v>
      </c>
      <c r="CS32" s="50">
        <f>IF($AN32="N","N",SUM('調查資料(OUT)'!Z38:Z41))</f>
        <v>0</v>
      </c>
      <c r="CT32" s="50">
        <f>IF($AN32="N","N",SUM('調查資料(OUT)'!AD38:AD41))</f>
        <v>0</v>
      </c>
      <c r="CU32" s="50">
        <f>IF($AN32="N","N",SUM('調查資料(OUT)'!AH38:AH41))</f>
        <v>0</v>
      </c>
      <c r="CV32" s="56" t="e">
        <f t="shared" si="199"/>
        <v>#DIV/0!</v>
      </c>
      <c r="CW32" s="50">
        <f t="shared" si="200"/>
        <v>0</v>
      </c>
      <c r="CX32" s="50">
        <f>IF($AN32="N","N",SUM('調查資料(OUT)'!AA38:AA41))</f>
        <v>0</v>
      </c>
      <c r="CY32" s="50">
        <f>IF($AN32="N","N",SUM('調查資料(OUT)'!AE38:AE41))</f>
        <v>0</v>
      </c>
      <c r="CZ32" s="50">
        <f>IF($AN32="N","N",SUM('調查資料(OUT)'!AI38:AI41))</f>
        <v>0</v>
      </c>
      <c r="DA32" s="56" t="e">
        <f t="shared" si="201"/>
        <v>#DIV/0!</v>
      </c>
      <c r="DB32" s="50">
        <f t="shared" si="202"/>
        <v>0</v>
      </c>
      <c r="DC32" s="50">
        <f>IF($AN32="N","N",SUM('調查資料(OUT)'!AB38:AB41))</f>
        <v>0</v>
      </c>
      <c r="DD32" s="50">
        <f>IF($AN32="N","N",SUM('調查資料(OUT)'!AF38:AF41))</f>
        <v>0</v>
      </c>
      <c r="DE32" s="50">
        <f>IF($AN32="N","N",SUM('調查資料(OUT)'!AJ38:AJ41))</f>
        <v>0</v>
      </c>
      <c r="DF32" s="56" t="e">
        <f t="shared" si="203"/>
        <v>#DIV/0!</v>
      </c>
      <c r="DG32" s="50">
        <f t="shared" si="204"/>
        <v>0</v>
      </c>
      <c r="DH32" s="50">
        <f>IF($AN32="N","N",SUM('調查資料(OUT)'!AC38:AC41))</f>
        <v>0</v>
      </c>
      <c r="DI32" s="50">
        <f>IF($AN32="N","N",SUM('調查資料(OUT)'!AG38:AG41))</f>
        <v>0</v>
      </c>
      <c r="DJ32" s="50">
        <f>IF($AN32="N","N",SUM('調查資料(OUT)'!AK38:AK41))</f>
        <v>0</v>
      </c>
      <c r="DK32" s="56" t="e">
        <f t="shared" si="205"/>
        <v>#DIV/0!</v>
      </c>
      <c r="DL32" s="50">
        <f t="shared" si="206"/>
        <v>0</v>
      </c>
      <c r="DM32" s="56" t="e">
        <f t="shared" si="207"/>
        <v>#DIV/0!</v>
      </c>
      <c r="DN32" s="50">
        <f t="shared" si="208"/>
        <v>0</v>
      </c>
      <c r="DO32" s="56" t="e">
        <f t="shared" si="209"/>
        <v>#DIV/0!</v>
      </c>
      <c r="DP32" s="50">
        <f t="shared" si="210"/>
        <v>0</v>
      </c>
      <c r="DQ32" s="56" t="e">
        <f t="shared" si="211"/>
        <v>#DIV/0!</v>
      </c>
      <c r="DR32" s="50">
        <f t="shared" si="212"/>
        <v>0</v>
      </c>
      <c r="DS32" s="50">
        <f t="shared" si="213"/>
        <v>0</v>
      </c>
      <c r="DT32" s="50">
        <f>IF($AN32="N","N",SUM('調查資料(OUT)'!AL38:AL41))</f>
        <v>0</v>
      </c>
      <c r="DU32" s="50">
        <f>IF($AN32="N","N",SUM('調查資料(OUT)'!AP38:AP41))</f>
        <v>0</v>
      </c>
      <c r="DV32" s="50">
        <f>IF($AN32="N","N",SUM('調查資料(OUT)'!AT38:AT41))</f>
        <v>0</v>
      </c>
      <c r="DW32" s="56" t="e">
        <f t="shared" si="214"/>
        <v>#DIV/0!</v>
      </c>
      <c r="DX32" s="50">
        <f t="shared" si="215"/>
        <v>0</v>
      </c>
      <c r="DY32" s="50">
        <f>IF($AN32="N","N",SUM('調查資料(OUT)'!AM38:AM41))</f>
        <v>0</v>
      </c>
      <c r="DZ32" s="50">
        <f>IF($AN32="N","N",SUM('調查資料(OUT)'!AQ38:AQ41))</f>
        <v>0</v>
      </c>
      <c r="EA32" s="50">
        <f>IF($AN32="N","N",SUM('調查資料(OUT)'!AU38:AU41))</f>
        <v>0</v>
      </c>
      <c r="EB32" s="56" t="e">
        <f t="shared" si="216"/>
        <v>#DIV/0!</v>
      </c>
      <c r="EC32" s="50">
        <f t="shared" si="217"/>
        <v>0</v>
      </c>
      <c r="ED32" s="50">
        <f>IF($AN32="N","N",SUM('調查資料(OUT)'!AN38:AN41))</f>
        <v>0</v>
      </c>
      <c r="EE32" s="50">
        <f>IF($AN32="N","N",SUM('調查資料(OUT)'!AR38:AR41))</f>
        <v>0</v>
      </c>
      <c r="EF32" s="50">
        <f>IF($AN32="N","N",SUM('調查資料(OUT)'!AV38:AV41))</f>
        <v>0</v>
      </c>
      <c r="EG32" s="56" t="e">
        <f t="shared" si="218"/>
        <v>#DIV/0!</v>
      </c>
      <c r="EH32" s="50">
        <f t="shared" si="219"/>
        <v>0</v>
      </c>
      <c r="EI32" s="50">
        <f>IF($AN32="N","N",SUM('調查資料(OUT)'!AO38:AO41))</f>
        <v>0</v>
      </c>
      <c r="EJ32" s="50">
        <f>IF($AN32="N","N",SUM('調查資料(OUT)'!AS38:AS41))</f>
        <v>0</v>
      </c>
      <c r="EK32" s="50">
        <f>IF($AN32="N","N",SUM('調查資料(OUT)'!AW38:AW41))</f>
        <v>0</v>
      </c>
      <c r="EL32" s="56" t="e">
        <f t="shared" si="220"/>
        <v>#DIV/0!</v>
      </c>
      <c r="EM32" s="50">
        <f t="shared" si="221"/>
        <v>0</v>
      </c>
      <c r="EN32" s="56" t="e">
        <f t="shared" si="222"/>
        <v>#DIV/0!</v>
      </c>
      <c r="EO32" s="50">
        <f t="shared" si="223"/>
        <v>0</v>
      </c>
      <c r="EP32" s="56" t="e">
        <f t="shared" si="224"/>
        <v>#DIV/0!</v>
      </c>
      <c r="EQ32" s="50">
        <f t="shared" si="225"/>
        <v>0</v>
      </c>
      <c r="ER32" s="56" t="e">
        <f t="shared" si="253"/>
        <v>#DIV/0!</v>
      </c>
      <c r="ES32" s="50">
        <f t="shared" si="226"/>
        <v>0</v>
      </c>
      <c r="ET32" s="50">
        <f t="shared" si="227"/>
        <v>0</v>
      </c>
      <c r="EU32" s="50">
        <f>IF($AN32="N","N",SUM('調查資料(OUT)'!AX38:AX41))</f>
        <v>0</v>
      </c>
      <c r="EV32" s="50">
        <f>IF($AN32="N","N",SUM('調查資料(OUT)'!BB38:BB41))</f>
        <v>0</v>
      </c>
      <c r="EW32" s="50">
        <f>IF($AN32="N","N",SUM('調查資料(OUT)'!BF38:BF41))</f>
        <v>0</v>
      </c>
      <c r="EX32" s="56" t="e">
        <f t="shared" si="228"/>
        <v>#DIV/0!</v>
      </c>
      <c r="EY32" s="50">
        <f t="shared" si="229"/>
        <v>0</v>
      </c>
      <c r="EZ32" s="50">
        <f>IF($AN32="N","N",SUM('調查資料(OUT)'!AY38:AY41))</f>
        <v>0</v>
      </c>
      <c r="FA32" s="50">
        <f>IF($AN32="N","N",SUM('調查資料(OUT)'!BC38:BC41))</f>
        <v>0</v>
      </c>
      <c r="FB32" s="50">
        <f>IF($AN32="N","N",SUM('調查資料(OUT)'!BG38:BG41))</f>
        <v>0</v>
      </c>
      <c r="FC32" s="56" t="e">
        <f t="shared" si="230"/>
        <v>#DIV/0!</v>
      </c>
      <c r="FD32" s="50">
        <f t="shared" si="231"/>
        <v>0</v>
      </c>
      <c r="FE32" s="50">
        <f>IF($AN32="N","N",SUM('調查資料(OUT)'!AZ38:AZ41))</f>
        <v>0</v>
      </c>
      <c r="FF32" s="50">
        <f>IF($AN32="N","N",SUM('調查資料(OUT)'!BD38:BD41))</f>
        <v>0</v>
      </c>
      <c r="FG32" s="50">
        <f>IF($AN32="N","N",SUM('調查資料(OUT)'!BH38:BH41))</f>
        <v>0</v>
      </c>
      <c r="FH32" s="56" t="e">
        <f t="shared" si="232"/>
        <v>#DIV/0!</v>
      </c>
      <c r="FI32" s="50">
        <f t="shared" si="233"/>
        <v>0</v>
      </c>
      <c r="FJ32" s="50">
        <f>IF($AN32="N","N",SUM('調查資料(OUT)'!BA38:BA41))</f>
        <v>0</v>
      </c>
      <c r="FK32" s="50">
        <f>IF($AN32="N","N",SUM('調查資料(OUT)'!BE38:BE41))</f>
        <v>0</v>
      </c>
      <c r="FL32" s="50">
        <f>IF($AN32="N","N",SUM('調查資料(OUT)'!BI38:BI41))</f>
        <v>0</v>
      </c>
      <c r="FM32" s="56" t="e">
        <f t="shared" si="234"/>
        <v>#DIV/0!</v>
      </c>
      <c r="FN32" s="50">
        <f t="shared" si="246"/>
        <v>0</v>
      </c>
      <c r="FO32" s="56" t="e">
        <f t="shared" si="247"/>
        <v>#DIV/0!</v>
      </c>
      <c r="FP32" s="50">
        <f t="shared" si="248"/>
        <v>0</v>
      </c>
      <c r="FQ32" s="56" t="e">
        <f t="shared" si="249"/>
        <v>#DIV/0!</v>
      </c>
      <c r="FR32" s="50">
        <f t="shared" si="250"/>
        <v>0</v>
      </c>
      <c r="FS32" s="56" t="e">
        <f t="shared" si="251"/>
        <v>#DIV/0!</v>
      </c>
      <c r="FT32" s="50">
        <f t="shared" si="252"/>
        <v>0</v>
      </c>
    </row>
    <row r="33" spans="1:176">
      <c r="A33" s="274">
        <f>'調查資料(OUT)'!A39</f>
        <v>700</v>
      </c>
      <c r="B33" s="50">
        <f t="shared" si="238"/>
        <v>0</v>
      </c>
      <c r="C33" s="50">
        <f>IFERROR('調查資料(OUT)'!$B$1*'調查資料(OUT)'!B39,0)+IFERROR('調查資料(OUT)'!$F$1*'調查資料(OUT)'!F39,0)+IFERROR('調查資料(OUT)'!$J$1*'調查資料(OUT)'!J39,0)</f>
        <v>0</v>
      </c>
      <c r="D33" s="50">
        <f>IFERROR('調查資料(OUT)'!$C$1*'調查資料(OUT)'!C39,0)+IFERROR('調查資料(OUT)'!$G$1*'調查資料(OUT)'!G39,0)+IFERROR('調查資料(OUT)'!$K$1*'調查資料(OUT)'!K39,0)</f>
        <v>0</v>
      </c>
      <c r="E33" s="50">
        <f>IFERROR('調查資料(OUT)'!$D$1*'調查資料(OUT)'!D39,0)+IFERROR('調查資料(OUT)'!$H$1*'調查資料(OUT)'!H39,0)+IFERROR('調查資料(OUT)'!$L$1*'調查資料(OUT)'!L39,0)</f>
        <v>0</v>
      </c>
      <c r="F33" s="252">
        <f>IFERROR('調查資料(OUT)'!$E$1*'調查資料(OUT)'!E39,0)+IFERROR('調查資料(OUT)'!$I$1*'調查資料(OUT)'!I39,0)+IFERROR('調查資料(OUT)'!$M$1*'調查資料(OUT)'!M39,0)</f>
        <v>0</v>
      </c>
      <c r="G33" s="50">
        <f t="shared" si="239"/>
        <v>0</v>
      </c>
      <c r="H33" s="50">
        <f>IFERROR('調查資料(OUT)'!$N$1*'調查資料(OUT)'!N39,0)+IFERROR('調查資料(OUT)'!$R$1*'調查資料(OUT)'!R39,0)+IFERROR('調查資料(OUT)'!$V$1*'調查資料(OUT)'!V39,0)</f>
        <v>0</v>
      </c>
      <c r="I33" s="50">
        <f>IFERROR('調查資料(OUT)'!$O$1*'調查資料(OUT)'!O39,0)+IFERROR('調查資料(OUT)'!$S$1*'調查資料(OUT)'!S39,0)+IFERROR('調查資料(OUT)'!$W$1*'調查資料(OUT)'!W39,0)</f>
        <v>0</v>
      </c>
      <c r="J33" s="50">
        <f>IFERROR('調查資料(OUT)'!$P$1*'調查資料(OUT)'!P39,0)+IFERROR('調查資料(OUT)'!$T$1*'調查資料(OUT)'!T39,0)+IFERROR('調查資料(OUT)'!$X$1*'調查資料(OUT)'!X39,0)</f>
        <v>0</v>
      </c>
      <c r="K33" s="252">
        <f>IFERROR('調查資料(OUT)'!$Q$1*'調查資料(OUT)'!Q39,0)+IFERROR('調查資料(OUT)'!$U$1*'調查資料(OUT)'!U39,0)+IFERROR('調查資料(OUT)'!$Y$1*'調查資料(OUT)'!Y39,0)</f>
        <v>0</v>
      </c>
      <c r="L33" s="50">
        <f t="shared" si="240"/>
        <v>0</v>
      </c>
      <c r="M33" s="50">
        <f>IFERROR('調查資料(OUT)'!$Z$1*'調查資料(OUT)'!Z39,0)+IFERROR('調查資料(OUT)'!$AD$1*'調查資料(OUT)'!AD39,0)+IFERROR('調查資料(OUT)'!$AH$1*'調查資料(OUT)'!AH39,0)</f>
        <v>0</v>
      </c>
      <c r="N33" s="50">
        <f>IFERROR('調查資料(OUT)'!$AA$1*'調查資料(OUT)'!AA39,0)+IFERROR('調查資料(OUT)'!$AE$1*'調查資料(OUT)'!AE39,0)+IFERROR('調查資料(OUT)'!$AI$1*'調查資料(OUT)'!AI39,0)</f>
        <v>0</v>
      </c>
      <c r="O33" s="50">
        <f>IFERROR('調查資料(OUT)'!$AB$1*'調查資料(OUT)'!AB39,0)+IFERROR('調查資料(OUT)'!$AF$1*'調查資料(OUT)'!AF39,0)+IFERROR('調查資料(OUT)'!$AJ$1*'調查資料(OUT)'!AJ39,0)</f>
        <v>0</v>
      </c>
      <c r="P33" s="252">
        <f>IFERROR('調查資料(OUT)'!$AC$1*'調查資料(OUT)'!AC39,0)+IFERROR('調查資料(OUT)'!$AG$1*'調查資料(OUT)'!AG39,0)+IFERROR('調查資料(OUT)'!$AK$1*'調查資料(OUT)'!AK39,0)</f>
        <v>0</v>
      </c>
      <c r="Q33" s="50">
        <f t="shared" si="241"/>
        <v>0</v>
      </c>
      <c r="R33" s="50">
        <f>IFERROR('調查資料(OUT)'!$AL$1*'調查資料(OUT)'!AL39,0)+IFERROR('調查資料(OUT)'!$AP$1*'調查資料(OUT)'!AP39,0)+IFERROR('調查資料(OUT)'!$AT$1*'調查資料(OUT)'!AT39,0)</f>
        <v>0</v>
      </c>
      <c r="S33" s="50">
        <f>IFERROR('調查資料(OUT)'!$AM$1*'調查資料(OUT)'!AM39,0)+IFERROR('調查資料(OUT)'!$AQ$1*'調查資料(OUT)'!AQ39,0)+IFERROR('調查資料(OUT)'!$AU$1*'調查資料(OUT)'!AU39,0)</f>
        <v>0</v>
      </c>
      <c r="T33" s="50">
        <f>IFERROR('調查資料(OUT)'!$AN$1*'調查資料(OUT)'!AN39,0)+IFERROR('調查資料(OUT)'!$AR$1*'調查資料(OUT)'!AR39,0)+IFERROR('調查資料(OUT)'!$AV$1*'調查資料(OUT)'!AV39,0)</f>
        <v>0</v>
      </c>
      <c r="U33" s="252">
        <f>IFERROR('調查資料(OUT)'!$AO$1*'調查資料(OUT)'!AO39,0)+IFERROR('調查資料(OUT)'!$AS$1*'調查資料(OUT)'!AS39,0)+IFERROR('調查資料(OUT)'!$AW$1*'調查資料(OUT)'!AW39,0)</f>
        <v>0</v>
      </c>
      <c r="V33" s="50">
        <f t="shared" si="242"/>
        <v>0</v>
      </c>
      <c r="W33" s="50">
        <f>IFERROR('調查資料(OUT)'!$AX$1*'調查資料(OUT)'!AX39,0)+IFERROR('調查資料(OUT)'!$BB$1*'調查資料(OUT)'!BB39,0)+IFERROR('調查資料(OUT)'!$BF$1*'調查資料(OUT)'!BF39,0)</f>
        <v>0</v>
      </c>
      <c r="X33" s="50">
        <f>IFERROR('調查資料(OUT)'!$AY$1*'調查資料(OUT)'!AY39,0)+IFERROR('調查資料(OUT)'!$BC$1*'調查資料(OUT)'!BC39,0)+IFERROR('調查資料(OUT)'!$BG$1*'調查資料(OUT)'!BG39,0)</f>
        <v>0</v>
      </c>
      <c r="Y33" s="50">
        <f>IFERROR('調查資料(OUT)'!$AZ$1*'調查資料(OUT)'!AZ39,0)+IFERROR('調查資料(OUT)'!$BD$1*'調查資料(OUT)'!BD39,0)+IFERROR('調查資料(OUT)'!$BH$1*'調查資料(OUT)'!BH39,0)</f>
        <v>0</v>
      </c>
      <c r="Z33" s="252">
        <f>IFERROR('調查資料(OUT)'!$BA$1*'調查資料(OUT)'!BA39,0)+IFERROR('調查資料(OUT)'!$BE$1*'調查資料(OUT)'!BE39,0)+IFERROR('調查資料(OUT)'!$BI$1*'調查資料(OUT)'!BI39,0)</f>
        <v>0</v>
      </c>
      <c r="AA33" s="253">
        <f t="shared" si="243"/>
        <v>0</v>
      </c>
      <c r="AC33" s="251">
        <f>'調查資料(OUT)'!A39</f>
        <v>700</v>
      </c>
      <c r="AD33" s="254">
        <f t="shared" si="244"/>
        <v>800</v>
      </c>
      <c r="AE33" s="50">
        <f t="shared" si="254"/>
        <v>0</v>
      </c>
      <c r="AG33" s="50">
        <f t="shared" si="1"/>
        <v>0</v>
      </c>
      <c r="AH33" s="256" t="e">
        <f t="shared" si="2"/>
        <v>#DIV/0!</v>
      </c>
      <c r="AI33" s="256" t="e">
        <f t="shared" si="3"/>
        <v>#DIV/0!</v>
      </c>
      <c r="AJ33" s="256" t="e">
        <f t="shared" si="4"/>
        <v>#DIV/0!</v>
      </c>
      <c r="AK33" s="256" t="e">
        <f t="shared" si="5"/>
        <v>#DIV/0!</v>
      </c>
      <c r="AL33" s="256" t="e">
        <f t="shared" si="6"/>
        <v>#DIV/0!</v>
      </c>
      <c r="AN33" s="50">
        <f t="shared" si="7"/>
        <v>700</v>
      </c>
      <c r="AO33" s="252">
        <f t="shared" si="8"/>
        <v>800</v>
      </c>
      <c r="AP33" s="50">
        <f t="shared" si="245"/>
        <v>0</v>
      </c>
      <c r="AQ33" s="50">
        <f>IF($AN33="N","N",SUM('調查資料(OUT)'!B39:B42))</f>
        <v>0</v>
      </c>
      <c r="AR33" s="50">
        <f>IF($AN33="N","N",SUM('調查資料(OUT)'!F39:F42))</f>
        <v>0</v>
      </c>
      <c r="AS33" s="50">
        <f>IF($AN33="N","N",SUM('調查資料(OUT)'!J39:J42))</f>
        <v>0</v>
      </c>
      <c r="AT33" s="56" t="e">
        <f t="shared" si="169"/>
        <v>#DIV/0!</v>
      </c>
      <c r="AU33" s="50">
        <f t="shared" si="170"/>
        <v>0</v>
      </c>
      <c r="AV33" s="50">
        <f>IF($AN33="N","N",SUM('調查資料(OUT)'!C39:C42))</f>
        <v>0</v>
      </c>
      <c r="AW33" s="50">
        <f>IF($AN33="N","N",SUM('調查資料(OUT)'!G39:G42))</f>
        <v>0</v>
      </c>
      <c r="AX33" s="50">
        <f>IF($AN33="N","N",SUM('調查資料(OUT)'!K39:K42))</f>
        <v>0</v>
      </c>
      <c r="AY33" s="56" t="e">
        <f t="shared" si="171"/>
        <v>#DIV/0!</v>
      </c>
      <c r="AZ33" s="50">
        <f t="shared" si="172"/>
        <v>0</v>
      </c>
      <c r="BA33" s="50">
        <f>IF($AN33="N","N",SUM('調查資料(OUT)'!D39:D42))</f>
        <v>0</v>
      </c>
      <c r="BB33" s="50">
        <f>IF($AN33="N","N",SUM('調查資料(OUT)'!H39:H42))</f>
        <v>0</v>
      </c>
      <c r="BC33" s="50">
        <f>IF($AN33="N","N",SUM('調查資料(OUT)'!L39:L42))</f>
        <v>0</v>
      </c>
      <c r="BD33" s="56" t="e">
        <f t="shared" si="173"/>
        <v>#DIV/0!</v>
      </c>
      <c r="BE33" s="50">
        <f t="shared" si="174"/>
        <v>0</v>
      </c>
      <c r="BF33" s="50">
        <f>IF($AN33="N","N",SUM('調查資料(OUT)'!E39:E42))</f>
        <v>0</v>
      </c>
      <c r="BG33" s="50">
        <f>IF($AN33="N","N",SUM('調查資料(OUT)'!I39:I42))</f>
        <v>0</v>
      </c>
      <c r="BH33" s="50">
        <f>IF($AN33="N","N",SUM('調查資料(OUT)'!M39:M42))</f>
        <v>0</v>
      </c>
      <c r="BI33" s="56" t="e">
        <f t="shared" si="175"/>
        <v>#DIV/0!</v>
      </c>
      <c r="BJ33" s="50">
        <f t="shared" si="176"/>
        <v>0</v>
      </c>
      <c r="BK33" s="56" t="e">
        <f t="shared" si="177"/>
        <v>#DIV/0!</v>
      </c>
      <c r="BL33" s="50">
        <f t="shared" si="178"/>
        <v>0</v>
      </c>
      <c r="BM33" s="56" t="e">
        <f t="shared" si="179"/>
        <v>#DIV/0!</v>
      </c>
      <c r="BN33" s="50">
        <f t="shared" si="180"/>
        <v>0</v>
      </c>
      <c r="BO33" s="56" t="e">
        <f t="shared" si="181"/>
        <v>#DIV/0!</v>
      </c>
      <c r="BP33" s="50">
        <f t="shared" si="182"/>
        <v>0</v>
      </c>
      <c r="BQ33" s="50">
        <f t="shared" si="183"/>
        <v>0</v>
      </c>
      <c r="BR33" s="50">
        <f>IF($AN33="N","N",SUM('調查資料(OUT)'!N39:N42))</f>
        <v>0</v>
      </c>
      <c r="BS33" s="50">
        <f>IF($AN33="N","N",SUM('調查資料(OUT)'!R39:R42))</f>
        <v>0</v>
      </c>
      <c r="BT33" s="50">
        <f>IF($AN33="N","N",SUM('調查資料(OUT)'!V39:V42))</f>
        <v>0</v>
      </c>
      <c r="BU33" s="56" t="e">
        <f t="shared" si="184"/>
        <v>#DIV/0!</v>
      </c>
      <c r="BV33" s="50">
        <f t="shared" si="185"/>
        <v>0</v>
      </c>
      <c r="BW33" s="50">
        <f>IF($AN33="N","N",SUM('調查資料(OUT)'!O39:O42))</f>
        <v>0</v>
      </c>
      <c r="BX33" s="50">
        <f>IF($AN33="N","N",SUM('調查資料(OUT)'!S39:S42))</f>
        <v>0</v>
      </c>
      <c r="BY33" s="50">
        <f>IF($AN33="N","N",SUM('調查資料(OUT)'!W39:W42))</f>
        <v>0</v>
      </c>
      <c r="BZ33" s="56" t="e">
        <f t="shared" si="186"/>
        <v>#DIV/0!</v>
      </c>
      <c r="CA33" s="50">
        <f t="shared" si="187"/>
        <v>0</v>
      </c>
      <c r="CB33" s="50">
        <f>IF($AN33="N","N",SUM('調查資料(OUT)'!P39:P42))</f>
        <v>0</v>
      </c>
      <c r="CC33" s="50">
        <f>IF($AN33="N","N",SUM('調查資料(OUT)'!T39:T42))</f>
        <v>0</v>
      </c>
      <c r="CD33" s="50">
        <f>IF($AN33="N","N",SUM('調查資料(OUT)'!X39:X42))</f>
        <v>0</v>
      </c>
      <c r="CE33" s="56" t="e">
        <f t="shared" si="188"/>
        <v>#DIV/0!</v>
      </c>
      <c r="CF33" s="50">
        <f t="shared" si="189"/>
        <v>0</v>
      </c>
      <c r="CG33" s="50">
        <f>IF($AN33="N","N",SUM('調查資料(OUT)'!Q39:Q42))</f>
        <v>0</v>
      </c>
      <c r="CH33" s="50">
        <f>IF($AN33="N","N",SUM('調查資料(OUT)'!U39:U42))</f>
        <v>0</v>
      </c>
      <c r="CI33" s="50">
        <f>IF($AN33="N","N",SUM('調查資料(OUT)'!Y39:Y42))</f>
        <v>0</v>
      </c>
      <c r="CJ33" s="56" t="e">
        <f t="shared" si="190"/>
        <v>#DIV/0!</v>
      </c>
      <c r="CK33" s="50">
        <f t="shared" si="191"/>
        <v>0</v>
      </c>
      <c r="CL33" s="56" t="e">
        <f t="shared" si="192"/>
        <v>#DIV/0!</v>
      </c>
      <c r="CM33" s="50">
        <f t="shared" si="193"/>
        <v>0</v>
      </c>
      <c r="CN33" s="56" t="e">
        <f t="shared" si="194"/>
        <v>#DIV/0!</v>
      </c>
      <c r="CO33" s="50">
        <f t="shared" si="195"/>
        <v>0</v>
      </c>
      <c r="CP33" s="56" t="e">
        <f t="shared" si="196"/>
        <v>#DIV/0!</v>
      </c>
      <c r="CQ33" s="50">
        <f t="shared" si="197"/>
        <v>0</v>
      </c>
      <c r="CR33" s="50">
        <f t="shared" si="198"/>
        <v>0</v>
      </c>
      <c r="CS33" s="50">
        <f>IF($AN33="N","N",SUM('調查資料(OUT)'!Z39:Z42))</f>
        <v>0</v>
      </c>
      <c r="CT33" s="50">
        <f>IF($AN33="N","N",SUM('調查資料(OUT)'!AD39:AD42))</f>
        <v>0</v>
      </c>
      <c r="CU33" s="50">
        <f>IF($AN33="N","N",SUM('調查資料(OUT)'!AH39:AH42))</f>
        <v>0</v>
      </c>
      <c r="CV33" s="56" t="e">
        <f t="shared" si="199"/>
        <v>#DIV/0!</v>
      </c>
      <c r="CW33" s="50">
        <f t="shared" si="200"/>
        <v>0</v>
      </c>
      <c r="CX33" s="50">
        <f>IF($AN33="N","N",SUM('調查資料(OUT)'!AA39:AA42))</f>
        <v>0</v>
      </c>
      <c r="CY33" s="50">
        <f>IF($AN33="N","N",SUM('調查資料(OUT)'!AE39:AE42))</f>
        <v>0</v>
      </c>
      <c r="CZ33" s="50">
        <f>IF($AN33="N","N",SUM('調查資料(OUT)'!AI39:AI42))</f>
        <v>0</v>
      </c>
      <c r="DA33" s="56" t="e">
        <f t="shared" si="201"/>
        <v>#DIV/0!</v>
      </c>
      <c r="DB33" s="50">
        <f t="shared" si="202"/>
        <v>0</v>
      </c>
      <c r="DC33" s="50">
        <f>IF($AN33="N","N",SUM('調查資料(OUT)'!AB39:AB42))</f>
        <v>0</v>
      </c>
      <c r="DD33" s="50">
        <f>IF($AN33="N","N",SUM('調查資料(OUT)'!AF39:AF42))</f>
        <v>0</v>
      </c>
      <c r="DE33" s="50">
        <f>IF($AN33="N","N",SUM('調查資料(OUT)'!AJ39:AJ42))</f>
        <v>0</v>
      </c>
      <c r="DF33" s="56" t="e">
        <f t="shared" si="203"/>
        <v>#DIV/0!</v>
      </c>
      <c r="DG33" s="50">
        <f t="shared" si="204"/>
        <v>0</v>
      </c>
      <c r="DH33" s="50">
        <f>IF($AN33="N","N",SUM('調查資料(OUT)'!AC39:AC42))</f>
        <v>0</v>
      </c>
      <c r="DI33" s="50">
        <f>IF($AN33="N","N",SUM('調查資料(OUT)'!AG39:AG42))</f>
        <v>0</v>
      </c>
      <c r="DJ33" s="50">
        <f>IF($AN33="N","N",SUM('調查資料(OUT)'!AK39:AK42))</f>
        <v>0</v>
      </c>
      <c r="DK33" s="56" t="e">
        <f t="shared" si="205"/>
        <v>#DIV/0!</v>
      </c>
      <c r="DL33" s="50">
        <f t="shared" si="206"/>
        <v>0</v>
      </c>
      <c r="DM33" s="56" t="e">
        <f t="shared" si="207"/>
        <v>#DIV/0!</v>
      </c>
      <c r="DN33" s="50">
        <f t="shared" si="208"/>
        <v>0</v>
      </c>
      <c r="DO33" s="56" t="e">
        <f t="shared" si="209"/>
        <v>#DIV/0!</v>
      </c>
      <c r="DP33" s="50">
        <f t="shared" si="210"/>
        <v>0</v>
      </c>
      <c r="DQ33" s="56" t="e">
        <f t="shared" si="211"/>
        <v>#DIV/0!</v>
      </c>
      <c r="DR33" s="50">
        <f t="shared" si="212"/>
        <v>0</v>
      </c>
      <c r="DS33" s="50">
        <f t="shared" si="213"/>
        <v>0</v>
      </c>
      <c r="DT33" s="50">
        <f>IF($AN33="N","N",SUM('調查資料(OUT)'!AL39:AL42))</f>
        <v>0</v>
      </c>
      <c r="DU33" s="50">
        <f>IF($AN33="N","N",SUM('調查資料(OUT)'!AP39:AP42))</f>
        <v>0</v>
      </c>
      <c r="DV33" s="50">
        <f>IF($AN33="N","N",SUM('調查資料(OUT)'!AT39:AT42))</f>
        <v>0</v>
      </c>
      <c r="DW33" s="56" t="e">
        <f t="shared" si="214"/>
        <v>#DIV/0!</v>
      </c>
      <c r="DX33" s="50">
        <f t="shared" si="215"/>
        <v>0</v>
      </c>
      <c r="DY33" s="50">
        <f>IF($AN33="N","N",SUM('調查資料(OUT)'!AM39:AM42))</f>
        <v>0</v>
      </c>
      <c r="DZ33" s="50">
        <f>IF($AN33="N","N",SUM('調查資料(OUT)'!AQ39:AQ42))</f>
        <v>0</v>
      </c>
      <c r="EA33" s="50">
        <f>IF($AN33="N","N",SUM('調查資料(OUT)'!AU39:AU42))</f>
        <v>0</v>
      </c>
      <c r="EB33" s="56" t="e">
        <f t="shared" si="216"/>
        <v>#DIV/0!</v>
      </c>
      <c r="EC33" s="50">
        <f t="shared" si="217"/>
        <v>0</v>
      </c>
      <c r="ED33" s="50">
        <f>IF($AN33="N","N",SUM('調查資料(OUT)'!AN39:AN42))</f>
        <v>0</v>
      </c>
      <c r="EE33" s="50">
        <f>IF($AN33="N","N",SUM('調查資料(OUT)'!AR39:AR42))</f>
        <v>0</v>
      </c>
      <c r="EF33" s="50">
        <f>IF($AN33="N","N",SUM('調查資料(OUT)'!AV39:AV42))</f>
        <v>0</v>
      </c>
      <c r="EG33" s="56" t="e">
        <f t="shared" si="218"/>
        <v>#DIV/0!</v>
      </c>
      <c r="EH33" s="50">
        <f t="shared" si="219"/>
        <v>0</v>
      </c>
      <c r="EI33" s="50">
        <f>IF($AN33="N","N",SUM('調查資料(OUT)'!AO39:AO42))</f>
        <v>0</v>
      </c>
      <c r="EJ33" s="50">
        <f>IF($AN33="N","N",SUM('調查資料(OUT)'!AS39:AS42))</f>
        <v>0</v>
      </c>
      <c r="EK33" s="50">
        <f>IF($AN33="N","N",SUM('調查資料(OUT)'!AW39:AW42))</f>
        <v>0</v>
      </c>
      <c r="EL33" s="56" t="e">
        <f t="shared" si="220"/>
        <v>#DIV/0!</v>
      </c>
      <c r="EM33" s="50">
        <f t="shared" si="221"/>
        <v>0</v>
      </c>
      <c r="EN33" s="56" t="e">
        <f t="shared" si="222"/>
        <v>#DIV/0!</v>
      </c>
      <c r="EO33" s="50">
        <f t="shared" si="223"/>
        <v>0</v>
      </c>
      <c r="EP33" s="56" t="e">
        <f t="shared" si="224"/>
        <v>#DIV/0!</v>
      </c>
      <c r="EQ33" s="50">
        <f t="shared" si="225"/>
        <v>0</v>
      </c>
      <c r="ER33" s="56" t="e">
        <f t="shared" si="253"/>
        <v>#DIV/0!</v>
      </c>
      <c r="ES33" s="50">
        <f t="shared" si="226"/>
        <v>0</v>
      </c>
      <c r="ET33" s="50">
        <f t="shared" si="227"/>
        <v>0</v>
      </c>
      <c r="EU33" s="50">
        <f>IF($AN33="N","N",SUM('調查資料(OUT)'!AX39:AX42))</f>
        <v>0</v>
      </c>
      <c r="EV33" s="50">
        <f>IF($AN33="N","N",SUM('調查資料(OUT)'!BB39:BB42))</f>
        <v>0</v>
      </c>
      <c r="EW33" s="50">
        <f>IF($AN33="N","N",SUM('調查資料(OUT)'!BF39:BF42))</f>
        <v>0</v>
      </c>
      <c r="EX33" s="56" t="e">
        <f t="shared" si="228"/>
        <v>#DIV/0!</v>
      </c>
      <c r="EY33" s="50">
        <f t="shared" si="229"/>
        <v>0</v>
      </c>
      <c r="EZ33" s="50">
        <f>IF($AN33="N","N",SUM('調查資料(OUT)'!AY39:AY42))</f>
        <v>0</v>
      </c>
      <c r="FA33" s="50">
        <f>IF($AN33="N","N",SUM('調查資料(OUT)'!BC39:BC42))</f>
        <v>0</v>
      </c>
      <c r="FB33" s="50">
        <f>IF($AN33="N","N",SUM('調查資料(OUT)'!BG39:BG42))</f>
        <v>0</v>
      </c>
      <c r="FC33" s="56" t="e">
        <f t="shared" si="230"/>
        <v>#DIV/0!</v>
      </c>
      <c r="FD33" s="50">
        <f t="shared" si="231"/>
        <v>0</v>
      </c>
      <c r="FE33" s="50">
        <f>IF($AN33="N","N",SUM('調查資料(OUT)'!AZ39:AZ42))</f>
        <v>0</v>
      </c>
      <c r="FF33" s="50">
        <f>IF($AN33="N","N",SUM('調查資料(OUT)'!BD39:BD42))</f>
        <v>0</v>
      </c>
      <c r="FG33" s="50">
        <f>IF($AN33="N","N",SUM('調查資料(OUT)'!BH39:BH42))</f>
        <v>0</v>
      </c>
      <c r="FH33" s="56" t="e">
        <f t="shared" si="232"/>
        <v>#DIV/0!</v>
      </c>
      <c r="FI33" s="50">
        <f t="shared" si="233"/>
        <v>0</v>
      </c>
      <c r="FJ33" s="50">
        <f>IF($AN33="N","N",SUM('調查資料(OUT)'!BA39:BA42))</f>
        <v>0</v>
      </c>
      <c r="FK33" s="50">
        <f>IF($AN33="N","N",SUM('調查資料(OUT)'!BE39:BE42))</f>
        <v>0</v>
      </c>
      <c r="FL33" s="50">
        <f>IF($AN33="N","N",SUM('調查資料(OUT)'!BI39:BI42))</f>
        <v>0</v>
      </c>
      <c r="FM33" s="56" t="e">
        <f t="shared" si="234"/>
        <v>#DIV/0!</v>
      </c>
      <c r="FN33" s="50">
        <f t="shared" si="246"/>
        <v>0</v>
      </c>
      <c r="FO33" s="56" t="e">
        <f t="shared" si="247"/>
        <v>#DIV/0!</v>
      </c>
      <c r="FP33" s="50">
        <f t="shared" si="248"/>
        <v>0</v>
      </c>
      <c r="FQ33" s="56" t="e">
        <f t="shared" si="249"/>
        <v>#DIV/0!</v>
      </c>
      <c r="FR33" s="50">
        <f t="shared" si="250"/>
        <v>0</v>
      </c>
      <c r="FS33" s="56" t="e">
        <f t="shared" si="251"/>
        <v>#DIV/0!</v>
      </c>
      <c r="FT33" s="50">
        <f t="shared" si="252"/>
        <v>0</v>
      </c>
    </row>
    <row r="34" spans="1:176">
      <c r="A34" s="274">
        <f>'調查資料(OUT)'!A40</f>
        <v>715</v>
      </c>
      <c r="B34" s="50">
        <f t="shared" si="238"/>
        <v>0</v>
      </c>
      <c r="C34" s="50">
        <f>IFERROR('調查資料(OUT)'!$B$1*'調查資料(OUT)'!B40,0)+IFERROR('調查資料(OUT)'!$F$1*'調查資料(OUT)'!F40,0)+IFERROR('調查資料(OUT)'!$J$1*'調查資料(OUT)'!J40,0)</f>
        <v>0</v>
      </c>
      <c r="D34" s="50">
        <f>IFERROR('調查資料(OUT)'!$C$1*'調查資料(OUT)'!C40,0)+IFERROR('調查資料(OUT)'!$G$1*'調查資料(OUT)'!G40,0)+IFERROR('調查資料(OUT)'!$K$1*'調查資料(OUT)'!K40,0)</f>
        <v>0</v>
      </c>
      <c r="E34" s="50">
        <f>IFERROR('調查資料(OUT)'!$D$1*'調查資料(OUT)'!D40,0)+IFERROR('調查資料(OUT)'!$H$1*'調查資料(OUT)'!H40,0)+IFERROR('調查資料(OUT)'!$L$1*'調查資料(OUT)'!L40,0)</f>
        <v>0</v>
      </c>
      <c r="F34" s="252">
        <f>IFERROR('調查資料(OUT)'!$E$1*'調查資料(OUT)'!E40,0)+IFERROR('調查資料(OUT)'!$I$1*'調查資料(OUT)'!I40,0)+IFERROR('調查資料(OUT)'!$M$1*'調查資料(OUT)'!M40,0)</f>
        <v>0</v>
      </c>
      <c r="G34" s="50">
        <f t="shared" si="239"/>
        <v>0</v>
      </c>
      <c r="H34" s="50">
        <f>IFERROR('調查資料(OUT)'!$N$1*'調查資料(OUT)'!N40,0)+IFERROR('調查資料(OUT)'!$R$1*'調查資料(OUT)'!R40,0)+IFERROR('調查資料(OUT)'!$V$1*'調查資料(OUT)'!V40,0)</f>
        <v>0</v>
      </c>
      <c r="I34" s="50">
        <f>IFERROR('調查資料(OUT)'!$O$1*'調查資料(OUT)'!O40,0)+IFERROR('調查資料(OUT)'!$S$1*'調查資料(OUT)'!S40,0)+IFERROR('調查資料(OUT)'!$W$1*'調查資料(OUT)'!W40,0)</f>
        <v>0</v>
      </c>
      <c r="J34" s="50">
        <f>IFERROR('調查資料(OUT)'!$P$1*'調查資料(OUT)'!P40,0)+IFERROR('調查資料(OUT)'!$T$1*'調查資料(OUT)'!T40,0)+IFERROR('調查資料(OUT)'!$X$1*'調查資料(OUT)'!X40,0)</f>
        <v>0</v>
      </c>
      <c r="K34" s="252">
        <f>IFERROR('調查資料(OUT)'!$Q$1*'調查資料(OUT)'!Q40,0)+IFERROR('調查資料(OUT)'!$U$1*'調查資料(OUT)'!U40,0)+IFERROR('調查資料(OUT)'!$Y$1*'調查資料(OUT)'!Y40,0)</f>
        <v>0</v>
      </c>
      <c r="L34" s="50">
        <f t="shared" si="240"/>
        <v>0</v>
      </c>
      <c r="M34" s="50">
        <f>IFERROR('調查資料(OUT)'!$Z$1*'調查資料(OUT)'!Z40,0)+IFERROR('調查資料(OUT)'!$AD$1*'調查資料(OUT)'!AD40,0)+IFERROR('調查資料(OUT)'!$AH$1*'調查資料(OUT)'!AH40,0)</f>
        <v>0</v>
      </c>
      <c r="N34" s="50">
        <f>IFERROR('調查資料(OUT)'!$AA$1*'調查資料(OUT)'!AA40,0)+IFERROR('調查資料(OUT)'!$AE$1*'調查資料(OUT)'!AE40,0)+IFERROR('調查資料(OUT)'!$AI$1*'調查資料(OUT)'!AI40,0)</f>
        <v>0</v>
      </c>
      <c r="O34" s="50">
        <f>IFERROR('調查資料(OUT)'!$AB$1*'調查資料(OUT)'!AB40,0)+IFERROR('調查資料(OUT)'!$AF$1*'調查資料(OUT)'!AF40,0)+IFERROR('調查資料(OUT)'!$AJ$1*'調查資料(OUT)'!AJ40,0)</f>
        <v>0</v>
      </c>
      <c r="P34" s="252">
        <f>IFERROR('調查資料(OUT)'!$AC$1*'調查資料(OUT)'!AC40,0)+IFERROR('調查資料(OUT)'!$AG$1*'調查資料(OUT)'!AG40,0)+IFERROR('調查資料(OUT)'!$AK$1*'調查資料(OUT)'!AK40,0)</f>
        <v>0</v>
      </c>
      <c r="Q34" s="50">
        <f t="shared" si="241"/>
        <v>0</v>
      </c>
      <c r="R34" s="50">
        <f>IFERROR('調查資料(OUT)'!$AL$1*'調查資料(OUT)'!AL40,0)+IFERROR('調查資料(OUT)'!$AP$1*'調查資料(OUT)'!AP40,0)+IFERROR('調查資料(OUT)'!$AT$1*'調查資料(OUT)'!AT40,0)</f>
        <v>0</v>
      </c>
      <c r="S34" s="50">
        <f>IFERROR('調查資料(OUT)'!$AM$1*'調查資料(OUT)'!AM40,0)+IFERROR('調查資料(OUT)'!$AQ$1*'調查資料(OUT)'!AQ40,0)+IFERROR('調查資料(OUT)'!$AU$1*'調查資料(OUT)'!AU40,0)</f>
        <v>0</v>
      </c>
      <c r="T34" s="50">
        <f>IFERROR('調查資料(OUT)'!$AN$1*'調查資料(OUT)'!AN40,0)+IFERROR('調查資料(OUT)'!$AR$1*'調查資料(OUT)'!AR40,0)+IFERROR('調查資料(OUT)'!$AV$1*'調查資料(OUT)'!AV40,0)</f>
        <v>0</v>
      </c>
      <c r="U34" s="252">
        <f>IFERROR('調查資料(OUT)'!$AO$1*'調查資料(OUT)'!AO40,0)+IFERROR('調查資料(OUT)'!$AS$1*'調查資料(OUT)'!AS40,0)+IFERROR('調查資料(OUT)'!$AW$1*'調查資料(OUT)'!AW40,0)</f>
        <v>0</v>
      </c>
      <c r="V34" s="50">
        <f t="shared" si="242"/>
        <v>0</v>
      </c>
      <c r="W34" s="50">
        <f>IFERROR('調查資料(OUT)'!$AX$1*'調查資料(OUT)'!AX40,0)+IFERROR('調查資料(OUT)'!$BB$1*'調查資料(OUT)'!BB40,0)+IFERROR('調查資料(OUT)'!$BF$1*'調查資料(OUT)'!BF40,0)</f>
        <v>0</v>
      </c>
      <c r="X34" s="50">
        <f>IFERROR('調查資料(OUT)'!$AY$1*'調查資料(OUT)'!AY40,0)+IFERROR('調查資料(OUT)'!$BC$1*'調查資料(OUT)'!BC40,0)+IFERROR('調查資料(OUT)'!$BG$1*'調查資料(OUT)'!BG40,0)</f>
        <v>0</v>
      </c>
      <c r="Y34" s="50">
        <f>IFERROR('調查資料(OUT)'!$AZ$1*'調查資料(OUT)'!AZ40,0)+IFERROR('調查資料(OUT)'!$BD$1*'調查資料(OUT)'!BD40,0)+IFERROR('調查資料(OUT)'!$BH$1*'調查資料(OUT)'!BH40,0)</f>
        <v>0</v>
      </c>
      <c r="Z34" s="252">
        <f>IFERROR('調查資料(OUT)'!$BA$1*'調查資料(OUT)'!BA40,0)+IFERROR('調查資料(OUT)'!$BE$1*'調查資料(OUT)'!BE40,0)+IFERROR('調查資料(OUT)'!$BI$1*'調查資料(OUT)'!BI40,0)</f>
        <v>0</v>
      </c>
      <c r="AA34" s="253">
        <f t="shared" si="243"/>
        <v>0</v>
      </c>
      <c r="AC34" s="251">
        <f>'調查資料(OUT)'!A40</f>
        <v>715</v>
      </c>
      <c r="AD34" s="254">
        <f t="shared" si="244"/>
        <v>815</v>
      </c>
      <c r="AE34" s="50">
        <f t="shared" si="254"/>
        <v>0</v>
      </c>
      <c r="AG34" s="50">
        <f t="shared" si="1"/>
        <v>0</v>
      </c>
      <c r="AH34" s="256" t="e">
        <f t="shared" si="2"/>
        <v>#DIV/0!</v>
      </c>
      <c r="AI34" s="256" t="e">
        <f t="shared" si="3"/>
        <v>#DIV/0!</v>
      </c>
      <c r="AJ34" s="256" t="e">
        <f t="shared" si="4"/>
        <v>#DIV/0!</v>
      </c>
      <c r="AK34" s="256" t="e">
        <f t="shared" si="5"/>
        <v>#DIV/0!</v>
      </c>
      <c r="AL34" s="256" t="e">
        <f t="shared" si="6"/>
        <v>#DIV/0!</v>
      </c>
      <c r="AN34" s="50">
        <f t="shared" si="7"/>
        <v>715</v>
      </c>
      <c r="AO34" s="252">
        <f t="shared" si="8"/>
        <v>815</v>
      </c>
      <c r="AP34" s="50">
        <f t="shared" si="245"/>
        <v>0</v>
      </c>
      <c r="AQ34" s="50">
        <f>IF($AN34="N","N",SUM('調查資料(OUT)'!B40:B43))</f>
        <v>0</v>
      </c>
      <c r="AR34" s="50">
        <f>IF($AN34="N","N",SUM('調查資料(OUT)'!F40:F43))</f>
        <v>0</v>
      </c>
      <c r="AS34" s="50">
        <f>IF($AN34="N","N",SUM('調查資料(OUT)'!J40:J43))</f>
        <v>0</v>
      </c>
      <c r="AT34" s="56" t="e">
        <f t="shared" si="169"/>
        <v>#DIV/0!</v>
      </c>
      <c r="AU34" s="50">
        <f t="shared" si="170"/>
        <v>0</v>
      </c>
      <c r="AV34" s="50">
        <f>IF($AN34="N","N",SUM('調查資料(OUT)'!C40:C43))</f>
        <v>0</v>
      </c>
      <c r="AW34" s="50">
        <f>IF($AN34="N","N",SUM('調查資料(OUT)'!G40:G43))</f>
        <v>0</v>
      </c>
      <c r="AX34" s="50">
        <f>IF($AN34="N","N",SUM('調查資料(OUT)'!K40:K43))</f>
        <v>0</v>
      </c>
      <c r="AY34" s="56" t="e">
        <f t="shared" si="171"/>
        <v>#DIV/0!</v>
      </c>
      <c r="AZ34" s="50">
        <f t="shared" si="172"/>
        <v>0</v>
      </c>
      <c r="BA34" s="50">
        <f>IF($AN34="N","N",SUM('調查資料(OUT)'!D40:D43))</f>
        <v>0</v>
      </c>
      <c r="BB34" s="50">
        <f>IF($AN34="N","N",SUM('調查資料(OUT)'!H40:H43))</f>
        <v>0</v>
      </c>
      <c r="BC34" s="50">
        <f>IF($AN34="N","N",SUM('調查資料(OUT)'!L40:L43))</f>
        <v>0</v>
      </c>
      <c r="BD34" s="56" t="e">
        <f t="shared" si="173"/>
        <v>#DIV/0!</v>
      </c>
      <c r="BE34" s="50">
        <f t="shared" si="174"/>
        <v>0</v>
      </c>
      <c r="BF34" s="50">
        <f>IF($AN34="N","N",SUM('調查資料(OUT)'!E40:E43))</f>
        <v>0</v>
      </c>
      <c r="BG34" s="50">
        <f>IF($AN34="N","N",SUM('調查資料(OUT)'!I40:I43))</f>
        <v>0</v>
      </c>
      <c r="BH34" s="50">
        <f>IF($AN34="N","N",SUM('調查資料(OUT)'!M40:M43))</f>
        <v>0</v>
      </c>
      <c r="BI34" s="56" t="e">
        <f t="shared" si="175"/>
        <v>#DIV/0!</v>
      </c>
      <c r="BJ34" s="50">
        <f>IF($AN34="N","N",AQ34+AV34+BA34+BF34)</f>
        <v>0</v>
      </c>
      <c r="BK34" s="56" t="e">
        <f>IF($AN34="N","N",(BJ34/($BJ34+$BL34+$BN34))*100)</f>
        <v>#DIV/0!</v>
      </c>
      <c r="BL34" s="50">
        <f>IF($AN34="N","N",AR34+AW34+BB34+BG34)</f>
        <v>0</v>
      </c>
      <c r="BM34" s="56" t="e">
        <f>IF($AN34="N","N",(BL34/($BJ34+$BL34+$BN34))*100)</f>
        <v>#DIV/0!</v>
      </c>
      <c r="BN34" s="50">
        <f>IF($AN34="N","N",AS34+AX34+BC34+BH34)</f>
        <v>0</v>
      </c>
      <c r="BO34" s="56" t="e">
        <f>IF($AN34="N","N",(BN34/($BJ34+$BL34+$BN34))*100)</f>
        <v>#DIV/0!</v>
      </c>
      <c r="BP34" s="50">
        <f>IF($AN34="N","N",AP34+AU34+AZ34+BE34)</f>
        <v>0</v>
      </c>
      <c r="BQ34" s="50">
        <f t="shared" si="183"/>
        <v>0</v>
      </c>
      <c r="BR34" s="50">
        <f>IF($AN34="N","N",SUM('調查資料(OUT)'!N40:N43))</f>
        <v>0</v>
      </c>
      <c r="BS34" s="50">
        <f>IF($AN34="N","N",SUM('調查資料(OUT)'!R40:R43))</f>
        <v>0</v>
      </c>
      <c r="BT34" s="50">
        <f>IF($AN34="N","N",SUM('調查資料(OUT)'!V40:V43))</f>
        <v>0</v>
      </c>
      <c r="BU34" s="56" t="e">
        <f t="shared" si="184"/>
        <v>#DIV/0!</v>
      </c>
      <c r="BV34" s="50">
        <f t="shared" si="185"/>
        <v>0</v>
      </c>
      <c r="BW34" s="50">
        <f>IF($AN34="N","N",SUM('調查資料(OUT)'!O40:O43))</f>
        <v>0</v>
      </c>
      <c r="BX34" s="50">
        <f>IF($AN34="N","N",SUM('調查資料(OUT)'!S40:S43))</f>
        <v>0</v>
      </c>
      <c r="BY34" s="50">
        <f>IF($AN34="N","N",SUM('調查資料(OUT)'!W40:W43))</f>
        <v>0</v>
      </c>
      <c r="BZ34" s="56" t="e">
        <f t="shared" si="186"/>
        <v>#DIV/0!</v>
      </c>
      <c r="CA34" s="50">
        <f t="shared" si="187"/>
        <v>0</v>
      </c>
      <c r="CB34" s="50">
        <f>IF($AN34="N","N",SUM('調查資料(OUT)'!P40:P43))</f>
        <v>0</v>
      </c>
      <c r="CC34" s="50">
        <f>IF($AN34="N","N",SUM('調查資料(OUT)'!T40:T43))</f>
        <v>0</v>
      </c>
      <c r="CD34" s="50">
        <f>IF($AN34="N","N",SUM('調查資料(OUT)'!X40:X43))</f>
        <v>0</v>
      </c>
      <c r="CE34" s="56" t="e">
        <f t="shared" si="188"/>
        <v>#DIV/0!</v>
      </c>
      <c r="CF34" s="50">
        <f t="shared" si="189"/>
        <v>0</v>
      </c>
      <c r="CG34" s="50">
        <f>IF($AN34="N","N",SUM('調查資料(OUT)'!Q40:Q43))</f>
        <v>0</v>
      </c>
      <c r="CH34" s="50">
        <f>IF($AN34="N","N",SUM('調查資料(OUT)'!U40:U43))</f>
        <v>0</v>
      </c>
      <c r="CI34" s="50">
        <f>IF($AN34="N","N",SUM('調查資料(OUT)'!Y40:Y43))</f>
        <v>0</v>
      </c>
      <c r="CJ34" s="56" t="e">
        <f t="shared" si="190"/>
        <v>#DIV/0!</v>
      </c>
      <c r="CK34" s="50">
        <f>IF($AN34="N","N",BR34+BW34+CB34+CG34)</f>
        <v>0</v>
      </c>
      <c r="CL34" s="56" t="e">
        <f>IF($AN34="N","N",(CK34/($CK34+$CM34+$CO34))*100)</f>
        <v>#DIV/0!</v>
      </c>
      <c r="CM34" s="50">
        <f>IF($AN34="N","N",BS34+BX34+CC34+CH34)</f>
        <v>0</v>
      </c>
      <c r="CN34" s="56" t="e">
        <f>IF($AN34="N","N",(CM34/($CK34+$CM34+$CO34))*100)</f>
        <v>#DIV/0!</v>
      </c>
      <c r="CO34" s="50">
        <f>IF($AN34="N","N",BT34+BY34+CD34+CI34)</f>
        <v>0</v>
      </c>
      <c r="CP34" s="56" t="e">
        <f>IF($AN34="N","N",(CO34/($CK34+$CM34+$CO34))*100)</f>
        <v>#DIV/0!</v>
      </c>
      <c r="CQ34" s="50">
        <f>IF($AN34="N","N",BQ34+BV34+CA34+CF34)</f>
        <v>0</v>
      </c>
      <c r="CR34" s="50">
        <f t="shared" si="198"/>
        <v>0</v>
      </c>
      <c r="CS34" s="50">
        <f>IF($AN34="N","N",SUM('調查資料(OUT)'!Z40:Z43))</f>
        <v>0</v>
      </c>
      <c r="CT34" s="50">
        <f>IF($AN34="N","N",SUM('調查資料(OUT)'!AD40:AD43))</f>
        <v>0</v>
      </c>
      <c r="CU34" s="50">
        <f>IF($AN34="N","N",SUM('調查資料(OUT)'!AH40:AH43))</f>
        <v>0</v>
      </c>
      <c r="CV34" s="56" t="e">
        <f t="shared" si="199"/>
        <v>#DIV/0!</v>
      </c>
      <c r="CW34" s="50">
        <f t="shared" si="200"/>
        <v>0</v>
      </c>
      <c r="CX34" s="50">
        <f>IF($AN34="N","N",SUM('調查資料(OUT)'!AA40:AA43))</f>
        <v>0</v>
      </c>
      <c r="CY34" s="50">
        <f>IF($AN34="N","N",SUM('調查資料(OUT)'!AE40:AE43))</f>
        <v>0</v>
      </c>
      <c r="CZ34" s="50">
        <f>IF($AN34="N","N",SUM('調查資料(OUT)'!AI40:AI43))</f>
        <v>0</v>
      </c>
      <c r="DA34" s="56" t="e">
        <f t="shared" si="201"/>
        <v>#DIV/0!</v>
      </c>
      <c r="DB34" s="50">
        <f t="shared" si="202"/>
        <v>0</v>
      </c>
      <c r="DC34" s="50">
        <f>IF($AN34="N","N",SUM('調查資料(OUT)'!AB40:AB43))</f>
        <v>0</v>
      </c>
      <c r="DD34" s="50">
        <f>IF($AN34="N","N",SUM('調查資料(OUT)'!AF40:AF43))</f>
        <v>0</v>
      </c>
      <c r="DE34" s="50">
        <f>IF($AN34="N","N",SUM('調查資料(OUT)'!AJ40:AJ43))</f>
        <v>0</v>
      </c>
      <c r="DF34" s="56" t="e">
        <f t="shared" si="203"/>
        <v>#DIV/0!</v>
      </c>
      <c r="DG34" s="50">
        <f t="shared" si="204"/>
        <v>0</v>
      </c>
      <c r="DH34" s="50">
        <f>IF($AN34="N","N",SUM('調查資料(OUT)'!AC40:AC43))</f>
        <v>0</v>
      </c>
      <c r="DI34" s="50">
        <f>IF($AN34="N","N",SUM('調查資料(OUT)'!AG40:AG43))</f>
        <v>0</v>
      </c>
      <c r="DJ34" s="50">
        <f>IF($AN34="N","N",SUM('調查資料(OUT)'!AK40:AK43))</f>
        <v>0</v>
      </c>
      <c r="DK34" s="56" t="e">
        <f t="shared" si="205"/>
        <v>#DIV/0!</v>
      </c>
      <c r="DL34" s="50">
        <f>IF($AN34="N","N",CS34+CX34+DC34+DH34)</f>
        <v>0</v>
      </c>
      <c r="DM34" s="56" t="e">
        <f>IF($AN34="N","N",(DL34/($DL34+$DN34+$DP34))*100)</f>
        <v>#DIV/0!</v>
      </c>
      <c r="DN34" s="50">
        <f>IF($AN34="N","N",CT34+CY34+DD34+DI34)</f>
        <v>0</v>
      </c>
      <c r="DO34" s="56" t="e">
        <f>IF($AN34="N","N",(DN34/($DL34+$DN34+$DP34))*100)</f>
        <v>#DIV/0!</v>
      </c>
      <c r="DP34" s="50">
        <f>IF($AN34="N","N",CU34+CZ34+DE34+DJ34)</f>
        <v>0</v>
      </c>
      <c r="DQ34" s="56" t="e">
        <f>IF($AN34="N","N",(DP34/($DL34+$DN34+$DP34))*100)</f>
        <v>#DIV/0!</v>
      </c>
      <c r="DR34" s="50">
        <f>IF($AN34="N","N",CR34+CW34+DB34+DG34)</f>
        <v>0</v>
      </c>
      <c r="DS34" s="50">
        <f t="shared" si="213"/>
        <v>0</v>
      </c>
      <c r="DT34" s="50">
        <f>IF($AN34="N","N",SUM('調查資料(OUT)'!AL40:AL43))</f>
        <v>0</v>
      </c>
      <c r="DU34" s="50">
        <f>IF($AN34="N","N",SUM('調查資料(OUT)'!AP40:AP43))</f>
        <v>0</v>
      </c>
      <c r="DV34" s="50">
        <f>IF($AN34="N","N",SUM('調查資料(OUT)'!AT40:AT43))</f>
        <v>0</v>
      </c>
      <c r="DW34" s="56" t="e">
        <f t="shared" si="214"/>
        <v>#DIV/0!</v>
      </c>
      <c r="DX34" s="50">
        <f t="shared" si="215"/>
        <v>0</v>
      </c>
      <c r="DY34" s="50">
        <f>IF($AN34="N","N",SUM('調查資料(OUT)'!AM40:AM43))</f>
        <v>0</v>
      </c>
      <c r="DZ34" s="50">
        <f>IF($AN34="N","N",SUM('調查資料(OUT)'!AQ40:AQ43))</f>
        <v>0</v>
      </c>
      <c r="EA34" s="50">
        <f>IF($AN34="N","N",SUM('調查資料(OUT)'!AU40:AU43))</f>
        <v>0</v>
      </c>
      <c r="EB34" s="56" t="e">
        <f t="shared" si="216"/>
        <v>#DIV/0!</v>
      </c>
      <c r="EC34" s="50">
        <f t="shared" si="217"/>
        <v>0</v>
      </c>
      <c r="ED34" s="50">
        <f>IF($AN34="N","N",SUM('調查資料(OUT)'!AN40:AN43))</f>
        <v>0</v>
      </c>
      <c r="EE34" s="50">
        <f>IF($AN34="N","N",SUM('調查資料(OUT)'!AR40:AR43))</f>
        <v>0</v>
      </c>
      <c r="EF34" s="50">
        <f>IF($AN34="N","N",SUM('調查資料(OUT)'!AV40:AV43))</f>
        <v>0</v>
      </c>
      <c r="EG34" s="56" t="e">
        <f t="shared" si="218"/>
        <v>#DIV/0!</v>
      </c>
      <c r="EH34" s="50">
        <f t="shared" si="219"/>
        <v>0</v>
      </c>
      <c r="EI34" s="50">
        <f>IF($AN34="N","N",SUM('調查資料(OUT)'!AO40:AO43))</f>
        <v>0</v>
      </c>
      <c r="EJ34" s="50">
        <f>IF($AN34="N","N",SUM('調查資料(OUT)'!AS40:AS43))</f>
        <v>0</v>
      </c>
      <c r="EK34" s="50">
        <f>IF($AN34="N","N",SUM('調查資料(OUT)'!AW40:AW43))</f>
        <v>0</v>
      </c>
      <c r="EL34" s="56" t="e">
        <f t="shared" si="220"/>
        <v>#DIV/0!</v>
      </c>
      <c r="EM34" s="50">
        <f>IF($AN34="N","N",DT34+DY34+ED34+EI34)</f>
        <v>0</v>
      </c>
      <c r="EN34" s="56" t="e">
        <f>IF($AN34="N","N",(EM34/($EM34+$EO34+$EQ34))*100)</f>
        <v>#DIV/0!</v>
      </c>
      <c r="EO34" s="50">
        <f>IF($AN34="N","N",DU34+DZ34+EE34+EJ34)</f>
        <v>0</v>
      </c>
      <c r="EP34" s="56" t="e">
        <f>IF($AN34="N","N",(EO34/($EM34+$EO34+$EQ34))*100)</f>
        <v>#DIV/0!</v>
      </c>
      <c r="EQ34" s="50">
        <f>IF($AN34="N","N",DV34+EA34+EF34+EK34)</f>
        <v>0</v>
      </c>
      <c r="ER34" s="56" t="e">
        <f>IF($AN34="N","N",(EQ34/($EM34+$EO34+$EQ34))*100)</f>
        <v>#DIV/0!</v>
      </c>
      <c r="ES34" s="50">
        <f>IF($AN34="N","N",DS34+DX34+EC34+EH34)</f>
        <v>0</v>
      </c>
      <c r="ET34" s="50">
        <f t="shared" si="227"/>
        <v>0</v>
      </c>
      <c r="EU34" s="50">
        <f>IF($AN34="N","N",SUM('調查資料(OUT)'!AX40:AX43))</f>
        <v>0</v>
      </c>
      <c r="EV34" s="50">
        <f>IF($AN34="N","N",SUM('調查資料(OUT)'!BB40:BB43))</f>
        <v>0</v>
      </c>
      <c r="EW34" s="50">
        <f>IF($AN34="N","N",SUM('調查資料(OUT)'!BF40:BF43))</f>
        <v>0</v>
      </c>
      <c r="EX34" s="56" t="e">
        <f t="shared" si="228"/>
        <v>#DIV/0!</v>
      </c>
      <c r="EY34" s="50">
        <f t="shared" si="229"/>
        <v>0</v>
      </c>
      <c r="EZ34" s="50">
        <f>IF($AN34="N","N",SUM('調查資料(OUT)'!AY40:AY43))</f>
        <v>0</v>
      </c>
      <c r="FA34" s="50">
        <f>IF($AN34="N","N",SUM('調查資料(OUT)'!BC40:BC43))</f>
        <v>0</v>
      </c>
      <c r="FB34" s="50">
        <f>IF($AN34="N","N",SUM('調查資料(OUT)'!BG40:BG43))</f>
        <v>0</v>
      </c>
      <c r="FC34" s="56" t="e">
        <f t="shared" si="230"/>
        <v>#DIV/0!</v>
      </c>
      <c r="FD34" s="50">
        <f t="shared" si="231"/>
        <v>0</v>
      </c>
      <c r="FE34" s="50">
        <f>IF($AN34="N","N",SUM('調查資料(OUT)'!AZ40:AZ43))</f>
        <v>0</v>
      </c>
      <c r="FF34" s="50">
        <f>IF($AN34="N","N",SUM('調查資料(OUT)'!BD40:BD43))</f>
        <v>0</v>
      </c>
      <c r="FG34" s="50">
        <f>IF($AN34="N","N",SUM('調查資料(OUT)'!BH40:BH43))</f>
        <v>0</v>
      </c>
      <c r="FH34" s="56" t="e">
        <f t="shared" si="232"/>
        <v>#DIV/0!</v>
      </c>
      <c r="FI34" s="50">
        <f t="shared" si="233"/>
        <v>0</v>
      </c>
      <c r="FJ34" s="50">
        <f>IF($AN34="N","N",SUM('調查資料(OUT)'!BA40:BA43))</f>
        <v>0</v>
      </c>
      <c r="FK34" s="50">
        <f>IF($AN34="N","N",SUM('調查資料(OUT)'!BE40:BE43))</f>
        <v>0</v>
      </c>
      <c r="FL34" s="50">
        <f>IF($AN34="N","N",SUM('調查資料(OUT)'!BI40:BI43))</f>
        <v>0</v>
      </c>
      <c r="FM34" s="56" t="e">
        <f t="shared" si="234"/>
        <v>#DIV/0!</v>
      </c>
      <c r="FN34" s="50">
        <f t="shared" si="246"/>
        <v>0</v>
      </c>
      <c r="FO34" s="56" t="e">
        <f t="shared" si="247"/>
        <v>#DIV/0!</v>
      </c>
      <c r="FP34" s="50">
        <f t="shared" si="248"/>
        <v>0</v>
      </c>
      <c r="FQ34" s="56" t="e">
        <f t="shared" si="249"/>
        <v>#DIV/0!</v>
      </c>
      <c r="FR34" s="50">
        <f t="shared" si="250"/>
        <v>0</v>
      </c>
      <c r="FS34" s="56" t="e">
        <f t="shared" si="251"/>
        <v>#DIV/0!</v>
      </c>
      <c r="FT34" s="50">
        <f t="shared" si="252"/>
        <v>0</v>
      </c>
    </row>
    <row r="35" spans="1:176">
      <c r="A35" s="274">
        <f>'調查資料(OUT)'!A41</f>
        <v>730</v>
      </c>
      <c r="B35" s="50">
        <f t="shared" si="238"/>
        <v>0</v>
      </c>
      <c r="C35" s="50">
        <f>IFERROR('調查資料(OUT)'!$B$1*'調查資料(OUT)'!B41,0)+IFERROR('調查資料(OUT)'!$F$1*'調查資料(OUT)'!F41,0)+IFERROR('調查資料(OUT)'!$J$1*'調查資料(OUT)'!J41,0)</f>
        <v>0</v>
      </c>
      <c r="D35" s="50">
        <f>IFERROR('調查資料(OUT)'!$C$1*'調查資料(OUT)'!C41,0)+IFERROR('調查資料(OUT)'!$G$1*'調查資料(OUT)'!G41,0)+IFERROR('調查資料(OUT)'!$K$1*'調查資料(OUT)'!K41,0)</f>
        <v>0</v>
      </c>
      <c r="E35" s="50">
        <f>IFERROR('調查資料(OUT)'!$D$1*'調查資料(OUT)'!D41,0)+IFERROR('調查資料(OUT)'!$H$1*'調查資料(OUT)'!H41,0)+IFERROR('調查資料(OUT)'!$L$1*'調查資料(OUT)'!L41,0)</f>
        <v>0</v>
      </c>
      <c r="F35" s="252">
        <f>IFERROR('調查資料(OUT)'!$E$1*'調查資料(OUT)'!E41,0)+IFERROR('調查資料(OUT)'!$I$1*'調查資料(OUT)'!I41,0)+IFERROR('調查資料(OUT)'!$M$1*'調查資料(OUT)'!M41,0)</f>
        <v>0</v>
      </c>
      <c r="G35" s="50">
        <f t="shared" si="239"/>
        <v>0</v>
      </c>
      <c r="H35" s="50">
        <f>IFERROR('調查資料(OUT)'!$N$1*'調查資料(OUT)'!N41,0)+IFERROR('調查資料(OUT)'!$R$1*'調查資料(OUT)'!R41,0)+IFERROR('調查資料(OUT)'!$V$1*'調查資料(OUT)'!V41,0)</f>
        <v>0</v>
      </c>
      <c r="I35" s="50">
        <f>IFERROR('調查資料(OUT)'!$O$1*'調查資料(OUT)'!O41,0)+IFERROR('調查資料(OUT)'!$S$1*'調查資料(OUT)'!S41,0)+IFERROR('調查資料(OUT)'!$W$1*'調查資料(OUT)'!W41,0)</f>
        <v>0</v>
      </c>
      <c r="J35" s="50">
        <f>IFERROR('調查資料(OUT)'!$P$1*'調查資料(OUT)'!P41,0)+IFERROR('調查資料(OUT)'!$T$1*'調查資料(OUT)'!T41,0)+IFERROR('調查資料(OUT)'!$X$1*'調查資料(OUT)'!X41,0)</f>
        <v>0</v>
      </c>
      <c r="K35" s="252">
        <f>IFERROR('調查資料(OUT)'!$Q$1*'調查資料(OUT)'!Q41,0)+IFERROR('調查資料(OUT)'!$U$1*'調查資料(OUT)'!U41,0)+IFERROR('調查資料(OUT)'!$Y$1*'調查資料(OUT)'!Y41,0)</f>
        <v>0</v>
      </c>
      <c r="L35" s="50">
        <f t="shared" si="240"/>
        <v>0</v>
      </c>
      <c r="M35" s="50">
        <f>IFERROR('調查資料(OUT)'!$Z$1*'調查資料(OUT)'!Z41,0)+IFERROR('調查資料(OUT)'!$AD$1*'調查資料(OUT)'!AD41,0)+IFERROR('調查資料(OUT)'!$AH$1*'調查資料(OUT)'!AH41,0)</f>
        <v>0</v>
      </c>
      <c r="N35" s="50">
        <f>IFERROR('調查資料(OUT)'!$AA$1*'調查資料(OUT)'!AA41,0)+IFERROR('調查資料(OUT)'!$AE$1*'調查資料(OUT)'!AE41,0)+IFERROR('調查資料(OUT)'!$AI$1*'調查資料(OUT)'!AI41,0)</f>
        <v>0</v>
      </c>
      <c r="O35" s="50">
        <f>IFERROR('調查資料(OUT)'!$AB$1*'調查資料(OUT)'!AB41,0)+IFERROR('調查資料(OUT)'!$AF$1*'調查資料(OUT)'!AF41,0)+IFERROR('調查資料(OUT)'!$AJ$1*'調查資料(OUT)'!AJ41,0)</f>
        <v>0</v>
      </c>
      <c r="P35" s="252">
        <f>IFERROR('調查資料(OUT)'!$AC$1*'調查資料(OUT)'!AC41,0)+IFERROR('調查資料(OUT)'!$AG$1*'調查資料(OUT)'!AG41,0)+IFERROR('調查資料(OUT)'!$AK$1*'調查資料(OUT)'!AK41,0)</f>
        <v>0</v>
      </c>
      <c r="Q35" s="50">
        <f t="shared" si="241"/>
        <v>0</v>
      </c>
      <c r="R35" s="50">
        <f>IFERROR('調查資料(OUT)'!$AL$1*'調查資料(OUT)'!AL41,0)+IFERROR('調查資料(OUT)'!$AP$1*'調查資料(OUT)'!AP41,0)+IFERROR('調查資料(OUT)'!$AT$1*'調查資料(OUT)'!AT41,0)</f>
        <v>0</v>
      </c>
      <c r="S35" s="50">
        <f>IFERROR('調查資料(OUT)'!$AM$1*'調查資料(OUT)'!AM41,0)+IFERROR('調查資料(OUT)'!$AQ$1*'調查資料(OUT)'!AQ41,0)+IFERROR('調查資料(OUT)'!$AU$1*'調查資料(OUT)'!AU41,0)</f>
        <v>0</v>
      </c>
      <c r="T35" s="50">
        <f>IFERROR('調查資料(OUT)'!$AN$1*'調查資料(OUT)'!AN41,0)+IFERROR('調查資料(OUT)'!$AR$1*'調查資料(OUT)'!AR41,0)+IFERROR('調查資料(OUT)'!$AV$1*'調查資料(OUT)'!AV41,0)</f>
        <v>0</v>
      </c>
      <c r="U35" s="252">
        <f>IFERROR('調查資料(OUT)'!$AO$1*'調查資料(OUT)'!AO41,0)+IFERROR('調查資料(OUT)'!$AS$1*'調查資料(OUT)'!AS41,0)+IFERROR('調查資料(OUT)'!$AW$1*'調查資料(OUT)'!AW41,0)</f>
        <v>0</v>
      </c>
      <c r="V35" s="50">
        <f t="shared" si="242"/>
        <v>0</v>
      </c>
      <c r="W35" s="50">
        <f>IFERROR('調查資料(OUT)'!$AX$1*'調查資料(OUT)'!AX41,0)+IFERROR('調查資料(OUT)'!$BB$1*'調查資料(OUT)'!BB41,0)+IFERROR('調查資料(OUT)'!$BF$1*'調查資料(OUT)'!BF41,0)</f>
        <v>0</v>
      </c>
      <c r="X35" s="50">
        <f>IFERROR('調查資料(OUT)'!$AY$1*'調查資料(OUT)'!AY41,0)+IFERROR('調查資料(OUT)'!$BC$1*'調查資料(OUT)'!BC41,0)+IFERROR('調查資料(OUT)'!$BG$1*'調查資料(OUT)'!BG41,0)</f>
        <v>0</v>
      </c>
      <c r="Y35" s="50">
        <f>IFERROR('調查資料(OUT)'!$AZ$1*'調查資料(OUT)'!AZ41,0)+IFERROR('調查資料(OUT)'!$BD$1*'調查資料(OUT)'!BD41,0)+IFERROR('調查資料(OUT)'!$BH$1*'調查資料(OUT)'!BH41,0)</f>
        <v>0</v>
      </c>
      <c r="Z35" s="252">
        <f>IFERROR('調查資料(OUT)'!$BA$1*'調查資料(OUT)'!BA41,0)+IFERROR('調查資料(OUT)'!$BE$1*'調查資料(OUT)'!BE41,0)+IFERROR('調查資料(OUT)'!$BI$1*'調查資料(OUT)'!BI41,0)</f>
        <v>0</v>
      </c>
      <c r="AA35" s="253">
        <f t="shared" si="243"/>
        <v>0</v>
      </c>
      <c r="AC35" s="251">
        <f>'調查資料(OUT)'!A41</f>
        <v>730</v>
      </c>
      <c r="AD35" s="254">
        <f t="shared" si="244"/>
        <v>830</v>
      </c>
      <c r="AE35" s="50">
        <f t="shared" si="254"/>
        <v>0</v>
      </c>
      <c r="AG35" s="50">
        <f t="shared" si="1"/>
        <v>0</v>
      </c>
      <c r="AH35" s="256" t="e">
        <f t="shared" si="2"/>
        <v>#DIV/0!</v>
      </c>
      <c r="AI35" s="256" t="e">
        <f t="shared" si="3"/>
        <v>#DIV/0!</v>
      </c>
      <c r="AJ35" s="256" t="e">
        <f t="shared" si="4"/>
        <v>#DIV/0!</v>
      </c>
      <c r="AK35" s="256" t="e">
        <f t="shared" si="5"/>
        <v>#DIV/0!</v>
      </c>
      <c r="AL35" s="256" t="e">
        <f t="shared" si="6"/>
        <v>#DIV/0!</v>
      </c>
      <c r="AN35" s="50">
        <f t="shared" si="7"/>
        <v>730</v>
      </c>
      <c r="AO35" s="252">
        <f t="shared" si="8"/>
        <v>830</v>
      </c>
      <c r="AP35" s="50">
        <f t="shared" si="245"/>
        <v>0</v>
      </c>
      <c r="AQ35" s="50">
        <f>IF($AN35="N","N",SUM('調查資料(OUT)'!B41:B44))</f>
        <v>0</v>
      </c>
      <c r="AR35" s="50">
        <f>IF($AN35="N","N",SUM('調查資料(OUT)'!F41:F44))</f>
        <v>0</v>
      </c>
      <c r="AS35" s="50">
        <f>IF($AN35="N","N",SUM('調查資料(OUT)'!J41:J44))</f>
        <v>0</v>
      </c>
      <c r="AT35" s="56" t="e">
        <f t="shared" si="169"/>
        <v>#DIV/0!</v>
      </c>
      <c r="AU35" s="50">
        <f t="shared" si="170"/>
        <v>0</v>
      </c>
      <c r="AV35" s="50">
        <f>IF($AN35="N","N",SUM('調查資料(OUT)'!C41:C44))</f>
        <v>0</v>
      </c>
      <c r="AW35" s="50">
        <f>IF($AN35="N","N",SUM('調查資料(OUT)'!G41:G44))</f>
        <v>0</v>
      </c>
      <c r="AX35" s="50">
        <f>IF($AN35="N","N",SUM('調查資料(OUT)'!K41:K44))</f>
        <v>0</v>
      </c>
      <c r="AY35" s="56" t="e">
        <f t="shared" si="171"/>
        <v>#DIV/0!</v>
      </c>
      <c r="AZ35" s="50">
        <f t="shared" si="172"/>
        <v>0</v>
      </c>
      <c r="BA35" s="50">
        <f>IF($AN35="N","N",SUM('調查資料(OUT)'!D41:D44))</f>
        <v>0</v>
      </c>
      <c r="BB35" s="50">
        <f>IF($AN35="N","N",SUM('調查資料(OUT)'!H41:H44))</f>
        <v>0</v>
      </c>
      <c r="BC35" s="50">
        <f>IF($AN35="N","N",SUM('調查資料(OUT)'!L41:L44))</f>
        <v>0</v>
      </c>
      <c r="BD35" s="56" t="e">
        <f t="shared" si="173"/>
        <v>#DIV/0!</v>
      </c>
      <c r="BE35" s="50">
        <f t="shared" si="174"/>
        <v>0</v>
      </c>
      <c r="BF35" s="50">
        <f>IF($AN35="N","N",SUM('調查資料(OUT)'!E41:E44))</f>
        <v>0</v>
      </c>
      <c r="BG35" s="50">
        <f>IF($AN35="N","N",SUM('調查資料(OUT)'!I41:I44))</f>
        <v>0</v>
      </c>
      <c r="BH35" s="50">
        <f>IF($AN35="N","N",SUM('調查資料(OUT)'!M41:M44))</f>
        <v>0</v>
      </c>
      <c r="BI35" s="56" t="e">
        <f t="shared" si="175"/>
        <v>#DIV/0!</v>
      </c>
      <c r="BJ35" s="50">
        <f t="shared" ref="BJ35:BJ92" si="255">IF($AN35="N","N",AQ35+AV35+BA35+BF35)</f>
        <v>0</v>
      </c>
      <c r="BK35" s="56" t="e">
        <f t="shared" ref="BK35:BK92" si="256">IF($AN35="N","N",(BJ35/($BJ35+$BL35+$BN35))*100)</f>
        <v>#DIV/0!</v>
      </c>
      <c r="BL35" s="50">
        <f t="shared" ref="BL35:BL92" si="257">IF($AN35="N","N",AR35+AW35+BB35+BG35)</f>
        <v>0</v>
      </c>
      <c r="BM35" s="56" t="e">
        <f t="shared" ref="BM35:BM92" si="258">IF($AN35="N","N",(BL35/($BJ35+$BL35+$BN35))*100)</f>
        <v>#DIV/0!</v>
      </c>
      <c r="BN35" s="50">
        <f t="shared" ref="BN35:BN92" si="259">IF($AN35="N","N",AS35+AX35+BC35+BH35)</f>
        <v>0</v>
      </c>
      <c r="BO35" s="56" t="e">
        <f t="shared" ref="BO35:BO92" si="260">IF($AN35="N","N",(BN35/($BJ35+$BL35+$BN35))*100)</f>
        <v>#DIV/0!</v>
      </c>
      <c r="BP35" s="50">
        <f t="shared" ref="BP35:BP92" si="261">IF($AN35="N","N",AP35+AU35+AZ35+BE35)</f>
        <v>0</v>
      </c>
      <c r="BQ35" s="50">
        <f t="shared" si="183"/>
        <v>0</v>
      </c>
      <c r="BR35" s="50">
        <f>IF($AN35="N","N",SUM('調查資料(OUT)'!N41:N44))</f>
        <v>0</v>
      </c>
      <c r="BS35" s="50">
        <f>IF($AN35="N","N",SUM('調查資料(OUT)'!R41:R44))</f>
        <v>0</v>
      </c>
      <c r="BT35" s="50">
        <f>IF($AN35="N","N",SUM('調查資料(OUT)'!V41:V44))</f>
        <v>0</v>
      </c>
      <c r="BU35" s="56" t="e">
        <f t="shared" si="184"/>
        <v>#DIV/0!</v>
      </c>
      <c r="BV35" s="50">
        <f t="shared" si="185"/>
        <v>0</v>
      </c>
      <c r="BW35" s="50">
        <f>IF($AN35="N","N",SUM('調查資料(OUT)'!O41:O44))</f>
        <v>0</v>
      </c>
      <c r="BX35" s="50">
        <f>IF($AN35="N","N",SUM('調查資料(OUT)'!S41:S44))</f>
        <v>0</v>
      </c>
      <c r="BY35" s="50">
        <f>IF($AN35="N","N",SUM('調查資料(OUT)'!W41:W44))</f>
        <v>0</v>
      </c>
      <c r="BZ35" s="56" t="e">
        <f t="shared" si="186"/>
        <v>#DIV/0!</v>
      </c>
      <c r="CA35" s="50">
        <f t="shared" si="187"/>
        <v>0</v>
      </c>
      <c r="CB35" s="50">
        <f>IF($AN35="N","N",SUM('調查資料(OUT)'!P41:P44))</f>
        <v>0</v>
      </c>
      <c r="CC35" s="50">
        <f>IF($AN35="N","N",SUM('調查資料(OUT)'!T41:T44))</f>
        <v>0</v>
      </c>
      <c r="CD35" s="50">
        <f>IF($AN35="N","N",SUM('調查資料(OUT)'!X41:X44))</f>
        <v>0</v>
      </c>
      <c r="CE35" s="56" t="e">
        <f t="shared" si="188"/>
        <v>#DIV/0!</v>
      </c>
      <c r="CF35" s="50">
        <f t="shared" si="189"/>
        <v>0</v>
      </c>
      <c r="CG35" s="50">
        <f>IF($AN35="N","N",SUM('調查資料(OUT)'!Q41:Q44))</f>
        <v>0</v>
      </c>
      <c r="CH35" s="50">
        <f>IF($AN35="N","N",SUM('調查資料(OUT)'!U41:U44))</f>
        <v>0</v>
      </c>
      <c r="CI35" s="50">
        <f>IF($AN35="N","N",SUM('調查資料(OUT)'!Y41:Y44))</f>
        <v>0</v>
      </c>
      <c r="CJ35" s="56" t="e">
        <f t="shared" si="190"/>
        <v>#DIV/0!</v>
      </c>
      <c r="CK35" s="50">
        <f t="shared" ref="CK35:CK92" si="262">IF($AN35="N","N",BR35+BW35+CB35+CG35)</f>
        <v>0</v>
      </c>
      <c r="CL35" s="56" t="e">
        <f t="shared" ref="CL35:CL92" si="263">IF($AN35="N","N",(CK35/($CK35+$CM35+$CO35))*100)</f>
        <v>#DIV/0!</v>
      </c>
      <c r="CM35" s="50">
        <f t="shared" ref="CM35:CM92" si="264">IF($AN35="N","N",BS35+BX35+CC35+CH35)</f>
        <v>0</v>
      </c>
      <c r="CN35" s="56" t="e">
        <f t="shared" ref="CN35:CN92" si="265">IF($AN35="N","N",(CM35/($CK35+$CM35+$CO35))*100)</f>
        <v>#DIV/0!</v>
      </c>
      <c r="CO35" s="50">
        <f t="shared" ref="CO35:CO92" si="266">IF($AN35="N","N",BT35+BY35+CD35+CI35)</f>
        <v>0</v>
      </c>
      <c r="CP35" s="56" t="e">
        <f t="shared" ref="CP35:CP92" si="267">IF($AN35="N","N",(CO35/($CK35+$CM35+$CO35))*100)</f>
        <v>#DIV/0!</v>
      </c>
      <c r="CQ35" s="50">
        <f t="shared" ref="CQ35:CQ92" si="268">IF($AN35="N","N",BQ35+BV35+CA35+CF35)</f>
        <v>0</v>
      </c>
      <c r="CR35" s="50">
        <f t="shared" si="198"/>
        <v>0</v>
      </c>
      <c r="CS35" s="50">
        <f>IF($AN35="N","N",SUM('調查資料(OUT)'!Z41:Z44))</f>
        <v>0</v>
      </c>
      <c r="CT35" s="50">
        <f>IF($AN35="N","N",SUM('調查資料(OUT)'!AD41:AD44))</f>
        <v>0</v>
      </c>
      <c r="CU35" s="50">
        <f>IF($AN35="N","N",SUM('調查資料(OUT)'!AH41:AH44))</f>
        <v>0</v>
      </c>
      <c r="CV35" s="56" t="e">
        <f t="shared" si="199"/>
        <v>#DIV/0!</v>
      </c>
      <c r="CW35" s="50">
        <f t="shared" si="200"/>
        <v>0</v>
      </c>
      <c r="CX35" s="50">
        <f>IF($AN35="N","N",SUM('調查資料(OUT)'!AA41:AA44))</f>
        <v>0</v>
      </c>
      <c r="CY35" s="50">
        <f>IF($AN35="N","N",SUM('調查資料(OUT)'!AE41:AE44))</f>
        <v>0</v>
      </c>
      <c r="CZ35" s="50">
        <f>IF($AN35="N","N",SUM('調查資料(OUT)'!AI41:AI44))</f>
        <v>0</v>
      </c>
      <c r="DA35" s="56" t="e">
        <f t="shared" si="201"/>
        <v>#DIV/0!</v>
      </c>
      <c r="DB35" s="50">
        <f t="shared" si="202"/>
        <v>0</v>
      </c>
      <c r="DC35" s="50">
        <f>IF($AN35="N","N",SUM('調查資料(OUT)'!AB41:AB44))</f>
        <v>0</v>
      </c>
      <c r="DD35" s="50">
        <f>IF($AN35="N","N",SUM('調查資料(OUT)'!AF41:AF44))</f>
        <v>0</v>
      </c>
      <c r="DE35" s="50">
        <f>IF($AN35="N","N",SUM('調查資料(OUT)'!AJ41:AJ44))</f>
        <v>0</v>
      </c>
      <c r="DF35" s="56" t="e">
        <f t="shared" si="203"/>
        <v>#DIV/0!</v>
      </c>
      <c r="DG35" s="50">
        <f t="shared" si="204"/>
        <v>0</v>
      </c>
      <c r="DH35" s="50">
        <f>IF($AN35="N","N",SUM('調查資料(OUT)'!AC41:AC44))</f>
        <v>0</v>
      </c>
      <c r="DI35" s="50">
        <f>IF($AN35="N","N",SUM('調查資料(OUT)'!AG41:AG44))</f>
        <v>0</v>
      </c>
      <c r="DJ35" s="50">
        <f>IF($AN35="N","N",SUM('調查資料(OUT)'!AK41:AK44))</f>
        <v>0</v>
      </c>
      <c r="DK35" s="56" t="e">
        <f t="shared" si="205"/>
        <v>#DIV/0!</v>
      </c>
      <c r="DL35" s="50">
        <f t="shared" ref="DL35:DL92" si="269">IF($AN35="N","N",CS35+CX35+DC35+DH35)</f>
        <v>0</v>
      </c>
      <c r="DM35" s="56" t="e">
        <f t="shared" ref="DM35:DM92" si="270">IF($AN35="N","N",(DL35/($DL35+$DN35+$DP35))*100)</f>
        <v>#DIV/0!</v>
      </c>
      <c r="DN35" s="50">
        <f t="shared" ref="DN35:DN92" si="271">IF($AN35="N","N",CT35+CY35+DD35+DI35)</f>
        <v>0</v>
      </c>
      <c r="DO35" s="56" t="e">
        <f t="shared" ref="DO35:DO92" si="272">IF($AN35="N","N",(DN35/($DL35+$DN35+$DP35))*100)</f>
        <v>#DIV/0!</v>
      </c>
      <c r="DP35" s="50">
        <f t="shared" ref="DP35:DP92" si="273">IF($AN35="N","N",CU35+CZ35+DE35+DJ35)</f>
        <v>0</v>
      </c>
      <c r="DQ35" s="56" t="e">
        <f t="shared" ref="DQ35:DQ92" si="274">IF($AN35="N","N",(DP35/($DL35+$DN35+$DP35))*100)</f>
        <v>#DIV/0!</v>
      </c>
      <c r="DR35" s="50">
        <f t="shared" ref="DR35:DR92" si="275">IF($AN35="N","N",CR35+CW35+DB35+DG35)</f>
        <v>0</v>
      </c>
      <c r="DS35" s="50">
        <f t="shared" si="213"/>
        <v>0</v>
      </c>
      <c r="DT35" s="50">
        <f>IF($AN35="N","N",SUM('調查資料(OUT)'!AL41:AL44))</f>
        <v>0</v>
      </c>
      <c r="DU35" s="50">
        <f>IF($AN35="N","N",SUM('調查資料(OUT)'!AP41:AP44))</f>
        <v>0</v>
      </c>
      <c r="DV35" s="50">
        <f>IF($AN35="N","N",SUM('調查資料(OUT)'!AT41:AT44))</f>
        <v>0</v>
      </c>
      <c r="DW35" s="56" t="e">
        <f t="shared" si="214"/>
        <v>#DIV/0!</v>
      </c>
      <c r="DX35" s="50">
        <f t="shared" si="215"/>
        <v>0</v>
      </c>
      <c r="DY35" s="50">
        <f>IF($AN35="N","N",SUM('調查資料(OUT)'!AM41:AM44))</f>
        <v>0</v>
      </c>
      <c r="DZ35" s="50">
        <f>IF($AN35="N","N",SUM('調查資料(OUT)'!AQ41:AQ44))</f>
        <v>0</v>
      </c>
      <c r="EA35" s="50">
        <f>IF($AN35="N","N",SUM('調查資料(OUT)'!AU41:AU44))</f>
        <v>0</v>
      </c>
      <c r="EB35" s="56" t="e">
        <f t="shared" si="216"/>
        <v>#DIV/0!</v>
      </c>
      <c r="EC35" s="50">
        <f t="shared" si="217"/>
        <v>0</v>
      </c>
      <c r="ED35" s="50">
        <f>IF($AN35="N","N",SUM('調查資料(OUT)'!AN41:AN44))</f>
        <v>0</v>
      </c>
      <c r="EE35" s="50">
        <f>IF($AN35="N","N",SUM('調查資料(OUT)'!AR41:AR44))</f>
        <v>0</v>
      </c>
      <c r="EF35" s="50">
        <f>IF($AN35="N","N",SUM('調查資料(OUT)'!AV41:AV44))</f>
        <v>0</v>
      </c>
      <c r="EG35" s="56" t="e">
        <f t="shared" si="218"/>
        <v>#DIV/0!</v>
      </c>
      <c r="EH35" s="50">
        <f t="shared" si="219"/>
        <v>0</v>
      </c>
      <c r="EI35" s="50">
        <f>IF($AN35="N","N",SUM('調查資料(OUT)'!AO41:AO44))</f>
        <v>0</v>
      </c>
      <c r="EJ35" s="50">
        <f>IF($AN35="N","N",SUM('調查資料(OUT)'!AS41:AS44))</f>
        <v>0</v>
      </c>
      <c r="EK35" s="50">
        <f>IF($AN35="N","N",SUM('調查資料(OUT)'!AW41:AW44))</f>
        <v>0</v>
      </c>
      <c r="EL35" s="56" t="e">
        <f t="shared" si="220"/>
        <v>#DIV/0!</v>
      </c>
      <c r="EM35" s="50">
        <f t="shared" ref="EM35:EM92" si="276">IF($AN35="N","N",DT35+DY35+ED35+EI35)</f>
        <v>0</v>
      </c>
      <c r="EN35" s="56" t="e">
        <f t="shared" ref="EN35:EN92" si="277">IF($AN35="N","N",(EM35/($EM35+$EO35+$EQ35))*100)</f>
        <v>#DIV/0!</v>
      </c>
      <c r="EO35" s="50">
        <f t="shared" ref="EO35:EO92" si="278">IF($AN35="N","N",DU35+DZ35+EE35+EJ35)</f>
        <v>0</v>
      </c>
      <c r="EP35" s="56" t="e">
        <f t="shared" ref="EP35:EP92" si="279">IF($AN35="N","N",(EO35/($EM35+$EO35+$EQ35))*100)</f>
        <v>#DIV/0!</v>
      </c>
      <c r="EQ35" s="50">
        <f t="shared" ref="EQ35:EQ92" si="280">IF($AN35="N","N",DV35+EA35+EF35+EK35)</f>
        <v>0</v>
      </c>
      <c r="ER35" s="56" t="e">
        <f t="shared" ref="ER35:ER92" si="281">IF($AN35="N","N",(EQ35/($EM35+$EO35+$EQ35))*100)</f>
        <v>#DIV/0!</v>
      </c>
      <c r="ES35" s="50">
        <f t="shared" ref="ES35:ES92" si="282">IF($AN35="N","N",DS35+DX35+EC35+EH35)</f>
        <v>0</v>
      </c>
      <c r="ET35" s="50">
        <f t="shared" si="227"/>
        <v>0</v>
      </c>
      <c r="EU35" s="50">
        <f>IF($AN35="N","N",SUM('調查資料(OUT)'!AX41:AX44))</f>
        <v>0</v>
      </c>
      <c r="EV35" s="50">
        <f>IF($AN35="N","N",SUM('調查資料(OUT)'!BB41:BB44))</f>
        <v>0</v>
      </c>
      <c r="EW35" s="50">
        <f>IF($AN35="N","N",SUM('調查資料(OUT)'!BF41:BF44))</f>
        <v>0</v>
      </c>
      <c r="EX35" s="56" t="e">
        <f t="shared" si="228"/>
        <v>#DIV/0!</v>
      </c>
      <c r="EY35" s="50">
        <f t="shared" si="229"/>
        <v>0</v>
      </c>
      <c r="EZ35" s="50">
        <f>IF($AN35="N","N",SUM('調查資料(OUT)'!AY41:AY44))</f>
        <v>0</v>
      </c>
      <c r="FA35" s="50">
        <f>IF($AN35="N","N",SUM('調查資料(OUT)'!BC41:BC44))</f>
        <v>0</v>
      </c>
      <c r="FB35" s="50">
        <f>IF($AN35="N","N",SUM('調查資料(OUT)'!BG41:BG44))</f>
        <v>0</v>
      </c>
      <c r="FC35" s="56" t="e">
        <f t="shared" si="230"/>
        <v>#DIV/0!</v>
      </c>
      <c r="FD35" s="50">
        <f t="shared" si="231"/>
        <v>0</v>
      </c>
      <c r="FE35" s="50">
        <f>IF($AN35="N","N",SUM('調查資料(OUT)'!AZ41:AZ44))</f>
        <v>0</v>
      </c>
      <c r="FF35" s="50">
        <f>IF($AN35="N","N",SUM('調查資料(OUT)'!BD41:BD44))</f>
        <v>0</v>
      </c>
      <c r="FG35" s="50">
        <f>IF($AN35="N","N",SUM('調查資料(OUT)'!BH41:BH44))</f>
        <v>0</v>
      </c>
      <c r="FH35" s="56" t="e">
        <f t="shared" si="232"/>
        <v>#DIV/0!</v>
      </c>
      <c r="FI35" s="50">
        <f t="shared" si="233"/>
        <v>0</v>
      </c>
      <c r="FJ35" s="50">
        <f>IF($AN35="N","N",SUM('調查資料(OUT)'!BA41:BA44))</f>
        <v>0</v>
      </c>
      <c r="FK35" s="50">
        <f>IF($AN35="N","N",SUM('調查資料(OUT)'!BE41:BE44))</f>
        <v>0</v>
      </c>
      <c r="FL35" s="50">
        <f>IF($AN35="N","N",SUM('調查資料(OUT)'!BI41:BI44))</f>
        <v>0</v>
      </c>
      <c r="FM35" s="56" t="e">
        <f t="shared" si="234"/>
        <v>#DIV/0!</v>
      </c>
      <c r="FN35" s="50">
        <f t="shared" si="246"/>
        <v>0</v>
      </c>
      <c r="FO35" s="56" t="e">
        <f t="shared" si="247"/>
        <v>#DIV/0!</v>
      </c>
      <c r="FP35" s="50">
        <f t="shared" si="248"/>
        <v>0</v>
      </c>
      <c r="FQ35" s="56" t="e">
        <f t="shared" si="249"/>
        <v>#DIV/0!</v>
      </c>
      <c r="FR35" s="50">
        <f t="shared" si="250"/>
        <v>0</v>
      </c>
      <c r="FS35" s="56" t="e">
        <f t="shared" si="251"/>
        <v>#DIV/0!</v>
      </c>
      <c r="FT35" s="50">
        <f t="shared" si="252"/>
        <v>0</v>
      </c>
    </row>
    <row r="36" spans="1:176">
      <c r="A36" s="274">
        <f>'調查資料(OUT)'!A42</f>
        <v>745</v>
      </c>
      <c r="B36" s="50">
        <f t="shared" si="238"/>
        <v>0</v>
      </c>
      <c r="C36" s="50">
        <f>IFERROR('調查資料(OUT)'!$B$1*'調查資料(OUT)'!B42,0)+IFERROR('調查資料(OUT)'!$F$1*'調查資料(OUT)'!F42,0)+IFERROR('調查資料(OUT)'!$J$1*'調查資料(OUT)'!J42,0)</f>
        <v>0</v>
      </c>
      <c r="D36" s="50">
        <f>IFERROR('調查資料(OUT)'!$C$1*'調查資料(OUT)'!C42,0)+IFERROR('調查資料(OUT)'!$G$1*'調查資料(OUT)'!G42,0)+IFERROR('調查資料(OUT)'!$K$1*'調查資料(OUT)'!K42,0)</f>
        <v>0</v>
      </c>
      <c r="E36" s="50">
        <f>IFERROR('調查資料(OUT)'!$D$1*'調查資料(OUT)'!D42,0)+IFERROR('調查資料(OUT)'!$H$1*'調查資料(OUT)'!H42,0)+IFERROR('調查資料(OUT)'!$L$1*'調查資料(OUT)'!L42,0)</f>
        <v>0</v>
      </c>
      <c r="F36" s="252">
        <f>IFERROR('調查資料(OUT)'!$E$1*'調查資料(OUT)'!E42,0)+IFERROR('調查資料(OUT)'!$I$1*'調查資料(OUT)'!I42,0)+IFERROR('調查資料(OUT)'!$M$1*'調查資料(OUT)'!M42,0)</f>
        <v>0</v>
      </c>
      <c r="G36" s="50">
        <f t="shared" si="239"/>
        <v>0</v>
      </c>
      <c r="H36" s="50">
        <f>IFERROR('調查資料(OUT)'!$N$1*'調查資料(OUT)'!N42,0)+IFERROR('調查資料(OUT)'!$R$1*'調查資料(OUT)'!R42,0)+IFERROR('調查資料(OUT)'!$V$1*'調查資料(OUT)'!V42,0)</f>
        <v>0</v>
      </c>
      <c r="I36" s="50">
        <f>IFERROR('調查資料(OUT)'!$O$1*'調查資料(OUT)'!O42,0)+IFERROR('調查資料(OUT)'!$S$1*'調查資料(OUT)'!S42,0)+IFERROR('調查資料(OUT)'!$W$1*'調查資料(OUT)'!W42,0)</f>
        <v>0</v>
      </c>
      <c r="J36" s="50">
        <f>IFERROR('調查資料(OUT)'!$P$1*'調查資料(OUT)'!P42,0)+IFERROR('調查資料(OUT)'!$T$1*'調查資料(OUT)'!T42,0)+IFERROR('調查資料(OUT)'!$X$1*'調查資料(OUT)'!X42,0)</f>
        <v>0</v>
      </c>
      <c r="K36" s="252">
        <f>IFERROR('調查資料(OUT)'!$Q$1*'調查資料(OUT)'!Q42,0)+IFERROR('調查資料(OUT)'!$U$1*'調查資料(OUT)'!U42,0)+IFERROR('調查資料(OUT)'!$Y$1*'調查資料(OUT)'!Y42,0)</f>
        <v>0</v>
      </c>
      <c r="L36" s="50">
        <f t="shared" si="240"/>
        <v>0</v>
      </c>
      <c r="M36" s="50">
        <f>IFERROR('調查資料(OUT)'!$Z$1*'調查資料(OUT)'!Z42,0)+IFERROR('調查資料(OUT)'!$AD$1*'調查資料(OUT)'!AD42,0)+IFERROR('調查資料(OUT)'!$AH$1*'調查資料(OUT)'!AH42,0)</f>
        <v>0</v>
      </c>
      <c r="N36" s="50">
        <f>IFERROR('調查資料(OUT)'!$AA$1*'調查資料(OUT)'!AA42,0)+IFERROR('調查資料(OUT)'!$AE$1*'調查資料(OUT)'!AE42,0)+IFERROR('調查資料(OUT)'!$AI$1*'調查資料(OUT)'!AI42,0)</f>
        <v>0</v>
      </c>
      <c r="O36" s="50">
        <f>IFERROR('調查資料(OUT)'!$AB$1*'調查資料(OUT)'!AB42,0)+IFERROR('調查資料(OUT)'!$AF$1*'調查資料(OUT)'!AF42,0)+IFERROR('調查資料(OUT)'!$AJ$1*'調查資料(OUT)'!AJ42,0)</f>
        <v>0</v>
      </c>
      <c r="P36" s="252">
        <f>IFERROR('調查資料(OUT)'!$AC$1*'調查資料(OUT)'!AC42,0)+IFERROR('調查資料(OUT)'!$AG$1*'調查資料(OUT)'!AG42,0)+IFERROR('調查資料(OUT)'!$AK$1*'調查資料(OUT)'!AK42,0)</f>
        <v>0</v>
      </c>
      <c r="Q36" s="50">
        <f t="shared" si="241"/>
        <v>0</v>
      </c>
      <c r="R36" s="50">
        <f>IFERROR('調查資料(OUT)'!$AL$1*'調查資料(OUT)'!AL42,0)+IFERROR('調查資料(OUT)'!$AP$1*'調查資料(OUT)'!AP42,0)+IFERROR('調查資料(OUT)'!$AT$1*'調查資料(OUT)'!AT42,0)</f>
        <v>0</v>
      </c>
      <c r="S36" s="50">
        <f>IFERROR('調查資料(OUT)'!$AM$1*'調查資料(OUT)'!AM42,0)+IFERROR('調查資料(OUT)'!$AQ$1*'調查資料(OUT)'!AQ42,0)+IFERROR('調查資料(OUT)'!$AU$1*'調查資料(OUT)'!AU42,0)</f>
        <v>0</v>
      </c>
      <c r="T36" s="50">
        <f>IFERROR('調查資料(OUT)'!$AN$1*'調查資料(OUT)'!AN42,0)+IFERROR('調查資料(OUT)'!$AR$1*'調查資料(OUT)'!AR42,0)+IFERROR('調查資料(OUT)'!$AV$1*'調查資料(OUT)'!AV42,0)</f>
        <v>0</v>
      </c>
      <c r="U36" s="252">
        <f>IFERROR('調查資料(OUT)'!$AO$1*'調查資料(OUT)'!AO42,0)+IFERROR('調查資料(OUT)'!$AS$1*'調查資料(OUT)'!AS42,0)+IFERROR('調查資料(OUT)'!$AW$1*'調查資料(OUT)'!AW42,0)</f>
        <v>0</v>
      </c>
      <c r="V36" s="50">
        <f t="shared" si="242"/>
        <v>0</v>
      </c>
      <c r="W36" s="50">
        <f>IFERROR('調查資料(OUT)'!$AX$1*'調查資料(OUT)'!AX42,0)+IFERROR('調查資料(OUT)'!$BB$1*'調查資料(OUT)'!BB42,0)+IFERROR('調查資料(OUT)'!$BF$1*'調查資料(OUT)'!BF42,0)</f>
        <v>0</v>
      </c>
      <c r="X36" s="50">
        <f>IFERROR('調查資料(OUT)'!$AY$1*'調查資料(OUT)'!AY42,0)+IFERROR('調查資料(OUT)'!$BC$1*'調查資料(OUT)'!BC42,0)+IFERROR('調查資料(OUT)'!$BG$1*'調查資料(OUT)'!BG42,0)</f>
        <v>0</v>
      </c>
      <c r="Y36" s="50">
        <f>IFERROR('調查資料(OUT)'!$AZ$1*'調查資料(OUT)'!AZ42,0)+IFERROR('調查資料(OUT)'!$BD$1*'調查資料(OUT)'!BD42,0)+IFERROR('調查資料(OUT)'!$BH$1*'調查資料(OUT)'!BH42,0)</f>
        <v>0</v>
      </c>
      <c r="Z36" s="252">
        <f>IFERROR('調查資料(OUT)'!$BA$1*'調查資料(OUT)'!BA42,0)+IFERROR('調查資料(OUT)'!$BE$1*'調查資料(OUT)'!BE42,0)+IFERROR('調查資料(OUT)'!$BI$1*'調查資料(OUT)'!BI42,0)</f>
        <v>0</v>
      </c>
      <c r="AA36" s="253">
        <f t="shared" si="243"/>
        <v>0</v>
      </c>
      <c r="AC36" s="251">
        <f>'調查資料(OUT)'!A42</f>
        <v>745</v>
      </c>
      <c r="AD36" s="254">
        <f t="shared" si="244"/>
        <v>845</v>
      </c>
      <c r="AE36" s="50">
        <f t="shared" si="254"/>
        <v>0</v>
      </c>
      <c r="AG36" s="50">
        <f t="shared" si="1"/>
        <v>0</v>
      </c>
      <c r="AH36" s="256" t="e">
        <f t="shared" si="2"/>
        <v>#DIV/0!</v>
      </c>
      <c r="AI36" s="256" t="e">
        <f t="shared" si="3"/>
        <v>#DIV/0!</v>
      </c>
      <c r="AJ36" s="256" t="e">
        <f t="shared" si="4"/>
        <v>#DIV/0!</v>
      </c>
      <c r="AK36" s="256" t="e">
        <f t="shared" si="5"/>
        <v>#DIV/0!</v>
      </c>
      <c r="AL36" s="256" t="e">
        <f t="shared" si="6"/>
        <v>#DIV/0!</v>
      </c>
      <c r="AN36" s="50">
        <f t="shared" si="7"/>
        <v>745</v>
      </c>
      <c r="AO36" s="252">
        <f t="shared" si="8"/>
        <v>845</v>
      </c>
      <c r="AP36" s="50">
        <f t="shared" si="245"/>
        <v>0</v>
      </c>
      <c r="AQ36" s="50">
        <f>IF($AN36="N","N",SUM('調查資料(OUT)'!B42:B45))</f>
        <v>0</v>
      </c>
      <c r="AR36" s="50">
        <f>IF($AN36="N","N",SUM('調查資料(OUT)'!F42:F45))</f>
        <v>0</v>
      </c>
      <c r="AS36" s="50">
        <f>IF($AN36="N","N",SUM('調查資料(OUT)'!J42:J45))</f>
        <v>0</v>
      </c>
      <c r="AT36" s="56" t="e">
        <f t="shared" si="169"/>
        <v>#DIV/0!</v>
      </c>
      <c r="AU36" s="50">
        <f t="shared" si="170"/>
        <v>0</v>
      </c>
      <c r="AV36" s="50">
        <f>IF($AN36="N","N",SUM('調查資料(OUT)'!C42:C45))</f>
        <v>0</v>
      </c>
      <c r="AW36" s="50">
        <f>IF($AN36="N","N",SUM('調查資料(OUT)'!G42:G45))</f>
        <v>0</v>
      </c>
      <c r="AX36" s="50">
        <f>IF($AN36="N","N",SUM('調查資料(OUT)'!K42:K45))</f>
        <v>0</v>
      </c>
      <c r="AY36" s="56" t="e">
        <f t="shared" si="171"/>
        <v>#DIV/0!</v>
      </c>
      <c r="AZ36" s="50">
        <f t="shared" si="172"/>
        <v>0</v>
      </c>
      <c r="BA36" s="50">
        <f>IF($AN36="N","N",SUM('調查資料(OUT)'!D42:D45))</f>
        <v>0</v>
      </c>
      <c r="BB36" s="50">
        <f>IF($AN36="N","N",SUM('調查資料(OUT)'!H42:H45))</f>
        <v>0</v>
      </c>
      <c r="BC36" s="50">
        <f>IF($AN36="N","N",SUM('調查資料(OUT)'!L42:L45))</f>
        <v>0</v>
      </c>
      <c r="BD36" s="56" t="e">
        <f t="shared" si="173"/>
        <v>#DIV/0!</v>
      </c>
      <c r="BE36" s="50">
        <f t="shared" si="174"/>
        <v>0</v>
      </c>
      <c r="BF36" s="50">
        <f>IF($AN36="N","N",SUM('調查資料(OUT)'!E42:E45))</f>
        <v>0</v>
      </c>
      <c r="BG36" s="50">
        <f>IF($AN36="N","N",SUM('調查資料(OUT)'!I42:I45))</f>
        <v>0</v>
      </c>
      <c r="BH36" s="50">
        <f>IF($AN36="N","N",SUM('調查資料(OUT)'!M42:M45))</f>
        <v>0</v>
      </c>
      <c r="BI36" s="56" t="e">
        <f t="shared" si="175"/>
        <v>#DIV/0!</v>
      </c>
      <c r="BJ36" s="50">
        <f t="shared" si="255"/>
        <v>0</v>
      </c>
      <c r="BK36" s="56" t="e">
        <f t="shared" si="256"/>
        <v>#DIV/0!</v>
      </c>
      <c r="BL36" s="50">
        <f t="shared" si="257"/>
        <v>0</v>
      </c>
      <c r="BM36" s="56" t="e">
        <f t="shared" si="258"/>
        <v>#DIV/0!</v>
      </c>
      <c r="BN36" s="50">
        <f t="shared" si="259"/>
        <v>0</v>
      </c>
      <c r="BO36" s="56" t="e">
        <f t="shared" si="260"/>
        <v>#DIV/0!</v>
      </c>
      <c r="BP36" s="50">
        <f t="shared" si="261"/>
        <v>0</v>
      </c>
      <c r="BQ36" s="50">
        <f t="shared" si="183"/>
        <v>0</v>
      </c>
      <c r="BR36" s="50">
        <f>IF($AN36="N","N",SUM('調查資料(OUT)'!N42:N45))</f>
        <v>0</v>
      </c>
      <c r="BS36" s="50">
        <f>IF($AN36="N","N",SUM('調查資料(OUT)'!R42:R45))</f>
        <v>0</v>
      </c>
      <c r="BT36" s="50">
        <f>IF($AN36="N","N",SUM('調查資料(OUT)'!V42:V45))</f>
        <v>0</v>
      </c>
      <c r="BU36" s="56" t="e">
        <f t="shared" si="184"/>
        <v>#DIV/0!</v>
      </c>
      <c r="BV36" s="50">
        <f t="shared" si="185"/>
        <v>0</v>
      </c>
      <c r="BW36" s="50">
        <f>IF($AN36="N","N",SUM('調查資料(OUT)'!O42:O45))</f>
        <v>0</v>
      </c>
      <c r="BX36" s="50">
        <f>IF($AN36="N","N",SUM('調查資料(OUT)'!S42:S45))</f>
        <v>0</v>
      </c>
      <c r="BY36" s="50">
        <f>IF($AN36="N","N",SUM('調查資料(OUT)'!W42:W45))</f>
        <v>0</v>
      </c>
      <c r="BZ36" s="56" t="e">
        <f t="shared" si="186"/>
        <v>#DIV/0!</v>
      </c>
      <c r="CA36" s="50">
        <f t="shared" si="187"/>
        <v>0</v>
      </c>
      <c r="CB36" s="50">
        <f>IF($AN36="N","N",SUM('調查資料(OUT)'!P42:P45))</f>
        <v>0</v>
      </c>
      <c r="CC36" s="50">
        <f>IF($AN36="N","N",SUM('調查資料(OUT)'!T42:T45))</f>
        <v>0</v>
      </c>
      <c r="CD36" s="50">
        <f>IF($AN36="N","N",SUM('調查資料(OUT)'!X42:X45))</f>
        <v>0</v>
      </c>
      <c r="CE36" s="56" t="e">
        <f t="shared" si="188"/>
        <v>#DIV/0!</v>
      </c>
      <c r="CF36" s="50">
        <f t="shared" si="189"/>
        <v>0</v>
      </c>
      <c r="CG36" s="50">
        <f>IF($AN36="N","N",SUM('調查資料(OUT)'!Q42:Q45))</f>
        <v>0</v>
      </c>
      <c r="CH36" s="50">
        <f>IF($AN36="N","N",SUM('調查資料(OUT)'!U42:U45))</f>
        <v>0</v>
      </c>
      <c r="CI36" s="50">
        <f>IF($AN36="N","N",SUM('調查資料(OUT)'!Y42:Y45))</f>
        <v>0</v>
      </c>
      <c r="CJ36" s="56" t="e">
        <f t="shared" si="190"/>
        <v>#DIV/0!</v>
      </c>
      <c r="CK36" s="50">
        <f t="shared" si="262"/>
        <v>0</v>
      </c>
      <c r="CL36" s="56" t="e">
        <f t="shared" si="263"/>
        <v>#DIV/0!</v>
      </c>
      <c r="CM36" s="50">
        <f t="shared" si="264"/>
        <v>0</v>
      </c>
      <c r="CN36" s="56" t="e">
        <f t="shared" si="265"/>
        <v>#DIV/0!</v>
      </c>
      <c r="CO36" s="50">
        <f t="shared" si="266"/>
        <v>0</v>
      </c>
      <c r="CP36" s="56" t="e">
        <f t="shared" si="267"/>
        <v>#DIV/0!</v>
      </c>
      <c r="CQ36" s="50">
        <f t="shared" si="268"/>
        <v>0</v>
      </c>
      <c r="CR36" s="50">
        <f t="shared" si="198"/>
        <v>0</v>
      </c>
      <c r="CS36" s="50">
        <f>IF($AN36="N","N",SUM('調查資料(OUT)'!Z42:Z45))</f>
        <v>0</v>
      </c>
      <c r="CT36" s="50">
        <f>IF($AN36="N","N",SUM('調查資料(OUT)'!AD42:AD45))</f>
        <v>0</v>
      </c>
      <c r="CU36" s="50">
        <f>IF($AN36="N","N",SUM('調查資料(OUT)'!AH42:AH45))</f>
        <v>0</v>
      </c>
      <c r="CV36" s="56" t="e">
        <f t="shared" si="199"/>
        <v>#DIV/0!</v>
      </c>
      <c r="CW36" s="50">
        <f t="shared" si="200"/>
        <v>0</v>
      </c>
      <c r="CX36" s="50">
        <f>IF($AN36="N","N",SUM('調查資料(OUT)'!AA42:AA45))</f>
        <v>0</v>
      </c>
      <c r="CY36" s="50">
        <f>IF($AN36="N","N",SUM('調查資料(OUT)'!AE42:AE45))</f>
        <v>0</v>
      </c>
      <c r="CZ36" s="50">
        <f>IF($AN36="N","N",SUM('調查資料(OUT)'!AI42:AI45))</f>
        <v>0</v>
      </c>
      <c r="DA36" s="56" t="e">
        <f t="shared" si="201"/>
        <v>#DIV/0!</v>
      </c>
      <c r="DB36" s="50">
        <f t="shared" si="202"/>
        <v>0</v>
      </c>
      <c r="DC36" s="50">
        <f>IF($AN36="N","N",SUM('調查資料(OUT)'!AB42:AB45))</f>
        <v>0</v>
      </c>
      <c r="DD36" s="50">
        <f>IF($AN36="N","N",SUM('調查資料(OUT)'!AF42:AF45))</f>
        <v>0</v>
      </c>
      <c r="DE36" s="50">
        <f>IF($AN36="N","N",SUM('調查資料(OUT)'!AJ42:AJ45))</f>
        <v>0</v>
      </c>
      <c r="DF36" s="56" t="e">
        <f t="shared" si="203"/>
        <v>#DIV/0!</v>
      </c>
      <c r="DG36" s="50">
        <f t="shared" si="204"/>
        <v>0</v>
      </c>
      <c r="DH36" s="50">
        <f>IF($AN36="N","N",SUM('調查資料(OUT)'!AC42:AC45))</f>
        <v>0</v>
      </c>
      <c r="DI36" s="50">
        <f>IF($AN36="N","N",SUM('調查資料(OUT)'!AG42:AG45))</f>
        <v>0</v>
      </c>
      <c r="DJ36" s="50">
        <f>IF($AN36="N","N",SUM('調查資料(OUT)'!AK42:AK45))</f>
        <v>0</v>
      </c>
      <c r="DK36" s="56" t="e">
        <f t="shared" si="205"/>
        <v>#DIV/0!</v>
      </c>
      <c r="DL36" s="50">
        <f t="shared" si="269"/>
        <v>0</v>
      </c>
      <c r="DM36" s="56" t="e">
        <f t="shared" si="270"/>
        <v>#DIV/0!</v>
      </c>
      <c r="DN36" s="50">
        <f t="shared" si="271"/>
        <v>0</v>
      </c>
      <c r="DO36" s="56" t="e">
        <f t="shared" si="272"/>
        <v>#DIV/0!</v>
      </c>
      <c r="DP36" s="50">
        <f t="shared" si="273"/>
        <v>0</v>
      </c>
      <c r="DQ36" s="56" t="e">
        <f t="shared" si="274"/>
        <v>#DIV/0!</v>
      </c>
      <c r="DR36" s="50">
        <f t="shared" si="275"/>
        <v>0</v>
      </c>
      <c r="DS36" s="50">
        <f t="shared" si="213"/>
        <v>0</v>
      </c>
      <c r="DT36" s="50">
        <f>IF($AN36="N","N",SUM('調查資料(OUT)'!AL42:AL45))</f>
        <v>0</v>
      </c>
      <c r="DU36" s="50">
        <f>IF($AN36="N","N",SUM('調查資料(OUT)'!AP42:AP45))</f>
        <v>0</v>
      </c>
      <c r="DV36" s="50">
        <f>IF($AN36="N","N",SUM('調查資料(OUT)'!AT42:AT45))</f>
        <v>0</v>
      </c>
      <c r="DW36" s="56" t="e">
        <f t="shared" si="214"/>
        <v>#DIV/0!</v>
      </c>
      <c r="DX36" s="50">
        <f t="shared" si="215"/>
        <v>0</v>
      </c>
      <c r="DY36" s="50">
        <f>IF($AN36="N","N",SUM('調查資料(OUT)'!AM42:AM45))</f>
        <v>0</v>
      </c>
      <c r="DZ36" s="50">
        <f>IF($AN36="N","N",SUM('調查資料(OUT)'!AQ42:AQ45))</f>
        <v>0</v>
      </c>
      <c r="EA36" s="50">
        <f>IF($AN36="N","N",SUM('調查資料(OUT)'!AU42:AU45))</f>
        <v>0</v>
      </c>
      <c r="EB36" s="56" t="e">
        <f t="shared" si="216"/>
        <v>#DIV/0!</v>
      </c>
      <c r="EC36" s="50">
        <f t="shared" si="217"/>
        <v>0</v>
      </c>
      <c r="ED36" s="50">
        <f>IF($AN36="N","N",SUM('調查資料(OUT)'!AN42:AN45))</f>
        <v>0</v>
      </c>
      <c r="EE36" s="50">
        <f>IF($AN36="N","N",SUM('調查資料(OUT)'!AR42:AR45))</f>
        <v>0</v>
      </c>
      <c r="EF36" s="50">
        <f>IF($AN36="N","N",SUM('調查資料(OUT)'!AV42:AV45))</f>
        <v>0</v>
      </c>
      <c r="EG36" s="56" t="e">
        <f t="shared" si="218"/>
        <v>#DIV/0!</v>
      </c>
      <c r="EH36" s="50">
        <f t="shared" si="219"/>
        <v>0</v>
      </c>
      <c r="EI36" s="50">
        <f>IF($AN36="N","N",SUM('調查資料(OUT)'!AO42:AO45))</f>
        <v>0</v>
      </c>
      <c r="EJ36" s="50">
        <f>IF($AN36="N","N",SUM('調查資料(OUT)'!AS42:AS45))</f>
        <v>0</v>
      </c>
      <c r="EK36" s="50">
        <f>IF($AN36="N","N",SUM('調查資料(OUT)'!AW42:AW45))</f>
        <v>0</v>
      </c>
      <c r="EL36" s="56" t="e">
        <f t="shared" si="220"/>
        <v>#DIV/0!</v>
      </c>
      <c r="EM36" s="50">
        <f t="shared" si="276"/>
        <v>0</v>
      </c>
      <c r="EN36" s="56" t="e">
        <f t="shared" si="277"/>
        <v>#DIV/0!</v>
      </c>
      <c r="EO36" s="50">
        <f t="shared" si="278"/>
        <v>0</v>
      </c>
      <c r="EP36" s="56" t="e">
        <f t="shared" si="279"/>
        <v>#DIV/0!</v>
      </c>
      <c r="EQ36" s="50">
        <f t="shared" si="280"/>
        <v>0</v>
      </c>
      <c r="ER36" s="56" t="e">
        <f t="shared" si="281"/>
        <v>#DIV/0!</v>
      </c>
      <c r="ES36" s="50">
        <f t="shared" si="282"/>
        <v>0</v>
      </c>
      <c r="ET36" s="50">
        <f t="shared" si="227"/>
        <v>0</v>
      </c>
      <c r="EU36" s="50">
        <f>IF($AN36="N","N",SUM('調查資料(OUT)'!AX42:AX45))</f>
        <v>0</v>
      </c>
      <c r="EV36" s="50">
        <f>IF($AN36="N","N",SUM('調查資料(OUT)'!BB42:BB45))</f>
        <v>0</v>
      </c>
      <c r="EW36" s="50">
        <f>IF($AN36="N","N",SUM('調查資料(OUT)'!BF42:BF45))</f>
        <v>0</v>
      </c>
      <c r="EX36" s="56" t="e">
        <f t="shared" si="228"/>
        <v>#DIV/0!</v>
      </c>
      <c r="EY36" s="50">
        <f t="shared" si="229"/>
        <v>0</v>
      </c>
      <c r="EZ36" s="50">
        <f>IF($AN36="N","N",SUM('調查資料(OUT)'!AY42:AY45))</f>
        <v>0</v>
      </c>
      <c r="FA36" s="50">
        <f>IF($AN36="N","N",SUM('調查資料(OUT)'!BC42:BC45))</f>
        <v>0</v>
      </c>
      <c r="FB36" s="50">
        <f>IF($AN36="N","N",SUM('調查資料(OUT)'!BG42:BG45))</f>
        <v>0</v>
      </c>
      <c r="FC36" s="56" t="e">
        <f t="shared" si="230"/>
        <v>#DIV/0!</v>
      </c>
      <c r="FD36" s="50">
        <f t="shared" si="231"/>
        <v>0</v>
      </c>
      <c r="FE36" s="50">
        <f>IF($AN36="N","N",SUM('調查資料(OUT)'!AZ42:AZ45))</f>
        <v>0</v>
      </c>
      <c r="FF36" s="50">
        <f>IF($AN36="N","N",SUM('調查資料(OUT)'!BD42:BD45))</f>
        <v>0</v>
      </c>
      <c r="FG36" s="50">
        <f>IF($AN36="N","N",SUM('調查資料(OUT)'!BH42:BH45))</f>
        <v>0</v>
      </c>
      <c r="FH36" s="56" t="e">
        <f t="shared" si="232"/>
        <v>#DIV/0!</v>
      </c>
      <c r="FI36" s="50">
        <f t="shared" si="233"/>
        <v>0</v>
      </c>
      <c r="FJ36" s="50">
        <f>IF($AN36="N","N",SUM('調查資料(OUT)'!BA42:BA45))</f>
        <v>0</v>
      </c>
      <c r="FK36" s="50">
        <f>IF($AN36="N","N",SUM('調查資料(OUT)'!BE42:BE45))</f>
        <v>0</v>
      </c>
      <c r="FL36" s="50">
        <f>IF($AN36="N","N",SUM('調查資料(OUT)'!BI42:BI45))</f>
        <v>0</v>
      </c>
      <c r="FM36" s="56" t="e">
        <f t="shared" si="234"/>
        <v>#DIV/0!</v>
      </c>
      <c r="FN36" s="50">
        <f t="shared" si="246"/>
        <v>0</v>
      </c>
      <c r="FO36" s="56" t="e">
        <f t="shared" si="247"/>
        <v>#DIV/0!</v>
      </c>
      <c r="FP36" s="50">
        <f t="shared" si="248"/>
        <v>0</v>
      </c>
      <c r="FQ36" s="56" t="e">
        <f t="shared" si="249"/>
        <v>#DIV/0!</v>
      </c>
      <c r="FR36" s="50">
        <f t="shared" si="250"/>
        <v>0</v>
      </c>
      <c r="FS36" s="56" t="e">
        <f t="shared" si="251"/>
        <v>#DIV/0!</v>
      </c>
      <c r="FT36" s="50">
        <f t="shared" si="252"/>
        <v>0</v>
      </c>
    </row>
    <row r="37" spans="1:176">
      <c r="A37" s="274">
        <f>'調查資料(OUT)'!A43</f>
        <v>800</v>
      </c>
      <c r="B37" s="50">
        <f t="shared" si="238"/>
        <v>0</v>
      </c>
      <c r="C37" s="50">
        <f>IFERROR('調查資料(OUT)'!$B$1*'調查資料(OUT)'!B43,0)+IFERROR('調查資料(OUT)'!$F$1*'調查資料(OUT)'!F43,0)+IFERROR('調查資料(OUT)'!$J$1*'調查資料(OUT)'!J43,0)</f>
        <v>0</v>
      </c>
      <c r="D37" s="50">
        <f>IFERROR('調查資料(OUT)'!$C$1*'調查資料(OUT)'!C43,0)+IFERROR('調查資料(OUT)'!$G$1*'調查資料(OUT)'!G43,0)+IFERROR('調查資料(OUT)'!$K$1*'調查資料(OUT)'!K43,0)</f>
        <v>0</v>
      </c>
      <c r="E37" s="50">
        <f>IFERROR('調查資料(OUT)'!$D$1*'調查資料(OUT)'!D43,0)+IFERROR('調查資料(OUT)'!$H$1*'調查資料(OUT)'!H43,0)+IFERROR('調查資料(OUT)'!$L$1*'調查資料(OUT)'!L43,0)</f>
        <v>0</v>
      </c>
      <c r="F37" s="252">
        <f>IFERROR('調查資料(OUT)'!$E$1*'調查資料(OUT)'!E43,0)+IFERROR('調查資料(OUT)'!$I$1*'調查資料(OUT)'!I43,0)+IFERROR('調查資料(OUT)'!$M$1*'調查資料(OUT)'!M43,0)</f>
        <v>0</v>
      </c>
      <c r="G37" s="50">
        <f t="shared" si="239"/>
        <v>0</v>
      </c>
      <c r="H37" s="50">
        <f>IFERROR('調查資料(OUT)'!$N$1*'調查資料(OUT)'!N43,0)+IFERROR('調查資料(OUT)'!$R$1*'調查資料(OUT)'!R43,0)+IFERROR('調查資料(OUT)'!$V$1*'調查資料(OUT)'!V43,0)</f>
        <v>0</v>
      </c>
      <c r="I37" s="50">
        <f>IFERROR('調查資料(OUT)'!$O$1*'調查資料(OUT)'!O43,0)+IFERROR('調查資料(OUT)'!$S$1*'調查資料(OUT)'!S43,0)+IFERROR('調查資料(OUT)'!$W$1*'調查資料(OUT)'!W43,0)</f>
        <v>0</v>
      </c>
      <c r="J37" s="50">
        <f>IFERROR('調查資料(OUT)'!$P$1*'調查資料(OUT)'!P43,0)+IFERROR('調查資料(OUT)'!$T$1*'調查資料(OUT)'!T43,0)+IFERROR('調查資料(OUT)'!$X$1*'調查資料(OUT)'!X43,0)</f>
        <v>0</v>
      </c>
      <c r="K37" s="252">
        <f>IFERROR('調查資料(OUT)'!$Q$1*'調查資料(OUT)'!Q43,0)+IFERROR('調查資料(OUT)'!$U$1*'調查資料(OUT)'!U43,0)+IFERROR('調查資料(OUT)'!$Y$1*'調查資料(OUT)'!Y43,0)</f>
        <v>0</v>
      </c>
      <c r="L37" s="50">
        <f t="shared" si="240"/>
        <v>0</v>
      </c>
      <c r="M37" s="50">
        <f>IFERROR('調查資料(OUT)'!$Z$1*'調查資料(OUT)'!Z43,0)+IFERROR('調查資料(OUT)'!$AD$1*'調查資料(OUT)'!AD43,0)+IFERROR('調查資料(OUT)'!$AH$1*'調查資料(OUT)'!AH43,0)</f>
        <v>0</v>
      </c>
      <c r="N37" s="50">
        <f>IFERROR('調查資料(OUT)'!$AA$1*'調查資料(OUT)'!AA43,0)+IFERROR('調查資料(OUT)'!$AE$1*'調查資料(OUT)'!AE43,0)+IFERROR('調查資料(OUT)'!$AI$1*'調查資料(OUT)'!AI43,0)</f>
        <v>0</v>
      </c>
      <c r="O37" s="50">
        <f>IFERROR('調查資料(OUT)'!$AB$1*'調查資料(OUT)'!AB43,0)+IFERROR('調查資料(OUT)'!$AF$1*'調查資料(OUT)'!AF43,0)+IFERROR('調查資料(OUT)'!$AJ$1*'調查資料(OUT)'!AJ43,0)</f>
        <v>0</v>
      </c>
      <c r="P37" s="252">
        <f>IFERROR('調查資料(OUT)'!$AC$1*'調查資料(OUT)'!AC43,0)+IFERROR('調查資料(OUT)'!$AG$1*'調查資料(OUT)'!AG43,0)+IFERROR('調查資料(OUT)'!$AK$1*'調查資料(OUT)'!AK43,0)</f>
        <v>0</v>
      </c>
      <c r="Q37" s="50">
        <f t="shared" si="241"/>
        <v>0</v>
      </c>
      <c r="R37" s="50">
        <f>IFERROR('調查資料(OUT)'!$AL$1*'調查資料(OUT)'!AL43,0)+IFERROR('調查資料(OUT)'!$AP$1*'調查資料(OUT)'!AP43,0)+IFERROR('調查資料(OUT)'!$AT$1*'調查資料(OUT)'!AT43,0)</f>
        <v>0</v>
      </c>
      <c r="S37" s="50">
        <f>IFERROR('調查資料(OUT)'!$AM$1*'調查資料(OUT)'!AM43,0)+IFERROR('調查資料(OUT)'!$AQ$1*'調查資料(OUT)'!AQ43,0)+IFERROR('調查資料(OUT)'!$AU$1*'調查資料(OUT)'!AU43,0)</f>
        <v>0</v>
      </c>
      <c r="T37" s="50">
        <f>IFERROR('調查資料(OUT)'!$AN$1*'調查資料(OUT)'!AN43,0)+IFERROR('調查資料(OUT)'!$AR$1*'調查資料(OUT)'!AR43,0)+IFERROR('調查資料(OUT)'!$AV$1*'調查資料(OUT)'!AV43,0)</f>
        <v>0</v>
      </c>
      <c r="U37" s="252">
        <f>IFERROR('調查資料(OUT)'!$AO$1*'調查資料(OUT)'!AO43,0)+IFERROR('調查資料(OUT)'!$AS$1*'調查資料(OUT)'!AS43,0)+IFERROR('調查資料(OUT)'!$AW$1*'調查資料(OUT)'!AW43,0)</f>
        <v>0</v>
      </c>
      <c r="V37" s="50">
        <f t="shared" si="242"/>
        <v>0</v>
      </c>
      <c r="W37" s="50">
        <f>IFERROR('調查資料(OUT)'!$AX$1*'調查資料(OUT)'!AX43,0)+IFERROR('調查資料(OUT)'!$BB$1*'調查資料(OUT)'!BB43,0)+IFERROR('調查資料(OUT)'!$BF$1*'調查資料(OUT)'!BF43,0)</f>
        <v>0</v>
      </c>
      <c r="X37" s="50">
        <f>IFERROR('調查資料(OUT)'!$AY$1*'調查資料(OUT)'!AY43,0)+IFERROR('調查資料(OUT)'!$BC$1*'調查資料(OUT)'!BC43,0)+IFERROR('調查資料(OUT)'!$BG$1*'調查資料(OUT)'!BG43,0)</f>
        <v>0</v>
      </c>
      <c r="Y37" s="50">
        <f>IFERROR('調查資料(OUT)'!$AZ$1*'調查資料(OUT)'!AZ43,0)+IFERROR('調查資料(OUT)'!$BD$1*'調查資料(OUT)'!BD43,0)+IFERROR('調查資料(OUT)'!$BH$1*'調查資料(OUT)'!BH43,0)</f>
        <v>0</v>
      </c>
      <c r="Z37" s="252">
        <f>IFERROR('調查資料(OUT)'!$BA$1*'調查資料(OUT)'!BA43,0)+IFERROR('調查資料(OUT)'!$BE$1*'調查資料(OUT)'!BE43,0)+IFERROR('調查資料(OUT)'!$BI$1*'調查資料(OUT)'!BI43,0)</f>
        <v>0</v>
      </c>
      <c r="AA37" s="253">
        <f t="shared" si="243"/>
        <v>0</v>
      </c>
      <c r="AC37" s="251">
        <f>'調查資料(OUT)'!A43</f>
        <v>800</v>
      </c>
      <c r="AD37" s="254">
        <f t="shared" si="244"/>
        <v>900</v>
      </c>
      <c r="AE37" s="50">
        <f t="shared" si="254"/>
        <v>0</v>
      </c>
      <c r="AG37" s="50">
        <f t="shared" si="1"/>
        <v>0</v>
      </c>
      <c r="AH37" s="256" t="e">
        <f t="shared" si="2"/>
        <v>#DIV/0!</v>
      </c>
      <c r="AI37" s="256" t="e">
        <f t="shared" si="3"/>
        <v>#DIV/0!</v>
      </c>
      <c r="AJ37" s="256" t="e">
        <f t="shared" si="4"/>
        <v>#DIV/0!</v>
      </c>
      <c r="AK37" s="256" t="e">
        <f t="shared" si="5"/>
        <v>#DIV/0!</v>
      </c>
      <c r="AL37" s="256" t="e">
        <f t="shared" si="6"/>
        <v>#DIV/0!</v>
      </c>
      <c r="AN37" s="50">
        <f t="shared" si="7"/>
        <v>800</v>
      </c>
      <c r="AO37" s="252">
        <f t="shared" si="8"/>
        <v>900</v>
      </c>
      <c r="AP37" s="50">
        <f t="shared" si="245"/>
        <v>0</v>
      </c>
      <c r="AQ37" s="50">
        <f>IF($AN37="N","N",SUM('調查資料(OUT)'!B43:B46))</f>
        <v>0</v>
      </c>
      <c r="AR37" s="50">
        <f>IF($AN37="N","N",SUM('調查資料(OUT)'!F43:F46))</f>
        <v>0</v>
      </c>
      <c r="AS37" s="50">
        <f>IF($AN37="N","N",SUM('調查資料(OUT)'!J43:J46))</f>
        <v>0</v>
      </c>
      <c r="AT37" s="56" t="e">
        <f t="shared" si="169"/>
        <v>#DIV/0!</v>
      </c>
      <c r="AU37" s="50">
        <f t="shared" si="170"/>
        <v>0</v>
      </c>
      <c r="AV37" s="50">
        <f>IF($AN37="N","N",SUM('調查資料(OUT)'!C43:C46))</f>
        <v>0</v>
      </c>
      <c r="AW37" s="50">
        <f>IF($AN37="N","N",SUM('調查資料(OUT)'!G43:G46))</f>
        <v>0</v>
      </c>
      <c r="AX37" s="50">
        <f>IF($AN37="N","N",SUM('調查資料(OUT)'!K43:K46))</f>
        <v>0</v>
      </c>
      <c r="AY37" s="56" t="e">
        <f t="shared" si="171"/>
        <v>#DIV/0!</v>
      </c>
      <c r="AZ37" s="50">
        <f t="shared" si="172"/>
        <v>0</v>
      </c>
      <c r="BA37" s="50">
        <f>IF($AN37="N","N",SUM('調查資料(OUT)'!D43:D46))</f>
        <v>0</v>
      </c>
      <c r="BB37" s="50">
        <f>IF($AN37="N","N",SUM('調查資料(OUT)'!H43:H46))</f>
        <v>0</v>
      </c>
      <c r="BC37" s="50">
        <f>IF($AN37="N","N",SUM('調查資料(OUT)'!L43:L46))</f>
        <v>0</v>
      </c>
      <c r="BD37" s="56" t="e">
        <f t="shared" si="173"/>
        <v>#DIV/0!</v>
      </c>
      <c r="BE37" s="50">
        <f t="shared" si="174"/>
        <v>0</v>
      </c>
      <c r="BF37" s="50">
        <f>IF($AN37="N","N",SUM('調查資料(OUT)'!E43:E46))</f>
        <v>0</v>
      </c>
      <c r="BG37" s="50">
        <f>IF($AN37="N","N",SUM('調查資料(OUT)'!I43:I46))</f>
        <v>0</v>
      </c>
      <c r="BH37" s="50">
        <f>IF($AN37="N","N",SUM('調查資料(OUT)'!M43:M46))</f>
        <v>0</v>
      </c>
      <c r="BI37" s="56" t="e">
        <f t="shared" si="175"/>
        <v>#DIV/0!</v>
      </c>
      <c r="BJ37" s="50">
        <f t="shared" si="255"/>
        <v>0</v>
      </c>
      <c r="BK37" s="56" t="e">
        <f t="shared" si="256"/>
        <v>#DIV/0!</v>
      </c>
      <c r="BL37" s="50">
        <f t="shared" si="257"/>
        <v>0</v>
      </c>
      <c r="BM37" s="56" t="e">
        <f t="shared" si="258"/>
        <v>#DIV/0!</v>
      </c>
      <c r="BN37" s="50">
        <f t="shared" si="259"/>
        <v>0</v>
      </c>
      <c r="BO37" s="56" t="e">
        <f t="shared" si="260"/>
        <v>#DIV/0!</v>
      </c>
      <c r="BP37" s="50">
        <f t="shared" si="261"/>
        <v>0</v>
      </c>
      <c r="BQ37" s="50">
        <f t="shared" si="183"/>
        <v>0</v>
      </c>
      <c r="BR37" s="50">
        <f>IF($AN37="N","N",SUM('調查資料(OUT)'!N43:N46))</f>
        <v>0</v>
      </c>
      <c r="BS37" s="50">
        <f>IF($AN37="N","N",SUM('調查資料(OUT)'!R43:R46))</f>
        <v>0</v>
      </c>
      <c r="BT37" s="50">
        <f>IF($AN37="N","N",SUM('調查資料(OUT)'!V43:V46))</f>
        <v>0</v>
      </c>
      <c r="BU37" s="56" t="e">
        <f t="shared" si="184"/>
        <v>#DIV/0!</v>
      </c>
      <c r="BV37" s="50">
        <f t="shared" si="185"/>
        <v>0</v>
      </c>
      <c r="BW37" s="50">
        <f>IF($AN37="N","N",SUM('調查資料(OUT)'!O43:O46))</f>
        <v>0</v>
      </c>
      <c r="BX37" s="50">
        <f>IF($AN37="N","N",SUM('調查資料(OUT)'!S43:S46))</f>
        <v>0</v>
      </c>
      <c r="BY37" s="50">
        <f>IF($AN37="N","N",SUM('調查資料(OUT)'!W43:W46))</f>
        <v>0</v>
      </c>
      <c r="BZ37" s="56" t="e">
        <f t="shared" si="186"/>
        <v>#DIV/0!</v>
      </c>
      <c r="CA37" s="50">
        <f t="shared" si="187"/>
        <v>0</v>
      </c>
      <c r="CB37" s="50">
        <f>IF($AN37="N","N",SUM('調查資料(OUT)'!P43:P46))</f>
        <v>0</v>
      </c>
      <c r="CC37" s="50">
        <f>IF($AN37="N","N",SUM('調查資料(OUT)'!T43:T46))</f>
        <v>0</v>
      </c>
      <c r="CD37" s="50">
        <f>IF($AN37="N","N",SUM('調查資料(OUT)'!X43:X46))</f>
        <v>0</v>
      </c>
      <c r="CE37" s="56" t="e">
        <f t="shared" si="188"/>
        <v>#DIV/0!</v>
      </c>
      <c r="CF37" s="50">
        <f t="shared" si="189"/>
        <v>0</v>
      </c>
      <c r="CG37" s="50">
        <f>IF($AN37="N","N",SUM('調查資料(OUT)'!Q43:Q46))</f>
        <v>0</v>
      </c>
      <c r="CH37" s="50">
        <f>IF($AN37="N","N",SUM('調查資料(OUT)'!U43:U46))</f>
        <v>0</v>
      </c>
      <c r="CI37" s="50">
        <f>IF($AN37="N","N",SUM('調查資料(OUT)'!Y43:Y46))</f>
        <v>0</v>
      </c>
      <c r="CJ37" s="56" t="e">
        <f t="shared" si="190"/>
        <v>#DIV/0!</v>
      </c>
      <c r="CK37" s="50">
        <f t="shared" si="262"/>
        <v>0</v>
      </c>
      <c r="CL37" s="56" t="e">
        <f t="shared" si="263"/>
        <v>#DIV/0!</v>
      </c>
      <c r="CM37" s="50">
        <f t="shared" si="264"/>
        <v>0</v>
      </c>
      <c r="CN37" s="56" t="e">
        <f t="shared" si="265"/>
        <v>#DIV/0!</v>
      </c>
      <c r="CO37" s="50">
        <f t="shared" si="266"/>
        <v>0</v>
      </c>
      <c r="CP37" s="56" t="e">
        <f t="shared" si="267"/>
        <v>#DIV/0!</v>
      </c>
      <c r="CQ37" s="50">
        <f t="shared" si="268"/>
        <v>0</v>
      </c>
      <c r="CR37" s="50">
        <f t="shared" si="198"/>
        <v>0</v>
      </c>
      <c r="CS37" s="50">
        <f>IF($AN37="N","N",SUM('調查資料(OUT)'!Z43:Z46))</f>
        <v>0</v>
      </c>
      <c r="CT37" s="50">
        <f>IF($AN37="N","N",SUM('調查資料(OUT)'!AD43:AD46))</f>
        <v>0</v>
      </c>
      <c r="CU37" s="50">
        <f>IF($AN37="N","N",SUM('調查資料(OUT)'!AH43:AH46))</f>
        <v>0</v>
      </c>
      <c r="CV37" s="56" t="e">
        <f t="shared" si="199"/>
        <v>#DIV/0!</v>
      </c>
      <c r="CW37" s="50">
        <f t="shared" si="200"/>
        <v>0</v>
      </c>
      <c r="CX37" s="50">
        <f>IF($AN37="N","N",SUM('調查資料(OUT)'!AA43:AA46))</f>
        <v>0</v>
      </c>
      <c r="CY37" s="50">
        <f>IF($AN37="N","N",SUM('調查資料(OUT)'!AE43:AE46))</f>
        <v>0</v>
      </c>
      <c r="CZ37" s="50">
        <f>IF($AN37="N","N",SUM('調查資料(OUT)'!AI43:AI46))</f>
        <v>0</v>
      </c>
      <c r="DA37" s="56" t="e">
        <f t="shared" si="201"/>
        <v>#DIV/0!</v>
      </c>
      <c r="DB37" s="50">
        <f t="shared" si="202"/>
        <v>0</v>
      </c>
      <c r="DC37" s="50">
        <f>IF($AN37="N","N",SUM('調查資料(OUT)'!AB43:AB46))</f>
        <v>0</v>
      </c>
      <c r="DD37" s="50">
        <f>IF($AN37="N","N",SUM('調查資料(OUT)'!AF43:AF46))</f>
        <v>0</v>
      </c>
      <c r="DE37" s="50">
        <f>IF($AN37="N","N",SUM('調查資料(OUT)'!AJ43:AJ46))</f>
        <v>0</v>
      </c>
      <c r="DF37" s="56" t="e">
        <f t="shared" si="203"/>
        <v>#DIV/0!</v>
      </c>
      <c r="DG37" s="50">
        <f t="shared" si="204"/>
        <v>0</v>
      </c>
      <c r="DH37" s="50">
        <f>IF($AN37="N","N",SUM('調查資料(OUT)'!AC43:AC46))</f>
        <v>0</v>
      </c>
      <c r="DI37" s="50">
        <f>IF($AN37="N","N",SUM('調查資料(OUT)'!AG43:AG46))</f>
        <v>0</v>
      </c>
      <c r="DJ37" s="50">
        <f>IF($AN37="N","N",SUM('調查資料(OUT)'!AK43:AK46))</f>
        <v>0</v>
      </c>
      <c r="DK37" s="56" t="e">
        <f t="shared" si="205"/>
        <v>#DIV/0!</v>
      </c>
      <c r="DL37" s="50">
        <f t="shared" si="269"/>
        <v>0</v>
      </c>
      <c r="DM37" s="56" t="e">
        <f t="shared" si="270"/>
        <v>#DIV/0!</v>
      </c>
      <c r="DN37" s="50">
        <f t="shared" si="271"/>
        <v>0</v>
      </c>
      <c r="DO37" s="56" t="e">
        <f t="shared" si="272"/>
        <v>#DIV/0!</v>
      </c>
      <c r="DP37" s="50">
        <f t="shared" si="273"/>
        <v>0</v>
      </c>
      <c r="DQ37" s="56" t="e">
        <f t="shared" si="274"/>
        <v>#DIV/0!</v>
      </c>
      <c r="DR37" s="50">
        <f t="shared" si="275"/>
        <v>0</v>
      </c>
      <c r="DS37" s="50">
        <f t="shared" si="213"/>
        <v>0</v>
      </c>
      <c r="DT37" s="50">
        <f>IF($AN37="N","N",SUM('調查資料(OUT)'!AL43:AL46))</f>
        <v>0</v>
      </c>
      <c r="DU37" s="50">
        <f>IF($AN37="N","N",SUM('調查資料(OUT)'!AP43:AP46))</f>
        <v>0</v>
      </c>
      <c r="DV37" s="50">
        <f>IF($AN37="N","N",SUM('調查資料(OUT)'!AT43:AT46))</f>
        <v>0</v>
      </c>
      <c r="DW37" s="56" t="e">
        <f t="shared" si="214"/>
        <v>#DIV/0!</v>
      </c>
      <c r="DX37" s="50">
        <f t="shared" si="215"/>
        <v>0</v>
      </c>
      <c r="DY37" s="50">
        <f>IF($AN37="N","N",SUM('調查資料(OUT)'!AM43:AM46))</f>
        <v>0</v>
      </c>
      <c r="DZ37" s="50">
        <f>IF($AN37="N","N",SUM('調查資料(OUT)'!AQ43:AQ46))</f>
        <v>0</v>
      </c>
      <c r="EA37" s="50">
        <f>IF($AN37="N","N",SUM('調查資料(OUT)'!AU43:AU46))</f>
        <v>0</v>
      </c>
      <c r="EB37" s="56" t="e">
        <f t="shared" si="216"/>
        <v>#DIV/0!</v>
      </c>
      <c r="EC37" s="50">
        <f t="shared" si="217"/>
        <v>0</v>
      </c>
      <c r="ED37" s="50">
        <f>IF($AN37="N","N",SUM('調查資料(OUT)'!AN43:AN46))</f>
        <v>0</v>
      </c>
      <c r="EE37" s="50">
        <f>IF($AN37="N","N",SUM('調查資料(OUT)'!AR43:AR46))</f>
        <v>0</v>
      </c>
      <c r="EF37" s="50">
        <f>IF($AN37="N","N",SUM('調查資料(OUT)'!AV43:AV46))</f>
        <v>0</v>
      </c>
      <c r="EG37" s="56" t="e">
        <f t="shared" si="218"/>
        <v>#DIV/0!</v>
      </c>
      <c r="EH37" s="50">
        <f t="shared" si="219"/>
        <v>0</v>
      </c>
      <c r="EI37" s="50">
        <f>IF($AN37="N","N",SUM('調查資料(OUT)'!AO43:AO46))</f>
        <v>0</v>
      </c>
      <c r="EJ37" s="50">
        <f>IF($AN37="N","N",SUM('調查資料(OUT)'!AS43:AS46))</f>
        <v>0</v>
      </c>
      <c r="EK37" s="50">
        <f>IF($AN37="N","N",SUM('調查資料(OUT)'!AW43:AW46))</f>
        <v>0</v>
      </c>
      <c r="EL37" s="56" t="e">
        <f t="shared" si="220"/>
        <v>#DIV/0!</v>
      </c>
      <c r="EM37" s="50">
        <f t="shared" si="276"/>
        <v>0</v>
      </c>
      <c r="EN37" s="56" t="e">
        <f t="shared" si="277"/>
        <v>#DIV/0!</v>
      </c>
      <c r="EO37" s="50">
        <f t="shared" si="278"/>
        <v>0</v>
      </c>
      <c r="EP37" s="56" t="e">
        <f t="shared" si="279"/>
        <v>#DIV/0!</v>
      </c>
      <c r="EQ37" s="50">
        <f t="shared" si="280"/>
        <v>0</v>
      </c>
      <c r="ER37" s="56" t="e">
        <f t="shared" si="281"/>
        <v>#DIV/0!</v>
      </c>
      <c r="ES37" s="50">
        <f t="shared" si="282"/>
        <v>0</v>
      </c>
      <c r="ET37" s="50">
        <f t="shared" si="227"/>
        <v>0</v>
      </c>
      <c r="EU37" s="50">
        <f>IF($AN37="N","N",SUM('調查資料(OUT)'!AX43:AX46))</f>
        <v>0</v>
      </c>
      <c r="EV37" s="50">
        <f>IF($AN37="N","N",SUM('調查資料(OUT)'!BB43:BB46))</f>
        <v>0</v>
      </c>
      <c r="EW37" s="50">
        <f>IF($AN37="N","N",SUM('調查資料(OUT)'!BF43:BF46))</f>
        <v>0</v>
      </c>
      <c r="EX37" s="56" t="e">
        <f t="shared" si="228"/>
        <v>#DIV/0!</v>
      </c>
      <c r="EY37" s="50">
        <f t="shared" si="229"/>
        <v>0</v>
      </c>
      <c r="EZ37" s="50">
        <f>IF($AN37="N","N",SUM('調查資料(OUT)'!AY43:AY46))</f>
        <v>0</v>
      </c>
      <c r="FA37" s="50">
        <f>IF($AN37="N","N",SUM('調查資料(OUT)'!BC43:BC46))</f>
        <v>0</v>
      </c>
      <c r="FB37" s="50">
        <f>IF($AN37="N","N",SUM('調查資料(OUT)'!BG43:BG46))</f>
        <v>0</v>
      </c>
      <c r="FC37" s="56" t="e">
        <f t="shared" si="230"/>
        <v>#DIV/0!</v>
      </c>
      <c r="FD37" s="50">
        <f t="shared" si="231"/>
        <v>0</v>
      </c>
      <c r="FE37" s="50">
        <f>IF($AN37="N","N",SUM('調查資料(OUT)'!AZ43:AZ46))</f>
        <v>0</v>
      </c>
      <c r="FF37" s="50">
        <f>IF($AN37="N","N",SUM('調查資料(OUT)'!BD43:BD46))</f>
        <v>0</v>
      </c>
      <c r="FG37" s="50">
        <f>IF($AN37="N","N",SUM('調查資料(OUT)'!BH43:BH46))</f>
        <v>0</v>
      </c>
      <c r="FH37" s="56" t="e">
        <f t="shared" si="232"/>
        <v>#DIV/0!</v>
      </c>
      <c r="FI37" s="50">
        <f t="shared" si="233"/>
        <v>0</v>
      </c>
      <c r="FJ37" s="50">
        <f>IF($AN37="N","N",SUM('調查資料(OUT)'!BA43:BA46))</f>
        <v>0</v>
      </c>
      <c r="FK37" s="50">
        <f>IF($AN37="N","N",SUM('調查資料(OUT)'!BE43:BE46))</f>
        <v>0</v>
      </c>
      <c r="FL37" s="50">
        <f>IF($AN37="N","N",SUM('調查資料(OUT)'!BI43:BI46))</f>
        <v>0</v>
      </c>
      <c r="FM37" s="56" t="e">
        <f t="shared" si="234"/>
        <v>#DIV/0!</v>
      </c>
      <c r="FN37" s="50">
        <f t="shared" si="246"/>
        <v>0</v>
      </c>
      <c r="FO37" s="56" t="e">
        <f t="shared" si="247"/>
        <v>#DIV/0!</v>
      </c>
      <c r="FP37" s="50">
        <f t="shared" si="248"/>
        <v>0</v>
      </c>
      <c r="FQ37" s="56" t="e">
        <f t="shared" si="249"/>
        <v>#DIV/0!</v>
      </c>
      <c r="FR37" s="50">
        <f t="shared" si="250"/>
        <v>0</v>
      </c>
      <c r="FS37" s="56" t="e">
        <f t="shared" si="251"/>
        <v>#DIV/0!</v>
      </c>
      <c r="FT37" s="50">
        <f t="shared" si="252"/>
        <v>0</v>
      </c>
    </row>
    <row r="38" spans="1:176">
      <c r="A38" s="274">
        <f>'調查資料(OUT)'!A44</f>
        <v>815</v>
      </c>
      <c r="B38" s="50">
        <f t="shared" si="238"/>
        <v>0</v>
      </c>
      <c r="C38" s="50">
        <f>IFERROR('調查資料(OUT)'!$B$1*'調查資料(OUT)'!B44,0)+IFERROR('調查資料(OUT)'!$F$1*'調查資料(OUT)'!F44,0)+IFERROR('調查資料(OUT)'!$J$1*'調查資料(OUT)'!J44,0)</f>
        <v>0</v>
      </c>
      <c r="D38" s="50">
        <f>IFERROR('調查資料(OUT)'!$C$1*'調查資料(OUT)'!C44,0)+IFERROR('調查資料(OUT)'!$G$1*'調查資料(OUT)'!G44,0)+IFERROR('調查資料(OUT)'!$K$1*'調查資料(OUT)'!K44,0)</f>
        <v>0</v>
      </c>
      <c r="E38" s="50">
        <f>IFERROR('調查資料(OUT)'!$D$1*'調查資料(OUT)'!D44,0)+IFERROR('調查資料(OUT)'!$H$1*'調查資料(OUT)'!H44,0)+IFERROR('調查資料(OUT)'!$L$1*'調查資料(OUT)'!L44,0)</f>
        <v>0</v>
      </c>
      <c r="F38" s="252">
        <f>IFERROR('調查資料(OUT)'!$E$1*'調查資料(OUT)'!E44,0)+IFERROR('調查資料(OUT)'!$I$1*'調查資料(OUT)'!I44,0)+IFERROR('調查資料(OUT)'!$M$1*'調查資料(OUT)'!M44,0)</f>
        <v>0</v>
      </c>
      <c r="G38" s="50">
        <f t="shared" si="239"/>
        <v>0</v>
      </c>
      <c r="H38" s="50">
        <f>IFERROR('調查資料(OUT)'!$N$1*'調查資料(OUT)'!N44,0)+IFERROR('調查資料(OUT)'!$R$1*'調查資料(OUT)'!R44,0)+IFERROR('調查資料(OUT)'!$V$1*'調查資料(OUT)'!V44,0)</f>
        <v>0</v>
      </c>
      <c r="I38" s="50">
        <f>IFERROR('調查資料(OUT)'!$O$1*'調查資料(OUT)'!O44,0)+IFERROR('調查資料(OUT)'!$S$1*'調查資料(OUT)'!S44,0)+IFERROR('調查資料(OUT)'!$W$1*'調查資料(OUT)'!W44,0)</f>
        <v>0</v>
      </c>
      <c r="J38" s="50">
        <f>IFERROR('調查資料(OUT)'!$P$1*'調查資料(OUT)'!P44,0)+IFERROR('調查資料(OUT)'!$T$1*'調查資料(OUT)'!T44,0)+IFERROR('調查資料(OUT)'!$X$1*'調查資料(OUT)'!X44,0)</f>
        <v>0</v>
      </c>
      <c r="K38" s="252">
        <f>IFERROR('調查資料(OUT)'!$Q$1*'調查資料(OUT)'!Q44,0)+IFERROR('調查資料(OUT)'!$U$1*'調查資料(OUT)'!U44,0)+IFERROR('調查資料(OUT)'!$Y$1*'調查資料(OUT)'!Y44,0)</f>
        <v>0</v>
      </c>
      <c r="L38" s="50">
        <f t="shared" si="240"/>
        <v>0</v>
      </c>
      <c r="M38" s="50">
        <f>IFERROR('調查資料(OUT)'!$Z$1*'調查資料(OUT)'!Z44,0)+IFERROR('調查資料(OUT)'!$AD$1*'調查資料(OUT)'!AD44,0)+IFERROR('調查資料(OUT)'!$AH$1*'調查資料(OUT)'!AH44,0)</f>
        <v>0</v>
      </c>
      <c r="N38" s="50">
        <f>IFERROR('調查資料(OUT)'!$AA$1*'調查資料(OUT)'!AA44,0)+IFERROR('調查資料(OUT)'!$AE$1*'調查資料(OUT)'!AE44,0)+IFERROR('調查資料(OUT)'!$AI$1*'調查資料(OUT)'!AI44,0)</f>
        <v>0</v>
      </c>
      <c r="O38" s="50">
        <f>IFERROR('調查資料(OUT)'!$AB$1*'調查資料(OUT)'!AB44,0)+IFERROR('調查資料(OUT)'!$AF$1*'調查資料(OUT)'!AF44,0)+IFERROR('調查資料(OUT)'!$AJ$1*'調查資料(OUT)'!AJ44,0)</f>
        <v>0</v>
      </c>
      <c r="P38" s="252">
        <f>IFERROR('調查資料(OUT)'!$AC$1*'調查資料(OUT)'!AC44,0)+IFERROR('調查資料(OUT)'!$AG$1*'調查資料(OUT)'!AG44,0)+IFERROR('調查資料(OUT)'!$AK$1*'調查資料(OUT)'!AK44,0)</f>
        <v>0</v>
      </c>
      <c r="Q38" s="50">
        <f t="shared" si="241"/>
        <v>0</v>
      </c>
      <c r="R38" s="50">
        <f>IFERROR('調查資料(OUT)'!$AL$1*'調查資料(OUT)'!AL44,0)+IFERROR('調查資料(OUT)'!$AP$1*'調查資料(OUT)'!AP44,0)+IFERROR('調查資料(OUT)'!$AT$1*'調查資料(OUT)'!AT44,0)</f>
        <v>0</v>
      </c>
      <c r="S38" s="50">
        <f>IFERROR('調查資料(OUT)'!$AM$1*'調查資料(OUT)'!AM44,0)+IFERROR('調查資料(OUT)'!$AQ$1*'調查資料(OUT)'!AQ44,0)+IFERROR('調查資料(OUT)'!$AU$1*'調查資料(OUT)'!AU44,0)</f>
        <v>0</v>
      </c>
      <c r="T38" s="50">
        <f>IFERROR('調查資料(OUT)'!$AN$1*'調查資料(OUT)'!AN44,0)+IFERROR('調查資料(OUT)'!$AR$1*'調查資料(OUT)'!AR44,0)+IFERROR('調查資料(OUT)'!$AV$1*'調查資料(OUT)'!AV44,0)</f>
        <v>0</v>
      </c>
      <c r="U38" s="252">
        <f>IFERROR('調查資料(OUT)'!$AO$1*'調查資料(OUT)'!AO44,0)+IFERROR('調查資料(OUT)'!$AS$1*'調查資料(OUT)'!AS44,0)+IFERROR('調查資料(OUT)'!$AW$1*'調查資料(OUT)'!AW44,0)</f>
        <v>0</v>
      </c>
      <c r="V38" s="50">
        <f t="shared" si="242"/>
        <v>0</v>
      </c>
      <c r="W38" s="50">
        <f>IFERROR('調查資料(OUT)'!$AX$1*'調查資料(OUT)'!AX44,0)+IFERROR('調查資料(OUT)'!$BB$1*'調查資料(OUT)'!BB44,0)+IFERROR('調查資料(OUT)'!$BF$1*'調查資料(OUT)'!BF44,0)</f>
        <v>0</v>
      </c>
      <c r="X38" s="50">
        <f>IFERROR('調查資料(OUT)'!$AY$1*'調查資料(OUT)'!AY44,0)+IFERROR('調查資料(OUT)'!$BC$1*'調查資料(OUT)'!BC44,0)+IFERROR('調查資料(OUT)'!$BG$1*'調查資料(OUT)'!BG44,0)</f>
        <v>0</v>
      </c>
      <c r="Y38" s="50">
        <f>IFERROR('調查資料(OUT)'!$AZ$1*'調查資料(OUT)'!AZ44,0)+IFERROR('調查資料(OUT)'!$BD$1*'調查資料(OUT)'!BD44,0)+IFERROR('調查資料(OUT)'!$BH$1*'調查資料(OUT)'!BH44,0)</f>
        <v>0</v>
      </c>
      <c r="Z38" s="252">
        <f>IFERROR('調查資料(OUT)'!$BA$1*'調查資料(OUT)'!BA44,0)+IFERROR('調查資料(OUT)'!$BE$1*'調查資料(OUT)'!BE44,0)+IFERROR('調查資料(OUT)'!$BI$1*'調查資料(OUT)'!BI44,0)</f>
        <v>0</v>
      </c>
      <c r="AA38" s="253">
        <f t="shared" si="243"/>
        <v>0</v>
      </c>
      <c r="AC38" s="251">
        <f>'調查資料(OUT)'!A44</f>
        <v>815</v>
      </c>
      <c r="AD38" s="254">
        <f t="shared" si="244"/>
        <v>915</v>
      </c>
      <c r="AE38" s="50">
        <f t="shared" si="254"/>
        <v>0</v>
      </c>
      <c r="AG38" s="50">
        <f t="shared" si="1"/>
        <v>0</v>
      </c>
      <c r="AH38" s="256" t="e">
        <f t="shared" si="2"/>
        <v>#DIV/0!</v>
      </c>
      <c r="AI38" s="256" t="e">
        <f t="shared" si="3"/>
        <v>#DIV/0!</v>
      </c>
      <c r="AJ38" s="256" t="e">
        <f t="shared" si="4"/>
        <v>#DIV/0!</v>
      </c>
      <c r="AK38" s="256" t="e">
        <f t="shared" si="5"/>
        <v>#DIV/0!</v>
      </c>
      <c r="AL38" s="256" t="e">
        <f t="shared" si="6"/>
        <v>#DIV/0!</v>
      </c>
      <c r="AN38" s="50">
        <f t="shared" si="7"/>
        <v>815</v>
      </c>
      <c r="AO38" s="252">
        <f t="shared" si="8"/>
        <v>915</v>
      </c>
      <c r="AP38" s="50">
        <f t="shared" si="245"/>
        <v>0</v>
      </c>
      <c r="AQ38" s="50">
        <f>IF($AN38="N","N",SUM('調查資料(OUT)'!B44:B47))</f>
        <v>0</v>
      </c>
      <c r="AR38" s="50">
        <f>IF($AN38="N","N",SUM('調查資料(OUT)'!F44:F47))</f>
        <v>0</v>
      </c>
      <c r="AS38" s="50">
        <f>IF($AN38="N","N",SUM('調查資料(OUT)'!J44:J47))</f>
        <v>0</v>
      </c>
      <c r="AT38" s="56" t="e">
        <f t="shared" si="169"/>
        <v>#DIV/0!</v>
      </c>
      <c r="AU38" s="50">
        <f t="shared" si="170"/>
        <v>0</v>
      </c>
      <c r="AV38" s="50">
        <f>IF($AN38="N","N",SUM('調查資料(OUT)'!C44:C47))</f>
        <v>0</v>
      </c>
      <c r="AW38" s="50">
        <f>IF($AN38="N","N",SUM('調查資料(OUT)'!G44:G47))</f>
        <v>0</v>
      </c>
      <c r="AX38" s="50">
        <f>IF($AN38="N","N",SUM('調查資料(OUT)'!K44:K47))</f>
        <v>0</v>
      </c>
      <c r="AY38" s="56" t="e">
        <f t="shared" si="171"/>
        <v>#DIV/0!</v>
      </c>
      <c r="AZ38" s="50">
        <f t="shared" si="172"/>
        <v>0</v>
      </c>
      <c r="BA38" s="50">
        <f>IF($AN38="N","N",SUM('調查資料(OUT)'!D44:D47))</f>
        <v>0</v>
      </c>
      <c r="BB38" s="50">
        <f>IF($AN38="N","N",SUM('調查資料(OUT)'!H44:H47))</f>
        <v>0</v>
      </c>
      <c r="BC38" s="50">
        <f>IF($AN38="N","N",SUM('調查資料(OUT)'!L44:L47))</f>
        <v>0</v>
      </c>
      <c r="BD38" s="56" t="e">
        <f t="shared" si="173"/>
        <v>#DIV/0!</v>
      </c>
      <c r="BE38" s="50">
        <f t="shared" si="174"/>
        <v>0</v>
      </c>
      <c r="BF38" s="50">
        <f>IF($AN38="N","N",SUM('調查資料(OUT)'!E44:E47))</f>
        <v>0</v>
      </c>
      <c r="BG38" s="50">
        <f>IF($AN38="N","N",SUM('調查資料(OUT)'!I44:I47))</f>
        <v>0</v>
      </c>
      <c r="BH38" s="50">
        <f>IF($AN38="N","N",SUM('調查資料(OUT)'!M44:M47))</f>
        <v>0</v>
      </c>
      <c r="BI38" s="56" t="e">
        <f t="shared" si="175"/>
        <v>#DIV/0!</v>
      </c>
      <c r="BJ38" s="50">
        <f t="shared" si="255"/>
        <v>0</v>
      </c>
      <c r="BK38" s="56" t="e">
        <f t="shared" si="256"/>
        <v>#DIV/0!</v>
      </c>
      <c r="BL38" s="50">
        <f t="shared" si="257"/>
        <v>0</v>
      </c>
      <c r="BM38" s="56" t="e">
        <f t="shared" si="258"/>
        <v>#DIV/0!</v>
      </c>
      <c r="BN38" s="50">
        <f t="shared" si="259"/>
        <v>0</v>
      </c>
      <c r="BO38" s="56" t="e">
        <f t="shared" si="260"/>
        <v>#DIV/0!</v>
      </c>
      <c r="BP38" s="50">
        <f t="shared" si="261"/>
        <v>0</v>
      </c>
      <c r="BQ38" s="50">
        <f t="shared" si="183"/>
        <v>0</v>
      </c>
      <c r="BR38" s="50">
        <f>IF($AN38="N","N",SUM('調查資料(OUT)'!N44:N47))</f>
        <v>0</v>
      </c>
      <c r="BS38" s="50">
        <f>IF($AN38="N","N",SUM('調查資料(OUT)'!R44:R47))</f>
        <v>0</v>
      </c>
      <c r="BT38" s="50">
        <f>IF($AN38="N","N",SUM('調查資料(OUT)'!V44:V47))</f>
        <v>0</v>
      </c>
      <c r="BU38" s="56" t="e">
        <f t="shared" si="184"/>
        <v>#DIV/0!</v>
      </c>
      <c r="BV38" s="50">
        <f t="shared" si="185"/>
        <v>0</v>
      </c>
      <c r="BW38" s="50">
        <f>IF($AN38="N","N",SUM('調查資料(OUT)'!O44:O47))</f>
        <v>0</v>
      </c>
      <c r="BX38" s="50">
        <f>IF($AN38="N","N",SUM('調查資料(OUT)'!S44:S47))</f>
        <v>0</v>
      </c>
      <c r="BY38" s="50">
        <f>IF($AN38="N","N",SUM('調查資料(OUT)'!W44:W47))</f>
        <v>0</v>
      </c>
      <c r="BZ38" s="56" t="e">
        <f t="shared" si="186"/>
        <v>#DIV/0!</v>
      </c>
      <c r="CA38" s="50">
        <f t="shared" si="187"/>
        <v>0</v>
      </c>
      <c r="CB38" s="50">
        <f>IF($AN38="N","N",SUM('調查資料(OUT)'!P44:P47))</f>
        <v>0</v>
      </c>
      <c r="CC38" s="50">
        <f>IF($AN38="N","N",SUM('調查資料(OUT)'!T44:T47))</f>
        <v>0</v>
      </c>
      <c r="CD38" s="50">
        <f>IF($AN38="N","N",SUM('調查資料(OUT)'!X44:X47))</f>
        <v>0</v>
      </c>
      <c r="CE38" s="56" t="e">
        <f t="shared" si="188"/>
        <v>#DIV/0!</v>
      </c>
      <c r="CF38" s="50">
        <f t="shared" si="189"/>
        <v>0</v>
      </c>
      <c r="CG38" s="50">
        <f>IF($AN38="N","N",SUM('調查資料(OUT)'!Q44:Q47))</f>
        <v>0</v>
      </c>
      <c r="CH38" s="50">
        <f>IF($AN38="N","N",SUM('調查資料(OUT)'!U44:U47))</f>
        <v>0</v>
      </c>
      <c r="CI38" s="50">
        <f>IF($AN38="N","N",SUM('調查資料(OUT)'!Y44:Y47))</f>
        <v>0</v>
      </c>
      <c r="CJ38" s="56" t="e">
        <f t="shared" si="190"/>
        <v>#DIV/0!</v>
      </c>
      <c r="CK38" s="50">
        <f t="shared" si="262"/>
        <v>0</v>
      </c>
      <c r="CL38" s="56" t="e">
        <f t="shared" si="263"/>
        <v>#DIV/0!</v>
      </c>
      <c r="CM38" s="50">
        <f t="shared" si="264"/>
        <v>0</v>
      </c>
      <c r="CN38" s="56" t="e">
        <f t="shared" si="265"/>
        <v>#DIV/0!</v>
      </c>
      <c r="CO38" s="50">
        <f t="shared" si="266"/>
        <v>0</v>
      </c>
      <c r="CP38" s="56" t="e">
        <f t="shared" si="267"/>
        <v>#DIV/0!</v>
      </c>
      <c r="CQ38" s="50">
        <f t="shared" si="268"/>
        <v>0</v>
      </c>
      <c r="CR38" s="50">
        <f t="shared" si="198"/>
        <v>0</v>
      </c>
      <c r="CS38" s="50">
        <f>IF($AN38="N","N",SUM('調查資料(OUT)'!Z44:Z47))</f>
        <v>0</v>
      </c>
      <c r="CT38" s="50">
        <f>IF($AN38="N","N",SUM('調查資料(OUT)'!AD44:AD47))</f>
        <v>0</v>
      </c>
      <c r="CU38" s="50">
        <f>IF($AN38="N","N",SUM('調查資料(OUT)'!AH44:AH47))</f>
        <v>0</v>
      </c>
      <c r="CV38" s="56" t="e">
        <f t="shared" si="199"/>
        <v>#DIV/0!</v>
      </c>
      <c r="CW38" s="50">
        <f t="shared" si="200"/>
        <v>0</v>
      </c>
      <c r="CX38" s="50">
        <f>IF($AN38="N","N",SUM('調查資料(OUT)'!AA44:AA47))</f>
        <v>0</v>
      </c>
      <c r="CY38" s="50">
        <f>IF($AN38="N","N",SUM('調查資料(OUT)'!AE44:AE47))</f>
        <v>0</v>
      </c>
      <c r="CZ38" s="50">
        <f>IF($AN38="N","N",SUM('調查資料(OUT)'!AI44:AI47))</f>
        <v>0</v>
      </c>
      <c r="DA38" s="56" t="e">
        <f t="shared" si="201"/>
        <v>#DIV/0!</v>
      </c>
      <c r="DB38" s="50">
        <f t="shared" si="202"/>
        <v>0</v>
      </c>
      <c r="DC38" s="50">
        <f>IF($AN38="N","N",SUM('調查資料(OUT)'!AB44:AB47))</f>
        <v>0</v>
      </c>
      <c r="DD38" s="50">
        <f>IF($AN38="N","N",SUM('調查資料(OUT)'!AF44:AF47))</f>
        <v>0</v>
      </c>
      <c r="DE38" s="50">
        <f>IF($AN38="N","N",SUM('調查資料(OUT)'!AJ44:AJ47))</f>
        <v>0</v>
      </c>
      <c r="DF38" s="56" t="e">
        <f t="shared" si="203"/>
        <v>#DIV/0!</v>
      </c>
      <c r="DG38" s="50">
        <f t="shared" si="204"/>
        <v>0</v>
      </c>
      <c r="DH38" s="50">
        <f>IF($AN38="N","N",SUM('調查資料(OUT)'!AC44:AC47))</f>
        <v>0</v>
      </c>
      <c r="DI38" s="50">
        <f>IF($AN38="N","N",SUM('調查資料(OUT)'!AG44:AG47))</f>
        <v>0</v>
      </c>
      <c r="DJ38" s="50">
        <f>IF($AN38="N","N",SUM('調查資料(OUT)'!AK44:AK47))</f>
        <v>0</v>
      </c>
      <c r="DK38" s="56" t="e">
        <f t="shared" si="205"/>
        <v>#DIV/0!</v>
      </c>
      <c r="DL38" s="50">
        <f t="shared" si="269"/>
        <v>0</v>
      </c>
      <c r="DM38" s="56" t="e">
        <f t="shared" si="270"/>
        <v>#DIV/0!</v>
      </c>
      <c r="DN38" s="50">
        <f t="shared" si="271"/>
        <v>0</v>
      </c>
      <c r="DO38" s="56" t="e">
        <f t="shared" si="272"/>
        <v>#DIV/0!</v>
      </c>
      <c r="DP38" s="50">
        <f t="shared" si="273"/>
        <v>0</v>
      </c>
      <c r="DQ38" s="56" t="e">
        <f t="shared" si="274"/>
        <v>#DIV/0!</v>
      </c>
      <c r="DR38" s="50">
        <f t="shared" si="275"/>
        <v>0</v>
      </c>
      <c r="DS38" s="50">
        <f t="shared" si="213"/>
        <v>0</v>
      </c>
      <c r="DT38" s="50">
        <f>IF($AN38="N","N",SUM('調查資料(OUT)'!AL44:AL47))</f>
        <v>0</v>
      </c>
      <c r="DU38" s="50">
        <f>IF($AN38="N","N",SUM('調查資料(OUT)'!AP44:AP47))</f>
        <v>0</v>
      </c>
      <c r="DV38" s="50">
        <f>IF($AN38="N","N",SUM('調查資料(OUT)'!AT44:AT47))</f>
        <v>0</v>
      </c>
      <c r="DW38" s="56" t="e">
        <f t="shared" si="214"/>
        <v>#DIV/0!</v>
      </c>
      <c r="DX38" s="50">
        <f t="shared" si="215"/>
        <v>0</v>
      </c>
      <c r="DY38" s="50">
        <f>IF($AN38="N","N",SUM('調查資料(OUT)'!AM44:AM47))</f>
        <v>0</v>
      </c>
      <c r="DZ38" s="50">
        <f>IF($AN38="N","N",SUM('調查資料(OUT)'!AQ44:AQ47))</f>
        <v>0</v>
      </c>
      <c r="EA38" s="50">
        <f>IF($AN38="N","N",SUM('調查資料(OUT)'!AU44:AU47))</f>
        <v>0</v>
      </c>
      <c r="EB38" s="56" t="e">
        <f t="shared" si="216"/>
        <v>#DIV/0!</v>
      </c>
      <c r="EC38" s="50">
        <f t="shared" si="217"/>
        <v>0</v>
      </c>
      <c r="ED38" s="50">
        <f>IF($AN38="N","N",SUM('調查資料(OUT)'!AN44:AN47))</f>
        <v>0</v>
      </c>
      <c r="EE38" s="50">
        <f>IF($AN38="N","N",SUM('調查資料(OUT)'!AR44:AR47))</f>
        <v>0</v>
      </c>
      <c r="EF38" s="50">
        <f>IF($AN38="N","N",SUM('調查資料(OUT)'!AV44:AV47))</f>
        <v>0</v>
      </c>
      <c r="EG38" s="56" t="e">
        <f t="shared" si="218"/>
        <v>#DIV/0!</v>
      </c>
      <c r="EH38" s="50">
        <f t="shared" si="219"/>
        <v>0</v>
      </c>
      <c r="EI38" s="50">
        <f>IF($AN38="N","N",SUM('調查資料(OUT)'!AO44:AO47))</f>
        <v>0</v>
      </c>
      <c r="EJ38" s="50">
        <f>IF($AN38="N","N",SUM('調查資料(OUT)'!AS44:AS47))</f>
        <v>0</v>
      </c>
      <c r="EK38" s="50">
        <f>IF($AN38="N","N",SUM('調查資料(OUT)'!AW44:AW47))</f>
        <v>0</v>
      </c>
      <c r="EL38" s="56" t="e">
        <f t="shared" si="220"/>
        <v>#DIV/0!</v>
      </c>
      <c r="EM38" s="50">
        <f t="shared" si="276"/>
        <v>0</v>
      </c>
      <c r="EN38" s="56" t="e">
        <f t="shared" si="277"/>
        <v>#DIV/0!</v>
      </c>
      <c r="EO38" s="50">
        <f t="shared" si="278"/>
        <v>0</v>
      </c>
      <c r="EP38" s="56" t="e">
        <f t="shared" si="279"/>
        <v>#DIV/0!</v>
      </c>
      <c r="EQ38" s="50">
        <f t="shared" si="280"/>
        <v>0</v>
      </c>
      <c r="ER38" s="56" t="e">
        <f t="shared" si="281"/>
        <v>#DIV/0!</v>
      </c>
      <c r="ES38" s="50">
        <f t="shared" si="282"/>
        <v>0</v>
      </c>
      <c r="ET38" s="50">
        <f t="shared" si="227"/>
        <v>0</v>
      </c>
      <c r="EU38" s="50">
        <f>IF($AN38="N","N",SUM('調查資料(OUT)'!AX44:AX47))</f>
        <v>0</v>
      </c>
      <c r="EV38" s="50">
        <f>IF($AN38="N","N",SUM('調查資料(OUT)'!BB44:BB47))</f>
        <v>0</v>
      </c>
      <c r="EW38" s="50">
        <f>IF($AN38="N","N",SUM('調查資料(OUT)'!BF44:BF47))</f>
        <v>0</v>
      </c>
      <c r="EX38" s="56" t="e">
        <f t="shared" si="228"/>
        <v>#DIV/0!</v>
      </c>
      <c r="EY38" s="50">
        <f t="shared" si="229"/>
        <v>0</v>
      </c>
      <c r="EZ38" s="50">
        <f>IF($AN38="N","N",SUM('調查資料(OUT)'!AY44:AY47))</f>
        <v>0</v>
      </c>
      <c r="FA38" s="50">
        <f>IF($AN38="N","N",SUM('調查資料(OUT)'!BC44:BC47))</f>
        <v>0</v>
      </c>
      <c r="FB38" s="50">
        <f>IF($AN38="N","N",SUM('調查資料(OUT)'!BG44:BG47))</f>
        <v>0</v>
      </c>
      <c r="FC38" s="56" t="e">
        <f t="shared" si="230"/>
        <v>#DIV/0!</v>
      </c>
      <c r="FD38" s="50">
        <f t="shared" si="231"/>
        <v>0</v>
      </c>
      <c r="FE38" s="50">
        <f>IF($AN38="N","N",SUM('調查資料(OUT)'!AZ44:AZ47))</f>
        <v>0</v>
      </c>
      <c r="FF38" s="50">
        <f>IF($AN38="N","N",SUM('調查資料(OUT)'!BD44:BD47))</f>
        <v>0</v>
      </c>
      <c r="FG38" s="50">
        <f>IF($AN38="N","N",SUM('調查資料(OUT)'!BH44:BH47))</f>
        <v>0</v>
      </c>
      <c r="FH38" s="56" t="e">
        <f t="shared" si="232"/>
        <v>#DIV/0!</v>
      </c>
      <c r="FI38" s="50">
        <f t="shared" si="233"/>
        <v>0</v>
      </c>
      <c r="FJ38" s="50">
        <f>IF($AN38="N","N",SUM('調查資料(OUT)'!BA44:BA47))</f>
        <v>0</v>
      </c>
      <c r="FK38" s="50">
        <f>IF($AN38="N","N",SUM('調查資料(OUT)'!BE44:BE47))</f>
        <v>0</v>
      </c>
      <c r="FL38" s="50">
        <f>IF($AN38="N","N",SUM('調查資料(OUT)'!BI44:BI47))</f>
        <v>0</v>
      </c>
      <c r="FM38" s="56" t="e">
        <f t="shared" si="234"/>
        <v>#DIV/0!</v>
      </c>
      <c r="FN38" s="50">
        <f t="shared" si="246"/>
        <v>0</v>
      </c>
      <c r="FO38" s="56" t="e">
        <f t="shared" si="247"/>
        <v>#DIV/0!</v>
      </c>
      <c r="FP38" s="50">
        <f t="shared" si="248"/>
        <v>0</v>
      </c>
      <c r="FQ38" s="56" t="e">
        <f t="shared" si="249"/>
        <v>#DIV/0!</v>
      </c>
      <c r="FR38" s="50">
        <f t="shared" si="250"/>
        <v>0</v>
      </c>
      <c r="FS38" s="56" t="e">
        <f t="shared" si="251"/>
        <v>#DIV/0!</v>
      </c>
      <c r="FT38" s="50">
        <f t="shared" si="252"/>
        <v>0</v>
      </c>
    </row>
    <row r="39" spans="1:176">
      <c r="A39" s="274">
        <f>'調查資料(OUT)'!A45</f>
        <v>830</v>
      </c>
      <c r="B39" s="50">
        <f t="shared" si="238"/>
        <v>0</v>
      </c>
      <c r="C39" s="50">
        <f>IFERROR('調查資料(OUT)'!$B$1*'調查資料(OUT)'!B45,0)+IFERROR('調查資料(OUT)'!$F$1*'調查資料(OUT)'!F45,0)+IFERROR('調查資料(OUT)'!$J$1*'調查資料(OUT)'!J45,0)</f>
        <v>0</v>
      </c>
      <c r="D39" s="50">
        <f>IFERROR('調查資料(OUT)'!$C$1*'調查資料(OUT)'!C45,0)+IFERROR('調查資料(OUT)'!$G$1*'調查資料(OUT)'!G45,0)+IFERROR('調查資料(OUT)'!$K$1*'調查資料(OUT)'!K45,0)</f>
        <v>0</v>
      </c>
      <c r="E39" s="50">
        <f>IFERROR('調查資料(OUT)'!$D$1*'調查資料(OUT)'!D45,0)+IFERROR('調查資料(OUT)'!$H$1*'調查資料(OUT)'!H45,0)+IFERROR('調查資料(OUT)'!$L$1*'調查資料(OUT)'!L45,0)</f>
        <v>0</v>
      </c>
      <c r="F39" s="252">
        <f>IFERROR('調查資料(OUT)'!$E$1*'調查資料(OUT)'!E45,0)+IFERROR('調查資料(OUT)'!$I$1*'調查資料(OUT)'!I45,0)+IFERROR('調查資料(OUT)'!$M$1*'調查資料(OUT)'!M45,0)</f>
        <v>0</v>
      </c>
      <c r="G39" s="50">
        <f t="shared" si="239"/>
        <v>0</v>
      </c>
      <c r="H39" s="50">
        <f>IFERROR('調查資料(OUT)'!$N$1*'調查資料(OUT)'!N45,0)+IFERROR('調查資料(OUT)'!$R$1*'調查資料(OUT)'!R45,0)+IFERROR('調查資料(OUT)'!$V$1*'調查資料(OUT)'!V45,0)</f>
        <v>0</v>
      </c>
      <c r="I39" s="50">
        <f>IFERROR('調查資料(OUT)'!$O$1*'調查資料(OUT)'!O45,0)+IFERROR('調查資料(OUT)'!$S$1*'調查資料(OUT)'!S45,0)+IFERROR('調查資料(OUT)'!$W$1*'調查資料(OUT)'!W45,0)</f>
        <v>0</v>
      </c>
      <c r="J39" s="50">
        <f>IFERROR('調查資料(OUT)'!$P$1*'調查資料(OUT)'!P45,0)+IFERROR('調查資料(OUT)'!$T$1*'調查資料(OUT)'!T45,0)+IFERROR('調查資料(OUT)'!$X$1*'調查資料(OUT)'!X45,0)</f>
        <v>0</v>
      </c>
      <c r="K39" s="252">
        <f>IFERROR('調查資料(OUT)'!$Q$1*'調查資料(OUT)'!Q45,0)+IFERROR('調查資料(OUT)'!$U$1*'調查資料(OUT)'!U45,0)+IFERROR('調查資料(OUT)'!$Y$1*'調查資料(OUT)'!Y45,0)</f>
        <v>0</v>
      </c>
      <c r="L39" s="50">
        <f t="shared" si="240"/>
        <v>0</v>
      </c>
      <c r="M39" s="50">
        <f>IFERROR('調查資料(OUT)'!$Z$1*'調查資料(OUT)'!Z45,0)+IFERROR('調查資料(OUT)'!$AD$1*'調查資料(OUT)'!AD45,0)+IFERROR('調查資料(OUT)'!$AH$1*'調查資料(OUT)'!AH45,0)</f>
        <v>0</v>
      </c>
      <c r="N39" s="50">
        <f>IFERROR('調查資料(OUT)'!$AA$1*'調查資料(OUT)'!AA45,0)+IFERROR('調查資料(OUT)'!$AE$1*'調查資料(OUT)'!AE45,0)+IFERROR('調查資料(OUT)'!$AI$1*'調查資料(OUT)'!AI45,0)</f>
        <v>0</v>
      </c>
      <c r="O39" s="50">
        <f>IFERROR('調查資料(OUT)'!$AB$1*'調查資料(OUT)'!AB45,0)+IFERROR('調查資料(OUT)'!$AF$1*'調查資料(OUT)'!AF45,0)+IFERROR('調查資料(OUT)'!$AJ$1*'調查資料(OUT)'!AJ45,0)</f>
        <v>0</v>
      </c>
      <c r="P39" s="252">
        <f>IFERROR('調查資料(OUT)'!$AC$1*'調查資料(OUT)'!AC45,0)+IFERROR('調查資料(OUT)'!$AG$1*'調查資料(OUT)'!AG45,0)+IFERROR('調查資料(OUT)'!$AK$1*'調查資料(OUT)'!AK45,0)</f>
        <v>0</v>
      </c>
      <c r="Q39" s="50">
        <f t="shared" si="241"/>
        <v>0</v>
      </c>
      <c r="R39" s="50">
        <f>IFERROR('調查資料(OUT)'!$AL$1*'調查資料(OUT)'!AL45,0)+IFERROR('調查資料(OUT)'!$AP$1*'調查資料(OUT)'!AP45,0)+IFERROR('調查資料(OUT)'!$AT$1*'調查資料(OUT)'!AT45,0)</f>
        <v>0</v>
      </c>
      <c r="S39" s="50">
        <f>IFERROR('調查資料(OUT)'!$AM$1*'調查資料(OUT)'!AM45,0)+IFERROR('調查資料(OUT)'!$AQ$1*'調查資料(OUT)'!AQ45,0)+IFERROR('調查資料(OUT)'!$AU$1*'調查資料(OUT)'!AU45,0)</f>
        <v>0</v>
      </c>
      <c r="T39" s="50">
        <f>IFERROR('調查資料(OUT)'!$AN$1*'調查資料(OUT)'!AN45,0)+IFERROR('調查資料(OUT)'!$AR$1*'調查資料(OUT)'!AR45,0)+IFERROR('調查資料(OUT)'!$AV$1*'調查資料(OUT)'!AV45,0)</f>
        <v>0</v>
      </c>
      <c r="U39" s="252">
        <f>IFERROR('調查資料(OUT)'!$AO$1*'調查資料(OUT)'!AO45,0)+IFERROR('調查資料(OUT)'!$AS$1*'調查資料(OUT)'!AS45,0)+IFERROR('調查資料(OUT)'!$AW$1*'調查資料(OUT)'!AW45,0)</f>
        <v>0</v>
      </c>
      <c r="V39" s="50">
        <f t="shared" si="242"/>
        <v>0</v>
      </c>
      <c r="W39" s="50">
        <f>IFERROR('調查資料(OUT)'!$AX$1*'調查資料(OUT)'!AX45,0)+IFERROR('調查資料(OUT)'!$BB$1*'調查資料(OUT)'!BB45,0)+IFERROR('調查資料(OUT)'!$BF$1*'調查資料(OUT)'!BF45,0)</f>
        <v>0</v>
      </c>
      <c r="X39" s="50">
        <f>IFERROR('調查資料(OUT)'!$AY$1*'調查資料(OUT)'!AY45,0)+IFERROR('調查資料(OUT)'!$BC$1*'調查資料(OUT)'!BC45,0)+IFERROR('調查資料(OUT)'!$BG$1*'調查資料(OUT)'!BG45,0)</f>
        <v>0</v>
      </c>
      <c r="Y39" s="50">
        <f>IFERROR('調查資料(OUT)'!$AZ$1*'調查資料(OUT)'!AZ45,0)+IFERROR('調查資料(OUT)'!$BD$1*'調查資料(OUT)'!BD45,0)+IFERROR('調查資料(OUT)'!$BH$1*'調查資料(OUT)'!BH45,0)</f>
        <v>0</v>
      </c>
      <c r="Z39" s="252">
        <f>IFERROR('調查資料(OUT)'!$BA$1*'調查資料(OUT)'!BA45,0)+IFERROR('調查資料(OUT)'!$BE$1*'調查資料(OUT)'!BE45,0)+IFERROR('調查資料(OUT)'!$BI$1*'調查資料(OUT)'!BI45,0)</f>
        <v>0</v>
      </c>
      <c r="AA39" s="253">
        <f t="shared" si="243"/>
        <v>0</v>
      </c>
      <c r="AC39" s="251">
        <f>'調查資料(OUT)'!A45</f>
        <v>830</v>
      </c>
      <c r="AD39" s="254">
        <f t="shared" si="244"/>
        <v>930</v>
      </c>
      <c r="AE39" s="50">
        <f t="shared" si="254"/>
        <v>0</v>
      </c>
      <c r="AG39" s="50">
        <f t="shared" si="1"/>
        <v>0</v>
      </c>
      <c r="AH39" s="256" t="e">
        <f t="shared" si="2"/>
        <v>#DIV/0!</v>
      </c>
      <c r="AI39" s="256" t="e">
        <f t="shared" si="3"/>
        <v>#DIV/0!</v>
      </c>
      <c r="AJ39" s="256" t="e">
        <f t="shared" si="4"/>
        <v>#DIV/0!</v>
      </c>
      <c r="AK39" s="256" t="e">
        <f t="shared" si="5"/>
        <v>#DIV/0!</v>
      </c>
      <c r="AL39" s="256" t="e">
        <f t="shared" si="6"/>
        <v>#DIV/0!</v>
      </c>
      <c r="AN39" s="50">
        <f t="shared" si="7"/>
        <v>830</v>
      </c>
      <c r="AO39" s="252">
        <f t="shared" si="8"/>
        <v>930</v>
      </c>
      <c r="AP39" s="50">
        <f t="shared" si="245"/>
        <v>0</v>
      </c>
      <c r="AQ39" s="50">
        <f>IF($AN39="N","N",SUM('調查資料(OUT)'!B45:B48))</f>
        <v>0</v>
      </c>
      <c r="AR39" s="50">
        <f>IF($AN39="N","N",SUM('調查資料(OUT)'!F45:F48))</f>
        <v>0</v>
      </c>
      <c r="AS39" s="50">
        <f>IF($AN39="N","N",SUM('調查資料(OUT)'!J45:J48))</f>
        <v>0</v>
      </c>
      <c r="AT39" s="56" t="e">
        <f t="shared" si="169"/>
        <v>#DIV/0!</v>
      </c>
      <c r="AU39" s="50">
        <f t="shared" si="170"/>
        <v>0</v>
      </c>
      <c r="AV39" s="50">
        <f>IF($AN39="N","N",SUM('調查資料(OUT)'!C45:C48))</f>
        <v>0</v>
      </c>
      <c r="AW39" s="50">
        <f>IF($AN39="N","N",SUM('調查資料(OUT)'!G45:G48))</f>
        <v>0</v>
      </c>
      <c r="AX39" s="50">
        <f>IF($AN39="N","N",SUM('調查資料(OUT)'!K45:K48))</f>
        <v>0</v>
      </c>
      <c r="AY39" s="56" t="e">
        <f t="shared" si="171"/>
        <v>#DIV/0!</v>
      </c>
      <c r="AZ39" s="50">
        <f t="shared" si="172"/>
        <v>0</v>
      </c>
      <c r="BA39" s="50">
        <f>IF($AN39="N","N",SUM('調查資料(OUT)'!D45:D48))</f>
        <v>0</v>
      </c>
      <c r="BB39" s="50">
        <f>IF($AN39="N","N",SUM('調查資料(OUT)'!H45:H48))</f>
        <v>0</v>
      </c>
      <c r="BC39" s="50">
        <f>IF($AN39="N","N",SUM('調查資料(OUT)'!L45:L48))</f>
        <v>0</v>
      </c>
      <c r="BD39" s="56" t="e">
        <f t="shared" si="173"/>
        <v>#DIV/0!</v>
      </c>
      <c r="BE39" s="50">
        <f t="shared" si="174"/>
        <v>0</v>
      </c>
      <c r="BF39" s="50">
        <f>IF($AN39="N","N",SUM('調查資料(OUT)'!E45:E48))</f>
        <v>0</v>
      </c>
      <c r="BG39" s="50">
        <f>IF($AN39="N","N",SUM('調查資料(OUT)'!I45:I48))</f>
        <v>0</v>
      </c>
      <c r="BH39" s="50">
        <f>IF($AN39="N","N",SUM('調查資料(OUT)'!M45:M48))</f>
        <v>0</v>
      </c>
      <c r="BI39" s="56" t="e">
        <f t="shared" si="175"/>
        <v>#DIV/0!</v>
      </c>
      <c r="BJ39" s="50">
        <f t="shared" si="255"/>
        <v>0</v>
      </c>
      <c r="BK39" s="56" t="e">
        <f t="shared" si="256"/>
        <v>#DIV/0!</v>
      </c>
      <c r="BL39" s="50">
        <f t="shared" si="257"/>
        <v>0</v>
      </c>
      <c r="BM39" s="56" t="e">
        <f t="shared" si="258"/>
        <v>#DIV/0!</v>
      </c>
      <c r="BN39" s="50">
        <f t="shared" si="259"/>
        <v>0</v>
      </c>
      <c r="BO39" s="56" t="e">
        <f t="shared" si="260"/>
        <v>#DIV/0!</v>
      </c>
      <c r="BP39" s="50">
        <f t="shared" si="261"/>
        <v>0</v>
      </c>
      <c r="BQ39" s="50">
        <f t="shared" si="183"/>
        <v>0</v>
      </c>
      <c r="BR39" s="50">
        <f>IF($AN39="N","N",SUM('調查資料(OUT)'!N45:N48))</f>
        <v>0</v>
      </c>
      <c r="BS39" s="50">
        <f>IF($AN39="N","N",SUM('調查資料(OUT)'!R45:R48))</f>
        <v>0</v>
      </c>
      <c r="BT39" s="50">
        <f>IF($AN39="N","N",SUM('調查資料(OUT)'!V45:V48))</f>
        <v>0</v>
      </c>
      <c r="BU39" s="56" t="e">
        <f t="shared" si="184"/>
        <v>#DIV/0!</v>
      </c>
      <c r="BV39" s="50">
        <f t="shared" si="185"/>
        <v>0</v>
      </c>
      <c r="BW39" s="50">
        <f>IF($AN39="N","N",SUM('調查資料(OUT)'!O45:O48))</f>
        <v>0</v>
      </c>
      <c r="BX39" s="50">
        <f>IF($AN39="N","N",SUM('調查資料(OUT)'!S45:S48))</f>
        <v>0</v>
      </c>
      <c r="BY39" s="50">
        <f>IF($AN39="N","N",SUM('調查資料(OUT)'!W45:W48))</f>
        <v>0</v>
      </c>
      <c r="BZ39" s="56" t="e">
        <f t="shared" si="186"/>
        <v>#DIV/0!</v>
      </c>
      <c r="CA39" s="50">
        <f t="shared" si="187"/>
        <v>0</v>
      </c>
      <c r="CB39" s="50">
        <f>IF($AN39="N","N",SUM('調查資料(OUT)'!P45:P48))</f>
        <v>0</v>
      </c>
      <c r="CC39" s="50">
        <f>IF($AN39="N","N",SUM('調查資料(OUT)'!T45:T48))</f>
        <v>0</v>
      </c>
      <c r="CD39" s="50">
        <f>IF($AN39="N","N",SUM('調查資料(OUT)'!X45:X48))</f>
        <v>0</v>
      </c>
      <c r="CE39" s="56" t="e">
        <f t="shared" si="188"/>
        <v>#DIV/0!</v>
      </c>
      <c r="CF39" s="50">
        <f t="shared" si="189"/>
        <v>0</v>
      </c>
      <c r="CG39" s="50">
        <f>IF($AN39="N","N",SUM('調查資料(OUT)'!Q45:Q48))</f>
        <v>0</v>
      </c>
      <c r="CH39" s="50">
        <f>IF($AN39="N","N",SUM('調查資料(OUT)'!U45:U48))</f>
        <v>0</v>
      </c>
      <c r="CI39" s="50">
        <f>IF($AN39="N","N",SUM('調查資料(OUT)'!Y45:Y48))</f>
        <v>0</v>
      </c>
      <c r="CJ39" s="56" t="e">
        <f t="shared" si="190"/>
        <v>#DIV/0!</v>
      </c>
      <c r="CK39" s="50">
        <f t="shared" si="262"/>
        <v>0</v>
      </c>
      <c r="CL39" s="56" t="e">
        <f t="shared" si="263"/>
        <v>#DIV/0!</v>
      </c>
      <c r="CM39" s="50">
        <f t="shared" si="264"/>
        <v>0</v>
      </c>
      <c r="CN39" s="56" t="e">
        <f t="shared" si="265"/>
        <v>#DIV/0!</v>
      </c>
      <c r="CO39" s="50">
        <f t="shared" si="266"/>
        <v>0</v>
      </c>
      <c r="CP39" s="56" t="e">
        <f t="shared" si="267"/>
        <v>#DIV/0!</v>
      </c>
      <c r="CQ39" s="50">
        <f t="shared" si="268"/>
        <v>0</v>
      </c>
      <c r="CR39" s="50">
        <f t="shared" si="198"/>
        <v>0</v>
      </c>
      <c r="CS39" s="50">
        <f>IF($AN39="N","N",SUM('調查資料(OUT)'!Z45:Z48))</f>
        <v>0</v>
      </c>
      <c r="CT39" s="50">
        <f>IF($AN39="N","N",SUM('調查資料(OUT)'!AD45:AD48))</f>
        <v>0</v>
      </c>
      <c r="CU39" s="50">
        <f>IF($AN39="N","N",SUM('調查資料(OUT)'!AH45:AH48))</f>
        <v>0</v>
      </c>
      <c r="CV39" s="56" t="e">
        <f t="shared" si="199"/>
        <v>#DIV/0!</v>
      </c>
      <c r="CW39" s="50">
        <f t="shared" si="200"/>
        <v>0</v>
      </c>
      <c r="CX39" s="50">
        <f>IF($AN39="N","N",SUM('調查資料(OUT)'!AA45:AA48))</f>
        <v>0</v>
      </c>
      <c r="CY39" s="50">
        <f>IF($AN39="N","N",SUM('調查資料(OUT)'!AE45:AE48))</f>
        <v>0</v>
      </c>
      <c r="CZ39" s="50">
        <f>IF($AN39="N","N",SUM('調查資料(OUT)'!AI45:AI48))</f>
        <v>0</v>
      </c>
      <c r="DA39" s="56" t="e">
        <f t="shared" si="201"/>
        <v>#DIV/0!</v>
      </c>
      <c r="DB39" s="50">
        <f t="shared" si="202"/>
        <v>0</v>
      </c>
      <c r="DC39" s="50">
        <f>IF($AN39="N","N",SUM('調查資料(OUT)'!AB45:AB48))</f>
        <v>0</v>
      </c>
      <c r="DD39" s="50">
        <f>IF($AN39="N","N",SUM('調查資料(OUT)'!AF45:AF48))</f>
        <v>0</v>
      </c>
      <c r="DE39" s="50">
        <f>IF($AN39="N","N",SUM('調查資料(OUT)'!AJ45:AJ48))</f>
        <v>0</v>
      </c>
      <c r="DF39" s="56" t="e">
        <f t="shared" si="203"/>
        <v>#DIV/0!</v>
      </c>
      <c r="DG39" s="50">
        <f t="shared" si="204"/>
        <v>0</v>
      </c>
      <c r="DH39" s="50">
        <f>IF($AN39="N","N",SUM('調查資料(OUT)'!AC45:AC48))</f>
        <v>0</v>
      </c>
      <c r="DI39" s="50">
        <f>IF($AN39="N","N",SUM('調查資料(OUT)'!AG45:AG48))</f>
        <v>0</v>
      </c>
      <c r="DJ39" s="50">
        <f>IF($AN39="N","N",SUM('調查資料(OUT)'!AK45:AK48))</f>
        <v>0</v>
      </c>
      <c r="DK39" s="56" t="e">
        <f t="shared" si="205"/>
        <v>#DIV/0!</v>
      </c>
      <c r="DL39" s="50">
        <f t="shared" si="269"/>
        <v>0</v>
      </c>
      <c r="DM39" s="56" t="e">
        <f t="shared" si="270"/>
        <v>#DIV/0!</v>
      </c>
      <c r="DN39" s="50">
        <f t="shared" si="271"/>
        <v>0</v>
      </c>
      <c r="DO39" s="56" t="e">
        <f t="shared" si="272"/>
        <v>#DIV/0!</v>
      </c>
      <c r="DP39" s="50">
        <f t="shared" si="273"/>
        <v>0</v>
      </c>
      <c r="DQ39" s="56" t="e">
        <f t="shared" si="274"/>
        <v>#DIV/0!</v>
      </c>
      <c r="DR39" s="50">
        <f t="shared" si="275"/>
        <v>0</v>
      </c>
      <c r="DS39" s="50">
        <f t="shared" si="213"/>
        <v>0</v>
      </c>
      <c r="DT39" s="50">
        <f>IF($AN39="N","N",SUM('調查資料(OUT)'!AL45:AL48))</f>
        <v>0</v>
      </c>
      <c r="DU39" s="50">
        <f>IF($AN39="N","N",SUM('調查資料(OUT)'!AP45:AP48))</f>
        <v>0</v>
      </c>
      <c r="DV39" s="50">
        <f>IF($AN39="N","N",SUM('調查資料(OUT)'!AT45:AT48))</f>
        <v>0</v>
      </c>
      <c r="DW39" s="56" t="e">
        <f t="shared" si="214"/>
        <v>#DIV/0!</v>
      </c>
      <c r="DX39" s="50">
        <f t="shared" si="215"/>
        <v>0</v>
      </c>
      <c r="DY39" s="50">
        <f>IF($AN39="N","N",SUM('調查資料(OUT)'!AM45:AM48))</f>
        <v>0</v>
      </c>
      <c r="DZ39" s="50">
        <f>IF($AN39="N","N",SUM('調查資料(OUT)'!AQ45:AQ48))</f>
        <v>0</v>
      </c>
      <c r="EA39" s="50">
        <f>IF($AN39="N","N",SUM('調查資料(OUT)'!AU45:AU48))</f>
        <v>0</v>
      </c>
      <c r="EB39" s="56" t="e">
        <f t="shared" si="216"/>
        <v>#DIV/0!</v>
      </c>
      <c r="EC39" s="50">
        <f t="shared" si="217"/>
        <v>0</v>
      </c>
      <c r="ED39" s="50">
        <f>IF($AN39="N","N",SUM('調查資料(OUT)'!AN45:AN48))</f>
        <v>0</v>
      </c>
      <c r="EE39" s="50">
        <f>IF($AN39="N","N",SUM('調查資料(OUT)'!AR45:AR48))</f>
        <v>0</v>
      </c>
      <c r="EF39" s="50">
        <f>IF($AN39="N","N",SUM('調查資料(OUT)'!AV45:AV48))</f>
        <v>0</v>
      </c>
      <c r="EG39" s="56" t="e">
        <f t="shared" si="218"/>
        <v>#DIV/0!</v>
      </c>
      <c r="EH39" s="50">
        <f t="shared" si="219"/>
        <v>0</v>
      </c>
      <c r="EI39" s="50">
        <f>IF($AN39="N","N",SUM('調查資料(OUT)'!AO45:AO48))</f>
        <v>0</v>
      </c>
      <c r="EJ39" s="50">
        <f>IF($AN39="N","N",SUM('調查資料(OUT)'!AS45:AS48))</f>
        <v>0</v>
      </c>
      <c r="EK39" s="50">
        <f>IF($AN39="N","N",SUM('調查資料(OUT)'!AW45:AW48))</f>
        <v>0</v>
      </c>
      <c r="EL39" s="56" t="e">
        <f t="shared" si="220"/>
        <v>#DIV/0!</v>
      </c>
      <c r="EM39" s="50">
        <f t="shared" si="276"/>
        <v>0</v>
      </c>
      <c r="EN39" s="56" t="e">
        <f t="shared" si="277"/>
        <v>#DIV/0!</v>
      </c>
      <c r="EO39" s="50">
        <f t="shared" si="278"/>
        <v>0</v>
      </c>
      <c r="EP39" s="56" t="e">
        <f t="shared" si="279"/>
        <v>#DIV/0!</v>
      </c>
      <c r="EQ39" s="50">
        <f t="shared" si="280"/>
        <v>0</v>
      </c>
      <c r="ER39" s="56" t="e">
        <f t="shared" si="281"/>
        <v>#DIV/0!</v>
      </c>
      <c r="ES39" s="50">
        <f t="shared" si="282"/>
        <v>0</v>
      </c>
      <c r="ET39" s="50">
        <f t="shared" si="227"/>
        <v>0</v>
      </c>
      <c r="EU39" s="50">
        <f>IF($AN39="N","N",SUM('調查資料(OUT)'!AX45:AX48))</f>
        <v>0</v>
      </c>
      <c r="EV39" s="50">
        <f>IF($AN39="N","N",SUM('調查資料(OUT)'!BB45:BB48))</f>
        <v>0</v>
      </c>
      <c r="EW39" s="50">
        <f>IF($AN39="N","N",SUM('調查資料(OUT)'!BF45:BF48))</f>
        <v>0</v>
      </c>
      <c r="EX39" s="56" t="e">
        <f t="shared" si="228"/>
        <v>#DIV/0!</v>
      </c>
      <c r="EY39" s="50">
        <f t="shared" si="229"/>
        <v>0</v>
      </c>
      <c r="EZ39" s="50">
        <f>IF($AN39="N","N",SUM('調查資料(OUT)'!AY45:AY48))</f>
        <v>0</v>
      </c>
      <c r="FA39" s="50">
        <f>IF($AN39="N","N",SUM('調查資料(OUT)'!BC45:BC48))</f>
        <v>0</v>
      </c>
      <c r="FB39" s="50">
        <f>IF($AN39="N","N",SUM('調查資料(OUT)'!BG45:BG48))</f>
        <v>0</v>
      </c>
      <c r="FC39" s="56" t="e">
        <f t="shared" si="230"/>
        <v>#DIV/0!</v>
      </c>
      <c r="FD39" s="50">
        <f t="shared" si="231"/>
        <v>0</v>
      </c>
      <c r="FE39" s="50">
        <f>IF($AN39="N","N",SUM('調查資料(OUT)'!AZ45:AZ48))</f>
        <v>0</v>
      </c>
      <c r="FF39" s="50">
        <f>IF($AN39="N","N",SUM('調查資料(OUT)'!BD45:BD48))</f>
        <v>0</v>
      </c>
      <c r="FG39" s="50">
        <f>IF($AN39="N","N",SUM('調查資料(OUT)'!BH45:BH48))</f>
        <v>0</v>
      </c>
      <c r="FH39" s="56" t="e">
        <f t="shared" si="232"/>
        <v>#DIV/0!</v>
      </c>
      <c r="FI39" s="50">
        <f t="shared" si="233"/>
        <v>0</v>
      </c>
      <c r="FJ39" s="50">
        <f>IF($AN39="N","N",SUM('調查資料(OUT)'!BA45:BA48))</f>
        <v>0</v>
      </c>
      <c r="FK39" s="50">
        <f>IF($AN39="N","N",SUM('調查資料(OUT)'!BE45:BE48))</f>
        <v>0</v>
      </c>
      <c r="FL39" s="50">
        <f>IF($AN39="N","N",SUM('調查資料(OUT)'!BI45:BI48))</f>
        <v>0</v>
      </c>
      <c r="FM39" s="56" t="e">
        <f t="shared" si="234"/>
        <v>#DIV/0!</v>
      </c>
      <c r="FN39" s="50">
        <f t="shared" si="246"/>
        <v>0</v>
      </c>
      <c r="FO39" s="56" t="e">
        <f t="shared" si="247"/>
        <v>#DIV/0!</v>
      </c>
      <c r="FP39" s="50">
        <f t="shared" si="248"/>
        <v>0</v>
      </c>
      <c r="FQ39" s="56" t="e">
        <f t="shared" si="249"/>
        <v>#DIV/0!</v>
      </c>
      <c r="FR39" s="50">
        <f t="shared" si="250"/>
        <v>0</v>
      </c>
      <c r="FS39" s="56" t="e">
        <f t="shared" si="251"/>
        <v>#DIV/0!</v>
      </c>
      <c r="FT39" s="50">
        <f t="shared" si="252"/>
        <v>0</v>
      </c>
    </row>
    <row r="40" spans="1:176">
      <c r="A40" s="274">
        <f>'調查資料(OUT)'!A46</f>
        <v>845</v>
      </c>
      <c r="B40" s="50">
        <f t="shared" si="238"/>
        <v>0</v>
      </c>
      <c r="C40" s="50">
        <f>IFERROR('調查資料(OUT)'!$B$1*'調查資料(OUT)'!B46,0)+IFERROR('調查資料(OUT)'!$F$1*'調查資料(OUT)'!F46,0)+IFERROR('調查資料(OUT)'!$J$1*'調查資料(OUT)'!J46,0)</f>
        <v>0</v>
      </c>
      <c r="D40" s="50">
        <f>IFERROR('調查資料(OUT)'!$C$1*'調查資料(OUT)'!C46,0)+IFERROR('調查資料(OUT)'!$G$1*'調查資料(OUT)'!G46,0)+IFERROR('調查資料(OUT)'!$K$1*'調查資料(OUT)'!K46,0)</f>
        <v>0</v>
      </c>
      <c r="E40" s="50">
        <f>IFERROR('調查資料(OUT)'!$D$1*'調查資料(OUT)'!D46,0)+IFERROR('調查資料(OUT)'!$H$1*'調查資料(OUT)'!H46,0)+IFERROR('調查資料(OUT)'!$L$1*'調查資料(OUT)'!L46,0)</f>
        <v>0</v>
      </c>
      <c r="F40" s="252">
        <f>IFERROR('調查資料(OUT)'!$E$1*'調查資料(OUT)'!E46,0)+IFERROR('調查資料(OUT)'!$I$1*'調查資料(OUT)'!I46,0)+IFERROR('調查資料(OUT)'!$M$1*'調查資料(OUT)'!M46,0)</f>
        <v>0</v>
      </c>
      <c r="G40" s="50">
        <f t="shared" si="239"/>
        <v>0</v>
      </c>
      <c r="H40" s="50">
        <f>IFERROR('調查資料(OUT)'!$N$1*'調查資料(OUT)'!N46,0)+IFERROR('調查資料(OUT)'!$R$1*'調查資料(OUT)'!R46,0)+IFERROR('調查資料(OUT)'!$V$1*'調查資料(OUT)'!V46,0)</f>
        <v>0</v>
      </c>
      <c r="I40" s="50">
        <f>IFERROR('調查資料(OUT)'!$O$1*'調查資料(OUT)'!O46,0)+IFERROR('調查資料(OUT)'!$S$1*'調查資料(OUT)'!S46,0)+IFERROR('調查資料(OUT)'!$W$1*'調查資料(OUT)'!W46,0)</f>
        <v>0</v>
      </c>
      <c r="J40" s="50">
        <f>IFERROR('調查資料(OUT)'!$P$1*'調查資料(OUT)'!P46,0)+IFERROR('調查資料(OUT)'!$T$1*'調查資料(OUT)'!T46,0)+IFERROR('調查資料(OUT)'!$X$1*'調查資料(OUT)'!X46,0)</f>
        <v>0</v>
      </c>
      <c r="K40" s="252">
        <f>IFERROR('調查資料(OUT)'!$Q$1*'調查資料(OUT)'!Q46,0)+IFERROR('調查資料(OUT)'!$U$1*'調查資料(OUT)'!U46,0)+IFERROR('調查資料(OUT)'!$Y$1*'調查資料(OUT)'!Y46,0)</f>
        <v>0</v>
      </c>
      <c r="L40" s="50">
        <f t="shared" si="240"/>
        <v>0</v>
      </c>
      <c r="M40" s="50">
        <f>IFERROR('調查資料(OUT)'!$Z$1*'調查資料(OUT)'!Z46,0)+IFERROR('調查資料(OUT)'!$AD$1*'調查資料(OUT)'!AD46,0)+IFERROR('調查資料(OUT)'!$AH$1*'調查資料(OUT)'!AH46,0)</f>
        <v>0</v>
      </c>
      <c r="N40" s="50">
        <f>IFERROR('調查資料(OUT)'!$AA$1*'調查資料(OUT)'!AA46,0)+IFERROR('調查資料(OUT)'!$AE$1*'調查資料(OUT)'!AE46,0)+IFERROR('調查資料(OUT)'!$AI$1*'調查資料(OUT)'!AI46,0)</f>
        <v>0</v>
      </c>
      <c r="O40" s="50">
        <f>IFERROR('調查資料(OUT)'!$AB$1*'調查資料(OUT)'!AB46,0)+IFERROR('調查資料(OUT)'!$AF$1*'調查資料(OUT)'!AF46,0)+IFERROR('調查資料(OUT)'!$AJ$1*'調查資料(OUT)'!AJ46,0)</f>
        <v>0</v>
      </c>
      <c r="P40" s="252">
        <f>IFERROR('調查資料(OUT)'!$AC$1*'調查資料(OUT)'!AC46,0)+IFERROR('調查資料(OUT)'!$AG$1*'調查資料(OUT)'!AG46,0)+IFERROR('調查資料(OUT)'!$AK$1*'調查資料(OUT)'!AK46,0)</f>
        <v>0</v>
      </c>
      <c r="Q40" s="50">
        <f t="shared" si="241"/>
        <v>0</v>
      </c>
      <c r="R40" s="50">
        <f>IFERROR('調查資料(OUT)'!$AL$1*'調查資料(OUT)'!AL46,0)+IFERROR('調查資料(OUT)'!$AP$1*'調查資料(OUT)'!AP46,0)+IFERROR('調查資料(OUT)'!$AT$1*'調查資料(OUT)'!AT46,0)</f>
        <v>0</v>
      </c>
      <c r="S40" s="50">
        <f>IFERROR('調查資料(OUT)'!$AM$1*'調查資料(OUT)'!AM46,0)+IFERROR('調查資料(OUT)'!$AQ$1*'調查資料(OUT)'!AQ46,0)+IFERROR('調查資料(OUT)'!$AU$1*'調查資料(OUT)'!AU46,0)</f>
        <v>0</v>
      </c>
      <c r="T40" s="50">
        <f>IFERROR('調查資料(OUT)'!$AN$1*'調查資料(OUT)'!AN46,0)+IFERROR('調查資料(OUT)'!$AR$1*'調查資料(OUT)'!AR46,0)+IFERROR('調查資料(OUT)'!$AV$1*'調查資料(OUT)'!AV46,0)</f>
        <v>0</v>
      </c>
      <c r="U40" s="252">
        <f>IFERROR('調查資料(OUT)'!$AO$1*'調查資料(OUT)'!AO46,0)+IFERROR('調查資料(OUT)'!$AS$1*'調查資料(OUT)'!AS46,0)+IFERROR('調查資料(OUT)'!$AW$1*'調查資料(OUT)'!AW46,0)</f>
        <v>0</v>
      </c>
      <c r="V40" s="50">
        <f t="shared" si="242"/>
        <v>0</v>
      </c>
      <c r="W40" s="50">
        <f>IFERROR('調查資料(OUT)'!$AX$1*'調查資料(OUT)'!AX46,0)+IFERROR('調查資料(OUT)'!$BB$1*'調查資料(OUT)'!BB46,0)+IFERROR('調查資料(OUT)'!$BF$1*'調查資料(OUT)'!BF46,0)</f>
        <v>0</v>
      </c>
      <c r="X40" s="50">
        <f>IFERROR('調查資料(OUT)'!$AY$1*'調查資料(OUT)'!AY46,0)+IFERROR('調查資料(OUT)'!$BC$1*'調查資料(OUT)'!BC46,0)+IFERROR('調查資料(OUT)'!$BG$1*'調查資料(OUT)'!BG46,0)</f>
        <v>0</v>
      </c>
      <c r="Y40" s="50">
        <f>IFERROR('調查資料(OUT)'!$AZ$1*'調查資料(OUT)'!AZ46,0)+IFERROR('調查資料(OUT)'!$BD$1*'調查資料(OUT)'!BD46,0)+IFERROR('調查資料(OUT)'!$BH$1*'調查資料(OUT)'!BH46,0)</f>
        <v>0</v>
      </c>
      <c r="Z40" s="252">
        <f>IFERROR('調查資料(OUT)'!$BA$1*'調查資料(OUT)'!BA46,0)+IFERROR('調查資料(OUT)'!$BE$1*'調查資料(OUT)'!BE46,0)+IFERROR('調查資料(OUT)'!$BI$1*'調查資料(OUT)'!BI46,0)</f>
        <v>0</v>
      </c>
      <c r="AA40" s="253">
        <f t="shared" si="243"/>
        <v>0</v>
      </c>
      <c r="AC40" s="251">
        <f>'調查資料(OUT)'!A46</f>
        <v>845</v>
      </c>
      <c r="AD40" s="254">
        <f t="shared" si="244"/>
        <v>945</v>
      </c>
      <c r="AE40" s="50">
        <f t="shared" si="254"/>
        <v>0</v>
      </c>
      <c r="AG40" s="50">
        <f t="shared" si="1"/>
        <v>0</v>
      </c>
      <c r="AH40" s="256" t="e">
        <f t="shared" si="2"/>
        <v>#DIV/0!</v>
      </c>
      <c r="AI40" s="256" t="e">
        <f t="shared" si="3"/>
        <v>#DIV/0!</v>
      </c>
      <c r="AJ40" s="256" t="e">
        <f t="shared" si="4"/>
        <v>#DIV/0!</v>
      </c>
      <c r="AK40" s="256" t="e">
        <f t="shared" si="5"/>
        <v>#DIV/0!</v>
      </c>
      <c r="AL40" s="256" t="e">
        <f t="shared" si="6"/>
        <v>#DIV/0!</v>
      </c>
      <c r="AN40" s="50">
        <f t="shared" si="7"/>
        <v>845</v>
      </c>
      <c r="AO40" s="252">
        <f t="shared" si="8"/>
        <v>945</v>
      </c>
      <c r="AP40" s="50">
        <f t="shared" si="245"/>
        <v>0</v>
      </c>
      <c r="AQ40" s="50">
        <f>IF($AN40="N","N",SUM('調查資料(OUT)'!B46:B49))</f>
        <v>0</v>
      </c>
      <c r="AR40" s="50">
        <f>IF($AN40="N","N",SUM('調查資料(OUT)'!F46:F49))</f>
        <v>0</v>
      </c>
      <c r="AS40" s="50">
        <f>IF($AN40="N","N",SUM('調查資料(OUT)'!J46:J49))</f>
        <v>0</v>
      </c>
      <c r="AT40" s="56" t="e">
        <f t="shared" si="169"/>
        <v>#DIV/0!</v>
      </c>
      <c r="AU40" s="50">
        <f t="shared" si="170"/>
        <v>0</v>
      </c>
      <c r="AV40" s="50">
        <f>IF($AN40="N","N",SUM('調查資料(OUT)'!C46:C49))</f>
        <v>0</v>
      </c>
      <c r="AW40" s="50">
        <f>IF($AN40="N","N",SUM('調查資料(OUT)'!G46:G49))</f>
        <v>0</v>
      </c>
      <c r="AX40" s="50">
        <f>IF($AN40="N","N",SUM('調查資料(OUT)'!K46:K49))</f>
        <v>0</v>
      </c>
      <c r="AY40" s="56" t="e">
        <f t="shared" si="171"/>
        <v>#DIV/0!</v>
      </c>
      <c r="AZ40" s="50">
        <f t="shared" si="172"/>
        <v>0</v>
      </c>
      <c r="BA40" s="50">
        <f>IF($AN40="N","N",SUM('調查資料(OUT)'!D46:D49))</f>
        <v>0</v>
      </c>
      <c r="BB40" s="50">
        <f>IF($AN40="N","N",SUM('調查資料(OUT)'!H46:H49))</f>
        <v>0</v>
      </c>
      <c r="BC40" s="50">
        <f>IF($AN40="N","N",SUM('調查資料(OUT)'!L46:L49))</f>
        <v>0</v>
      </c>
      <c r="BD40" s="56" t="e">
        <f t="shared" si="173"/>
        <v>#DIV/0!</v>
      </c>
      <c r="BE40" s="50">
        <f t="shared" si="174"/>
        <v>0</v>
      </c>
      <c r="BF40" s="50">
        <f>IF($AN40="N","N",SUM('調查資料(OUT)'!E46:E49))</f>
        <v>0</v>
      </c>
      <c r="BG40" s="50">
        <f>IF($AN40="N","N",SUM('調查資料(OUT)'!I46:I49))</f>
        <v>0</v>
      </c>
      <c r="BH40" s="50">
        <f>IF($AN40="N","N",SUM('調查資料(OUT)'!M46:M49))</f>
        <v>0</v>
      </c>
      <c r="BI40" s="56" t="e">
        <f t="shared" si="175"/>
        <v>#DIV/0!</v>
      </c>
      <c r="BJ40" s="50">
        <f t="shared" si="255"/>
        <v>0</v>
      </c>
      <c r="BK40" s="56" t="e">
        <f t="shared" si="256"/>
        <v>#DIV/0!</v>
      </c>
      <c r="BL40" s="50">
        <f t="shared" si="257"/>
        <v>0</v>
      </c>
      <c r="BM40" s="56" t="e">
        <f t="shared" si="258"/>
        <v>#DIV/0!</v>
      </c>
      <c r="BN40" s="50">
        <f t="shared" si="259"/>
        <v>0</v>
      </c>
      <c r="BO40" s="56" t="e">
        <f t="shared" si="260"/>
        <v>#DIV/0!</v>
      </c>
      <c r="BP40" s="50">
        <f t="shared" si="261"/>
        <v>0</v>
      </c>
      <c r="BQ40" s="50">
        <f t="shared" si="183"/>
        <v>0</v>
      </c>
      <c r="BR40" s="50">
        <f>IF($AN40="N","N",SUM('調查資料(OUT)'!N46:N49))</f>
        <v>0</v>
      </c>
      <c r="BS40" s="50">
        <f>IF($AN40="N","N",SUM('調查資料(OUT)'!R46:R49))</f>
        <v>0</v>
      </c>
      <c r="BT40" s="50">
        <f>IF($AN40="N","N",SUM('調查資料(OUT)'!V46:V49))</f>
        <v>0</v>
      </c>
      <c r="BU40" s="56" t="e">
        <f t="shared" si="184"/>
        <v>#DIV/0!</v>
      </c>
      <c r="BV40" s="50">
        <f t="shared" si="185"/>
        <v>0</v>
      </c>
      <c r="BW40" s="50">
        <f>IF($AN40="N","N",SUM('調查資料(OUT)'!O46:O49))</f>
        <v>0</v>
      </c>
      <c r="BX40" s="50">
        <f>IF($AN40="N","N",SUM('調查資料(OUT)'!S46:S49))</f>
        <v>0</v>
      </c>
      <c r="BY40" s="50">
        <f>IF($AN40="N","N",SUM('調查資料(OUT)'!W46:W49))</f>
        <v>0</v>
      </c>
      <c r="BZ40" s="56" t="e">
        <f t="shared" si="186"/>
        <v>#DIV/0!</v>
      </c>
      <c r="CA40" s="50">
        <f t="shared" si="187"/>
        <v>0</v>
      </c>
      <c r="CB40" s="50">
        <f>IF($AN40="N","N",SUM('調查資料(OUT)'!P46:P49))</f>
        <v>0</v>
      </c>
      <c r="CC40" s="50">
        <f>IF($AN40="N","N",SUM('調查資料(OUT)'!T46:T49))</f>
        <v>0</v>
      </c>
      <c r="CD40" s="50">
        <f>IF($AN40="N","N",SUM('調查資料(OUT)'!X46:X49))</f>
        <v>0</v>
      </c>
      <c r="CE40" s="56" t="e">
        <f t="shared" si="188"/>
        <v>#DIV/0!</v>
      </c>
      <c r="CF40" s="50">
        <f t="shared" si="189"/>
        <v>0</v>
      </c>
      <c r="CG40" s="50">
        <f>IF($AN40="N","N",SUM('調查資料(OUT)'!Q46:Q49))</f>
        <v>0</v>
      </c>
      <c r="CH40" s="50">
        <f>IF($AN40="N","N",SUM('調查資料(OUT)'!U46:U49))</f>
        <v>0</v>
      </c>
      <c r="CI40" s="50">
        <f>IF($AN40="N","N",SUM('調查資料(OUT)'!Y46:Y49))</f>
        <v>0</v>
      </c>
      <c r="CJ40" s="56" t="e">
        <f t="shared" si="190"/>
        <v>#DIV/0!</v>
      </c>
      <c r="CK40" s="50">
        <f t="shared" si="262"/>
        <v>0</v>
      </c>
      <c r="CL40" s="56" t="e">
        <f t="shared" si="263"/>
        <v>#DIV/0!</v>
      </c>
      <c r="CM40" s="50">
        <f t="shared" si="264"/>
        <v>0</v>
      </c>
      <c r="CN40" s="56" t="e">
        <f t="shared" si="265"/>
        <v>#DIV/0!</v>
      </c>
      <c r="CO40" s="50">
        <f t="shared" si="266"/>
        <v>0</v>
      </c>
      <c r="CP40" s="56" t="e">
        <f t="shared" si="267"/>
        <v>#DIV/0!</v>
      </c>
      <c r="CQ40" s="50">
        <f t="shared" si="268"/>
        <v>0</v>
      </c>
      <c r="CR40" s="50">
        <f t="shared" si="198"/>
        <v>0</v>
      </c>
      <c r="CS40" s="50">
        <f>IF($AN40="N","N",SUM('調查資料(OUT)'!Z46:Z49))</f>
        <v>0</v>
      </c>
      <c r="CT40" s="50">
        <f>IF($AN40="N","N",SUM('調查資料(OUT)'!AD46:AD49))</f>
        <v>0</v>
      </c>
      <c r="CU40" s="50">
        <f>IF($AN40="N","N",SUM('調查資料(OUT)'!AH46:AH49))</f>
        <v>0</v>
      </c>
      <c r="CV40" s="56" t="e">
        <f t="shared" si="199"/>
        <v>#DIV/0!</v>
      </c>
      <c r="CW40" s="50">
        <f t="shared" si="200"/>
        <v>0</v>
      </c>
      <c r="CX40" s="50">
        <f>IF($AN40="N","N",SUM('調查資料(OUT)'!AA46:AA49))</f>
        <v>0</v>
      </c>
      <c r="CY40" s="50">
        <f>IF($AN40="N","N",SUM('調查資料(OUT)'!AE46:AE49))</f>
        <v>0</v>
      </c>
      <c r="CZ40" s="50">
        <f>IF($AN40="N","N",SUM('調查資料(OUT)'!AI46:AI49))</f>
        <v>0</v>
      </c>
      <c r="DA40" s="56" t="e">
        <f t="shared" si="201"/>
        <v>#DIV/0!</v>
      </c>
      <c r="DB40" s="50">
        <f t="shared" si="202"/>
        <v>0</v>
      </c>
      <c r="DC40" s="50">
        <f>IF($AN40="N","N",SUM('調查資料(OUT)'!AB46:AB49))</f>
        <v>0</v>
      </c>
      <c r="DD40" s="50">
        <f>IF($AN40="N","N",SUM('調查資料(OUT)'!AF46:AF49))</f>
        <v>0</v>
      </c>
      <c r="DE40" s="50">
        <f>IF($AN40="N","N",SUM('調查資料(OUT)'!AJ46:AJ49))</f>
        <v>0</v>
      </c>
      <c r="DF40" s="56" t="e">
        <f t="shared" si="203"/>
        <v>#DIV/0!</v>
      </c>
      <c r="DG40" s="50">
        <f t="shared" si="204"/>
        <v>0</v>
      </c>
      <c r="DH40" s="50">
        <f>IF($AN40="N","N",SUM('調查資料(OUT)'!AC46:AC49))</f>
        <v>0</v>
      </c>
      <c r="DI40" s="50">
        <f>IF($AN40="N","N",SUM('調查資料(OUT)'!AG46:AG49))</f>
        <v>0</v>
      </c>
      <c r="DJ40" s="50">
        <f>IF($AN40="N","N",SUM('調查資料(OUT)'!AK46:AK49))</f>
        <v>0</v>
      </c>
      <c r="DK40" s="56" t="e">
        <f t="shared" si="205"/>
        <v>#DIV/0!</v>
      </c>
      <c r="DL40" s="50">
        <f t="shared" si="269"/>
        <v>0</v>
      </c>
      <c r="DM40" s="56" t="e">
        <f t="shared" si="270"/>
        <v>#DIV/0!</v>
      </c>
      <c r="DN40" s="50">
        <f t="shared" si="271"/>
        <v>0</v>
      </c>
      <c r="DO40" s="56" t="e">
        <f t="shared" si="272"/>
        <v>#DIV/0!</v>
      </c>
      <c r="DP40" s="50">
        <f t="shared" si="273"/>
        <v>0</v>
      </c>
      <c r="DQ40" s="56" t="e">
        <f t="shared" si="274"/>
        <v>#DIV/0!</v>
      </c>
      <c r="DR40" s="50">
        <f t="shared" si="275"/>
        <v>0</v>
      </c>
      <c r="DS40" s="50">
        <f t="shared" si="213"/>
        <v>0</v>
      </c>
      <c r="DT40" s="50">
        <f>IF($AN40="N","N",SUM('調查資料(OUT)'!AL46:AL49))</f>
        <v>0</v>
      </c>
      <c r="DU40" s="50">
        <f>IF($AN40="N","N",SUM('調查資料(OUT)'!AP46:AP49))</f>
        <v>0</v>
      </c>
      <c r="DV40" s="50">
        <f>IF($AN40="N","N",SUM('調查資料(OUT)'!AT46:AT49))</f>
        <v>0</v>
      </c>
      <c r="DW40" s="56" t="e">
        <f t="shared" si="214"/>
        <v>#DIV/0!</v>
      </c>
      <c r="DX40" s="50">
        <f t="shared" si="215"/>
        <v>0</v>
      </c>
      <c r="DY40" s="50">
        <f>IF($AN40="N","N",SUM('調查資料(OUT)'!AM46:AM49))</f>
        <v>0</v>
      </c>
      <c r="DZ40" s="50">
        <f>IF($AN40="N","N",SUM('調查資料(OUT)'!AQ46:AQ49))</f>
        <v>0</v>
      </c>
      <c r="EA40" s="50">
        <f>IF($AN40="N","N",SUM('調查資料(OUT)'!AU46:AU49))</f>
        <v>0</v>
      </c>
      <c r="EB40" s="56" t="e">
        <f t="shared" si="216"/>
        <v>#DIV/0!</v>
      </c>
      <c r="EC40" s="50">
        <f t="shared" si="217"/>
        <v>0</v>
      </c>
      <c r="ED40" s="50">
        <f>IF($AN40="N","N",SUM('調查資料(OUT)'!AN46:AN49))</f>
        <v>0</v>
      </c>
      <c r="EE40" s="50">
        <f>IF($AN40="N","N",SUM('調查資料(OUT)'!AR46:AR49))</f>
        <v>0</v>
      </c>
      <c r="EF40" s="50">
        <f>IF($AN40="N","N",SUM('調查資料(OUT)'!AV46:AV49))</f>
        <v>0</v>
      </c>
      <c r="EG40" s="56" t="e">
        <f t="shared" si="218"/>
        <v>#DIV/0!</v>
      </c>
      <c r="EH40" s="50">
        <f t="shared" si="219"/>
        <v>0</v>
      </c>
      <c r="EI40" s="50">
        <f>IF($AN40="N","N",SUM('調查資料(OUT)'!AO46:AO49))</f>
        <v>0</v>
      </c>
      <c r="EJ40" s="50">
        <f>IF($AN40="N","N",SUM('調查資料(OUT)'!AS46:AS49))</f>
        <v>0</v>
      </c>
      <c r="EK40" s="50">
        <f>IF($AN40="N","N",SUM('調查資料(OUT)'!AW46:AW49))</f>
        <v>0</v>
      </c>
      <c r="EL40" s="56" t="e">
        <f t="shared" si="220"/>
        <v>#DIV/0!</v>
      </c>
      <c r="EM40" s="50">
        <f t="shared" si="276"/>
        <v>0</v>
      </c>
      <c r="EN40" s="56" t="e">
        <f t="shared" si="277"/>
        <v>#DIV/0!</v>
      </c>
      <c r="EO40" s="50">
        <f t="shared" si="278"/>
        <v>0</v>
      </c>
      <c r="EP40" s="56" t="e">
        <f t="shared" si="279"/>
        <v>#DIV/0!</v>
      </c>
      <c r="EQ40" s="50">
        <f t="shared" si="280"/>
        <v>0</v>
      </c>
      <c r="ER40" s="56" t="e">
        <f t="shared" si="281"/>
        <v>#DIV/0!</v>
      </c>
      <c r="ES40" s="50">
        <f t="shared" si="282"/>
        <v>0</v>
      </c>
      <c r="ET40" s="50">
        <f t="shared" si="227"/>
        <v>0</v>
      </c>
      <c r="EU40" s="50">
        <f>IF($AN40="N","N",SUM('調查資料(OUT)'!AX46:AX49))</f>
        <v>0</v>
      </c>
      <c r="EV40" s="50">
        <f>IF($AN40="N","N",SUM('調查資料(OUT)'!BB46:BB49))</f>
        <v>0</v>
      </c>
      <c r="EW40" s="50">
        <f>IF($AN40="N","N",SUM('調查資料(OUT)'!BF46:BF49))</f>
        <v>0</v>
      </c>
      <c r="EX40" s="56" t="e">
        <f t="shared" si="228"/>
        <v>#DIV/0!</v>
      </c>
      <c r="EY40" s="50">
        <f t="shared" si="229"/>
        <v>0</v>
      </c>
      <c r="EZ40" s="50">
        <f>IF($AN40="N","N",SUM('調查資料(OUT)'!AY46:AY49))</f>
        <v>0</v>
      </c>
      <c r="FA40" s="50">
        <f>IF($AN40="N","N",SUM('調查資料(OUT)'!BC46:BC49))</f>
        <v>0</v>
      </c>
      <c r="FB40" s="50">
        <f>IF($AN40="N","N",SUM('調查資料(OUT)'!BG46:BG49))</f>
        <v>0</v>
      </c>
      <c r="FC40" s="56" t="e">
        <f t="shared" si="230"/>
        <v>#DIV/0!</v>
      </c>
      <c r="FD40" s="50">
        <f t="shared" si="231"/>
        <v>0</v>
      </c>
      <c r="FE40" s="50">
        <f>IF($AN40="N","N",SUM('調查資料(OUT)'!AZ46:AZ49))</f>
        <v>0</v>
      </c>
      <c r="FF40" s="50">
        <f>IF($AN40="N","N",SUM('調查資料(OUT)'!BD46:BD49))</f>
        <v>0</v>
      </c>
      <c r="FG40" s="50">
        <f>IF($AN40="N","N",SUM('調查資料(OUT)'!BH46:BH49))</f>
        <v>0</v>
      </c>
      <c r="FH40" s="56" t="e">
        <f t="shared" si="232"/>
        <v>#DIV/0!</v>
      </c>
      <c r="FI40" s="50">
        <f t="shared" si="233"/>
        <v>0</v>
      </c>
      <c r="FJ40" s="50">
        <f>IF($AN40="N","N",SUM('調查資料(OUT)'!BA46:BA49))</f>
        <v>0</v>
      </c>
      <c r="FK40" s="50">
        <f>IF($AN40="N","N",SUM('調查資料(OUT)'!BE46:BE49))</f>
        <v>0</v>
      </c>
      <c r="FL40" s="50">
        <f>IF($AN40="N","N",SUM('調查資料(OUT)'!BI46:BI49))</f>
        <v>0</v>
      </c>
      <c r="FM40" s="56" t="e">
        <f t="shared" si="234"/>
        <v>#DIV/0!</v>
      </c>
      <c r="FN40" s="50">
        <f t="shared" si="246"/>
        <v>0</v>
      </c>
      <c r="FO40" s="56" t="e">
        <f t="shared" si="247"/>
        <v>#DIV/0!</v>
      </c>
      <c r="FP40" s="50">
        <f t="shared" si="248"/>
        <v>0</v>
      </c>
      <c r="FQ40" s="56" t="e">
        <f t="shared" si="249"/>
        <v>#DIV/0!</v>
      </c>
      <c r="FR40" s="50">
        <f t="shared" si="250"/>
        <v>0</v>
      </c>
      <c r="FS40" s="56" t="e">
        <f t="shared" si="251"/>
        <v>#DIV/0!</v>
      </c>
      <c r="FT40" s="50">
        <f t="shared" si="252"/>
        <v>0</v>
      </c>
    </row>
    <row r="41" spans="1:176">
      <c r="A41" s="314">
        <f>'調查資料(OUT)'!A47</f>
        <v>900</v>
      </c>
      <c r="B41" s="315">
        <f t="shared" si="238"/>
        <v>0</v>
      </c>
      <c r="C41" s="315">
        <f>IFERROR('調查資料(OUT)'!$B$1*'調查資料(OUT)'!B47,0)+IFERROR('調查資料(OUT)'!$F$1*'調查資料(OUT)'!F47,0)+IFERROR('調查資料(OUT)'!$J$1*'調查資料(OUT)'!J47,0)</f>
        <v>0</v>
      </c>
      <c r="D41" s="315">
        <f>IFERROR('調查資料(OUT)'!$C$1*'調查資料(OUT)'!C47,0)+IFERROR('調查資料(OUT)'!$G$1*'調查資料(OUT)'!G47,0)+IFERROR('調查資料(OUT)'!$K$1*'調查資料(OUT)'!K47,0)</f>
        <v>0</v>
      </c>
      <c r="E41" s="315">
        <f>IFERROR('調查資料(OUT)'!$D$1*'調查資料(OUT)'!D47,0)+IFERROR('調查資料(OUT)'!$H$1*'調查資料(OUT)'!H47,0)+IFERROR('調查資料(OUT)'!$L$1*'調查資料(OUT)'!L47,0)</f>
        <v>0</v>
      </c>
      <c r="F41" s="316">
        <f>IFERROR('調查資料(OUT)'!$E$1*'調查資料(OUT)'!E47,0)+IFERROR('調查資料(OUT)'!$I$1*'調查資料(OUT)'!I47,0)+IFERROR('調查資料(OUT)'!$M$1*'調查資料(OUT)'!M47,0)</f>
        <v>0</v>
      </c>
      <c r="G41" s="315">
        <f t="shared" si="239"/>
        <v>0</v>
      </c>
      <c r="H41" s="315">
        <f>IFERROR('調查資料(OUT)'!$N$1*'調查資料(OUT)'!N47,0)+IFERROR('調查資料(OUT)'!$R$1*'調查資料(OUT)'!R47,0)+IFERROR('調查資料(OUT)'!$V$1*'調查資料(OUT)'!V47,0)</f>
        <v>0</v>
      </c>
      <c r="I41" s="315">
        <f>IFERROR('調查資料(OUT)'!$O$1*'調查資料(OUT)'!O47,0)+IFERROR('調查資料(OUT)'!$S$1*'調查資料(OUT)'!S47,0)+IFERROR('調查資料(OUT)'!$W$1*'調查資料(OUT)'!W47,0)</f>
        <v>0</v>
      </c>
      <c r="J41" s="315">
        <f>IFERROR('調查資料(OUT)'!$P$1*'調查資料(OUT)'!P47,0)+IFERROR('調查資料(OUT)'!$T$1*'調查資料(OUT)'!T47,0)+IFERROR('調查資料(OUT)'!$X$1*'調查資料(OUT)'!X47,0)</f>
        <v>0</v>
      </c>
      <c r="K41" s="316">
        <f>IFERROR('調查資料(OUT)'!$Q$1*'調查資料(OUT)'!Q47,0)+IFERROR('調查資料(OUT)'!$U$1*'調查資料(OUT)'!U47,0)+IFERROR('調查資料(OUT)'!$Y$1*'調查資料(OUT)'!Y47,0)</f>
        <v>0</v>
      </c>
      <c r="L41" s="315">
        <f t="shared" si="240"/>
        <v>0</v>
      </c>
      <c r="M41" s="315">
        <f>IFERROR('調查資料(OUT)'!$Z$1*'調查資料(OUT)'!Z47,0)+IFERROR('調查資料(OUT)'!$AD$1*'調查資料(OUT)'!AD47,0)+IFERROR('調查資料(OUT)'!$AH$1*'調查資料(OUT)'!AH47,0)</f>
        <v>0</v>
      </c>
      <c r="N41" s="315">
        <f>IFERROR('調查資料(OUT)'!$AA$1*'調查資料(OUT)'!AA47,0)+IFERROR('調查資料(OUT)'!$AE$1*'調查資料(OUT)'!AE47,0)+IFERROR('調查資料(OUT)'!$AI$1*'調查資料(OUT)'!AI47,0)</f>
        <v>0</v>
      </c>
      <c r="O41" s="315">
        <f>IFERROR('調查資料(OUT)'!$AB$1*'調查資料(OUT)'!AB47,0)+IFERROR('調查資料(OUT)'!$AF$1*'調查資料(OUT)'!AF47,0)+IFERROR('調查資料(OUT)'!$AJ$1*'調查資料(OUT)'!AJ47,0)</f>
        <v>0</v>
      </c>
      <c r="P41" s="316">
        <f>IFERROR('調查資料(OUT)'!$AC$1*'調查資料(OUT)'!AC47,0)+IFERROR('調查資料(OUT)'!$AG$1*'調查資料(OUT)'!AG47,0)+IFERROR('調查資料(OUT)'!$AK$1*'調查資料(OUT)'!AK47,0)</f>
        <v>0</v>
      </c>
      <c r="Q41" s="315">
        <f t="shared" si="241"/>
        <v>0</v>
      </c>
      <c r="R41" s="315">
        <f>IFERROR('調查資料(OUT)'!$AL$1*'調查資料(OUT)'!AL47,0)+IFERROR('調查資料(OUT)'!$AP$1*'調查資料(OUT)'!AP47,0)+IFERROR('調查資料(OUT)'!$AT$1*'調查資料(OUT)'!AT47,0)</f>
        <v>0</v>
      </c>
      <c r="S41" s="315">
        <f>IFERROR('調查資料(OUT)'!$AM$1*'調查資料(OUT)'!AM47,0)+IFERROR('調查資料(OUT)'!$AQ$1*'調查資料(OUT)'!AQ47,0)+IFERROR('調查資料(OUT)'!$AU$1*'調查資料(OUT)'!AU47,0)</f>
        <v>0</v>
      </c>
      <c r="T41" s="315">
        <f>IFERROR('調查資料(OUT)'!$AN$1*'調查資料(OUT)'!AN47,0)+IFERROR('調查資料(OUT)'!$AR$1*'調查資料(OUT)'!AR47,0)+IFERROR('調查資料(OUT)'!$AV$1*'調查資料(OUT)'!AV47,0)</f>
        <v>0</v>
      </c>
      <c r="U41" s="316">
        <f>IFERROR('調查資料(OUT)'!$AO$1*'調查資料(OUT)'!AO47,0)+IFERROR('調查資料(OUT)'!$AS$1*'調查資料(OUT)'!AS47,0)+IFERROR('調查資料(OUT)'!$AW$1*'調查資料(OUT)'!AW47,0)</f>
        <v>0</v>
      </c>
      <c r="V41" s="315">
        <f t="shared" si="242"/>
        <v>0</v>
      </c>
      <c r="W41" s="315">
        <f>IFERROR('調查資料(OUT)'!$AX$1*'調查資料(OUT)'!AX47,0)+IFERROR('調查資料(OUT)'!$BB$1*'調查資料(OUT)'!BB47,0)+IFERROR('調查資料(OUT)'!$BF$1*'調查資料(OUT)'!BF47,0)</f>
        <v>0</v>
      </c>
      <c r="X41" s="315">
        <f>IFERROR('調查資料(OUT)'!$AY$1*'調查資料(OUT)'!AY47,0)+IFERROR('調查資料(OUT)'!$BC$1*'調查資料(OUT)'!BC47,0)+IFERROR('調查資料(OUT)'!$BG$1*'調查資料(OUT)'!BG47,0)</f>
        <v>0</v>
      </c>
      <c r="Y41" s="315">
        <f>IFERROR('調查資料(OUT)'!$AZ$1*'調查資料(OUT)'!AZ47,0)+IFERROR('調查資料(OUT)'!$BD$1*'調查資料(OUT)'!BD47,0)+IFERROR('調查資料(OUT)'!$BH$1*'調查資料(OUT)'!BH47,0)</f>
        <v>0</v>
      </c>
      <c r="Z41" s="316">
        <f>IFERROR('調查資料(OUT)'!$BA$1*'調查資料(OUT)'!BA47,0)+IFERROR('調查資料(OUT)'!$BE$1*'調查資料(OUT)'!BE47,0)+IFERROR('調查資料(OUT)'!$BI$1*'調查資料(OUT)'!BI47,0)</f>
        <v>0</v>
      </c>
      <c r="AA41" s="317">
        <f t="shared" si="243"/>
        <v>0</v>
      </c>
      <c r="AC41" s="352">
        <f>'調查資料(OUT)'!A47</f>
        <v>900</v>
      </c>
      <c r="AD41" s="353">
        <f t="shared" si="244"/>
        <v>1000</v>
      </c>
      <c r="AE41" s="315">
        <f t="shared" si="254"/>
        <v>0</v>
      </c>
      <c r="AF41" s="354">
        <f>MAX(AE41:AE53)</f>
        <v>0</v>
      </c>
      <c r="AG41" s="315">
        <f>IF($AE41=$AF$41,MAX(AA41:AA44),0)</f>
        <v>0</v>
      </c>
      <c r="AH41" s="355" t="e">
        <f>IF($AE41=AF$41,SUM(B41:B44)/(4*(MAX(B41:B44))),0)</f>
        <v>#DIV/0!</v>
      </c>
      <c r="AI41" s="355" t="e">
        <f>IF($AE41=AF$41,SUM(G41:G44)/(4*(MAX(G41:G44))),0)</f>
        <v>#DIV/0!</v>
      </c>
      <c r="AJ41" s="355" t="e">
        <f>IF($AE41=AF$41,SUM(L41:L44)/(4*(MAX(L41:L44))),0)</f>
        <v>#DIV/0!</v>
      </c>
      <c r="AK41" s="355" t="e">
        <f>IF($AE41=AF$41,SUM(Q41:Q44)/(4*(MAX(Q41:Q44))),0)</f>
        <v>#DIV/0!</v>
      </c>
      <c r="AL41" s="355" t="e">
        <f>IF($AE41=AF$41,SUM(V41:V44)/(4*(MAX(V41:V44))),0)</f>
        <v>#DIV/0!</v>
      </c>
      <c r="AM41" s="356" t="e">
        <f>$AF$41/(4*MAX(AG41:AG53))</f>
        <v>#DIV/0!</v>
      </c>
      <c r="AN41" s="315">
        <f t="shared" ref="AN41:AN49" si="283">IF(AE41=AF$41,$AC41,"N")</f>
        <v>900</v>
      </c>
      <c r="AO41" s="316">
        <f t="shared" ref="AO41:AO49" si="284">IF(AE41=AF$41,$AD41,"N")</f>
        <v>1000</v>
      </c>
      <c r="AP41" s="50">
        <f t="shared" si="245"/>
        <v>0</v>
      </c>
      <c r="AQ41" s="50">
        <f>IF($AN41="N","N",SUM('調查資料(OUT)'!B47:B50))</f>
        <v>0</v>
      </c>
      <c r="AR41" s="50">
        <f>IF($AN41="N","N",SUM('調查資料(OUT)'!F47:F50))</f>
        <v>0</v>
      </c>
      <c r="AS41" s="50">
        <f>IF($AN41="N","N",SUM('調查資料(OUT)'!J47:J50))</f>
        <v>0</v>
      </c>
      <c r="AT41" s="56" t="e">
        <f t="shared" si="169"/>
        <v>#DIV/0!</v>
      </c>
      <c r="AU41" s="50">
        <f t="shared" si="170"/>
        <v>0</v>
      </c>
      <c r="AV41" s="50">
        <f>IF($AN41="N","N",SUM('調查資料(OUT)'!C47:C50))</f>
        <v>0</v>
      </c>
      <c r="AW41" s="50">
        <f>IF($AN41="N","N",SUM('調查資料(OUT)'!G47:G50))</f>
        <v>0</v>
      </c>
      <c r="AX41" s="50">
        <f>IF($AN41="N","N",SUM('調查資料(OUT)'!K47:K50))</f>
        <v>0</v>
      </c>
      <c r="AY41" s="56" t="e">
        <f t="shared" si="171"/>
        <v>#DIV/0!</v>
      </c>
      <c r="AZ41" s="50">
        <f t="shared" si="172"/>
        <v>0</v>
      </c>
      <c r="BA41" s="50">
        <f>IF($AN41="N","N",SUM('調查資料(OUT)'!D47:D50))</f>
        <v>0</v>
      </c>
      <c r="BB41" s="50">
        <f>IF($AN41="N","N",SUM('調查資料(OUT)'!H47:H50))</f>
        <v>0</v>
      </c>
      <c r="BC41" s="50">
        <f>IF($AN41="N","N",SUM('調查資料(OUT)'!L47:L50))</f>
        <v>0</v>
      </c>
      <c r="BD41" s="56" t="e">
        <f t="shared" si="173"/>
        <v>#DIV/0!</v>
      </c>
      <c r="BE41" s="50">
        <f t="shared" si="174"/>
        <v>0</v>
      </c>
      <c r="BF41" s="50">
        <f>IF($AN41="N","N",SUM('調查資料(OUT)'!E47:E50))</f>
        <v>0</v>
      </c>
      <c r="BG41" s="50">
        <f>IF($AN41="N","N",SUM('調查資料(OUT)'!I47:I50))</f>
        <v>0</v>
      </c>
      <c r="BH41" s="50">
        <f>IF($AN41="N","N",SUM('調查資料(OUT)'!M47:M50))</f>
        <v>0</v>
      </c>
      <c r="BI41" s="56" t="e">
        <f t="shared" si="175"/>
        <v>#DIV/0!</v>
      </c>
      <c r="BJ41" s="50">
        <f t="shared" si="255"/>
        <v>0</v>
      </c>
      <c r="BK41" s="56" t="e">
        <f t="shared" si="256"/>
        <v>#DIV/0!</v>
      </c>
      <c r="BL41" s="50">
        <f t="shared" si="257"/>
        <v>0</v>
      </c>
      <c r="BM41" s="56" t="e">
        <f t="shared" si="258"/>
        <v>#DIV/0!</v>
      </c>
      <c r="BN41" s="50">
        <f t="shared" si="259"/>
        <v>0</v>
      </c>
      <c r="BO41" s="56" t="e">
        <f t="shared" si="260"/>
        <v>#DIV/0!</v>
      </c>
      <c r="BP41" s="50">
        <f t="shared" si="261"/>
        <v>0</v>
      </c>
      <c r="BQ41" s="50">
        <f t="shared" si="183"/>
        <v>0</v>
      </c>
      <c r="BR41" s="50">
        <f>IF($AN41="N","N",SUM('調查資料(OUT)'!N47:N50))</f>
        <v>0</v>
      </c>
      <c r="BS41" s="50">
        <f>IF($AN41="N","N",SUM('調查資料(OUT)'!R47:R50))</f>
        <v>0</v>
      </c>
      <c r="BT41" s="50">
        <f>IF($AN41="N","N",SUM('調查資料(OUT)'!V47:V50))</f>
        <v>0</v>
      </c>
      <c r="BU41" s="56" t="e">
        <f t="shared" si="184"/>
        <v>#DIV/0!</v>
      </c>
      <c r="BV41" s="50">
        <f t="shared" si="185"/>
        <v>0</v>
      </c>
      <c r="BW41" s="50">
        <f>IF($AN41="N","N",SUM('調查資料(OUT)'!O47:O50))</f>
        <v>0</v>
      </c>
      <c r="BX41" s="50">
        <f>IF($AN41="N","N",SUM('調查資料(OUT)'!S47:S50))</f>
        <v>0</v>
      </c>
      <c r="BY41" s="50">
        <f>IF($AN41="N","N",SUM('調查資料(OUT)'!W47:W50))</f>
        <v>0</v>
      </c>
      <c r="BZ41" s="56" t="e">
        <f t="shared" si="186"/>
        <v>#DIV/0!</v>
      </c>
      <c r="CA41" s="50">
        <f t="shared" si="187"/>
        <v>0</v>
      </c>
      <c r="CB41" s="50">
        <f>IF($AN41="N","N",SUM('調查資料(OUT)'!P47:P50))</f>
        <v>0</v>
      </c>
      <c r="CC41" s="50">
        <f>IF($AN41="N","N",SUM('調查資料(OUT)'!T47:T50))</f>
        <v>0</v>
      </c>
      <c r="CD41" s="50">
        <f>IF($AN41="N","N",SUM('調查資料(OUT)'!X47:X50))</f>
        <v>0</v>
      </c>
      <c r="CE41" s="56" t="e">
        <f t="shared" si="188"/>
        <v>#DIV/0!</v>
      </c>
      <c r="CF41" s="50">
        <f t="shared" si="189"/>
        <v>0</v>
      </c>
      <c r="CG41" s="50">
        <f>IF($AN41="N","N",SUM('調查資料(OUT)'!Q47:Q50))</f>
        <v>0</v>
      </c>
      <c r="CH41" s="50">
        <f>IF($AN41="N","N",SUM('調查資料(OUT)'!U47:U50))</f>
        <v>0</v>
      </c>
      <c r="CI41" s="50">
        <f>IF($AN41="N","N",SUM('調查資料(OUT)'!Y47:Y50))</f>
        <v>0</v>
      </c>
      <c r="CJ41" s="56" t="e">
        <f t="shared" si="190"/>
        <v>#DIV/0!</v>
      </c>
      <c r="CK41" s="50">
        <f t="shared" si="262"/>
        <v>0</v>
      </c>
      <c r="CL41" s="56" t="e">
        <f t="shared" si="263"/>
        <v>#DIV/0!</v>
      </c>
      <c r="CM41" s="50">
        <f t="shared" si="264"/>
        <v>0</v>
      </c>
      <c r="CN41" s="56" t="e">
        <f t="shared" si="265"/>
        <v>#DIV/0!</v>
      </c>
      <c r="CO41" s="50">
        <f t="shared" si="266"/>
        <v>0</v>
      </c>
      <c r="CP41" s="56" t="e">
        <f t="shared" si="267"/>
        <v>#DIV/0!</v>
      </c>
      <c r="CQ41" s="50">
        <f t="shared" si="268"/>
        <v>0</v>
      </c>
      <c r="CR41" s="50">
        <f t="shared" si="198"/>
        <v>0</v>
      </c>
      <c r="CS41" s="50">
        <f>IF($AN41="N","N",SUM('調查資料(OUT)'!Z47:Z50))</f>
        <v>0</v>
      </c>
      <c r="CT41" s="50">
        <f>IF($AN41="N","N",SUM('調查資料(OUT)'!AD47:AD50))</f>
        <v>0</v>
      </c>
      <c r="CU41" s="50">
        <f>IF($AN41="N","N",SUM('調查資料(OUT)'!AH47:AH50))</f>
        <v>0</v>
      </c>
      <c r="CV41" s="56" t="e">
        <f t="shared" si="199"/>
        <v>#DIV/0!</v>
      </c>
      <c r="CW41" s="50">
        <f t="shared" si="200"/>
        <v>0</v>
      </c>
      <c r="CX41" s="50">
        <f>IF($AN41="N","N",SUM('調查資料(OUT)'!AA47:AA50))</f>
        <v>0</v>
      </c>
      <c r="CY41" s="50">
        <f>IF($AN41="N","N",SUM('調查資料(OUT)'!AE47:AE50))</f>
        <v>0</v>
      </c>
      <c r="CZ41" s="50">
        <f>IF($AN41="N","N",SUM('調查資料(OUT)'!AI47:AI50))</f>
        <v>0</v>
      </c>
      <c r="DA41" s="56" t="e">
        <f t="shared" si="201"/>
        <v>#DIV/0!</v>
      </c>
      <c r="DB41" s="50">
        <f t="shared" si="202"/>
        <v>0</v>
      </c>
      <c r="DC41" s="50">
        <f>IF($AN41="N","N",SUM('調查資料(OUT)'!AB47:AB50))</f>
        <v>0</v>
      </c>
      <c r="DD41" s="50">
        <f>IF($AN41="N","N",SUM('調查資料(OUT)'!AF47:AF50))</f>
        <v>0</v>
      </c>
      <c r="DE41" s="50">
        <f>IF($AN41="N","N",SUM('調查資料(OUT)'!AJ47:AJ50))</f>
        <v>0</v>
      </c>
      <c r="DF41" s="56" t="e">
        <f t="shared" si="203"/>
        <v>#DIV/0!</v>
      </c>
      <c r="DG41" s="50">
        <f t="shared" si="204"/>
        <v>0</v>
      </c>
      <c r="DH41" s="50">
        <f>IF($AN41="N","N",SUM('調查資料(OUT)'!AC47:AC50))</f>
        <v>0</v>
      </c>
      <c r="DI41" s="50">
        <f>IF($AN41="N","N",SUM('調查資料(OUT)'!AG47:AG50))</f>
        <v>0</v>
      </c>
      <c r="DJ41" s="50">
        <f>IF($AN41="N","N",SUM('調查資料(OUT)'!AK47:AK50))</f>
        <v>0</v>
      </c>
      <c r="DK41" s="56" t="e">
        <f t="shared" si="205"/>
        <v>#DIV/0!</v>
      </c>
      <c r="DL41" s="50">
        <f t="shared" si="269"/>
        <v>0</v>
      </c>
      <c r="DM41" s="56" t="e">
        <f t="shared" si="270"/>
        <v>#DIV/0!</v>
      </c>
      <c r="DN41" s="50">
        <f t="shared" si="271"/>
        <v>0</v>
      </c>
      <c r="DO41" s="56" t="e">
        <f t="shared" si="272"/>
        <v>#DIV/0!</v>
      </c>
      <c r="DP41" s="50">
        <f t="shared" si="273"/>
        <v>0</v>
      </c>
      <c r="DQ41" s="56" t="e">
        <f t="shared" si="274"/>
        <v>#DIV/0!</v>
      </c>
      <c r="DR41" s="50">
        <f t="shared" si="275"/>
        <v>0</v>
      </c>
      <c r="DS41" s="50">
        <f t="shared" si="213"/>
        <v>0</v>
      </c>
      <c r="DT41" s="50">
        <f>IF($AN41="N","N",SUM('調查資料(OUT)'!AL47:AL50))</f>
        <v>0</v>
      </c>
      <c r="DU41" s="50">
        <f>IF($AN41="N","N",SUM('調查資料(OUT)'!AP47:AP50))</f>
        <v>0</v>
      </c>
      <c r="DV41" s="50">
        <f>IF($AN41="N","N",SUM('調查資料(OUT)'!AT47:AT50))</f>
        <v>0</v>
      </c>
      <c r="DW41" s="56" t="e">
        <f t="shared" si="214"/>
        <v>#DIV/0!</v>
      </c>
      <c r="DX41" s="50">
        <f t="shared" si="215"/>
        <v>0</v>
      </c>
      <c r="DY41" s="50">
        <f>IF($AN41="N","N",SUM('調查資料(OUT)'!AM47:AM50))</f>
        <v>0</v>
      </c>
      <c r="DZ41" s="50">
        <f>IF($AN41="N","N",SUM('調查資料(OUT)'!AQ47:AQ50))</f>
        <v>0</v>
      </c>
      <c r="EA41" s="50">
        <f>IF($AN41="N","N",SUM('調查資料(OUT)'!AU47:AU50))</f>
        <v>0</v>
      </c>
      <c r="EB41" s="56" t="e">
        <f t="shared" si="216"/>
        <v>#DIV/0!</v>
      </c>
      <c r="EC41" s="50">
        <f t="shared" si="217"/>
        <v>0</v>
      </c>
      <c r="ED41" s="50">
        <f>IF($AN41="N","N",SUM('調查資料(OUT)'!AN47:AN50))</f>
        <v>0</v>
      </c>
      <c r="EE41" s="50">
        <f>IF($AN41="N","N",SUM('調查資料(OUT)'!AR47:AR50))</f>
        <v>0</v>
      </c>
      <c r="EF41" s="50">
        <f>IF($AN41="N","N",SUM('調查資料(OUT)'!AV47:AV50))</f>
        <v>0</v>
      </c>
      <c r="EG41" s="56" t="e">
        <f t="shared" si="218"/>
        <v>#DIV/0!</v>
      </c>
      <c r="EH41" s="50">
        <f t="shared" si="219"/>
        <v>0</v>
      </c>
      <c r="EI41" s="50">
        <f>IF($AN41="N","N",SUM('調查資料(OUT)'!AO47:AO50))</f>
        <v>0</v>
      </c>
      <c r="EJ41" s="50">
        <f>IF($AN41="N","N",SUM('調查資料(OUT)'!AS47:AS50))</f>
        <v>0</v>
      </c>
      <c r="EK41" s="50">
        <f>IF($AN41="N","N",SUM('調查資料(OUT)'!AW47:AW50))</f>
        <v>0</v>
      </c>
      <c r="EL41" s="56" t="e">
        <f t="shared" si="220"/>
        <v>#DIV/0!</v>
      </c>
      <c r="EM41" s="50">
        <f t="shared" si="276"/>
        <v>0</v>
      </c>
      <c r="EN41" s="56" t="e">
        <f t="shared" si="277"/>
        <v>#DIV/0!</v>
      </c>
      <c r="EO41" s="50">
        <f t="shared" si="278"/>
        <v>0</v>
      </c>
      <c r="EP41" s="56" t="e">
        <f t="shared" si="279"/>
        <v>#DIV/0!</v>
      </c>
      <c r="EQ41" s="50">
        <f t="shared" si="280"/>
        <v>0</v>
      </c>
      <c r="ER41" s="56" t="e">
        <f t="shared" si="281"/>
        <v>#DIV/0!</v>
      </c>
      <c r="ES41" s="50">
        <f t="shared" si="282"/>
        <v>0</v>
      </c>
      <c r="ET41" s="50">
        <f t="shared" si="227"/>
        <v>0</v>
      </c>
      <c r="EU41" s="50">
        <f>IF($AN41="N","N",SUM('調查資料(OUT)'!AX47:AX50))</f>
        <v>0</v>
      </c>
      <c r="EV41" s="50">
        <f>IF($AN41="N","N",SUM('調查資料(OUT)'!BB47:BB50))</f>
        <v>0</v>
      </c>
      <c r="EW41" s="50">
        <f>IF($AN41="N","N",SUM('調查資料(OUT)'!BF47:BF50))</f>
        <v>0</v>
      </c>
      <c r="EX41" s="56" t="e">
        <f t="shared" si="228"/>
        <v>#DIV/0!</v>
      </c>
      <c r="EY41" s="50">
        <f t="shared" si="229"/>
        <v>0</v>
      </c>
      <c r="EZ41" s="50">
        <f>IF($AN41="N","N",SUM('調查資料(OUT)'!AY47:AY50))</f>
        <v>0</v>
      </c>
      <c r="FA41" s="50">
        <f>IF($AN41="N","N",SUM('調查資料(OUT)'!BC47:BC50))</f>
        <v>0</v>
      </c>
      <c r="FB41" s="50">
        <f>IF($AN41="N","N",SUM('調查資料(OUT)'!BG47:BG50))</f>
        <v>0</v>
      </c>
      <c r="FC41" s="56" t="e">
        <f t="shared" si="230"/>
        <v>#DIV/0!</v>
      </c>
      <c r="FD41" s="50">
        <f t="shared" si="231"/>
        <v>0</v>
      </c>
      <c r="FE41" s="50">
        <f>IF($AN41="N","N",SUM('調查資料(OUT)'!AZ47:AZ50))</f>
        <v>0</v>
      </c>
      <c r="FF41" s="50">
        <f>IF($AN41="N","N",SUM('調查資料(OUT)'!BD47:BD50))</f>
        <v>0</v>
      </c>
      <c r="FG41" s="50">
        <f>IF($AN41="N","N",SUM('調查資料(OUT)'!BH47:BH50))</f>
        <v>0</v>
      </c>
      <c r="FH41" s="56" t="e">
        <f t="shared" si="232"/>
        <v>#DIV/0!</v>
      </c>
      <c r="FI41" s="50">
        <f t="shared" si="233"/>
        <v>0</v>
      </c>
      <c r="FJ41" s="50">
        <f>IF($AN41="N","N",SUM('調查資料(OUT)'!BA47:BA50))</f>
        <v>0</v>
      </c>
      <c r="FK41" s="50">
        <f>IF($AN41="N","N",SUM('調查資料(OUT)'!BE47:BE50))</f>
        <v>0</v>
      </c>
      <c r="FL41" s="50">
        <f>IF($AN41="N","N",SUM('調查資料(OUT)'!BI47:BI50))</f>
        <v>0</v>
      </c>
      <c r="FM41" s="56" t="e">
        <f t="shared" si="234"/>
        <v>#DIV/0!</v>
      </c>
      <c r="FN41" s="50">
        <f t="shared" si="246"/>
        <v>0</v>
      </c>
      <c r="FO41" s="56" t="e">
        <f t="shared" si="247"/>
        <v>#DIV/0!</v>
      </c>
      <c r="FP41" s="50">
        <f t="shared" si="248"/>
        <v>0</v>
      </c>
      <c r="FQ41" s="56" t="e">
        <f t="shared" si="249"/>
        <v>#DIV/0!</v>
      </c>
      <c r="FR41" s="50">
        <f t="shared" si="250"/>
        <v>0</v>
      </c>
      <c r="FS41" s="56" t="e">
        <f t="shared" si="251"/>
        <v>#DIV/0!</v>
      </c>
      <c r="FT41" s="50">
        <f t="shared" si="252"/>
        <v>0</v>
      </c>
    </row>
    <row r="42" spans="1:176">
      <c r="A42" s="314">
        <f>'調查資料(OUT)'!A48</f>
        <v>915</v>
      </c>
      <c r="B42" s="315">
        <f t="shared" si="238"/>
        <v>0</v>
      </c>
      <c r="C42" s="315">
        <f>IFERROR('調查資料(OUT)'!$B$1*'調查資料(OUT)'!B48,0)+IFERROR('調查資料(OUT)'!$F$1*'調查資料(OUT)'!F48,0)+IFERROR('調查資料(OUT)'!$J$1*'調查資料(OUT)'!J48,0)</f>
        <v>0</v>
      </c>
      <c r="D42" s="315">
        <f>IFERROR('調查資料(OUT)'!$C$1*'調查資料(OUT)'!C48,0)+IFERROR('調查資料(OUT)'!$G$1*'調查資料(OUT)'!G48,0)+IFERROR('調查資料(OUT)'!$K$1*'調查資料(OUT)'!K48,0)</f>
        <v>0</v>
      </c>
      <c r="E42" s="315">
        <f>IFERROR('調查資料(OUT)'!$D$1*'調查資料(OUT)'!D48,0)+IFERROR('調查資料(OUT)'!$H$1*'調查資料(OUT)'!H48,0)+IFERROR('調查資料(OUT)'!$L$1*'調查資料(OUT)'!L48,0)</f>
        <v>0</v>
      </c>
      <c r="F42" s="316">
        <f>IFERROR('調查資料(OUT)'!$E$1*'調查資料(OUT)'!E48,0)+IFERROR('調查資料(OUT)'!$I$1*'調查資料(OUT)'!I48,0)+IFERROR('調查資料(OUT)'!$M$1*'調查資料(OUT)'!M48,0)</f>
        <v>0</v>
      </c>
      <c r="G42" s="315">
        <f t="shared" si="239"/>
        <v>0</v>
      </c>
      <c r="H42" s="315">
        <f>IFERROR('調查資料(OUT)'!$N$1*'調查資料(OUT)'!N48,0)+IFERROR('調查資料(OUT)'!$R$1*'調查資料(OUT)'!R48,0)+IFERROR('調查資料(OUT)'!$V$1*'調查資料(OUT)'!V48,0)</f>
        <v>0</v>
      </c>
      <c r="I42" s="315">
        <f>IFERROR('調查資料(OUT)'!$O$1*'調查資料(OUT)'!O48,0)+IFERROR('調查資料(OUT)'!$S$1*'調查資料(OUT)'!S48,0)+IFERROR('調查資料(OUT)'!$W$1*'調查資料(OUT)'!W48,0)</f>
        <v>0</v>
      </c>
      <c r="J42" s="315">
        <f>IFERROR('調查資料(OUT)'!$P$1*'調查資料(OUT)'!P48,0)+IFERROR('調查資料(OUT)'!$T$1*'調查資料(OUT)'!T48,0)+IFERROR('調查資料(OUT)'!$X$1*'調查資料(OUT)'!X48,0)</f>
        <v>0</v>
      </c>
      <c r="K42" s="316">
        <f>IFERROR('調查資料(OUT)'!$Q$1*'調查資料(OUT)'!Q48,0)+IFERROR('調查資料(OUT)'!$U$1*'調查資料(OUT)'!U48,0)+IFERROR('調查資料(OUT)'!$Y$1*'調查資料(OUT)'!Y48,0)</f>
        <v>0</v>
      </c>
      <c r="L42" s="315">
        <f t="shared" si="240"/>
        <v>0</v>
      </c>
      <c r="M42" s="315">
        <f>IFERROR('調查資料(OUT)'!$Z$1*'調查資料(OUT)'!Z48,0)+IFERROR('調查資料(OUT)'!$AD$1*'調查資料(OUT)'!AD48,0)+IFERROR('調查資料(OUT)'!$AH$1*'調查資料(OUT)'!AH48,0)</f>
        <v>0</v>
      </c>
      <c r="N42" s="315">
        <f>IFERROR('調查資料(OUT)'!$AA$1*'調查資料(OUT)'!AA48,0)+IFERROR('調查資料(OUT)'!$AE$1*'調查資料(OUT)'!AE48,0)+IFERROR('調查資料(OUT)'!$AI$1*'調查資料(OUT)'!AI48,0)</f>
        <v>0</v>
      </c>
      <c r="O42" s="315">
        <f>IFERROR('調查資料(OUT)'!$AB$1*'調查資料(OUT)'!AB48,0)+IFERROR('調查資料(OUT)'!$AF$1*'調查資料(OUT)'!AF48,0)+IFERROR('調查資料(OUT)'!$AJ$1*'調查資料(OUT)'!AJ48,0)</f>
        <v>0</v>
      </c>
      <c r="P42" s="316">
        <f>IFERROR('調查資料(OUT)'!$AC$1*'調查資料(OUT)'!AC48,0)+IFERROR('調查資料(OUT)'!$AG$1*'調查資料(OUT)'!AG48,0)+IFERROR('調查資料(OUT)'!$AK$1*'調查資料(OUT)'!AK48,0)</f>
        <v>0</v>
      </c>
      <c r="Q42" s="315">
        <f t="shared" si="241"/>
        <v>0</v>
      </c>
      <c r="R42" s="315">
        <f>IFERROR('調查資料(OUT)'!$AL$1*'調查資料(OUT)'!AL48,0)+IFERROR('調查資料(OUT)'!$AP$1*'調查資料(OUT)'!AP48,0)+IFERROR('調查資料(OUT)'!$AT$1*'調查資料(OUT)'!AT48,0)</f>
        <v>0</v>
      </c>
      <c r="S42" s="315">
        <f>IFERROR('調查資料(OUT)'!$AM$1*'調查資料(OUT)'!AM48,0)+IFERROR('調查資料(OUT)'!$AQ$1*'調查資料(OUT)'!AQ48,0)+IFERROR('調查資料(OUT)'!$AU$1*'調查資料(OUT)'!AU48,0)</f>
        <v>0</v>
      </c>
      <c r="T42" s="315">
        <f>IFERROR('調查資料(OUT)'!$AN$1*'調查資料(OUT)'!AN48,0)+IFERROR('調查資料(OUT)'!$AR$1*'調查資料(OUT)'!AR48,0)+IFERROR('調查資料(OUT)'!$AV$1*'調查資料(OUT)'!AV48,0)</f>
        <v>0</v>
      </c>
      <c r="U42" s="316">
        <f>IFERROR('調查資料(OUT)'!$AO$1*'調查資料(OUT)'!AO48,0)+IFERROR('調查資料(OUT)'!$AS$1*'調查資料(OUT)'!AS48,0)+IFERROR('調查資料(OUT)'!$AW$1*'調查資料(OUT)'!AW48,0)</f>
        <v>0</v>
      </c>
      <c r="V42" s="315">
        <f t="shared" si="242"/>
        <v>0</v>
      </c>
      <c r="W42" s="315">
        <f>IFERROR('調查資料(OUT)'!$AX$1*'調查資料(OUT)'!AX48,0)+IFERROR('調查資料(OUT)'!$BB$1*'調查資料(OUT)'!BB48,0)+IFERROR('調查資料(OUT)'!$BF$1*'調查資料(OUT)'!BF48,0)</f>
        <v>0</v>
      </c>
      <c r="X42" s="315">
        <f>IFERROR('調查資料(OUT)'!$AY$1*'調查資料(OUT)'!AY48,0)+IFERROR('調查資料(OUT)'!$BC$1*'調查資料(OUT)'!BC48,0)+IFERROR('調查資料(OUT)'!$BG$1*'調查資料(OUT)'!BG48,0)</f>
        <v>0</v>
      </c>
      <c r="Y42" s="315">
        <f>IFERROR('調查資料(OUT)'!$AZ$1*'調查資料(OUT)'!AZ48,0)+IFERROR('調查資料(OUT)'!$BD$1*'調查資料(OUT)'!BD48,0)+IFERROR('調查資料(OUT)'!$BH$1*'調查資料(OUT)'!BH48,0)</f>
        <v>0</v>
      </c>
      <c r="Z42" s="316">
        <f>IFERROR('調查資料(OUT)'!$BA$1*'調查資料(OUT)'!BA48,0)+IFERROR('調查資料(OUT)'!$BE$1*'調查資料(OUT)'!BE48,0)+IFERROR('調查資料(OUT)'!$BI$1*'調查資料(OUT)'!BI48,0)</f>
        <v>0</v>
      </c>
      <c r="AA42" s="317">
        <f t="shared" si="243"/>
        <v>0</v>
      </c>
      <c r="AC42" s="352">
        <f>'調查資料(OUT)'!A48</f>
        <v>915</v>
      </c>
      <c r="AD42" s="353">
        <f t="shared" si="244"/>
        <v>1015</v>
      </c>
      <c r="AE42" s="315">
        <f t="shared" si="254"/>
        <v>0</v>
      </c>
      <c r="AF42" s="315"/>
      <c r="AG42" s="315">
        <f>IF($AE42=$AF$5,MAX(AA42:AA45),0)</f>
        <v>0</v>
      </c>
      <c r="AH42" s="355" t="e">
        <f>IF($AE42=AF$41,SUM(B42:B45)/(4*(MAX(B42:B45))),0)</f>
        <v>#DIV/0!</v>
      </c>
      <c r="AI42" s="355" t="e">
        <f t="shared" ref="AI42:AI52" si="285">IF($AE42=AF$41,SUM(G42:G45)/(4*(MAX(G42:G45))),0)</f>
        <v>#DIV/0!</v>
      </c>
      <c r="AJ42" s="355" t="e">
        <f t="shared" ref="AJ42:AJ52" si="286">IF($AE42=AF$41,SUM(L42:L45)/(4*(MAX(L42:L45))),0)</f>
        <v>#DIV/0!</v>
      </c>
      <c r="AK42" s="355" t="e">
        <f t="shared" ref="AK42:AK52" si="287">IF($AE42=AF$41,SUM(Q42:Q45)/(4*(MAX(Q42:Q45))),0)</f>
        <v>#DIV/0!</v>
      </c>
      <c r="AL42" s="355" t="e">
        <f>IF($AE42=AF$41,SUM(V42:V45)/(4*(MAX(V42:V45))),0)</f>
        <v>#DIV/0!</v>
      </c>
      <c r="AM42" s="357"/>
      <c r="AN42" s="315">
        <f t="shared" si="283"/>
        <v>915</v>
      </c>
      <c r="AO42" s="316">
        <f t="shared" si="284"/>
        <v>1015</v>
      </c>
      <c r="AP42" s="50">
        <f t="shared" si="245"/>
        <v>0</v>
      </c>
      <c r="AQ42" s="50">
        <f>IF($AN42="N","N",SUM('調查資料(OUT)'!B48:B51))</f>
        <v>0</v>
      </c>
      <c r="AR42" s="50">
        <f>IF($AN42="N","N",SUM('調查資料(OUT)'!F48:F51))</f>
        <v>0</v>
      </c>
      <c r="AS42" s="50">
        <f>IF($AN42="N","N",SUM('調查資料(OUT)'!J48:J51))</f>
        <v>0</v>
      </c>
      <c r="AT42" s="56" t="e">
        <f t="shared" si="169"/>
        <v>#DIV/0!</v>
      </c>
      <c r="AU42" s="50">
        <f t="shared" si="170"/>
        <v>0</v>
      </c>
      <c r="AV42" s="50">
        <f>IF($AN42="N","N",SUM('調查資料(OUT)'!C48:C51))</f>
        <v>0</v>
      </c>
      <c r="AW42" s="50">
        <f>IF($AN42="N","N",SUM('調查資料(OUT)'!G48:G51))</f>
        <v>0</v>
      </c>
      <c r="AX42" s="50">
        <f>IF($AN42="N","N",SUM('調查資料(OUT)'!K48:K51))</f>
        <v>0</v>
      </c>
      <c r="AY42" s="56" t="e">
        <f t="shared" si="171"/>
        <v>#DIV/0!</v>
      </c>
      <c r="AZ42" s="50">
        <f t="shared" si="172"/>
        <v>0</v>
      </c>
      <c r="BA42" s="50">
        <f>IF($AN42="N","N",SUM('調查資料(OUT)'!D48:D51))</f>
        <v>0</v>
      </c>
      <c r="BB42" s="50">
        <f>IF($AN42="N","N",SUM('調查資料(OUT)'!H48:H51))</f>
        <v>0</v>
      </c>
      <c r="BC42" s="50">
        <f>IF($AN42="N","N",SUM('調查資料(OUT)'!L48:L51))</f>
        <v>0</v>
      </c>
      <c r="BD42" s="56" t="e">
        <f t="shared" si="173"/>
        <v>#DIV/0!</v>
      </c>
      <c r="BE42" s="50">
        <f t="shared" si="174"/>
        <v>0</v>
      </c>
      <c r="BF42" s="50">
        <f>IF($AN42="N","N",SUM('調查資料(OUT)'!E48:E51))</f>
        <v>0</v>
      </c>
      <c r="BG42" s="50">
        <f>IF($AN42="N","N",SUM('調查資料(OUT)'!I48:I51))</f>
        <v>0</v>
      </c>
      <c r="BH42" s="50">
        <f>IF($AN42="N","N",SUM('調查資料(OUT)'!M48:M51))</f>
        <v>0</v>
      </c>
      <c r="BI42" s="56" t="e">
        <f t="shared" si="175"/>
        <v>#DIV/0!</v>
      </c>
      <c r="BJ42" s="50">
        <f t="shared" si="255"/>
        <v>0</v>
      </c>
      <c r="BK42" s="56" t="e">
        <f t="shared" si="256"/>
        <v>#DIV/0!</v>
      </c>
      <c r="BL42" s="50">
        <f t="shared" si="257"/>
        <v>0</v>
      </c>
      <c r="BM42" s="56" t="e">
        <f t="shared" si="258"/>
        <v>#DIV/0!</v>
      </c>
      <c r="BN42" s="50">
        <f t="shared" si="259"/>
        <v>0</v>
      </c>
      <c r="BO42" s="56" t="e">
        <f t="shared" si="260"/>
        <v>#DIV/0!</v>
      </c>
      <c r="BP42" s="50">
        <f t="shared" si="261"/>
        <v>0</v>
      </c>
      <c r="BQ42" s="50">
        <f t="shared" si="183"/>
        <v>0</v>
      </c>
      <c r="BR42" s="50">
        <f>IF($AN42="N","N",SUM('調查資料(OUT)'!N48:N51))</f>
        <v>0</v>
      </c>
      <c r="BS42" s="50">
        <f>IF($AN42="N","N",SUM('調查資料(OUT)'!R48:R51))</f>
        <v>0</v>
      </c>
      <c r="BT42" s="50">
        <f>IF($AN42="N","N",SUM('調查資料(OUT)'!V48:V51))</f>
        <v>0</v>
      </c>
      <c r="BU42" s="56" t="e">
        <f t="shared" si="184"/>
        <v>#DIV/0!</v>
      </c>
      <c r="BV42" s="50">
        <f t="shared" si="185"/>
        <v>0</v>
      </c>
      <c r="BW42" s="50">
        <f>IF($AN42="N","N",SUM('調查資料(OUT)'!O48:O51))</f>
        <v>0</v>
      </c>
      <c r="BX42" s="50">
        <f>IF($AN42="N","N",SUM('調查資料(OUT)'!S48:S51))</f>
        <v>0</v>
      </c>
      <c r="BY42" s="50">
        <f>IF($AN42="N","N",SUM('調查資料(OUT)'!W48:W51))</f>
        <v>0</v>
      </c>
      <c r="BZ42" s="56" t="e">
        <f t="shared" si="186"/>
        <v>#DIV/0!</v>
      </c>
      <c r="CA42" s="50">
        <f t="shared" si="187"/>
        <v>0</v>
      </c>
      <c r="CB42" s="50">
        <f>IF($AN42="N","N",SUM('調查資料(OUT)'!P48:P51))</f>
        <v>0</v>
      </c>
      <c r="CC42" s="50">
        <f>IF($AN42="N","N",SUM('調查資料(OUT)'!T48:T51))</f>
        <v>0</v>
      </c>
      <c r="CD42" s="50">
        <f>IF($AN42="N","N",SUM('調查資料(OUT)'!X48:X51))</f>
        <v>0</v>
      </c>
      <c r="CE42" s="56" t="e">
        <f t="shared" si="188"/>
        <v>#DIV/0!</v>
      </c>
      <c r="CF42" s="50">
        <f t="shared" si="189"/>
        <v>0</v>
      </c>
      <c r="CG42" s="50">
        <f>IF($AN42="N","N",SUM('調查資料(OUT)'!Q48:Q51))</f>
        <v>0</v>
      </c>
      <c r="CH42" s="50">
        <f>IF($AN42="N","N",SUM('調查資料(OUT)'!U48:U51))</f>
        <v>0</v>
      </c>
      <c r="CI42" s="50">
        <f>IF($AN42="N","N",SUM('調查資料(OUT)'!Y48:Y51))</f>
        <v>0</v>
      </c>
      <c r="CJ42" s="56" t="e">
        <f t="shared" si="190"/>
        <v>#DIV/0!</v>
      </c>
      <c r="CK42" s="50">
        <f t="shared" si="262"/>
        <v>0</v>
      </c>
      <c r="CL42" s="56" t="e">
        <f t="shared" si="263"/>
        <v>#DIV/0!</v>
      </c>
      <c r="CM42" s="50">
        <f t="shared" si="264"/>
        <v>0</v>
      </c>
      <c r="CN42" s="56" t="e">
        <f t="shared" si="265"/>
        <v>#DIV/0!</v>
      </c>
      <c r="CO42" s="50">
        <f t="shared" si="266"/>
        <v>0</v>
      </c>
      <c r="CP42" s="56" t="e">
        <f t="shared" si="267"/>
        <v>#DIV/0!</v>
      </c>
      <c r="CQ42" s="50">
        <f t="shared" si="268"/>
        <v>0</v>
      </c>
      <c r="CR42" s="50">
        <f t="shared" si="198"/>
        <v>0</v>
      </c>
      <c r="CS42" s="50">
        <f>IF($AN42="N","N",SUM('調查資料(OUT)'!Z48:Z51))</f>
        <v>0</v>
      </c>
      <c r="CT42" s="50">
        <f>IF($AN42="N","N",SUM('調查資料(OUT)'!AD48:AD51))</f>
        <v>0</v>
      </c>
      <c r="CU42" s="50">
        <f>IF($AN42="N","N",SUM('調查資料(OUT)'!AH48:AH51))</f>
        <v>0</v>
      </c>
      <c r="CV42" s="56" t="e">
        <f t="shared" si="199"/>
        <v>#DIV/0!</v>
      </c>
      <c r="CW42" s="50">
        <f t="shared" si="200"/>
        <v>0</v>
      </c>
      <c r="CX42" s="50">
        <f>IF($AN42="N","N",SUM('調查資料(OUT)'!AA48:AA51))</f>
        <v>0</v>
      </c>
      <c r="CY42" s="50">
        <f>IF($AN42="N","N",SUM('調查資料(OUT)'!AE48:AE51))</f>
        <v>0</v>
      </c>
      <c r="CZ42" s="50">
        <f>IF($AN42="N","N",SUM('調查資料(OUT)'!AI48:AI51))</f>
        <v>0</v>
      </c>
      <c r="DA42" s="56" t="e">
        <f t="shared" si="201"/>
        <v>#DIV/0!</v>
      </c>
      <c r="DB42" s="50">
        <f t="shared" si="202"/>
        <v>0</v>
      </c>
      <c r="DC42" s="50">
        <f>IF($AN42="N","N",SUM('調查資料(OUT)'!AB48:AB51))</f>
        <v>0</v>
      </c>
      <c r="DD42" s="50">
        <f>IF($AN42="N","N",SUM('調查資料(OUT)'!AF48:AF51))</f>
        <v>0</v>
      </c>
      <c r="DE42" s="50">
        <f>IF($AN42="N","N",SUM('調查資料(OUT)'!AJ48:AJ51))</f>
        <v>0</v>
      </c>
      <c r="DF42" s="56" t="e">
        <f t="shared" si="203"/>
        <v>#DIV/0!</v>
      </c>
      <c r="DG42" s="50">
        <f t="shared" si="204"/>
        <v>0</v>
      </c>
      <c r="DH42" s="50">
        <f>IF($AN42="N","N",SUM('調查資料(OUT)'!AC48:AC51))</f>
        <v>0</v>
      </c>
      <c r="DI42" s="50">
        <f>IF($AN42="N","N",SUM('調查資料(OUT)'!AG48:AG51))</f>
        <v>0</v>
      </c>
      <c r="DJ42" s="50">
        <f>IF($AN42="N","N",SUM('調查資料(OUT)'!AK48:AK51))</f>
        <v>0</v>
      </c>
      <c r="DK42" s="56" t="e">
        <f t="shared" si="205"/>
        <v>#DIV/0!</v>
      </c>
      <c r="DL42" s="50">
        <f t="shared" si="269"/>
        <v>0</v>
      </c>
      <c r="DM42" s="56" t="e">
        <f t="shared" si="270"/>
        <v>#DIV/0!</v>
      </c>
      <c r="DN42" s="50">
        <f t="shared" si="271"/>
        <v>0</v>
      </c>
      <c r="DO42" s="56" t="e">
        <f t="shared" si="272"/>
        <v>#DIV/0!</v>
      </c>
      <c r="DP42" s="50">
        <f t="shared" si="273"/>
        <v>0</v>
      </c>
      <c r="DQ42" s="56" t="e">
        <f t="shared" si="274"/>
        <v>#DIV/0!</v>
      </c>
      <c r="DR42" s="50">
        <f t="shared" si="275"/>
        <v>0</v>
      </c>
      <c r="DS42" s="50">
        <f t="shared" si="213"/>
        <v>0</v>
      </c>
      <c r="DT42" s="50">
        <f>IF($AN42="N","N",SUM('調查資料(OUT)'!AL48:AL51))</f>
        <v>0</v>
      </c>
      <c r="DU42" s="50">
        <f>IF($AN42="N","N",SUM('調查資料(OUT)'!AP48:AP51))</f>
        <v>0</v>
      </c>
      <c r="DV42" s="50">
        <f>IF($AN42="N","N",SUM('調查資料(OUT)'!AT48:AT51))</f>
        <v>0</v>
      </c>
      <c r="DW42" s="56" t="e">
        <f t="shared" si="214"/>
        <v>#DIV/0!</v>
      </c>
      <c r="DX42" s="50">
        <f t="shared" si="215"/>
        <v>0</v>
      </c>
      <c r="DY42" s="50">
        <f>IF($AN42="N","N",SUM('調查資料(OUT)'!AM48:AM51))</f>
        <v>0</v>
      </c>
      <c r="DZ42" s="50">
        <f>IF($AN42="N","N",SUM('調查資料(OUT)'!AQ48:AQ51))</f>
        <v>0</v>
      </c>
      <c r="EA42" s="50">
        <f>IF($AN42="N","N",SUM('調查資料(OUT)'!AU48:AU51))</f>
        <v>0</v>
      </c>
      <c r="EB42" s="56" t="e">
        <f t="shared" si="216"/>
        <v>#DIV/0!</v>
      </c>
      <c r="EC42" s="50">
        <f t="shared" si="217"/>
        <v>0</v>
      </c>
      <c r="ED42" s="50">
        <f>IF($AN42="N","N",SUM('調查資料(OUT)'!AN48:AN51))</f>
        <v>0</v>
      </c>
      <c r="EE42" s="50">
        <f>IF($AN42="N","N",SUM('調查資料(OUT)'!AR48:AR51))</f>
        <v>0</v>
      </c>
      <c r="EF42" s="50">
        <f>IF($AN42="N","N",SUM('調查資料(OUT)'!AV48:AV51))</f>
        <v>0</v>
      </c>
      <c r="EG42" s="56" t="e">
        <f t="shared" si="218"/>
        <v>#DIV/0!</v>
      </c>
      <c r="EH42" s="50">
        <f t="shared" si="219"/>
        <v>0</v>
      </c>
      <c r="EI42" s="50">
        <f>IF($AN42="N","N",SUM('調查資料(OUT)'!AO48:AO51))</f>
        <v>0</v>
      </c>
      <c r="EJ42" s="50">
        <f>IF($AN42="N","N",SUM('調查資料(OUT)'!AS48:AS51))</f>
        <v>0</v>
      </c>
      <c r="EK42" s="50">
        <f>IF($AN42="N","N",SUM('調查資料(OUT)'!AW48:AW51))</f>
        <v>0</v>
      </c>
      <c r="EL42" s="56" t="e">
        <f t="shared" si="220"/>
        <v>#DIV/0!</v>
      </c>
      <c r="EM42" s="50">
        <f t="shared" si="276"/>
        <v>0</v>
      </c>
      <c r="EN42" s="56" t="e">
        <f t="shared" si="277"/>
        <v>#DIV/0!</v>
      </c>
      <c r="EO42" s="50">
        <f t="shared" si="278"/>
        <v>0</v>
      </c>
      <c r="EP42" s="56" t="e">
        <f t="shared" si="279"/>
        <v>#DIV/0!</v>
      </c>
      <c r="EQ42" s="50">
        <f t="shared" si="280"/>
        <v>0</v>
      </c>
      <c r="ER42" s="56" t="e">
        <f t="shared" si="281"/>
        <v>#DIV/0!</v>
      </c>
      <c r="ES42" s="50">
        <f t="shared" si="282"/>
        <v>0</v>
      </c>
      <c r="ET42" s="50">
        <f t="shared" si="227"/>
        <v>0</v>
      </c>
      <c r="EU42" s="50">
        <f>IF($AN42="N","N",SUM('調查資料(OUT)'!AX48:AX51))</f>
        <v>0</v>
      </c>
      <c r="EV42" s="50">
        <f>IF($AN42="N","N",SUM('調查資料(OUT)'!BB48:BB51))</f>
        <v>0</v>
      </c>
      <c r="EW42" s="50">
        <f>IF($AN42="N","N",SUM('調查資料(OUT)'!BF48:BF51))</f>
        <v>0</v>
      </c>
      <c r="EX42" s="56" t="e">
        <f t="shared" si="228"/>
        <v>#DIV/0!</v>
      </c>
      <c r="EY42" s="50">
        <f t="shared" si="229"/>
        <v>0</v>
      </c>
      <c r="EZ42" s="50">
        <f>IF($AN42="N","N",SUM('調查資料(OUT)'!AY48:AY51))</f>
        <v>0</v>
      </c>
      <c r="FA42" s="50">
        <f>IF($AN42="N","N",SUM('調查資料(OUT)'!BC48:BC51))</f>
        <v>0</v>
      </c>
      <c r="FB42" s="50">
        <f>IF($AN42="N","N",SUM('調查資料(OUT)'!BG48:BG51))</f>
        <v>0</v>
      </c>
      <c r="FC42" s="56" t="e">
        <f t="shared" si="230"/>
        <v>#DIV/0!</v>
      </c>
      <c r="FD42" s="50">
        <f t="shared" si="231"/>
        <v>0</v>
      </c>
      <c r="FE42" s="50">
        <f>IF($AN42="N","N",SUM('調查資料(OUT)'!AZ48:AZ51))</f>
        <v>0</v>
      </c>
      <c r="FF42" s="50">
        <f>IF($AN42="N","N",SUM('調查資料(OUT)'!BD48:BD51))</f>
        <v>0</v>
      </c>
      <c r="FG42" s="50">
        <f>IF($AN42="N","N",SUM('調查資料(OUT)'!BH48:BH51))</f>
        <v>0</v>
      </c>
      <c r="FH42" s="56" t="e">
        <f t="shared" si="232"/>
        <v>#DIV/0!</v>
      </c>
      <c r="FI42" s="50">
        <f t="shared" si="233"/>
        <v>0</v>
      </c>
      <c r="FJ42" s="50">
        <f>IF($AN42="N","N",SUM('調查資料(OUT)'!BA48:BA51))</f>
        <v>0</v>
      </c>
      <c r="FK42" s="50">
        <f>IF($AN42="N","N",SUM('調查資料(OUT)'!BE48:BE51))</f>
        <v>0</v>
      </c>
      <c r="FL42" s="50">
        <f>IF($AN42="N","N",SUM('調查資料(OUT)'!BI48:BI51))</f>
        <v>0</v>
      </c>
      <c r="FM42" s="56" t="e">
        <f t="shared" si="234"/>
        <v>#DIV/0!</v>
      </c>
      <c r="FN42" s="50">
        <f t="shared" si="246"/>
        <v>0</v>
      </c>
      <c r="FO42" s="56" t="e">
        <f t="shared" si="247"/>
        <v>#DIV/0!</v>
      </c>
      <c r="FP42" s="50">
        <f t="shared" si="248"/>
        <v>0</v>
      </c>
      <c r="FQ42" s="56" t="e">
        <f t="shared" si="249"/>
        <v>#DIV/0!</v>
      </c>
      <c r="FR42" s="50">
        <f t="shared" si="250"/>
        <v>0</v>
      </c>
      <c r="FS42" s="56" t="e">
        <f t="shared" si="251"/>
        <v>#DIV/0!</v>
      </c>
      <c r="FT42" s="50">
        <f t="shared" si="252"/>
        <v>0</v>
      </c>
    </row>
    <row r="43" spans="1:176">
      <c r="A43" s="314">
        <f>'調查資料(OUT)'!A49</f>
        <v>930</v>
      </c>
      <c r="B43" s="315">
        <f t="shared" si="238"/>
        <v>0</v>
      </c>
      <c r="C43" s="315">
        <f>IFERROR('調查資料(OUT)'!$B$1*'調查資料(OUT)'!B49,0)+IFERROR('調查資料(OUT)'!$F$1*'調查資料(OUT)'!F49,0)+IFERROR('調查資料(OUT)'!$J$1*'調查資料(OUT)'!J49,0)</f>
        <v>0</v>
      </c>
      <c r="D43" s="315">
        <f>IFERROR('調查資料(OUT)'!$C$1*'調查資料(OUT)'!C49,0)+IFERROR('調查資料(OUT)'!$G$1*'調查資料(OUT)'!G49,0)+IFERROR('調查資料(OUT)'!$K$1*'調查資料(OUT)'!K49,0)</f>
        <v>0</v>
      </c>
      <c r="E43" s="315">
        <f>IFERROR('調查資料(OUT)'!$D$1*'調查資料(OUT)'!D49,0)+IFERROR('調查資料(OUT)'!$H$1*'調查資料(OUT)'!H49,0)+IFERROR('調查資料(OUT)'!$L$1*'調查資料(OUT)'!L49,0)</f>
        <v>0</v>
      </c>
      <c r="F43" s="316">
        <f>IFERROR('調查資料(OUT)'!$E$1*'調查資料(OUT)'!E49,0)+IFERROR('調查資料(OUT)'!$I$1*'調查資料(OUT)'!I49,0)+IFERROR('調查資料(OUT)'!$M$1*'調查資料(OUT)'!M49,0)</f>
        <v>0</v>
      </c>
      <c r="G43" s="315">
        <f t="shared" si="239"/>
        <v>0</v>
      </c>
      <c r="H43" s="315">
        <f>IFERROR('調查資料(OUT)'!$N$1*'調查資料(OUT)'!N49,0)+IFERROR('調查資料(OUT)'!$R$1*'調查資料(OUT)'!R49,0)+IFERROR('調查資料(OUT)'!$V$1*'調查資料(OUT)'!V49,0)</f>
        <v>0</v>
      </c>
      <c r="I43" s="315">
        <f>IFERROR('調查資料(OUT)'!$O$1*'調查資料(OUT)'!O49,0)+IFERROR('調查資料(OUT)'!$S$1*'調查資料(OUT)'!S49,0)+IFERROR('調查資料(OUT)'!$W$1*'調查資料(OUT)'!W49,0)</f>
        <v>0</v>
      </c>
      <c r="J43" s="315">
        <f>IFERROR('調查資料(OUT)'!$P$1*'調查資料(OUT)'!P49,0)+IFERROR('調查資料(OUT)'!$T$1*'調查資料(OUT)'!T49,0)+IFERROR('調查資料(OUT)'!$X$1*'調查資料(OUT)'!X49,0)</f>
        <v>0</v>
      </c>
      <c r="K43" s="316">
        <f>IFERROR('調查資料(OUT)'!$Q$1*'調查資料(OUT)'!Q49,0)+IFERROR('調查資料(OUT)'!$U$1*'調查資料(OUT)'!U49,0)+IFERROR('調查資料(OUT)'!$Y$1*'調查資料(OUT)'!Y49,0)</f>
        <v>0</v>
      </c>
      <c r="L43" s="315">
        <f t="shared" si="240"/>
        <v>0</v>
      </c>
      <c r="M43" s="315">
        <f>IFERROR('調查資料(OUT)'!$Z$1*'調查資料(OUT)'!Z49,0)+IFERROR('調查資料(OUT)'!$AD$1*'調查資料(OUT)'!AD49,0)+IFERROR('調查資料(OUT)'!$AH$1*'調查資料(OUT)'!AH49,0)</f>
        <v>0</v>
      </c>
      <c r="N43" s="315">
        <f>IFERROR('調查資料(OUT)'!$AA$1*'調查資料(OUT)'!AA49,0)+IFERROR('調查資料(OUT)'!$AE$1*'調查資料(OUT)'!AE49,0)+IFERROR('調查資料(OUT)'!$AI$1*'調查資料(OUT)'!AI49,0)</f>
        <v>0</v>
      </c>
      <c r="O43" s="315">
        <f>IFERROR('調查資料(OUT)'!$AB$1*'調查資料(OUT)'!AB49,0)+IFERROR('調查資料(OUT)'!$AF$1*'調查資料(OUT)'!AF49,0)+IFERROR('調查資料(OUT)'!$AJ$1*'調查資料(OUT)'!AJ49,0)</f>
        <v>0</v>
      </c>
      <c r="P43" s="316">
        <f>IFERROR('調查資料(OUT)'!$AC$1*'調查資料(OUT)'!AC49,0)+IFERROR('調查資料(OUT)'!$AG$1*'調查資料(OUT)'!AG49,0)+IFERROR('調查資料(OUT)'!$AK$1*'調查資料(OUT)'!AK49,0)</f>
        <v>0</v>
      </c>
      <c r="Q43" s="315">
        <f t="shared" si="241"/>
        <v>0</v>
      </c>
      <c r="R43" s="315">
        <f>IFERROR('調查資料(OUT)'!$AL$1*'調查資料(OUT)'!AL49,0)+IFERROR('調查資料(OUT)'!$AP$1*'調查資料(OUT)'!AP49,0)+IFERROR('調查資料(OUT)'!$AT$1*'調查資料(OUT)'!AT49,0)</f>
        <v>0</v>
      </c>
      <c r="S43" s="315">
        <f>IFERROR('調查資料(OUT)'!$AM$1*'調查資料(OUT)'!AM49,0)+IFERROR('調查資料(OUT)'!$AQ$1*'調查資料(OUT)'!AQ49,0)+IFERROR('調查資料(OUT)'!$AU$1*'調查資料(OUT)'!AU49,0)</f>
        <v>0</v>
      </c>
      <c r="T43" s="315">
        <f>IFERROR('調查資料(OUT)'!$AN$1*'調查資料(OUT)'!AN49,0)+IFERROR('調查資料(OUT)'!$AR$1*'調查資料(OUT)'!AR49,0)+IFERROR('調查資料(OUT)'!$AV$1*'調查資料(OUT)'!AV49,0)</f>
        <v>0</v>
      </c>
      <c r="U43" s="316">
        <f>IFERROR('調查資料(OUT)'!$AO$1*'調查資料(OUT)'!AO49,0)+IFERROR('調查資料(OUT)'!$AS$1*'調查資料(OUT)'!AS49,0)+IFERROR('調查資料(OUT)'!$AW$1*'調查資料(OUT)'!AW49,0)</f>
        <v>0</v>
      </c>
      <c r="V43" s="315">
        <f t="shared" si="242"/>
        <v>0</v>
      </c>
      <c r="W43" s="315">
        <f>IFERROR('調查資料(OUT)'!$AX$1*'調查資料(OUT)'!AX49,0)+IFERROR('調查資料(OUT)'!$BB$1*'調查資料(OUT)'!BB49,0)+IFERROR('調查資料(OUT)'!$BF$1*'調查資料(OUT)'!BF49,0)</f>
        <v>0</v>
      </c>
      <c r="X43" s="315">
        <f>IFERROR('調查資料(OUT)'!$AY$1*'調查資料(OUT)'!AY49,0)+IFERROR('調查資料(OUT)'!$BC$1*'調查資料(OUT)'!BC49,0)+IFERROR('調查資料(OUT)'!$BG$1*'調查資料(OUT)'!BG49,0)</f>
        <v>0</v>
      </c>
      <c r="Y43" s="315">
        <f>IFERROR('調查資料(OUT)'!$AZ$1*'調查資料(OUT)'!AZ49,0)+IFERROR('調查資料(OUT)'!$BD$1*'調查資料(OUT)'!BD49,0)+IFERROR('調查資料(OUT)'!$BH$1*'調查資料(OUT)'!BH49,0)</f>
        <v>0</v>
      </c>
      <c r="Z43" s="316">
        <f>IFERROR('調查資料(OUT)'!$BA$1*'調查資料(OUT)'!BA49,0)+IFERROR('調查資料(OUT)'!$BE$1*'調查資料(OUT)'!BE49,0)+IFERROR('調查資料(OUT)'!$BI$1*'調查資料(OUT)'!BI49,0)</f>
        <v>0</v>
      </c>
      <c r="AA43" s="317">
        <f t="shared" si="243"/>
        <v>0</v>
      </c>
      <c r="AC43" s="352">
        <f>'調查資料(OUT)'!A49</f>
        <v>930</v>
      </c>
      <c r="AD43" s="353">
        <f t="shared" si="244"/>
        <v>1030</v>
      </c>
      <c r="AE43" s="315">
        <f t="shared" si="254"/>
        <v>0</v>
      </c>
      <c r="AF43" s="315"/>
      <c r="AG43" s="315">
        <f>IF($AE43=$AF$5,MAX(AA43:AA46),0)</f>
        <v>0</v>
      </c>
      <c r="AH43" s="355" t="e">
        <f t="shared" ref="AH43:AH52" si="288">IF($AE43=AF$41,SUM(B43:B46)/(4*(MAX(B43:B46))),0)</f>
        <v>#DIV/0!</v>
      </c>
      <c r="AI43" s="355" t="e">
        <f t="shared" si="285"/>
        <v>#DIV/0!</v>
      </c>
      <c r="AJ43" s="355" t="e">
        <f t="shared" si="286"/>
        <v>#DIV/0!</v>
      </c>
      <c r="AK43" s="355" t="e">
        <f t="shared" si="287"/>
        <v>#DIV/0!</v>
      </c>
      <c r="AL43" s="355" t="e">
        <f t="shared" ref="AL43:AL52" si="289">IF($AE43=AF$41,SUM(V43:V46)/(4*(MAX(V43:V46))),0)</f>
        <v>#DIV/0!</v>
      </c>
      <c r="AM43" s="357"/>
      <c r="AN43" s="315">
        <f t="shared" si="283"/>
        <v>930</v>
      </c>
      <c r="AO43" s="316">
        <f t="shared" si="284"/>
        <v>1030</v>
      </c>
      <c r="AP43" s="50">
        <f t="shared" si="245"/>
        <v>0</v>
      </c>
      <c r="AQ43" s="50">
        <f>IF($AN43="N","N",SUM('調查資料(OUT)'!B49:B52))</f>
        <v>0</v>
      </c>
      <c r="AR43" s="50">
        <f>IF($AN43="N","N",SUM('調查資料(OUT)'!F49:F52))</f>
        <v>0</v>
      </c>
      <c r="AS43" s="50">
        <f>IF($AN43="N","N",SUM('調查資料(OUT)'!J49:J52))</f>
        <v>0</v>
      </c>
      <c r="AT43" s="56" t="e">
        <f t="shared" si="169"/>
        <v>#DIV/0!</v>
      </c>
      <c r="AU43" s="50">
        <f t="shared" si="170"/>
        <v>0</v>
      </c>
      <c r="AV43" s="50">
        <f>IF($AN43="N","N",SUM('調查資料(OUT)'!C49:C52))</f>
        <v>0</v>
      </c>
      <c r="AW43" s="50">
        <f>IF($AN43="N","N",SUM('調查資料(OUT)'!G49:G52))</f>
        <v>0</v>
      </c>
      <c r="AX43" s="50">
        <f>IF($AN43="N","N",SUM('調查資料(OUT)'!K49:K52))</f>
        <v>0</v>
      </c>
      <c r="AY43" s="56" t="e">
        <f t="shared" si="171"/>
        <v>#DIV/0!</v>
      </c>
      <c r="AZ43" s="50">
        <f t="shared" si="172"/>
        <v>0</v>
      </c>
      <c r="BA43" s="50">
        <f>IF($AN43="N","N",SUM('調查資料(OUT)'!D49:D52))</f>
        <v>0</v>
      </c>
      <c r="BB43" s="50">
        <f>IF($AN43="N","N",SUM('調查資料(OUT)'!H49:H52))</f>
        <v>0</v>
      </c>
      <c r="BC43" s="50">
        <f>IF($AN43="N","N",SUM('調查資料(OUT)'!L49:L52))</f>
        <v>0</v>
      </c>
      <c r="BD43" s="56" t="e">
        <f t="shared" si="173"/>
        <v>#DIV/0!</v>
      </c>
      <c r="BE43" s="50">
        <f t="shared" si="174"/>
        <v>0</v>
      </c>
      <c r="BF43" s="50">
        <f>IF($AN43="N","N",SUM('調查資料(OUT)'!E49:E52))</f>
        <v>0</v>
      </c>
      <c r="BG43" s="50">
        <f>IF($AN43="N","N",SUM('調查資料(OUT)'!I49:I52))</f>
        <v>0</v>
      </c>
      <c r="BH43" s="50">
        <f>IF($AN43="N","N",SUM('調查資料(OUT)'!M49:M52))</f>
        <v>0</v>
      </c>
      <c r="BI43" s="56" t="e">
        <f t="shared" si="175"/>
        <v>#DIV/0!</v>
      </c>
      <c r="BJ43" s="50">
        <f t="shared" si="255"/>
        <v>0</v>
      </c>
      <c r="BK43" s="56" t="e">
        <f t="shared" si="256"/>
        <v>#DIV/0!</v>
      </c>
      <c r="BL43" s="50">
        <f t="shared" si="257"/>
        <v>0</v>
      </c>
      <c r="BM43" s="56" t="e">
        <f t="shared" si="258"/>
        <v>#DIV/0!</v>
      </c>
      <c r="BN43" s="50">
        <f t="shared" si="259"/>
        <v>0</v>
      </c>
      <c r="BO43" s="56" t="e">
        <f t="shared" si="260"/>
        <v>#DIV/0!</v>
      </c>
      <c r="BP43" s="50">
        <f t="shared" si="261"/>
        <v>0</v>
      </c>
      <c r="BQ43" s="50">
        <f t="shared" si="183"/>
        <v>0</v>
      </c>
      <c r="BR43" s="50">
        <f>IF($AN43="N","N",SUM('調查資料(OUT)'!N49:N52))</f>
        <v>0</v>
      </c>
      <c r="BS43" s="50">
        <f>IF($AN43="N","N",SUM('調查資料(OUT)'!R49:R52))</f>
        <v>0</v>
      </c>
      <c r="BT43" s="50">
        <f>IF($AN43="N","N",SUM('調查資料(OUT)'!V49:V52))</f>
        <v>0</v>
      </c>
      <c r="BU43" s="56" t="e">
        <f t="shared" si="184"/>
        <v>#DIV/0!</v>
      </c>
      <c r="BV43" s="50">
        <f t="shared" si="185"/>
        <v>0</v>
      </c>
      <c r="BW43" s="50">
        <f>IF($AN43="N","N",SUM('調查資料(OUT)'!O49:O52))</f>
        <v>0</v>
      </c>
      <c r="BX43" s="50">
        <f>IF($AN43="N","N",SUM('調查資料(OUT)'!S49:S52))</f>
        <v>0</v>
      </c>
      <c r="BY43" s="50">
        <f>IF($AN43="N","N",SUM('調查資料(OUT)'!W49:W52))</f>
        <v>0</v>
      </c>
      <c r="BZ43" s="56" t="e">
        <f t="shared" si="186"/>
        <v>#DIV/0!</v>
      </c>
      <c r="CA43" s="50">
        <f t="shared" si="187"/>
        <v>0</v>
      </c>
      <c r="CB43" s="50">
        <f>IF($AN43="N","N",SUM('調查資料(OUT)'!P49:P52))</f>
        <v>0</v>
      </c>
      <c r="CC43" s="50">
        <f>IF($AN43="N","N",SUM('調查資料(OUT)'!T49:T52))</f>
        <v>0</v>
      </c>
      <c r="CD43" s="50">
        <f>IF($AN43="N","N",SUM('調查資料(OUT)'!X49:X52))</f>
        <v>0</v>
      </c>
      <c r="CE43" s="56" t="e">
        <f t="shared" si="188"/>
        <v>#DIV/0!</v>
      </c>
      <c r="CF43" s="50">
        <f t="shared" si="189"/>
        <v>0</v>
      </c>
      <c r="CG43" s="50">
        <f>IF($AN43="N","N",SUM('調查資料(OUT)'!Q49:Q52))</f>
        <v>0</v>
      </c>
      <c r="CH43" s="50">
        <f>IF($AN43="N","N",SUM('調查資料(OUT)'!U49:U52))</f>
        <v>0</v>
      </c>
      <c r="CI43" s="50">
        <f>IF($AN43="N","N",SUM('調查資料(OUT)'!Y49:Y52))</f>
        <v>0</v>
      </c>
      <c r="CJ43" s="56" t="e">
        <f t="shared" si="190"/>
        <v>#DIV/0!</v>
      </c>
      <c r="CK43" s="50">
        <f t="shared" si="262"/>
        <v>0</v>
      </c>
      <c r="CL43" s="56" t="e">
        <f t="shared" si="263"/>
        <v>#DIV/0!</v>
      </c>
      <c r="CM43" s="50">
        <f t="shared" si="264"/>
        <v>0</v>
      </c>
      <c r="CN43" s="56" t="e">
        <f t="shared" si="265"/>
        <v>#DIV/0!</v>
      </c>
      <c r="CO43" s="50">
        <f t="shared" si="266"/>
        <v>0</v>
      </c>
      <c r="CP43" s="56" t="e">
        <f t="shared" si="267"/>
        <v>#DIV/0!</v>
      </c>
      <c r="CQ43" s="50">
        <f t="shared" si="268"/>
        <v>0</v>
      </c>
      <c r="CR43" s="50">
        <f t="shared" si="198"/>
        <v>0</v>
      </c>
      <c r="CS43" s="50">
        <f>IF($AN43="N","N",SUM('調查資料(OUT)'!Z49:Z52))</f>
        <v>0</v>
      </c>
      <c r="CT43" s="50">
        <f>IF($AN43="N","N",SUM('調查資料(OUT)'!AD49:AD52))</f>
        <v>0</v>
      </c>
      <c r="CU43" s="50">
        <f>IF($AN43="N","N",SUM('調查資料(OUT)'!AH49:AH52))</f>
        <v>0</v>
      </c>
      <c r="CV43" s="56" t="e">
        <f t="shared" si="199"/>
        <v>#DIV/0!</v>
      </c>
      <c r="CW43" s="50">
        <f t="shared" si="200"/>
        <v>0</v>
      </c>
      <c r="CX43" s="50">
        <f>IF($AN43="N","N",SUM('調查資料(OUT)'!AA49:AA52))</f>
        <v>0</v>
      </c>
      <c r="CY43" s="50">
        <f>IF($AN43="N","N",SUM('調查資料(OUT)'!AE49:AE52))</f>
        <v>0</v>
      </c>
      <c r="CZ43" s="50">
        <f>IF($AN43="N","N",SUM('調查資料(OUT)'!AI49:AI52))</f>
        <v>0</v>
      </c>
      <c r="DA43" s="56" t="e">
        <f t="shared" si="201"/>
        <v>#DIV/0!</v>
      </c>
      <c r="DB43" s="50">
        <f t="shared" si="202"/>
        <v>0</v>
      </c>
      <c r="DC43" s="50">
        <f>IF($AN43="N","N",SUM('調查資料(OUT)'!AB49:AB52))</f>
        <v>0</v>
      </c>
      <c r="DD43" s="50">
        <f>IF($AN43="N","N",SUM('調查資料(OUT)'!AF49:AF52))</f>
        <v>0</v>
      </c>
      <c r="DE43" s="50">
        <f>IF($AN43="N","N",SUM('調查資料(OUT)'!AJ49:AJ52))</f>
        <v>0</v>
      </c>
      <c r="DF43" s="56" t="e">
        <f t="shared" si="203"/>
        <v>#DIV/0!</v>
      </c>
      <c r="DG43" s="50">
        <f t="shared" si="204"/>
        <v>0</v>
      </c>
      <c r="DH43" s="50">
        <f>IF($AN43="N","N",SUM('調查資料(OUT)'!AC49:AC52))</f>
        <v>0</v>
      </c>
      <c r="DI43" s="50">
        <f>IF($AN43="N","N",SUM('調查資料(OUT)'!AG49:AG52))</f>
        <v>0</v>
      </c>
      <c r="DJ43" s="50">
        <f>IF($AN43="N","N",SUM('調查資料(OUT)'!AK49:AK52))</f>
        <v>0</v>
      </c>
      <c r="DK43" s="56" t="e">
        <f t="shared" si="205"/>
        <v>#DIV/0!</v>
      </c>
      <c r="DL43" s="50">
        <f t="shared" si="269"/>
        <v>0</v>
      </c>
      <c r="DM43" s="56" t="e">
        <f t="shared" si="270"/>
        <v>#DIV/0!</v>
      </c>
      <c r="DN43" s="50">
        <f t="shared" si="271"/>
        <v>0</v>
      </c>
      <c r="DO43" s="56" t="e">
        <f t="shared" si="272"/>
        <v>#DIV/0!</v>
      </c>
      <c r="DP43" s="50">
        <f t="shared" si="273"/>
        <v>0</v>
      </c>
      <c r="DQ43" s="56" t="e">
        <f t="shared" si="274"/>
        <v>#DIV/0!</v>
      </c>
      <c r="DR43" s="50">
        <f t="shared" si="275"/>
        <v>0</v>
      </c>
      <c r="DS43" s="50">
        <f t="shared" si="213"/>
        <v>0</v>
      </c>
      <c r="DT43" s="50">
        <f>IF($AN43="N","N",SUM('調查資料(OUT)'!AL49:AL52))</f>
        <v>0</v>
      </c>
      <c r="DU43" s="50">
        <f>IF($AN43="N","N",SUM('調查資料(OUT)'!AP49:AP52))</f>
        <v>0</v>
      </c>
      <c r="DV43" s="50">
        <f>IF($AN43="N","N",SUM('調查資料(OUT)'!AT49:AT52))</f>
        <v>0</v>
      </c>
      <c r="DW43" s="56" t="e">
        <f t="shared" si="214"/>
        <v>#DIV/0!</v>
      </c>
      <c r="DX43" s="50">
        <f t="shared" si="215"/>
        <v>0</v>
      </c>
      <c r="DY43" s="50">
        <f>IF($AN43="N","N",SUM('調查資料(OUT)'!AM49:AM52))</f>
        <v>0</v>
      </c>
      <c r="DZ43" s="50">
        <f>IF($AN43="N","N",SUM('調查資料(OUT)'!AQ49:AQ52))</f>
        <v>0</v>
      </c>
      <c r="EA43" s="50">
        <f>IF($AN43="N","N",SUM('調查資料(OUT)'!AU49:AU52))</f>
        <v>0</v>
      </c>
      <c r="EB43" s="56" t="e">
        <f t="shared" si="216"/>
        <v>#DIV/0!</v>
      </c>
      <c r="EC43" s="50">
        <f t="shared" si="217"/>
        <v>0</v>
      </c>
      <c r="ED43" s="50">
        <f>IF($AN43="N","N",SUM('調查資料(OUT)'!AN49:AN52))</f>
        <v>0</v>
      </c>
      <c r="EE43" s="50">
        <f>IF($AN43="N","N",SUM('調查資料(OUT)'!AR49:AR52))</f>
        <v>0</v>
      </c>
      <c r="EF43" s="50">
        <f>IF($AN43="N","N",SUM('調查資料(OUT)'!AV49:AV52))</f>
        <v>0</v>
      </c>
      <c r="EG43" s="56" t="e">
        <f t="shared" si="218"/>
        <v>#DIV/0!</v>
      </c>
      <c r="EH43" s="50">
        <f t="shared" si="219"/>
        <v>0</v>
      </c>
      <c r="EI43" s="50">
        <f>IF($AN43="N","N",SUM('調查資料(OUT)'!AO49:AO52))</f>
        <v>0</v>
      </c>
      <c r="EJ43" s="50">
        <f>IF($AN43="N","N",SUM('調查資料(OUT)'!AS49:AS52))</f>
        <v>0</v>
      </c>
      <c r="EK43" s="50">
        <f>IF($AN43="N","N",SUM('調查資料(OUT)'!AW49:AW52))</f>
        <v>0</v>
      </c>
      <c r="EL43" s="56" t="e">
        <f t="shared" si="220"/>
        <v>#DIV/0!</v>
      </c>
      <c r="EM43" s="50">
        <f t="shared" si="276"/>
        <v>0</v>
      </c>
      <c r="EN43" s="56" t="e">
        <f t="shared" si="277"/>
        <v>#DIV/0!</v>
      </c>
      <c r="EO43" s="50">
        <f t="shared" si="278"/>
        <v>0</v>
      </c>
      <c r="EP43" s="56" t="e">
        <f t="shared" si="279"/>
        <v>#DIV/0!</v>
      </c>
      <c r="EQ43" s="50">
        <f t="shared" si="280"/>
        <v>0</v>
      </c>
      <c r="ER43" s="56" t="e">
        <f t="shared" si="281"/>
        <v>#DIV/0!</v>
      </c>
      <c r="ES43" s="50">
        <f t="shared" si="282"/>
        <v>0</v>
      </c>
      <c r="ET43" s="50">
        <f t="shared" si="227"/>
        <v>0</v>
      </c>
      <c r="EU43" s="50">
        <f>IF($AN43="N","N",SUM('調查資料(OUT)'!AX49:AX52))</f>
        <v>0</v>
      </c>
      <c r="EV43" s="50">
        <f>IF($AN43="N","N",SUM('調查資料(OUT)'!BB49:BB52))</f>
        <v>0</v>
      </c>
      <c r="EW43" s="50">
        <f>IF($AN43="N","N",SUM('調查資料(OUT)'!BF49:BF52))</f>
        <v>0</v>
      </c>
      <c r="EX43" s="56" t="e">
        <f t="shared" si="228"/>
        <v>#DIV/0!</v>
      </c>
      <c r="EY43" s="50">
        <f t="shared" si="229"/>
        <v>0</v>
      </c>
      <c r="EZ43" s="50">
        <f>IF($AN43="N","N",SUM('調查資料(OUT)'!AY49:AY52))</f>
        <v>0</v>
      </c>
      <c r="FA43" s="50">
        <f>IF($AN43="N","N",SUM('調查資料(OUT)'!BC49:BC52))</f>
        <v>0</v>
      </c>
      <c r="FB43" s="50">
        <f>IF($AN43="N","N",SUM('調查資料(OUT)'!BG49:BG52))</f>
        <v>0</v>
      </c>
      <c r="FC43" s="56" t="e">
        <f t="shared" si="230"/>
        <v>#DIV/0!</v>
      </c>
      <c r="FD43" s="50">
        <f t="shared" si="231"/>
        <v>0</v>
      </c>
      <c r="FE43" s="50">
        <f>IF($AN43="N","N",SUM('調查資料(OUT)'!AZ49:AZ52))</f>
        <v>0</v>
      </c>
      <c r="FF43" s="50">
        <f>IF($AN43="N","N",SUM('調查資料(OUT)'!BD49:BD52))</f>
        <v>0</v>
      </c>
      <c r="FG43" s="50">
        <f>IF($AN43="N","N",SUM('調查資料(OUT)'!BH49:BH52))</f>
        <v>0</v>
      </c>
      <c r="FH43" s="56" t="e">
        <f t="shared" si="232"/>
        <v>#DIV/0!</v>
      </c>
      <c r="FI43" s="50">
        <f t="shared" si="233"/>
        <v>0</v>
      </c>
      <c r="FJ43" s="50">
        <f>IF($AN43="N","N",SUM('調查資料(OUT)'!BA49:BA52))</f>
        <v>0</v>
      </c>
      <c r="FK43" s="50">
        <f>IF($AN43="N","N",SUM('調查資料(OUT)'!BE49:BE52))</f>
        <v>0</v>
      </c>
      <c r="FL43" s="50">
        <f>IF($AN43="N","N",SUM('調查資料(OUT)'!BI49:BI52))</f>
        <v>0</v>
      </c>
      <c r="FM43" s="56" t="e">
        <f t="shared" si="234"/>
        <v>#DIV/0!</v>
      </c>
      <c r="FN43" s="50">
        <f t="shared" si="246"/>
        <v>0</v>
      </c>
      <c r="FO43" s="56" t="e">
        <f t="shared" si="247"/>
        <v>#DIV/0!</v>
      </c>
      <c r="FP43" s="50">
        <f t="shared" si="248"/>
        <v>0</v>
      </c>
      <c r="FQ43" s="56" t="e">
        <f t="shared" si="249"/>
        <v>#DIV/0!</v>
      </c>
      <c r="FR43" s="50">
        <f t="shared" si="250"/>
        <v>0</v>
      </c>
      <c r="FS43" s="56" t="e">
        <f t="shared" si="251"/>
        <v>#DIV/0!</v>
      </c>
      <c r="FT43" s="50">
        <f t="shared" si="252"/>
        <v>0</v>
      </c>
    </row>
    <row r="44" spans="1:176">
      <c r="A44" s="314">
        <f>'調查資料(OUT)'!A50</f>
        <v>945</v>
      </c>
      <c r="B44" s="315">
        <f t="shared" si="238"/>
        <v>0</v>
      </c>
      <c r="C44" s="315">
        <f>IFERROR('調查資料(OUT)'!$B$1*'調查資料(OUT)'!B50,0)+IFERROR('調查資料(OUT)'!$F$1*'調查資料(OUT)'!F50,0)+IFERROR('調查資料(OUT)'!$J$1*'調查資料(OUT)'!J50,0)</f>
        <v>0</v>
      </c>
      <c r="D44" s="315">
        <f>IFERROR('調查資料(OUT)'!$C$1*'調查資料(OUT)'!C50,0)+IFERROR('調查資料(OUT)'!$G$1*'調查資料(OUT)'!G50,0)+IFERROR('調查資料(OUT)'!$K$1*'調查資料(OUT)'!K50,0)</f>
        <v>0</v>
      </c>
      <c r="E44" s="315">
        <f>IFERROR('調查資料(OUT)'!$D$1*'調查資料(OUT)'!D50,0)+IFERROR('調查資料(OUT)'!$H$1*'調查資料(OUT)'!H50,0)+IFERROR('調查資料(OUT)'!$L$1*'調查資料(OUT)'!L50,0)</f>
        <v>0</v>
      </c>
      <c r="F44" s="316">
        <f>IFERROR('調查資料(OUT)'!$E$1*'調查資料(OUT)'!E50,0)+IFERROR('調查資料(OUT)'!$I$1*'調查資料(OUT)'!I50,0)+IFERROR('調查資料(OUT)'!$M$1*'調查資料(OUT)'!M50,0)</f>
        <v>0</v>
      </c>
      <c r="G44" s="315">
        <f t="shared" si="239"/>
        <v>0</v>
      </c>
      <c r="H44" s="315">
        <f>IFERROR('調查資料(OUT)'!$N$1*'調查資料(OUT)'!N50,0)+IFERROR('調查資料(OUT)'!$R$1*'調查資料(OUT)'!R50,0)+IFERROR('調查資料(OUT)'!$V$1*'調查資料(OUT)'!V50,0)</f>
        <v>0</v>
      </c>
      <c r="I44" s="315">
        <f>IFERROR('調查資料(OUT)'!$O$1*'調查資料(OUT)'!O50,0)+IFERROR('調查資料(OUT)'!$S$1*'調查資料(OUT)'!S50,0)+IFERROR('調查資料(OUT)'!$W$1*'調查資料(OUT)'!W50,0)</f>
        <v>0</v>
      </c>
      <c r="J44" s="315">
        <f>IFERROR('調查資料(OUT)'!$P$1*'調查資料(OUT)'!P50,0)+IFERROR('調查資料(OUT)'!$T$1*'調查資料(OUT)'!T50,0)+IFERROR('調查資料(OUT)'!$X$1*'調查資料(OUT)'!X50,0)</f>
        <v>0</v>
      </c>
      <c r="K44" s="316">
        <f>IFERROR('調查資料(OUT)'!$Q$1*'調查資料(OUT)'!Q50,0)+IFERROR('調查資料(OUT)'!$U$1*'調查資料(OUT)'!U50,0)+IFERROR('調查資料(OUT)'!$Y$1*'調查資料(OUT)'!Y50,0)</f>
        <v>0</v>
      </c>
      <c r="L44" s="315">
        <f t="shared" si="240"/>
        <v>0</v>
      </c>
      <c r="M44" s="315">
        <f>IFERROR('調查資料(OUT)'!$Z$1*'調查資料(OUT)'!Z50,0)+IFERROR('調查資料(OUT)'!$AD$1*'調查資料(OUT)'!AD50,0)+IFERROR('調查資料(OUT)'!$AH$1*'調查資料(OUT)'!AH50,0)</f>
        <v>0</v>
      </c>
      <c r="N44" s="315">
        <f>IFERROR('調查資料(OUT)'!$AA$1*'調查資料(OUT)'!AA50,0)+IFERROR('調查資料(OUT)'!$AE$1*'調查資料(OUT)'!AE50,0)+IFERROR('調查資料(OUT)'!$AI$1*'調查資料(OUT)'!AI50,0)</f>
        <v>0</v>
      </c>
      <c r="O44" s="315">
        <f>IFERROR('調查資料(OUT)'!$AB$1*'調查資料(OUT)'!AB50,0)+IFERROR('調查資料(OUT)'!$AF$1*'調查資料(OUT)'!AF50,0)+IFERROR('調查資料(OUT)'!$AJ$1*'調查資料(OUT)'!AJ50,0)</f>
        <v>0</v>
      </c>
      <c r="P44" s="316">
        <f>IFERROR('調查資料(OUT)'!$AC$1*'調查資料(OUT)'!AC50,0)+IFERROR('調查資料(OUT)'!$AG$1*'調查資料(OUT)'!AG50,0)+IFERROR('調查資料(OUT)'!$AK$1*'調查資料(OUT)'!AK50,0)</f>
        <v>0</v>
      </c>
      <c r="Q44" s="315">
        <f t="shared" si="241"/>
        <v>0</v>
      </c>
      <c r="R44" s="315">
        <f>IFERROR('調查資料(OUT)'!$AL$1*'調查資料(OUT)'!AL50,0)+IFERROR('調查資料(OUT)'!$AP$1*'調查資料(OUT)'!AP50,0)+IFERROR('調查資料(OUT)'!$AT$1*'調查資料(OUT)'!AT50,0)</f>
        <v>0</v>
      </c>
      <c r="S44" s="315">
        <f>IFERROR('調查資料(OUT)'!$AM$1*'調查資料(OUT)'!AM50,0)+IFERROR('調查資料(OUT)'!$AQ$1*'調查資料(OUT)'!AQ50,0)+IFERROR('調查資料(OUT)'!$AU$1*'調查資料(OUT)'!AU50,0)</f>
        <v>0</v>
      </c>
      <c r="T44" s="315">
        <f>IFERROR('調查資料(OUT)'!$AN$1*'調查資料(OUT)'!AN50,0)+IFERROR('調查資料(OUT)'!$AR$1*'調查資料(OUT)'!AR50,0)+IFERROR('調查資料(OUT)'!$AV$1*'調查資料(OUT)'!AV50,0)</f>
        <v>0</v>
      </c>
      <c r="U44" s="316">
        <f>IFERROR('調查資料(OUT)'!$AO$1*'調查資料(OUT)'!AO50,0)+IFERROR('調查資料(OUT)'!$AS$1*'調查資料(OUT)'!AS50,0)+IFERROR('調查資料(OUT)'!$AW$1*'調查資料(OUT)'!AW50,0)</f>
        <v>0</v>
      </c>
      <c r="V44" s="315">
        <f t="shared" si="242"/>
        <v>0</v>
      </c>
      <c r="W44" s="315">
        <f>IFERROR('調查資料(OUT)'!$AX$1*'調查資料(OUT)'!AX50,0)+IFERROR('調查資料(OUT)'!$BB$1*'調查資料(OUT)'!BB50,0)+IFERROR('調查資料(OUT)'!$BF$1*'調查資料(OUT)'!BF50,0)</f>
        <v>0</v>
      </c>
      <c r="X44" s="315">
        <f>IFERROR('調查資料(OUT)'!$AY$1*'調查資料(OUT)'!AY50,0)+IFERROR('調查資料(OUT)'!$BC$1*'調查資料(OUT)'!BC50,0)+IFERROR('調查資料(OUT)'!$BG$1*'調查資料(OUT)'!BG50,0)</f>
        <v>0</v>
      </c>
      <c r="Y44" s="315">
        <f>IFERROR('調查資料(OUT)'!$AZ$1*'調查資料(OUT)'!AZ50,0)+IFERROR('調查資料(OUT)'!$BD$1*'調查資料(OUT)'!BD50,0)+IFERROR('調查資料(OUT)'!$BH$1*'調查資料(OUT)'!BH50,0)</f>
        <v>0</v>
      </c>
      <c r="Z44" s="316">
        <f>IFERROR('調查資料(OUT)'!$BA$1*'調查資料(OUT)'!BA50,0)+IFERROR('調查資料(OUT)'!$BE$1*'調查資料(OUT)'!BE50,0)+IFERROR('調查資料(OUT)'!$BI$1*'調查資料(OUT)'!BI50,0)</f>
        <v>0</v>
      </c>
      <c r="AA44" s="317">
        <f t="shared" si="243"/>
        <v>0</v>
      </c>
      <c r="AC44" s="352">
        <f>'調查資料(OUT)'!A50</f>
        <v>945</v>
      </c>
      <c r="AD44" s="353">
        <f t="shared" si="244"/>
        <v>1045</v>
      </c>
      <c r="AE44" s="315">
        <f t="shared" si="254"/>
        <v>0</v>
      </c>
      <c r="AF44" s="315"/>
      <c r="AG44" s="315">
        <f>IF($AE44=$AF$5,MAX(AA44:AA47),0)</f>
        <v>0</v>
      </c>
      <c r="AH44" s="355" t="e">
        <f t="shared" si="288"/>
        <v>#DIV/0!</v>
      </c>
      <c r="AI44" s="355" t="e">
        <f t="shared" si="285"/>
        <v>#DIV/0!</v>
      </c>
      <c r="AJ44" s="355" t="e">
        <f t="shared" si="286"/>
        <v>#DIV/0!</v>
      </c>
      <c r="AK44" s="355" t="e">
        <f t="shared" si="287"/>
        <v>#DIV/0!</v>
      </c>
      <c r="AL44" s="355" t="e">
        <f t="shared" si="289"/>
        <v>#DIV/0!</v>
      </c>
      <c r="AM44" s="357"/>
      <c r="AN44" s="315">
        <f t="shared" si="283"/>
        <v>945</v>
      </c>
      <c r="AO44" s="316">
        <f t="shared" si="284"/>
        <v>1045</v>
      </c>
      <c r="AP44" s="50">
        <f t="shared" si="245"/>
        <v>0</v>
      </c>
      <c r="AQ44" s="50">
        <f>IF($AN44="N","N",SUM('調查資料(OUT)'!B50:B53))</f>
        <v>0</v>
      </c>
      <c r="AR44" s="50">
        <f>IF($AN44="N","N",SUM('調查資料(OUT)'!F50:F53))</f>
        <v>0</v>
      </c>
      <c r="AS44" s="50">
        <f>IF($AN44="N","N",SUM('調查資料(OUT)'!J50:J53))</f>
        <v>0</v>
      </c>
      <c r="AT44" s="56" t="e">
        <f t="shared" si="169"/>
        <v>#DIV/0!</v>
      </c>
      <c r="AU44" s="50">
        <f t="shared" si="170"/>
        <v>0</v>
      </c>
      <c r="AV44" s="50">
        <f>IF($AN44="N","N",SUM('調查資料(OUT)'!C50:C53))</f>
        <v>0</v>
      </c>
      <c r="AW44" s="50">
        <f>IF($AN44="N","N",SUM('調查資料(OUT)'!G50:G53))</f>
        <v>0</v>
      </c>
      <c r="AX44" s="50">
        <f>IF($AN44="N","N",SUM('調查資料(OUT)'!K50:K53))</f>
        <v>0</v>
      </c>
      <c r="AY44" s="56" t="e">
        <f t="shared" si="171"/>
        <v>#DIV/0!</v>
      </c>
      <c r="AZ44" s="50">
        <f t="shared" si="172"/>
        <v>0</v>
      </c>
      <c r="BA44" s="50">
        <f>IF($AN44="N","N",SUM('調查資料(OUT)'!D50:D53))</f>
        <v>0</v>
      </c>
      <c r="BB44" s="50">
        <f>IF($AN44="N","N",SUM('調查資料(OUT)'!H50:H53))</f>
        <v>0</v>
      </c>
      <c r="BC44" s="50">
        <f>IF($AN44="N","N",SUM('調查資料(OUT)'!L50:L53))</f>
        <v>0</v>
      </c>
      <c r="BD44" s="56" t="e">
        <f t="shared" si="173"/>
        <v>#DIV/0!</v>
      </c>
      <c r="BE44" s="50">
        <f t="shared" si="174"/>
        <v>0</v>
      </c>
      <c r="BF44" s="50">
        <f>IF($AN44="N","N",SUM('調查資料(OUT)'!E50:E53))</f>
        <v>0</v>
      </c>
      <c r="BG44" s="50">
        <f>IF($AN44="N","N",SUM('調查資料(OUT)'!I50:I53))</f>
        <v>0</v>
      </c>
      <c r="BH44" s="50">
        <f>IF($AN44="N","N",SUM('調查資料(OUT)'!M50:M53))</f>
        <v>0</v>
      </c>
      <c r="BI44" s="56" t="e">
        <f t="shared" si="175"/>
        <v>#DIV/0!</v>
      </c>
      <c r="BJ44" s="50">
        <f t="shared" si="255"/>
        <v>0</v>
      </c>
      <c r="BK44" s="56" t="e">
        <f t="shared" si="256"/>
        <v>#DIV/0!</v>
      </c>
      <c r="BL44" s="50">
        <f t="shared" si="257"/>
        <v>0</v>
      </c>
      <c r="BM44" s="56" t="e">
        <f t="shared" si="258"/>
        <v>#DIV/0!</v>
      </c>
      <c r="BN44" s="50">
        <f t="shared" si="259"/>
        <v>0</v>
      </c>
      <c r="BO44" s="56" t="e">
        <f t="shared" si="260"/>
        <v>#DIV/0!</v>
      </c>
      <c r="BP44" s="50">
        <f t="shared" si="261"/>
        <v>0</v>
      </c>
      <c r="BQ44" s="50">
        <f t="shared" si="183"/>
        <v>0</v>
      </c>
      <c r="BR44" s="50">
        <f>IF($AN44="N","N",SUM('調查資料(OUT)'!N50:N53))</f>
        <v>0</v>
      </c>
      <c r="BS44" s="50">
        <f>IF($AN44="N","N",SUM('調查資料(OUT)'!R50:R53))</f>
        <v>0</v>
      </c>
      <c r="BT44" s="50">
        <f>IF($AN44="N","N",SUM('調查資料(OUT)'!V50:V53))</f>
        <v>0</v>
      </c>
      <c r="BU44" s="56" t="e">
        <f t="shared" si="184"/>
        <v>#DIV/0!</v>
      </c>
      <c r="BV44" s="50">
        <f t="shared" si="185"/>
        <v>0</v>
      </c>
      <c r="BW44" s="50">
        <f>IF($AN44="N","N",SUM('調查資料(OUT)'!O50:O53))</f>
        <v>0</v>
      </c>
      <c r="BX44" s="50">
        <f>IF($AN44="N","N",SUM('調查資料(OUT)'!S50:S53))</f>
        <v>0</v>
      </c>
      <c r="BY44" s="50">
        <f>IF($AN44="N","N",SUM('調查資料(OUT)'!W50:W53))</f>
        <v>0</v>
      </c>
      <c r="BZ44" s="56" t="e">
        <f t="shared" si="186"/>
        <v>#DIV/0!</v>
      </c>
      <c r="CA44" s="50">
        <f t="shared" si="187"/>
        <v>0</v>
      </c>
      <c r="CB44" s="50">
        <f>IF($AN44="N","N",SUM('調查資料(OUT)'!P50:P53))</f>
        <v>0</v>
      </c>
      <c r="CC44" s="50">
        <f>IF($AN44="N","N",SUM('調查資料(OUT)'!T50:T53))</f>
        <v>0</v>
      </c>
      <c r="CD44" s="50">
        <f>IF($AN44="N","N",SUM('調查資料(OUT)'!X50:X53))</f>
        <v>0</v>
      </c>
      <c r="CE44" s="56" t="e">
        <f t="shared" si="188"/>
        <v>#DIV/0!</v>
      </c>
      <c r="CF44" s="50">
        <f t="shared" si="189"/>
        <v>0</v>
      </c>
      <c r="CG44" s="50">
        <f>IF($AN44="N","N",SUM('調查資料(OUT)'!Q50:Q53))</f>
        <v>0</v>
      </c>
      <c r="CH44" s="50">
        <f>IF($AN44="N","N",SUM('調查資料(OUT)'!U50:U53))</f>
        <v>0</v>
      </c>
      <c r="CI44" s="50">
        <f>IF($AN44="N","N",SUM('調查資料(OUT)'!Y50:Y53))</f>
        <v>0</v>
      </c>
      <c r="CJ44" s="56" t="e">
        <f t="shared" si="190"/>
        <v>#DIV/0!</v>
      </c>
      <c r="CK44" s="50">
        <f t="shared" si="262"/>
        <v>0</v>
      </c>
      <c r="CL44" s="56" t="e">
        <f t="shared" si="263"/>
        <v>#DIV/0!</v>
      </c>
      <c r="CM44" s="50">
        <f t="shared" si="264"/>
        <v>0</v>
      </c>
      <c r="CN44" s="56" t="e">
        <f t="shared" si="265"/>
        <v>#DIV/0!</v>
      </c>
      <c r="CO44" s="50">
        <f t="shared" si="266"/>
        <v>0</v>
      </c>
      <c r="CP44" s="56" t="e">
        <f t="shared" si="267"/>
        <v>#DIV/0!</v>
      </c>
      <c r="CQ44" s="50">
        <f t="shared" si="268"/>
        <v>0</v>
      </c>
      <c r="CR44" s="50">
        <f t="shared" si="198"/>
        <v>0</v>
      </c>
      <c r="CS44" s="50">
        <f>IF($AN44="N","N",SUM('調查資料(OUT)'!Z50:Z53))</f>
        <v>0</v>
      </c>
      <c r="CT44" s="50">
        <f>IF($AN44="N","N",SUM('調查資料(OUT)'!AD50:AD53))</f>
        <v>0</v>
      </c>
      <c r="CU44" s="50">
        <f>IF($AN44="N","N",SUM('調查資料(OUT)'!AH50:AH53))</f>
        <v>0</v>
      </c>
      <c r="CV44" s="56" t="e">
        <f t="shared" si="199"/>
        <v>#DIV/0!</v>
      </c>
      <c r="CW44" s="50">
        <f t="shared" si="200"/>
        <v>0</v>
      </c>
      <c r="CX44" s="50">
        <f>IF($AN44="N","N",SUM('調查資料(OUT)'!AA50:AA53))</f>
        <v>0</v>
      </c>
      <c r="CY44" s="50">
        <f>IF($AN44="N","N",SUM('調查資料(OUT)'!AE50:AE53))</f>
        <v>0</v>
      </c>
      <c r="CZ44" s="50">
        <f>IF($AN44="N","N",SUM('調查資料(OUT)'!AI50:AI53))</f>
        <v>0</v>
      </c>
      <c r="DA44" s="56" t="e">
        <f t="shared" si="201"/>
        <v>#DIV/0!</v>
      </c>
      <c r="DB44" s="50">
        <f t="shared" si="202"/>
        <v>0</v>
      </c>
      <c r="DC44" s="50">
        <f>IF($AN44="N","N",SUM('調查資料(OUT)'!AB50:AB53))</f>
        <v>0</v>
      </c>
      <c r="DD44" s="50">
        <f>IF($AN44="N","N",SUM('調查資料(OUT)'!AF50:AF53))</f>
        <v>0</v>
      </c>
      <c r="DE44" s="50">
        <f>IF($AN44="N","N",SUM('調查資料(OUT)'!AJ50:AJ53))</f>
        <v>0</v>
      </c>
      <c r="DF44" s="56" t="e">
        <f t="shared" si="203"/>
        <v>#DIV/0!</v>
      </c>
      <c r="DG44" s="50">
        <f t="shared" si="204"/>
        <v>0</v>
      </c>
      <c r="DH44" s="50">
        <f>IF($AN44="N","N",SUM('調查資料(OUT)'!AC50:AC53))</f>
        <v>0</v>
      </c>
      <c r="DI44" s="50">
        <f>IF($AN44="N","N",SUM('調查資料(OUT)'!AG50:AG53))</f>
        <v>0</v>
      </c>
      <c r="DJ44" s="50">
        <f>IF($AN44="N","N",SUM('調查資料(OUT)'!AK50:AK53))</f>
        <v>0</v>
      </c>
      <c r="DK44" s="56" t="e">
        <f t="shared" si="205"/>
        <v>#DIV/0!</v>
      </c>
      <c r="DL44" s="50">
        <f t="shared" si="269"/>
        <v>0</v>
      </c>
      <c r="DM44" s="56" t="e">
        <f t="shared" si="270"/>
        <v>#DIV/0!</v>
      </c>
      <c r="DN44" s="50">
        <f t="shared" si="271"/>
        <v>0</v>
      </c>
      <c r="DO44" s="56" t="e">
        <f t="shared" si="272"/>
        <v>#DIV/0!</v>
      </c>
      <c r="DP44" s="50">
        <f t="shared" si="273"/>
        <v>0</v>
      </c>
      <c r="DQ44" s="56" t="e">
        <f t="shared" si="274"/>
        <v>#DIV/0!</v>
      </c>
      <c r="DR44" s="50">
        <f t="shared" si="275"/>
        <v>0</v>
      </c>
      <c r="DS44" s="50">
        <f t="shared" si="213"/>
        <v>0</v>
      </c>
      <c r="DT44" s="50">
        <f>IF($AN44="N","N",SUM('調查資料(OUT)'!AL50:AL53))</f>
        <v>0</v>
      </c>
      <c r="DU44" s="50">
        <f>IF($AN44="N","N",SUM('調查資料(OUT)'!AP50:AP53))</f>
        <v>0</v>
      </c>
      <c r="DV44" s="50">
        <f>IF($AN44="N","N",SUM('調查資料(OUT)'!AT50:AT53))</f>
        <v>0</v>
      </c>
      <c r="DW44" s="56" t="e">
        <f t="shared" si="214"/>
        <v>#DIV/0!</v>
      </c>
      <c r="DX44" s="50">
        <f t="shared" si="215"/>
        <v>0</v>
      </c>
      <c r="DY44" s="50">
        <f>IF($AN44="N","N",SUM('調查資料(OUT)'!AM50:AM53))</f>
        <v>0</v>
      </c>
      <c r="DZ44" s="50">
        <f>IF($AN44="N","N",SUM('調查資料(OUT)'!AQ50:AQ53))</f>
        <v>0</v>
      </c>
      <c r="EA44" s="50">
        <f>IF($AN44="N","N",SUM('調查資料(OUT)'!AU50:AU53))</f>
        <v>0</v>
      </c>
      <c r="EB44" s="56" t="e">
        <f t="shared" si="216"/>
        <v>#DIV/0!</v>
      </c>
      <c r="EC44" s="50">
        <f t="shared" si="217"/>
        <v>0</v>
      </c>
      <c r="ED44" s="50">
        <f>IF($AN44="N","N",SUM('調查資料(OUT)'!AN50:AN53))</f>
        <v>0</v>
      </c>
      <c r="EE44" s="50">
        <f>IF($AN44="N","N",SUM('調查資料(OUT)'!AR50:AR53))</f>
        <v>0</v>
      </c>
      <c r="EF44" s="50">
        <f>IF($AN44="N","N",SUM('調查資料(OUT)'!AV50:AV53))</f>
        <v>0</v>
      </c>
      <c r="EG44" s="56" t="e">
        <f t="shared" si="218"/>
        <v>#DIV/0!</v>
      </c>
      <c r="EH44" s="50">
        <f t="shared" si="219"/>
        <v>0</v>
      </c>
      <c r="EI44" s="50">
        <f>IF($AN44="N","N",SUM('調查資料(OUT)'!AO50:AO53))</f>
        <v>0</v>
      </c>
      <c r="EJ44" s="50">
        <f>IF($AN44="N","N",SUM('調查資料(OUT)'!AS50:AS53))</f>
        <v>0</v>
      </c>
      <c r="EK44" s="50">
        <f>IF($AN44="N","N",SUM('調查資料(OUT)'!AW50:AW53))</f>
        <v>0</v>
      </c>
      <c r="EL44" s="56" t="e">
        <f t="shared" si="220"/>
        <v>#DIV/0!</v>
      </c>
      <c r="EM44" s="50">
        <f t="shared" si="276"/>
        <v>0</v>
      </c>
      <c r="EN44" s="56" t="e">
        <f t="shared" si="277"/>
        <v>#DIV/0!</v>
      </c>
      <c r="EO44" s="50">
        <f t="shared" si="278"/>
        <v>0</v>
      </c>
      <c r="EP44" s="56" t="e">
        <f t="shared" si="279"/>
        <v>#DIV/0!</v>
      </c>
      <c r="EQ44" s="50">
        <f t="shared" si="280"/>
        <v>0</v>
      </c>
      <c r="ER44" s="56" t="e">
        <f t="shared" si="281"/>
        <v>#DIV/0!</v>
      </c>
      <c r="ES44" s="50">
        <f t="shared" si="282"/>
        <v>0</v>
      </c>
      <c r="ET44" s="50">
        <f t="shared" si="227"/>
        <v>0</v>
      </c>
      <c r="EU44" s="50">
        <f>IF($AN44="N","N",SUM('調查資料(OUT)'!AX50:AX53))</f>
        <v>0</v>
      </c>
      <c r="EV44" s="50">
        <f>IF($AN44="N","N",SUM('調查資料(OUT)'!BB50:BB53))</f>
        <v>0</v>
      </c>
      <c r="EW44" s="50">
        <f>IF($AN44="N","N",SUM('調查資料(OUT)'!BF50:BF53))</f>
        <v>0</v>
      </c>
      <c r="EX44" s="56" t="e">
        <f t="shared" si="228"/>
        <v>#DIV/0!</v>
      </c>
      <c r="EY44" s="50">
        <f t="shared" si="229"/>
        <v>0</v>
      </c>
      <c r="EZ44" s="50">
        <f>IF($AN44="N","N",SUM('調查資料(OUT)'!AY50:AY53))</f>
        <v>0</v>
      </c>
      <c r="FA44" s="50">
        <f>IF($AN44="N","N",SUM('調查資料(OUT)'!BC50:BC53))</f>
        <v>0</v>
      </c>
      <c r="FB44" s="50">
        <f>IF($AN44="N","N",SUM('調查資料(OUT)'!BG50:BG53))</f>
        <v>0</v>
      </c>
      <c r="FC44" s="56" t="e">
        <f t="shared" si="230"/>
        <v>#DIV/0!</v>
      </c>
      <c r="FD44" s="50">
        <f t="shared" si="231"/>
        <v>0</v>
      </c>
      <c r="FE44" s="50">
        <f>IF($AN44="N","N",SUM('調查資料(OUT)'!AZ50:AZ53))</f>
        <v>0</v>
      </c>
      <c r="FF44" s="50">
        <f>IF($AN44="N","N",SUM('調查資料(OUT)'!BD50:BD53))</f>
        <v>0</v>
      </c>
      <c r="FG44" s="50">
        <f>IF($AN44="N","N",SUM('調查資料(OUT)'!BH50:BH53))</f>
        <v>0</v>
      </c>
      <c r="FH44" s="56" t="e">
        <f t="shared" si="232"/>
        <v>#DIV/0!</v>
      </c>
      <c r="FI44" s="50">
        <f t="shared" si="233"/>
        <v>0</v>
      </c>
      <c r="FJ44" s="50">
        <f>IF($AN44="N","N",SUM('調查資料(OUT)'!BA50:BA53))</f>
        <v>0</v>
      </c>
      <c r="FK44" s="50">
        <f>IF($AN44="N","N",SUM('調查資料(OUT)'!BE50:BE53))</f>
        <v>0</v>
      </c>
      <c r="FL44" s="50">
        <f>IF($AN44="N","N",SUM('調查資料(OUT)'!BI50:BI53))</f>
        <v>0</v>
      </c>
      <c r="FM44" s="56" t="e">
        <f t="shared" si="234"/>
        <v>#DIV/0!</v>
      </c>
      <c r="FN44" s="50">
        <f t="shared" si="246"/>
        <v>0</v>
      </c>
      <c r="FO44" s="56" t="e">
        <f t="shared" si="247"/>
        <v>#DIV/0!</v>
      </c>
      <c r="FP44" s="50">
        <f t="shared" si="248"/>
        <v>0</v>
      </c>
      <c r="FQ44" s="56" t="e">
        <f t="shared" si="249"/>
        <v>#DIV/0!</v>
      </c>
      <c r="FR44" s="50">
        <f t="shared" si="250"/>
        <v>0</v>
      </c>
      <c r="FS44" s="56" t="e">
        <f t="shared" si="251"/>
        <v>#DIV/0!</v>
      </c>
      <c r="FT44" s="50">
        <f t="shared" si="252"/>
        <v>0</v>
      </c>
    </row>
    <row r="45" spans="1:176">
      <c r="A45" s="314">
        <f>'調查資料(OUT)'!A51</f>
        <v>1000</v>
      </c>
      <c r="B45" s="315">
        <f t="shared" si="238"/>
        <v>0</v>
      </c>
      <c r="C45" s="315">
        <f>IFERROR('調查資料(OUT)'!$B$1*'調查資料(OUT)'!B51,0)+IFERROR('調查資料(OUT)'!$F$1*'調查資料(OUT)'!F51,0)+IFERROR('調查資料(OUT)'!$J$1*'調查資料(OUT)'!J51,0)</f>
        <v>0</v>
      </c>
      <c r="D45" s="315">
        <f>IFERROR('調查資料(OUT)'!$C$1*'調查資料(OUT)'!C51,0)+IFERROR('調查資料(OUT)'!$G$1*'調查資料(OUT)'!G51,0)+IFERROR('調查資料(OUT)'!$K$1*'調查資料(OUT)'!K51,0)</f>
        <v>0</v>
      </c>
      <c r="E45" s="315">
        <f>IFERROR('調查資料(OUT)'!$D$1*'調查資料(OUT)'!D51,0)+IFERROR('調查資料(OUT)'!$H$1*'調查資料(OUT)'!H51,0)+IFERROR('調查資料(OUT)'!$L$1*'調查資料(OUT)'!L51,0)</f>
        <v>0</v>
      </c>
      <c r="F45" s="316">
        <f>IFERROR('調查資料(OUT)'!$E$1*'調查資料(OUT)'!E51,0)+IFERROR('調查資料(OUT)'!$I$1*'調查資料(OUT)'!I51,0)+IFERROR('調查資料(OUT)'!$M$1*'調查資料(OUT)'!M51,0)</f>
        <v>0</v>
      </c>
      <c r="G45" s="315">
        <f t="shared" si="239"/>
        <v>0</v>
      </c>
      <c r="H45" s="315">
        <f>IFERROR('調查資料(OUT)'!$N$1*'調查資料(OUT)'!N51,0)+IFERROR('調查資料(OUT)'!$R$1*'調查資料(OUT)'!R51,0)+IFERROR('調查資料(OUT)'!$V$1*'調查資料(OUT)'!V51,0)</f>
        <v>0</v>
      </c>
      <c r="I45" s="315">
        <f>IFERROR('調查資料(OUT)'!$O$1*'調查資料(OUT)'!O51,0)+IFERROR('調查資料(OUT)'!$S$1*'調查資料(OUT)'!S51,0)+IFERROR('調查資料(OUT)'!$W$1*'調查資料(OUT)'!W51,0)</f>
        <v>0</v>
      </c>
      <c r="J45" s="315">
        <f>IFERROR('調查資料(OUT)'!$P$1*'調查資料(OUT)'!P51,0)+IFERROR('調查資料(OUT)'!$T$1*'調查資料(OUT)'!T51,0)+IFERROR('調查資料(OUT)'!$X$1*'調查資料(OUT)'!X51,0)</f>
        <v>0</v>
      </c>
      <c r="K45" s="316">
        <f>IFERROR('調查資料(OUT)'!$Q$1*'調查資料(OUT)'!Q51,0)+IFERROR('調查資料(OUT)'!$U$1*'調查資料(OUT)'!U51,0)+IFERROR('調查資料(OUT)'!$Y$1*'調查資料(OUT)'!Y51,0)</f>
        <v>0</v>
      </c>
      <c r="L45" s="315">
        <f t="shared" si="240"/>
        <v>0</v>
      </c>
      <c r="M45" s="315">
        <f>IFERROR('調查資料(OUT)'!$Z$1*'調查資料(OUT)'!Z51,0)+IFERROR('調查資料(OUT)'!$AD$1*'調查資料(OUT)'!AD51,0)+IFERROR('調查資料(OUT)'!$AH$1*'調查資料(OUT)'!AH51,0)</f>
        <v>0</v>
      </c>
      <c r="N45" s="315">
        <f>IFERROR('調查資料(OUT)'!$AA$1*'調查資料(OUT)'!AA51,0)+IFERROR('調查資料(OUT)'!$AE$1*'調查資料(OUT)'!AE51,0)+IFERROR('調查資料(OUT)'!$AI$1*'調查資料(OUT)'!AI51,0)</f>
        <v>0</v>
      </c>
      <c r="O45" s="315">
        <f>IFERROR('調查資料(OUT)'!$AB$1*'調查資料(OUT)'!AB51,0)+IFERROR('調查資料(OUT)'!$AF$1*'調查資料(OUT)'!AF51,0)+IFERROR('調查資料(OUT)'!$AJ$1*'調查資料(OUT)'!AJ51,0)</f>
        <v>0</v>
      </c>
      <c r="P45" s="316">
        <f>IFERROR('調查資料(OUT)'!$AC$1*'調查資料(OUT)'!AC51,0)+IFERROR('調查資料(OUT)'!$AG$1*'調查資料(OUT)'!AG51,0)+IFERROR('調查資料(OUT)'!$AK$1*'調查資料(OUT)'!AK51,0)</f>
        <v>0</v>
      </c>
      <c r="Q45" s="315">
        <f t="shared" si="241"/>
        <v>0</v>
      </c>
      <c r="R45" s="315">
        <f>IFERROR('調查資料(OUT)'!$AL$1*'調查資料(OUT)'!AL51,0)+IFERROR('調查資料(OUT)'!$AP$1*'調查資料(OUT)'!AP51,0)+IFERROR('調查資料(OUT)'!$AT$1*'調查資料(OUT)'!AT51,0)</f>
        <v>0</v>
      </c>
      <c r="S45" s="315">
        <f>IFERROR('調查資料(OUT)'!$AM$1*'調查資料(OUT)'!AM51,0)+IFERROR('調查資料(OUT)'!$AQ$1*'調查資料(OUT)'!AQ51,0)+IFERROR('調查資料(OUT)'!$AU$1*'調查資料(OUT)'!AU51,0)</f>
        <v>0</v>
      </c>
      <c r="T45" s="315">
        <f>IFERROR('調查資料(OUT)'!$AN$1*'調查資料(OUT)'!AN51,0)+IFERROR('調查資料(OUT)'!$AR$1*'調查資料(OUT)'!AR51,0)+IFERROR('調查資料(OUT)'!$AV$1*'調查資料(OUT)'!AV51,0)</f>
        <v>0</v>
      </c>
      <c r="U45" s="316">
        <f>IFERROR('調查資料(OUT)'!$AO$1*'調查資料(OUT)'!AO51,0)+IFERROR('調查資料(OUT)'!$AS$1*'調查資料(OUT)'!AS51,0)+IFERROR('調查資料(OUT)'!$AW$1*'調查資料(OUT)'!AW51,0)</f>
        <v>0</v>
      </c>
      <c r="V45" s="315">
        <f t="shared" si="242"/>
        <v>0</v>
      </c>
      <c r="W45" s="315">
        <f>IFERROR('調查資料(OUT)'!$AX$1*'調查資料(OUT)'!AX51,0)+IFERROR('調查資料(OUT)'!$BB$1*'調查資料(OUT)'!BB51,0)+IFERROR('調查資料(OUT)'!$BF$1*'調查資料(OUT)'!BF51,0)</f>
        <v>0</v>
      </c>
      <c r="X45" s="315">
        <f>IFERROR('調查資料(OUT)'!$AY$1*'調查資料(OUT)'!AY51,0)+IFERROR('調查資料(OUT)'!$BC$1*'調查資料(OUT)'!BC51,0)+IFERROR('調查資料(OUT)'!$BG$1*'調查資料(OUT)'!BG51,0)</f>
        <v>0</v>
      </c>
      <c r="Y45" s="315">
        <f>IFERROR('調查資料(OUT)'!$AZ$1*'調查資料(OUT)'!AZ51,0)+IFERROR('調查資料(OUT)'!$BD$1*'調查資料(OUT)'!BD51,0)+IFERROR('調查資料(OUT)'!$BH$1*'調查資料(OUT)'!BH51,0)</f>
        <v>0</v>
      </c>
      <c r="Z45" s="316">
        <f>IFERROR('調查資料(OUT)'!$BA$1*'調查資料(OUT)'!BA51,0)+IFERROR('調查資料(OUT)'!$BE$1*'調查資料(OUT)'!BE51,0)+IFERROR('調查資料(OUT)'!$BI$1*'調查資料(OUT)'!BI51,0)</f>
        <v>0</v>
      </c>
      <c r="AA45" s="317">
        <f t="shared" si="243"/>
        <v>0</v>
      </c>
      <c r="AC45" s="352">
        <f>'調查資料(OUT)'!A51</f>
        <v>1000</v>
      </c>
      <c r="AD45" s="353">
        <f t="shared" si="244"/>
        <v>1100</v>
      </c>
      <c r="AE45" s="315">
        <f t="shared" si="254"/>
        <v>0</v>
      </c>
      <c r="AF45" s="357"/>
      <c r="AG45" s="315">
        <f t="shared" ref="AG45:AG53" si="290">IF($AE45=$AF$41,MAX(AA45:AA48),0)</f>
        <v>0</v>
      </c>
      <c r="AH45" s="355" t="e">
        <f t="shared" si="288"/>
        <v>#DIV/0!</v>
      </c>
      <c r="AI45" s="355" t="e">
        <f t="shared" si="285"/>
        <v>#DIV/0!</v>
      </c>
      <c r="AJ45" s="355" t="e">
        <f t="shared" si="286"/>
        <v>#DIV/0!</v>
      </c>
      <c r="AK45" s="355" t="e">
        <f t="shared" si="287"/>
        <v>#DIV/0!</v>
      </c>
      <c r="AL45" s="355" t="e">
        <f t="shared" si="289"/>
        <v>#DIV/0!</v>
      </c>
      <c r="AM45" s="357"/>
      <c r="AN45" s="315">
        <f t="shared" si="283"/>
        <v>1000</v>
      </c>
      <c r="AO45" s="316">
        <f t="shared" si="284"/>
        <v>1100</v>
      </c>
      <c r="AP45" s="50">
        <f t="shared" si="245"/>
        <v>0</v>
      </c>
      <c r="AQ45" s="50">
        <f>IF($AN45="N","N",SUM('調查資料(OUT)'!B51:B54))</f>
        <v>0</v>
      </c>
      <c r="AR45" s="50">
        <f>IF($AN45="N","N",SUM('調查資料(OUT)'!F51:F54))</f>
        <v>0</v>
      </c>
      <c r="AS45" s="50">
        <f>IF($AN45="N","N",SUM('調查資料(OUT)'!J51:J54))</f>
        <v>0</v>
      </c>
      <c r="AT45" s="56" t="e">
        <f t="shared" si="169"/>
        <v>#DIV/0!</v>
      </c>
      <c r="AU45" s="50">
        <f t="shared" si="170"/>
        <v>0</v>
      </c>
      <c r="AV45" s="50">
        <f>IF($AN45="N","N",SUM('調查資料(OUT)'!C51:C54))</f>
        <v>0</v>
      </c>
      <c r="AW45" s="50">
        <f>IF($AN45="N","N",SUM('調查資料(OUT)'!G51:G54))</f>
        <v>0</v>
      </c>
      <c r="AX45" s="50">
        <f>IF($AN45="N","N",SUM('調查資料(OUT)'!K51:K54))</f>
        <v>0</v>
      </c>
      <c r="AY45" s="56" t="e">
        <f t="shared" si="171"/>
        <v>#DIV/0!</v>
      </c>
      <c r="AZ45" s="50">
        <f t="shared" si="172"/>
        <v>0</v>
      </c>
      <c r="BA45" s="50">
        <f>IF($AN45="N","N",SUM('調查資料(OUT)'!D51:D54))</f>
        <v>0</v>
      </c>
      <c r="BB45" s="50">
        <f>IF($AN45="N","N",SUM('調查資料(OUT)'!H51:H54))</f>
        <v>0</v>
      </c>
      <c r="BC45" s="50">
        <f>IF($AN45="N","N",SUM('調查資料(OUT)'!L51:L54))</f>
        <v>0</v>
      </c>
      <c r="BD45" s="56" t="e">
        <f t="shared" si="173"/>
        <v>#DIV/0!</v>
      </c>
      <c r="BE45" s="50">
        <f t="shared" si="174"/>
        <v>0</v>
      </c>
      <c r="BF45" s="50">
        <f>IF($AN45="N","N",SUM('調查資料(OUT)'!E51:E54))</f>
        <v>0</v>
      </c>
      <c r="BG45" s="50">
        <f>IF($AN45="N","N",SUM('調查資料(OUT)'!I51:I54))</f>
        <v>0</v>
      </c>
      <c r="BH45" s="50">
        <f>IF($AN45="N","N",SUM('調查資料(OUT)'!M51:M54))</f>
        <v>0</v>
      </c>
      <c r="BI45" s="56" t="e">
        <f t="shared" si="175"/>
        <v>#DIV/0!</v>
      </c>
      <c r="BJ45" s="50">
        <f t="shared" si="255"/>
        <v>0</v>
      </c>
      <c r="BK45" s="56" t="e">
        <f t="shared" si="256"/>
        <v>#DIV/0!</v>
      </c>
      <c r="BL45" s="50">
        <f t="shared" si="257"/>
        <v>0</v>
      </c>
      <c r="BM45" s="56" t="e">
        <f t="shared" si="258"/>
        <v>#DIV/0!</v>
      </c>
      <c r="BN45" s="50">
        <f t="shared" si="259"/>
        <v>0</v>
      </c>
      <c r="BO45" s="56" t="e">
        <f t="shared" si="260"/>
        <v>#DIV/0!</v>
      </c>
      <c r="BP45" s="50">
        <f t="shared" si="261"/>
        <v>0</v>
      </c>
      <c r="BQ45" s="50">
        <f t="shared" si="183"/>
        <v>0</v>
      </c>
      <c r="BR45" s="50">
        <f>IF($AN45="N","N",SUM('調查資料(OUT)'!N51:N54))</f>
        <v>0</v>
      </c>
      <c r="BS45" s="50">
        <f>IF($AN45="N","N",SUM('調查資料(OUT)'!R51:R54))</f>
        <v>0</v>
      </c>
      <c r="BT45" s="50">
        <f>IF($AN45="N","N",SUM('調查資料(OUT)'!V51:V54))</f>
        <v>0</v>
      </c>
      <c r="BU45" s="56" t="e">
        <f t="shared" si="184"/>
        <v>#DIV/0!</v>
      </c>
      <c r="BV45" s="50">
        <f t="shared" si="185"/>
        <v>0</v>
      </c>
      <c r="BW45" s="50">
        <f>IF($AN45="N","N",SUM('調查資料(OUT)'!O51:O54))</f>
        <v>0</v>
      </c>
      <c r="BX45" s="50">
        <f>IF($AN45="N","N",SUM('調查資料(OUT)'!S51:S54))</f>
        <v>0</v>
      </c>
      <c r="BY45" s="50">
        <f>IF($AN45="N","N",SUM('調查資料(OUT)'!W51:W54))</f>
        <v>0</v>
      </c>
      <c r="BZ45" s="56" t="e">
        <f t="shared" si="186"/>
        <v>#DIV/0!</v>
      </c>
      <c r="CA45" s="50">
        <f t="shared" si="187"/>
        <v>0</v>
      </c>
      <c r="CB45" s="50">
        <f>IF($AN45="N","N",SUM('調查資料(OUT)'!P51:P54))</f>
        <v>0</v>
      </c>
      <c r="CC45" s="50">
        <f>IF($AN45="N","N",SUM('調查資料(OUT)'!T51:T54))</f>
        <v>0</v>
      </c>
      <c r="CD45" s="50">
        <f>IF($AN45="N","N",SUM('調查資料(OUT)'!X51:X54))</f>
        <v>0</v>
      </c>
      <c r="CE45" s="56" t="e">
        <f t="shared" si="188"/>
        <v>#DIV/0!</v>
      </c>
      <c r="CF45" s="50">
        <f t="shared" si="189"/>
        <v>0</v>
      </c>
      <c r="CG45" s="50">
        <f>IF($AN45="N","N",SUM('調查資料(OUT)'!Q51:Q54))</f>
        <v>0</v>
      </c>
      <c r="CH45" s="50">
        <f>IF($AN45="N","N",SUM('調查資料(OUT)'!U51:U54))</f>
        <v>0</v>
      </c>
      <c r="CI45" s="50">
        <f>IF($AN45="N","N",SUM('調查資料(OUT)'!Y51:Y54))</f>
        <v>0</v>
      </c>
      <c r="CJ45" s="56" t="e">
        <f t="shared" si="190"/>
        <v>#DIV/0!</v>
      </c>
      <c r="CK45" s="50">
        <f t="shared" si="262"/>
        <v>0</v>
      </c>
      <c r="CL45" s="56" t="e">
        <f t="shared" si="263"/>
        <v>#DIV/0!</v>
      </c>
      <c r="CM45" s="50">
        <f t="shared" si="264"/>
        <v>0</v>
      </c>
      <c r="CN45" s="56" t="e">
        <f t="shared" si="265"/>
        <v>#DIV/0!</v>
      </c>
      <c r="CO45" s="50">
        <f t="shared" si="266"/>
        <v>0</v>
      </c>
      <c r="CP45" s="56" t="e">
        <f t="shared" si="267"/>
        <v>#DIV/0!</v>
      </c>
      <c r="CQ45" s="50">
        <f t="shared" si="268"/>
        <v>0</v>
      </c>
      <c r="CR45" s="50">
        <f t="shared" si="198"/>
        <v>0</v>
      </c>
      <c r="CS45" s="50">
        <f>IF($AN45="N","N",SUM('調查資料(OUT)'!Z51:Z54))</f>
        <v>0</v>
      </c>
      <c r="CT45" s="50">
        <f>IF($AN45="N","N",SUM('調查資料(OUT)'!AD51:AD54))</f>
        <v>0</v>
      </c>
      <c r="CU45" s="50">
        <f>IF($AN45="N","N",SUM('調查資料(OUT)'!AH51:AH54))</f>
        <v>0</v>
      </c>
      <c r="CV45" s="56" t="e">
        <f t="shared" si="199"/>
        <v>#DIV/0!</v>
      </c>
      <c r="CW45" s="50">
        <f t="shared" si="200"/>
        <v>0</v>
      </c>
      <c r="CX45" s="50">
        <f>IF($AN45="N","N",SUM('調查資料(OUT)'!AA51:AA54))</f>
        <v>0</v>
      </c>
      <c r="CY45" s="50">
        <f>IF($AN45="N","N",SUM('調查資料(OUT)'!AE51:AE54))</f>
        <v>0</v>
      </c>
      <c r="CZ45" s="50">
        <f>IF($AN45="N","N",SUM('調查資料(OUT)'!AI51:AI54))</f>
        <v>0</v>
      </c>
      <c r="DA45" s="56" t="e">
        <f t="shared" si="201"/>
        <v>#DIV/0!</v>
      </c>
      <c r="DB45" s="50">
        <f t="shared" si="202"/>
        <v>0</v>
      </c>
      <c r="DC45" s="50">
        <f>IF($AN45="N","N",SUM('調查資料(OUT)'!AB51:AB54))</f>
        <v>0</v>
      </c>
      <c r="DD45" s="50">
        <f>IF($AN45="N","N",SUM('調查資料(OUT)'!AF51:AF54))</f>
        <v>0</v>
      </c>
      <c r="DE45" s="50">
        <f>IF($AN45="N","N",SUM('調查資料(OUT)'!AJ51:AJ54))</f>
        <v>0</v>
      </c>
      <c r="DF45" s="56" t="e">
        <f t="shared" si="203"/>
        <v>#DIV/0!</v>
      </c>
      <c r="DG45" s="50">
        <f t="shared" si="204"/>
        <v>0</v>
      </c>
      <c r="DH45" s="50">
        <f>IF($AN45="N","N",SUM('調查資料(OUT)'!AC51:AC54))</f>
        <v>0</v>
      </c>
      <c r="DI45" s="50">
        <f>IF($AN45="N","N",SUM('調查資料(OUT)'!AG51:AG54))</f>
        <v>0</v>
      </c>
      <c r="DJ45" s="50">
        <f>IF($AN45="N","N",SUM('調查資料(OUT)'!AK51:AK54))</f>
        <v>0</v>
      </c>
      <c r="DK45" s="56" t="e">
        <f t="shared" si="205"/>
        <v>#DIV/0!</v>
      </c>
      <c r="DL45" s="50">
        <f t="shared" si="269"/>
        <v>0</v>
      </c>
      <c r="DM45" s="56" t="e">
        <f t="shared" si="270"/>
        <v>#DIV/0!</v>
      </c>
      <c r="DN45" s="50">
        <f t="shared" si="271"/>
        <v>0</v>
      </c>
      <c r="DO45" s="56" t="e">
        <f t="shared" si="272"/>
        <v>#DIV/0!</v>
      </c>
      <c r="DP45" s="50">
        <f t="shared" si="273"/>
        <v>0</v>
      </c>
      <c r="DQ45" s="56" t="e">
        <f t="shared" si="274"/>
        <v>#DIV/0!</v>
      </c>
      <c r="DR45" s="50">
        <f t="shared" si="275"/>
        <v>0</v>
      </c>
      <c r="DS45" s="50">
        <f t="shared" si="213"/>
        <v>0</v>
      </c>
      <c r="DT45" s="50">
        <f>IF($AN45="N","N",SUM('調查資料(OUT)'!AL51:AL54))</f>
        <v>0</v>
      </c>
      <c r="DU45" s="50">
        <f>IF($AN45="N","N",SUM('調查資料(OUT)'!AP51:AP54))</f>
        <v>0</v>
      </c>
      <c r="DV45" s="50">
        <f>IF($AN45="N","N",SUM('調查資料(OUT)'!AT51:AT54))</f>
        <v>0</v>
      </c>
      <c r="DW45" s="56" t="e">
        <f t="shared" si="214"/>
        <v>#DIV/0!</v>
      </c>
      <c r="DX45" s="50">
        <f t="shared" si="215"/>
        <v>0</v>
      </c>
      <c r="DY45" s="50">
        <f>IF($AN45="N","N",SUM('調查資料(OUT)'!AM51:AM54))</f>
        <v>0</v>
      </c>
      <c r="DZ45" s="50">
        <f>IF($AN45="N","N",SUM('調查資料(OUT)'!AQ51:AQ54))</f>
        <v>0</v>
      </c>
      <c r="EA45" s="50">
        <f>IF($AN45="N","N",SUM('調查資料(OUT)'!AU51:AU54))</f>
        <v>0</v>
      </c>
      <c r="EB45" s="56" t="e">
        <f t="shared" si="216"/>
        <v>#DIV/0!</v>
      </c>
      <c r="EC45" s="50">
        <f t="shared" si="217"/>
        <v>0</v>
      </c>
      <c r="ED45" s="50">
        <f>IF($AN45="N","N",SUM('調查資料(OUT)'!AN51:AN54))</f>
        <v>0</v>
      </c>
      <c r="EE45" s="50">
        <f>IF($AN45="N","N",SUM('調查資料(OUT)'!AR51:AR54))</f>
        <v>0</v>
      </c>
      <c r="EF45" s="50">
        <f>IF($AN45="N","N",SUM('調查資料(OUT)'!AV51:AV54))</f>
        <v>0</v>
      </c>
      <c r="EG45" s="56" t="e">
        <f t="shared" si="218"/>
        <v>#DIV/0!</v>
      </c>
      <c r="EH45" s="50">
        <f t="shared" si="219"/>
        <v>0</v>
      </c>
      <c r="EI45" s="50">
        <f>IF($AN45="N","N",SUM('調查資料(OUT)'!AO51:AO54))</f>
        <v>0</v>
      </c>
      <c r="EJ45" s="50">
        <f>IF($AN45="N","N",SUM('調查資料(OUT)'!AS51:AS54))</f>
        <v>0</v>
      </c>
      <c r="EK45" s="50">
        <f>IF($AN45="N","N",SUM('調查資料(OUT)'!AW51:AW54))</f>
        <v>0</v>
      </c>
      <c r="EL45" s="56" t="e">
        <f t="shared" si="220"/>
        <v>#DIV/0!</v>
      </c>
      <c r="EM45" s="50">
        <f t="shared" si="276"/>
        <v>0</v>
      </c>
      <c r="EN45" s="56" t="e">
        <f t="shared" si="277"/>
        <v>#DIV/0!</v>
      </c>
      <c r="EO45" s="50">
        <f t="shared" si="278"/>
        <v>0</v>
      </c>
      <c r="EP45" s="56" t="e">
        <f t="shared" si="279"/>
        <v>#DIV/0!</v>
      </c>
      <c r="EQ45" s="50">
        <f t="shared" si="280"/>
        <v>0</v>
      </c>
      <c r="ER45" s="56" t="e">
        <f t="shared" si="281"/>
        <v>#DIV/0!</v>
      </c>
      <c r="ES45" s="50">
        <f t="shared" si="282"/>
        <v>0</v>
      </c>
      <c r="ET45" s="50">
        <f t="shared" si="227"/>
        <v>0</v>
      </c>
      <c r="EU45" s="50">
        <f>IF($AN45="N","N",SUM('調查資料(OUT)'!AX51:AX54))</f>
        <v>0</v>
      </c>
      <c r="EV45" s="50">
        <f>IF($AN45="N","N",SUM('調查資料(OUT)'!BB51:BB54))</f>
        <v>0</v>
      </c>
      <c r="EW45" s="50">
        <f>IF($AN45="N","N",SUM('調查資料(OUT)'!BF51:BF54))</f>
        <v>0</v>
      </c>
      <c r="EX45" s="56" t="e">
        <f t="shared" si="228"/>
        <v>#DIV/0!</v>
      </c>
      <c r="EY45" s="50">
        <f t="shared" si="229"/>
        <v>0</v>
      </c>
      <c r="EZ45" s="50">
        <f>IF($AN45="N","N",SUM('調查資料(OUT)'!AY51:AY54))</f>
        <v>0</v>
      </c>
      <c r="FA45" s="50">
        <f>IF($AN45="N","N",SUM('調查資料(OUT)'!BC51:BC54))</f>
        <v>0</v>
      </c>
      <c r="FB45" s="50">
        <f>IF($AN45="N","N",SUM('調查資料(OUT)'!BG51:BG54))</f>
        <v>0</v>
      </c>
      <c r="FC45" s="56" t="e">
        <f t="shared" si="230"/>
        <v>#DIV/0!</v>
      </c>
      <c r="FD45" s="50">
        <f t="shared" si="231"/>
        <v>0</v>
      </c>
      <c r="FE45" s="50">
        <f>IF($AN45="N","N",SUM('調查資料(OUT)'!AZ51:AZ54))</f>
        <v>0</v>
      </c>
      <c r="FF45" s="50">
        <f>IF($AN45="N","N",SUM('調查資料(OUT)'!BD51:BD54))</f>
        <v>0</v>
      </c>
      <c r="FG45" s="50">
        <f>IF($AN45="N","N",SUM('調查資料(OUT)'!BH51:BH54))</f>
        <v>0</v>
      </c>
      <c r="FH45" s="56" t="e">
        <f t="shared" si="232"/>
        <v>#DIV/0!</v>
      </c>
      <c r="FI45" s="50">
        <f t="shared" si="233"/>
        <v>0</v>
      </c>
      <c r="FJ45" s="50">
        <f>IF($AN45="N","N",SUM('調查資料(OUT)'!BA51:BA54))</f>
        <v>0</v>
      </c>
      <c r="FK45" s="50">
        <f>IF($AN45="N","N",SUM('調查資料(OUT)'!BE51:BE54))</f>
        <v>0</v>
      </c>
      <c r="FL45" s="50">
        <f>IF($AN45="N","N",SUM('調查資料(OUT)'!BI51:BI54))</f>
        <v>0</v>
      </c>
      <c r="FM45" s="56" t="e">
        <f t="shared" si="234"/>
        <v>#DIV/0!</v>
      </c>
      <c r="FN45" s="50">
        <f t="shared" si="246"/>
        <v>0</v>
      </c>
      <c r="FO45" s="56" t="e">
        <f t="shared" si="247"/>
        <v>#DIV/0!</v>
      </c>
      <c r="FP45" s="50">
        <f t="shared" si="248"/>
        <v>0</v>
      </c>
      <c r="FQ45" s="56" t="e">
        <f t="shared" si="249"/>
        <v>#DIV/0!</v>
      </c>
      <c r="FR45" s="50">
        <f t="shared" si="250"/>
        <v>0</v>
      </c>
      <c r="FS45" s="56" t="e">
        <f t="shared" si="251"/>
        <v>#DIV/0!</v>
      </c>
      <c r="FT45" s="50">
        <f t="shared" si="252"/>
        <v>0</v>
      </c>
    </row>
    <row r="46" spans="1:176">
      <c r="A46" s="314">
        <f>'調查資料(OUT)'!A52</f>
        <v>1015</v>
      </c>
      <c r="B46" s="315">
        <f t="shared" si="238"/>
        <v>0</v>
      </c>
      <c r="C46" s="315">
        <f>IFERROR('調查資料(OUT)'!$B$1*'調查資料(OUT)'!B52,0)+IFERROR('調查資料(OUT)'!$F$1*'調查資料(OUT)'!F52,0)+IFERROR('調查資料(OUT)'!$J$1*'調查資料(OUT)'!J52,0)</f>
        <v>0</v>
      </c>
      <c r="D46" s="315">
        <f>IFERROR('調查資料(OUT)'!$C$1*'調查資料(OUT)'!C52,0)+IFERROR('調查資料(OUT)'!$G$1*'調查資料(OUT)'!G52,0)+IFERROR('調查資料(OUT)'!$K$1*'調查資料(OUT)'!K52,0)</f>
        <v>0</v>
      </c>
      <c r="E46" s="315">
        <f>IFERROR('調查資料(OUT)'!$D$1*'調查資料(OUT)'!D52,0)+IFERROR('調查資料(OUT)'!$H$1*'調查資料(OUT)'!H52,0)+IFERROR('調查資料(OUT)'!$L$1*'調查資料(OUT)'!L52,0)</f>
        <v>0</v>
      </c>
      <c r="F46" s="316">
        <f>IFERROR('調查資料(OUT)'!$E$1*'調查資料(OUT)'!E52,0)+IFERROR('調查資料(OUT)'!$I$1*'調查資料(OUT)'!I52,0)+IFERROR('調查資料(OUT)'!$M$1*'調查資料(OUT)'!M52,0)</f>
        <v>0</v>
      </c>
      <c r="G46" s="315">
        <f t="shared" si="239"/>
        <v>0</v>
      </c>
      <c r="H46" s="315">
        <f>IFERROR('調查資料(OUT)'!$N$1*'調查資料(OUT)'!N52,0)+IFERROR('調查資料(OUT)'!$R$1*'調查資料(OUT)'!R52,0)+IFERROR('調查資料(OUT)'!$V$1*'調查資料(OUT)'!V52,0)</f>
        <v>0</v>
      </c>
      <c r="I46" s="315">
        <f>IFERROR('調查資料(OUT)'!$O$1*'調查資料(OUT)'!O52,0)+IFERROR('調查資料(OUT)'!$S$1*'調查資料(OUT)'!S52,0)+IFERROR('調查資料(OUT)'!$W$1*'調查資料(OUT)'!W52,0)</f>
        <v>0</v>
      </c>
      <c r="J46" s="315">
        <f>IFERROR('調查資料(OUT)'!$P$1*'調查資料(OUT)'!P52,0)+IFERROR('調查資料(OUT)'!$T$1*'調查資料(OUT)'!T52,0)+IFERROR('調查資料(OUT)'!$X$1*'調查資料(OUT)'!X52,0)</f>
        <v>0</v>
      </c>
      <c r="K46" s="316">
        <f>IFERROR('調查資料(OUT)'!$Q$1*'調查資料(OUT)'!Q52,0)+IFERROR('調查資料(OUT)'!$U$1*'調查資料(OUT)'!U52,0)+IFERROR('調查資料(OUT)'!$Y$1*'調查資料(OUT)'!Y52,0)</f>
        <v>0</v>
      </c>
      <c r="L46" s="315">
        <f t="shared" si="240"/>
        <v>0</v>
      </c>
      <c r="M46" s="315">
        <f>IFERROR('調查資料(OUT)'!$Z$1*'調查資料(OUT)'!Z52,0)+IFERROR('調查資料(OUT)'!$AD$1*'調查資料(OUT)'!AD52,0)+IFERROR('調查資料(OUT)'!$AH$1*'調查資料(OUT)'!AH52,0)</f>
        <v>0</v>
      </c>
      <c r="N46" s="315">
        <f>IFERROR('調查資料(OUT)'!$AA$1*'調查資料(OUT)'!AA52,0)+IFERROR('調查資料(OUT)'!$AE$1*'調查資料(OUT)'!AE52,0)+IFERROR('調查資料(OUT)'!$AI$1*'調查資料(OUT)'!AI52,0)</f>
        <v>0</v>
      </c>
      <c r="O46" s="315">
        <f>IFERROR('調查資料(OUT)'!$AB$1*'調查資料(OUT)'!AB52,0)+IFERROR('調查資料(OUT)'!$AF$1*'調查資料(OUT)'!AF52,0)+IFERROR('調查資料(OUT)'!$AJ$1*'調查資料(OUT)'!AJ52,0)</f>
        <v>0</v>
      </c>
      <c r="P46" s="316">
        <f>IFERROR('調查資料(OUT)'!$AC$1*'調查資料(OUT)'!AC52,0)+IFERROR('調查資料(OUT)'!$AG$1*'調查資料(OUT)'!AG52,0)+IFERROR('調查資料(OUT)'!$AK$1*'調查資料(OUT)'!AK52,0)</f>
        <v>0</v>
      </c>
      <c r="Q46" s="315">
        <f t="shared" si="241"/>
        <v>0</v>
      </c>
      <c r="R46" s="315">
        <f>IFERROR('調查資料(OUT)'!$AL$1*'調查資料(OUT)'!AL52,0)+IFERROR('調查資料(OUT)'!$AP$1*'調查資料(OUT)'!AP52,0)+IFERROR('調查資料(OUT)'!$AT$1*'調查資料(OUT)'!AT52,0)</f>
        <v>0</v>
      </c>
      <c r="S46" s="315">
        <f>IFERROR('調查資料(OUT)'!$AM$1*'調查資料(OUT)'!AM52,0)+IFERROR('調查資料(OUT)'!$AQ$1*'調查資料(OUT)'!AQ52,0)+IFERROR('調查資料(OUT)'!$AU$1*'調查資料(OUT)'!AU52,0)</f>
        <v>0</v>
      </c>
      <c r="T46" s="315">
        <f>IFERROR('調查資料(OUT)'!$AN$1*'調查資料(OUT)'!AN52,0)+IFERROR('調查資料(OUT)'!$AR$1*'調查資料(OUT)'!AR52,0)+IFERROR('調查資料(OUT)'!$AV$1*'調查資料(OUT)'!AV52,0)</f>
        <v>0</v>
      </c>
      <c r="U46" s="316">
        <f>IFERROR('調查資料(OUT)'!$AO$1*'調查資料(OUT)'!AO52,0)+IFERROR('調查資料(OUT)'!$AS$1*'調查資料(OUT)'!AS52,0)+IFERROR('調查資料(OUT)'!$AW$1*'調查資料(OUT)'!AW52,0)</f>
        <v>0</v>
      </c>
      <c r="V46" s="315">
        <f t="shared" si="242"/>
        <v>0</v>
      </c>
      <c r="W46" s="315">
        <f>IFERROR('調查資料(OUT)'!$AX$1*'調查資料(OUT)'!AX52,0)+IFERROR('調查資料(OUT)'!$BB$1*'調查資料(OUT)'!BB52,0)+IFERROR('調查資料(OUT)'!$BF$1*'調查資料(OUT)'!BF52,0)</f>
        <v>0</v>
      </c>
      <c r="X46" s="315">
        <f>IFERROR('調查資料(OUT)'!$AY$1*'調查資料(OUT)'!AY52,0)+IFERROR('調查資料(OUT)'!$BC$1*'調查資料(OUT)'!BC52,0)+IFERROR('調查資料(OUT)'!$BG$1*'調查資料(OUT)'!BG52,0)</f>
        <v>0</v>
      </c>
      <c r="Y46" s="315">
        <f>IFERROR('調查資料(OUT)'!$AZ$1*'調查資料(OUT)'!AZ52,0)+IFERROR('調查資料(OUT)'!$BD$1*'調查資料(OUT)'!BD52,0)+IFERROR('調查資料(OUT)'!$BH$1*'調查資料(OUT)'!BH52,0)</f>
        <v>0</v>
      </c>
      <c r="Z46" s="316">
        <f>IFERROR('調查資料(OUT)'!$BA$1*'調查資料(OUT)'!BA52,0)+IFERROR('調查資料(OUT)'!$BE$1*'調查資料(OUT)'!BE52,0)+IFERROR('調查資料(OUT)'!$BI$1*'調查資料(OUT)'!BI52,0)</f>
        <v>0</v>
      </c>
      <c r="AA46" s="317">
        <f t="shared" si="243"/>
        <v>0</v>
      </c>
      <c r="AC46" s="352">
        <f>'調查資料(OUT)'!A52</f>
        <v>1015</v>
      </c>
      <c r="AD46" s="353">
        <f t="shared" si="244"/>
        <v>1115</v>
      </c>
      <c r="AE46" s="315">
        <f t="shared" si="254"/>
        <v>0</v>
      </c>
      <c r="AF46" s="315"/>
      <c r="AG46" s="315">
        <f t="shared" si="290"/>
        <v>0</v>
      </c>
      <c r="AH46" s="355" t="e">
        <f t="shared" si="288"/>
        <v>#DIV/0!</v>
      </c>
      <c r="AI46" s="355" t="e">
        <f t="shared" si="285"/>
        <v>#DIV/0!</v>
      </c>
      <c r="AJ46" s="355" t="e">
        <f t="shared" si="286"/>
        <v>#DIV/0!</v>
      </c>
      <c r="AK46" s="355" t="e">
        <f t="shared" si="287"/>
        <v>#DIV/0!</v>
      </c>
      <c r="AL46" s="355" t="e">
        <f t="shared" si="289"/>
        <v>#DIV/0!</v>
      </c>
      <c r="AM46" s="357"/>
      <c r="AN46" s="315">
        <f t="shared" si="283"/>
        <v>1015</v>
      </c>
      <c r="AO46" s="316">
        <f t="shared" si="284"/>
        <v>1115</v>
      </c>
      <c r="AP46" s="50">
        <f t="shared" si="245"/>
        <v>0</v>
      </c>
      <c r="AQ46" s="50">
        <f>IF($AN46="N","N",SUM('調查資料(OUT)'!B52:B55))</f>
        <v>0</v>
      </c>
      <c r="AR46" s="50">
        <f>IF($AN46="N","N",SUM('調查資料(OUT)'!F52:F55))</f>
        <v>0</v>
      </c>
      <c r="AS46" s="50">
        <f>IF($AN46="N","N",SUM('調查資料(OUT)'!J52:J55))</f>
        <v>0</v>
      </c>
      <c r="AT46" s="56" t="e">
        <f t="shared" si="169"/>
        <v>#DIV/0!</v>
      </c>
      <c r="AU46" s="50">
        <f t="shared" si="170"/>
        <v>0</v>
      </c>
      <c r="AV46" s="50">
        <f>IF($AN46="N","N",SUM('調查資料(OUT)'!C52:C55))</f>
        <v>0</v>
      </c>
      <c r="AW46" s="50">
        <f>IF($AN46="N","N",SUM('調查資料(OUT)'!G52:G55))</f>
        <v>0</v>
      </c>
      <c r="AX46" s="50">
        <f>IF($AN46="N","N",SUM('調查資料(OUT)'!K52:K55))</f>
        <v>0</v>
      </c>
      <c r="AY46" s="56" t="e">
        <f t="shared" si="171"/>
        <v>#DIV/0!</v>
      </c>
      <c r="AZ46" s="50">
        <f t="shared" si="172"/>
        <v>0</v>
      </c>
      <c r="BA46" s="50">
        <f>IF($AN46="N","N",SUM('調查資料(OUT)'!D52:D55))</f>
        <v>0</v>
      </c>
      <c r="BB46" s="50">
        <f>IF($AN46="N","N",SUM('調查資料(OUT)'!H52:H55))</f>
        <v>0</v>
      </c>
      <c r="BC46" s="50">
        <f>IF($AN46="N","N",SUM('調查資料(OUT)'!L52:L55))</f>
        <v>0</v>
      </c>
      <c r="BD46" s="56" t="e">
        <f t="shared" si="173"/>
        <v>#DIV/0!</v>
      </c>
      <c r="BE46" s="50">
        <f t="shared" si="174"/>
        <v>0</v>
      </c>
      <c r="BF46" s="50">
        <f>IF($AN46="N","N",SUM('調查資料(OUT)'!E52:E55))</f>
        <v>0</v>
      </c>
      <c r="BG46" s="50">
        <f>IF($AN46="N","N",SUM('調查資料(OUT)'!I52:I55))</f>
        <v>0</v>
      </c>
      <c r="BH46" s="50">
        <f>IF($AN46="N","N",SUM('調查資料(OUT)'!M52:M55))</f>
        <v>0</v>
      </c>
      <c r="BI46" s="56" t="e">
        <f t="shared" si="175"/>
        <v>#DIV/0!</v>
      </c>
      <c r="BJ46" s="50">
        <f t="shared" si="255"/>
        <v>0</v>
      </c>
      <c r="BK46" s="56" t="e">
        <f t="shared" si="256"/>
        <v>#DIV/0!</v>
      </c>
      <c r="BL46" s="50">
        <f t="shared" si="257"/>
        <v>0</v>
      </c>
      <c r="BM46" s="56" t="e">
        <f t="shared" si="258"/>
        <v>#DIV/0!</v>
      </c>
      <c r="BN46" s="50">
        <f t="shared" si="259"/>
        <v>0</v>
      </c>
      <c r="BO46" s="56" t="e">
        <f t="shared" si="260"/>
        <v>#DIV/0!</v>
      </c>
      <c r="BP46" s="50">
        <f t="shared" si="261"/>
        <v>0</v>
      </c>
      <c r="BQ46" s="50">
        <f t="shared" si="183"/>
        <v>0</v>
      </c>
      <c r="BR46" s="50">
        <f>IF($AN46="N","N",SUM('調查資料(OUT)'!N52:N55))</f>
        <v>0</v>
      </c>
      <c r="BS46" s="50">
        <f>IF($AN46="N","N",SUM('調查資料(OUT)'!R52:R55))</f>
        <v>0</v>
      </c>
      <c r="BT46" s="50">
        <f>IF($AN46="N","N",SUM('調查資料(OUT)'!V52:V55))</f>
        <v>0</v>
      </c>
      <c r="BU46" s="56" t="e">
        <f t="shared" si="184"/>
        <v>#DIV/0!</v>
      </c>
      <c r="BV46" s="50">
        <f t="shared" si="185"/>
        <v>0</v>
      </c>
      <c r="BW46" s="50">
        <f>IF($AN46="N","N",SUM('調查資料(OUT)'!O52:O55))</f>
        <v>0</v>
      </c>
      <c r="BX46" s="50">
        <f>IF($AN46="N","N",SUM('調查資料(OUT)'!S52:S55))</f>
        <v>0</v>
      </c>
      <c r="BY46" s="50">
        <f>IF($AN46="N","N",SUM('調查資料(OUT)'!W52:W55))</f>
        <v>0</v>
      </c>
      <c r="BZ46" s="56" t="e">
        <f t="shared" si="186"/>
        <v>#DIV/0!</v>
      </c>
      <c r="CA46" s="50">
        <f t="shared" si="187"/>
        <v>0</v>
      </c>
      <c r="CB46" s="50">
        <f>IF($AN46="N","N",SUM('調查資料(OUT)'!P52:P55))</f>
        <v>0</v>
      </c>
      <c r="CC46" s="50">
        <f>IF($AN46="N","N",SUM('調查資料(OUT)'!T52:T55))</f>
        <v>0</v>
      </c>
      <c r="CD46" s="50">
        <f>IF($AN46="N","N",SUM('調查資料(OUT)'!X52:X55))</f>
        <v>0</v>
      </c>
      <c r="CE46" s="56" t="e">
        <f t="shared" si="188"/>
        <v>#DIV/0!</v>
      </c>
      <c r="CF46" s="50">
        <f t="shared" si="189"/>
        <v>0</v>
      </c>
      <c r="CG46" s="50">
        <f>IF($AN46="N","N",SUM('調查資料(OUT)'!Q52:Q55))</f>
        <v>0</v>
      </c>
      <c r="CH46" s="50">
        <f>IF($AN46="N","N",SUM('調查資料(OUT)'!U52:U55))</f>
        <v>0</v>
      </c>
      <c r="CI46" s="50">
        <f>IF($AN46="N","N",SUM('調查資料(OUT)'!Y52:Y55))</f>
        <v>0</v>
      </c>
      <c r="CJ46" s="56" t="e">
        <f t="shared" si="190"/>
        <v>#DIV/0!</v>
      </c>
      <c r="CK46" s="50">
        <f t="shared" si="262"/>
        <v>0</v>
      </c>
      <c r="CL46" s="56" t="e">
        <f t="shared" si="263"/>
        <v>#DIV/0!</v>
      </c>
      <c r="CM46" s="50">
        <f t="shared" si="264"/>
        <v>0</v>
      </c>
      <c r="CN46" s="56" t="e">
        <f t="shared" si="265"/>
        <v>#DIV/0!</v>
      </c>
      <c r="CO46" s="50">
        <f t="shared" si="266"/>
        <v>0</v>
      </c>
      <c r="CP46" s="56" t="e">
        <f t="shared" si="267"/>
        <v>#DIV/0!</v>
      </c>
      <c r="CQ46" s="50">
        <f t="shared" si="268"/>
        <v>0</v>
      </c>
      <c r="CR46" s="50">
        <f t="shared" si="198"/>
        <v>0</v>
      </c>
      <c r="CS46" s="50">
        <f>IF($AN46="N","N",SUM('調查資料(OUT)'!Z52:Z55))</f>
        <v>0</v>
      </c>
      <c r="CT46" s="50">
        <f>IF($AN46="N","N",SUM('調查資料(OUT)'!AD52:AD55))</f>
        <v>0</v>
      </c>
      <c r="CU46" s="50">
        <f>IF($AN46="N","N",SUM('調查資料(OUT)'!AH52:AH55))</f>
        <v>0</v>
      </c>
      <c r="CV46" s="56" t="e">
        <f t="shared" si="199"/>
        <v>#DIV/0!</v>
      </c>
      <c r="CW46" s="50">
        <f t="shared" si="200"/>
        <v>0</v>
      </c>
      <c r="CX46" s="50">
        <f>IF($AN46="N","N",SUM('調查資料(OUT)'!AA52:AA55))</f>
        <v>0</v>
      </c>
      <c r="CY46" s="50">
        <f>IF($AN46="N","N",SUM('調查資料(OUT)'!AE52:AE55))</f>
        <v>0</v>
      </c>
      <c r="CZ46" s="50">
        <f>IF($AN46="N","N",SUM('調查資料(OUT)'!AI52:AI55))</f>
        <v>0</v>
      </c>
      <c r="DA46" s="56" t="e">
        <f t="shared" si="201"/>
        <v>#DIV/0!</v>
      </c>
      <c r="DB46" s="50">
        <f t="shared" si="202"/>
        <v>0</v>
      </c>
      <c r="DC46" s="50">
        <f>IF($AN46="N","N",SUM('調查資料(OUT)'!AB52:AB55))</f>
        <v>0</v>
      </c>
      <c r="DD46" s="50">
        <f>IF($AN46="N","N",SUM('調查資料(OUT)'!AF52:AF55))</f>
        <v>0</v>
      </c>
      <c r="DE46" s="50">
        <f>IF($AN46="N","N",SUM('調查資料(OUT)'!AJ52:AJ55))</f>
        <v>0</v>
      </c>
      <c r="DF46" s="56" t="e">
        <f t="shared" si="203"/>
        <v>#DIV/0!</v>
      </c>
      <c r="DG46" s="50">
        <f t="shared" si="204"/>
        <v>0</v>
      </c>
      <c r="DH46" s="50">
        <f>IF($AN46="N","N",SUM('調查資料(OUT)'!AC52:AC55))</f>
        <v>0</v>
      </c>
      <c r="DI46" s="50">
        <f>IF($AN46="N","N",SUM('調查資料(OUT)'!AG52:AG55))</f>
        <v>0</v>
      </c>
      <c r="DJ46" s="50">
        <f>IF($AN46="N","N",SUM('調查資料(OUT)'!AK52:AK55))</f>
        <v>0</v>
      </c>
      <c r="DK46" s="56" t="e">
        <f t="shared" si="205"/>
        <v>#DIV/0!</v>
      </c>
      <c r="DL46" s="50">
        <f t="shared" si="269"/>
        <v>0</v>
      </c>
      <c r="DM46" s="56" t="e">
        <f t="shared" si="270"/>
        <v>#DIV/0!</v>
      </c>
      <c r="DN46" s="50">
        <f t="shared" si="271"/>
        <v>0</v>
      </c>
      <c r="DO46" s="56" t="e">
        <f t="shared" si="272"/>
        <v>#DIV/0!</v>
      </c>
      <c r="DP46" s="50">
        <f t="shared" si="273"/>
        <v>0</v>
      </c>
      <c r="DQ46" s="56" t="e">
        <f t="shared" si="274"/>
        <v>#DIV/0!</v>
      </c>
      <c r="DR46" s="50">
        <f t="shared" si="275"/>
        <v>0</v>
      </c>
      <c r="DS46" s="50">
        <f t="shared" si="213"/>
        <v>0</v>
      </c>
      <c r="DT46" s="50">
        <f>IF($AN46="N","N",SUM('調查資料(OUT)'!AL52:AL55))</f>
        <v>0</v>
      </c>
      <c r="DU46" s="50">
        <f>IF($AN46="N","N",SUM('調查資料(OUT)'!AP52:AP55))</f>
        <v>0</v>
      </c>
      <c r="DV46" s="50">
        <f>IF($AN46="N","N",SUM('調查資料(OUT)'!AT52:AT55))</f>
        <v>0</v>
      </c>
      <c r="DW46" s="56" t="e">
        <f t="shared" si="214"/>
        <v>#DIV/0!</v>
      </c>
      <c r="DX46" s="50">
        <f t="shared" si="215"/>
        <v>0</v>
      </c>
      <c r="DY46" s="50">
        <f>IF($AN46="N","N",SUM('調查資料(OUT)'!AM52:AM55))</f>
        <v>0</v>
      </c>
      <c r="DZ46" s="50">
        <f>IF($AN46="N","N",SUM('調查資料(OUT)'!AQ52:AQ55))</f>
        <v>0</v>
      </c>
      <c r="EA46" s="50">
        <f>IF($AN46="N","N",SUM('調查資料(OUT)'!AU52:AU55))</f>
        <v>0</v>
      </c>
      <c r="EB46" s="56" t="e">
        <f t="shared" si="216"/>
        <v>#DIV/0!</v>
      </c>
      <c r="EC46" s="50">
        <f t="shared" si="217"/>
        <v>0</v>
      </c>
      <c r="ED46" s="50">
        <f>IF($AN46="N","N",SUM('調查資料(OUT)'!AN52:AN55))</f>
        <v>0</v>
      </c>
      <c r="EE46" s="50">
        <f>IF($AN46="N","N",SUM('調查資料(OUT)'!AR52:AR55))</f>
        <v>0</v>
      </c>
      <c r="EF46" s="50">
        <f>IF($AN46="N","N",SUM('調查資料(OUT)'!AV52:AV55))</f>
        <v>0</v>
      </c>
      <c r="EG46" s="56" t="e">
        <f t="shared" si="218"/>
        <v>#DIV/0!</v>
      </c>
      <c r="EH46" s="50">
        <f t="shared" si="219"/>
        <v>0</v>
      </c>
      <c r="EI46" s="50">
        <f>IF($AN46="N","N",SUM('調查資料(OUT)'!AO52:AO55))</f>
        <v>0</v>
      </c>
      <c r="EJ46" s="50">
        <f>IF($AN46="N","N",SUM('調查資料(OUT)'!AS52:AS55))</f>
        <v>0</v>
      </c>
      <c r="EK46" s="50">
        <f>IF($AN46="N","N",SUM('調查資料(OUT)'!AW52:AW55))</f>
        <v>0</v>
      </c>
      <c r="EL46" s="56" t="e">
        <f t="shared" si="220"/>
        <v>#DIV/0!</v>
      </c>
      <c r="EM46" s="50">
        <f t="shared" si="276"/>
        <v>0</v>
      </c>
      <c r="EN46" s="56" t="e">
        <f t="shared" si="277"/>
        <v>#DIV/0!</v>
      </c>
      <c r="EO46" s="50">
        <f t="shared" si="278"/>
        <v>0</v>
      </c>
      <c r="EP46" s="56" t="e">
        <f t="shared" si="279"/>
        <v>#DIV/0!</v>
      </c>
      <c r="EQ46" s="50">
        <f t="shared" si="280"/>
        <v>0</v>
      </c>
      <c r="ER46" s="56" t="e">
        <f t="shared" si="281"/>
        <v>#DIV/0!</v>
      </c>
      <c r="ES46" s="50">
        <f t="shared" si="282"/>
        <v>0</v>
      </c>
      <c r="ET46" s="50">
        <f t="shared" si="227"/>
        <v>0</v>
      </c>
      <c r="EU46" s="50">
        <f>IF($AN46="N","N",SUM('調查資料(OUT)'!AX52:AX55))</f>
        <v>0</v>
      </c>
      <c r="EV46" s="50">
        <f>IF($AN46="N","N",SUM('調查資料(OUT)'!BB52:BB55))</f>
        <v>0</v>
      </c>
      <c r="EW46" s="50">
        <f>IF($AN46="N","N",SUM('調查資料(OUT)'!BF52:BF55))</f>
        <v>0</v>
      </c>
      <c r="EX46" s="56" t="e">
        <f t="shared" si="228"/>
        <v>#DIV/0!</v>
      </c>
      <c r="EY46" s="50">
        <f t="shared" si="229"/>
        <v>0</v>
      </c>
      <c r="EZ46" s="50">
        <f>IF($AN46="N","N",SUM('調查資料(OUT)'!AY52:AY55))</f>
        <v>0</v>
      </c>
      <c r="FA46" s="50">
        <f>IF($AN46="N","N",SUM('調查資料(OUT)'!BC52:BC55))</f>
        <v>0</v>
      </c>
      <c r="FB46" s="50">
        <f>IF($AN46="N","N",SUM('調查資料(OUT)'!BG52:BG55))</f>
        <v>0</v>
      </c>
      <c r="FC46" s="56" t="e">
        <f t="shared" si="230"/>
        <v>#DIV/0!</v>
      </c>
      <c r="FD46" s="50">
        <f t="shared" si="231"/>
        <v>0</v>
      </c>
      <c r="FE46" s="50">
        <f>IF($AN46="N","N",SUM('調查資料(OUT)'!AZ52:AZ55))</f>
        <v>0</v>
      </c>
      <c r="FF46" s="50">
        <f>IF($AN46="N","N",SUM('調查資料(OUT)'!BD52:BD55))</f>
        <v>0</v>
      </c>
      <c r="FG46" s="50">
        <f>IF($AN46="N","N",SUM('調查資料(OUT)'!BH52:BH55))</f>
        <v>0</v>
      </c>
      <c r="FH46" s="56" t="e">
        <f t="shared" si="232"/>
        <v>#DIV/0!</v>
      </c>
      <c r="FI46" s="50">
        <f t="shared" si="233"/>
        <v>0</v>
      </c>
      <c r="FJ46" s="50">
        <f>IF($AN46="N","N",SUM('調查資料(OUT)'!BA52:BA55))</f>
        <v>0</v>
      </c>
      <c r="FK46" s="50">
        <f>IF($AN46="N","N",SUM('調查資料(OUT)'!BE52:BE55))</f>
        <v>0</v>
      </c>
      <c r="FL46" s="50">
        <f>IF($AN46="N","N",SUM('調查資料(OUT)'!BI52:BI55))</f>
        <v>0</v>
      </c>
      <c r="FM46" s="56" t="e">
        <f t="shared" si="234"/>
        <v>#DIV/0!</v>
      </c>
      <c r="FN46" s="50">
        <f t="shared" si="246"/>
        <v>0</v>
      </c>
      <c r="FO46" s="56" t="e">
        <f t="shared" si="247"/>
        <v>#DIV/0!</v>
      </c>
      <c r="FP46" s="50">
        <f t="shared" si="248"/>
        <v>0</v>
      </c>
      <c r="FQ46" s="56" t="e">
        <f t="shared" si="249"/>
        <v>#DIV/0!</v>
      </c>
      <c r="FR46" s="50">
        <f t="shared" si="250"/>
        <v>0</v>
      </c>
      <c r="FS46" s="56" t="e">
        <f t="shared" si="251"/>
        <v>#DIV/0!</v>
      </c>
      <c r="FT46" s="50">
        <f t="shared" si="252"/>
        <v>0</v>
      </c>
    </row>
    <row r="47" spans="1:176">
      <c r="A47" s="314">
        <f>'調查資料(OUT)'!A53</f>
        <v>1030</v>
      </c>
      <c r="B47" s="315">
        <f t="shared" si="238"/>
        <v>0</v>
      </c>
      <c r="C47" s="315">
        <f>IFERROR('調查資料(OUT)'!$B$1*'調查資料(OUT)'!B53,0)+IFERROR('調查資料(OUT)'!$F$1*'調查資料(OUT)'!F53,0)+IFERROR('調查資料(OUT)'!$J$1*'調查資料(OUT)'!J53,0)</f>
        <v>0</v>
      </c>
      <c r="D47" s="315">
        <f>IFERROR('調查資料(OUT)'!$C$1*'調查資料(OUT)'!C53,0)+IFERROR('調查資料(OUT)'!$G$1*'調查資料(OUT)'!G53,0)+IFERROR('調查資料(OUT)'!$K$1*'調查資料(OUT)'!K53,0)</f>
        <v>0</v>
      </c>
      <c r="E47" s="315">
        <f>IFERROR('調查資料(OUT)'!$D$1*'調查資料(OUT)'!D53,0)+IFERROR('調查資料(OUT)'!$H$1*'調查資料(OUT)'!H53,0)+IFERROR('調查資料(OUT)'!$L$1*'調查資料(OUT)'!L53,0)</f>
        <v>0</v>
      </c>
      <c r="F47" s="316">
        <f>IFERROR('調查資料(OUT)'!$E$1*'調查資料(OUT)'!E53,0)+IFERROR('調查資料(OUT)'!$I$1*'調查資料(OUT)'!I53,0)+IFERROR('調查資料(OUT)'!$M$1*'調查資料(OUT)'!M53,0)</f>
        <v>0</v>
      </c>
      <c r="G47" s="315">
        <f t="shared" si="239"/>
        <v>0</v>
      </c>
      <c r="H47" s="315">
        <f>IFERROR('調查資料(OUT)'!$N$1*'調查資料(OUT)'!N53,0)+IFERROR('調查資料(OUT)'!$R$1*'調查資料(OUT)'!R53,0)+IFERROR('調查資料(OUT)'!$V$1*'調查資料(OUT)'!V53,0)</f>
        <v>0</v>
      </c>
      <c r="I47" s="315">
        <f>IFERROR('調查資料(OUT)'!$O$1*'調查資料(OUT)'!O53,0)+IFERROR('調查資料(OUT)'!$S$1*'調查資料(OUT)'!S53,0)+IFERROR('調查資料(OUT)'!$W$1*'調查資料(OUT)'!W53,0)</f>
        <v>0</v>
      </c>
      <c r="J47" s="315">
        <f>IFERROR('調查資料(OUT)'!$P$1*'調查資料(OUT)'!P53,0)+IFERROR('調查資料(OUT)'!$T$1*'調查資料(OUT)'!T53,0)+IFERROR('調查資料(OUT)'!$X$1*'調查資料(OUT)'!X53,0)</f>
        <v>0</v>
      </c>
      <c r="K47" s="316">
        <f>IFERROR('調查資料(OUT)'!$Q$1*'調查資料(OUT)'!Q53,0)+IFERROR('調查資料(OUT)'!$U$1*'調查資料(OUT)'!U53,0)+IFERROR('調查資料(OUT)'!$Y$1*'調查資料(OUT)'!Y53,0)</f>
        <v>0</v>
      </c>
      <c r="L47" s="315">
        <f t="shared" si="240"/>
        <v>0</v>
      </c>
      <c r="M47" s="315">
        <f>IFERROR('調查資料(OUT)'!$Z$1*'調查資料(OUT)'!Z53,0)+IFERROR('調查資料(OUT)'!$AD$1*'調查資料(OUT)'!AD53,0)+IFERROR('調查資料(OUT)'!$AH$1*'調查資料(OUT)'!AH53,0)</f>
        <v>0</v>
      </c>
      <c r="N47" s="315">
        <f>IFERROR('調查資料(OUT)'!$AA$1*'調查資料(OUT)'!AA53,0)+IFERROR('調查資料(OUT)'!$AE$1*'調查資料(OUT)'!AE53,0)+IFERROR('調查資料(OUT)'!$AI$1*'調查資料(OUT)'!AI53,0)</f>
        <v>0</v>
      </c>
      <c r="O47" s="315">
        <f>IFERROR('調查資料(OUT)'!$AB$1*'調查資料(OUT)'!AB53,0)+IFERROR('調查資料(OUT)'!$AF$1*'調查資料(OUT)'!AF53,0)+IFERROR('調查資料(OUT)'!$AJ$1*'調查資料(OUT)'!AJ53,0)</f>
        <v>0</v>
      </c>
      <c r="P47" s="316">
        <f>IFERROR('調查資料(OUT)'!$AC$1*'調查資料(OUT)'!AC53,0)+IFERROR('調查資料(OUT)'!$AG$1*'調查資料(OUT)'!AG53,0)+IFERROR('調查資料(OUT)'!$AK$1*'調查資料(OUT)'!AK53,0)</f>
        <v>0</v>
      </c>
      <c r="Q47" s="315">
        <f t="shared" si="241"/>
        <v>0</v>
      </c>
      <c r="R47" s="315">
        <f>IFERROR('調查資料(OUT)'!$AL$1*'調查資料(OUT)'!AL53,0)+IFERROR('調查資料(OUT)'!$AP$1*'調查資料(OUT)'!AP53,0)+IFERROR('調查資料(OUT)'!$AT$1*'調查資料(OUT)'!AT53,0)</f>
        <v>0</v>
      </c>
      <c r="S47" s="315">
        <f>IFERROR('調查資料(OUT)'!$AM$1*'調查資料(OUT)'!AM53,0)+IFERROR('調查資料(OUT)'!$AQ$1*'調查資料(OUT)'!AQ53,0)+IFERROR('調查資料(OUT)'!$AU$1*'調查資料(OUT)'!AU53,0)</f>
        <v>0</v>
      </c>
      <c r="T47" s="315">
        <f>IFERROR('調查資料(OUT)'!$AN$1*'調查資料(OUT)'!AN53,0)+IFERROR('調查資料(OUT)'!$AR$1*'調查資料(OUT)'!AR53,0)+IFERROR('調查資料(OUT)'!$AV$1*'調查資料(OUT)'!AV53,0)</f>
        <v>0</v>
      </c>
      <c r="U47" s="316">
        <f>IFERROR('調查資料(OUT)'!$AO$1*'調查資料(OUT)'!AO53,0)+IFERROR('調查資料(OUT)'!$AS$1*'調查資料(OUT)'!AS53,0)+IFERROR('調查資料(OUT)'!$AW$1*'調查資料(OUT)'!AW53,0)</f>
        <v>0</v>
      </c>
      <c r="V47" s="315">
        <f t="shared" si="242"/>
        <v>0</v>
      </c>
      <c r="W47" s="315">
        <f>IFERROR('調查資料(OUT)'!$AX$1*'調查資料(OUT)'!AX53,0)+IFERROR('調查資料(OUT)'!$BB$1*'調查資料(OUT)'!BB53,0)+IFERROR('調查資料(OUT)'!$BF$1*'調查資料(OUT)'!BF53,0)</f>
        <v>0</v>
      </c>
      <c r="X47" s="315">
        <f>IFERROR('調查資料(OUT)'!$AY$1*'調查資料(OUT)'!AY53,0)+IFERROR('調查資料(OUT)'!$BC$1*'調查資料(OUT)'!BC53,0)+IFERROR('調查資料(OUT)'!$BG$1*'調查資料(OUT)'!BG53,0)</f>
        <v>0</v>
      </c>
      <c r="Y47" s="315">
        <f>IFERROR('調查資料(OUT)'!$AZ$1*'調查資料(OUT)'!AZ53,0)+IFERROR('調查資料(OUT)'!$BD$1*'調查資料(OUT)'!BD53,0)+IFERROR('調查資料(OUT)'!$BH$1*'調查資料(OUT)'!BH53,0)</f>
        <v>0</v>
      </c>
      <c r="Z47" s="316">
        <f>IFERROR('調查資料(OUT)'!$BA$1*'調查資料(OUT)'!BA53,0)+IFERROR('調查資料(OUT)'!$BE$1*'調查資料(OUT)'!BE53,0)+IFERROR('調查資料(OUT)'!$BI$1*'調查資料(OUT)'!BI53,0)</f>
        <v>0</v>
      </c>
      <c r="AA47" s="317">
        <f t="shared" si="243"/>
        <v>0</v>
      </c>
      <c r="AC47" s="352">
        <f>'調查資料(OUT)'!A53</f>
        <v>1030</v>
      </c>
      <c r="AD47" s="353">
        <f t="shared" si="244"/>
        <v>1130</v>
      </c>
      <c r="AE47" s="315">
        <f t="shared" si="254"/>
        <v>0</v>
      </c>
      <c r="AF47" s="315"/>
      <c r="AG47" s="315">
        <f t="shared" si="290"/>
        <v>0</v>
      </c>
      <c r="AH47" s="355" t="e">
        <f t="shared" si="288"/>
        <v>#DIV/0!</v>
      </c>
      <c r="AI47" s="355" t="e">
        <f t="shared" si="285"/>
        <v>#DIV/0!</v>
      </c>
      <c r="AJ47" s="355" t="e">
        <f t="shared" si="286"/>
        <v>#DIV/0!</v>
      </c>
      <c r="AK47" s="355" t="e">
        <f t="shared" si="287"/>
        <v>#DIV/0!</v>
      </c>
      <c r="AL47" s="355" t="e">
        <f t="shared" si="289"/>
        <v>#DIV/0!</v>
      </c>
      <c r="AM47" s="357"/>
      <c r="AN47" s="315">
        <f t="shared" si="283"/>
        <v>1030</v>
      </c>
      <c r="AO47" s="316">
        <f t="shared" si="284"/>
        <v>1130</v>
      </c>
      <c r="AP47" s="50">
        <f t="shared" si="245"/>
        <v>0</v>
      </c>
      <c r="AQ47" s="50">
        <f>IF($AN47="N","N",SUM('調查資料(OUT)'!B53:B56))</f>
        <v>0</v>
      </c>
      <c r="AR47" s="50">
        <f>IF($AN47="N","N",SUM('調查資料(OUT)'!F53:F56))</f>
        <v>0</v>
      </c>
      <c r="AS47" s="50">
        <f>IF($AN47="N","N",SUM('調查資料(OUT)'!J53:J56))</f>
        <v>0</v>
      </c>
      <c r="AT47" s="56" t="e">
        <f t="shared" si="169"/>
        <v>#DIV/0!</v>
      </c>
      <c r="AU47" s="50">
        <f t="shared" si="170"/>
        <v>0</v>
      </c>
      <c r="AV47" s="50">
        <f>IF($AN47="N","N",SUM('調查資料(OUT)'!C53:C56))</f>
        <v>0</v>
      </c>
      <c r="AW47" s="50">
        <f>IF($AN47="N","N",SUM('調查資料(OUT)'!G53:G56))</f>
        <v>0</v>
      </c>
      <c r="AX47" s="50">
        <f>IF($AN47="N","N",SUM('調查資料(OUT)'!K53:K56))</f>
        <v>0</v>
      </c>
      <c r="AY47" s="56" t="e">
        <f t="shared" si="171"/>
        <v>#DIV/0!</v>
      </c>
      <c r="AZ47" s="50">
        <f t="shared" si="172"/>
        <v>0</v>
      </c>
      <c r="BA47" s="50">
        <f>IF($AN47="N","N",SUM('調查資料(OUT)'!D53:D56))</f>
        <v>0</v>
      </c>
      <c r="BB47" s="50">
        <f>IF($AN47="N","N",SUM('調查資料(OUT)'!H53:H56))</f>
        <v>0</v>
      </c>
      <c r="BC47" s="50">
        <f>IF($AN47="N","N",SUM('調查資料(OUT)'!L53:L56))</f>
        <v>0</v>
      </c>
      <c r="BD47" s="56" t="e">
        <f t="shared" si="173"/>
        <v>#DIV/0!</v>
      </c>
      <c r="BE47" s="50">
        <f t="shared" si="174"/>
        <v>0</v>
      </c>
      <c r="BF47" s="50">
        <f>IF($AN47="N","N",SUM('調查資料(OUT)'!E53:E56))</f>
        <v>0</v>
      </c>
      <c r="BG47" s="50">
        <f>IF($AN47="N","N",SUM('調查資料(OUT)'!I53:I56))</f>
        <v>0</v>
      </c>
      <c r="BH47" s="50">
        <f>IF($AN47="N","N",SUM('調查資料(OUT)'!M53:M56))</f>
        <v>0</v>
      </c>
      <c r="BI47" s="56" t="e">
        <f t="shared" si="175"/>
        <v>#DIV/0!</v>
      </c>
      <c r="BJ47" s="50">
        <f t="shared" si="255"/>
        <v>0</v>
      </c>
      <c r="BK47" s="56" t="e">
        <f t="shared" si="256"/>
        <v>#DIV/0!</v>
      </c>
      <c r="BL47" s="50">
        <f t="shared" si="257"/>
        <v>0</v>
      </c>
      <c r="BM47" s="56" t="e">
        <f t="shared" si="258"/>
        <v>#DIV/0!</v>
      </c>
      <c r="BN47" s="50">
        <f t="shared" si="259"/>
        <v>0</v>
      </c>
      <c r="BO47" s="56" t="e">
        <f t="shared" si="260"/>
        <v>#DIV/0!</v>
      </c>
      <c r="BP47" s="50">
        <f t="shared" si="261"/>
        <v>0</v>
      </c>
      <c r="BQ47" s="50">
        <f t="shared" si="183"/>
        <v>0</v>
      </c>
      <c r="BR47" s="50">
        <f>IF($AN47="N","N",SUM('調查資料(OUT)'!N53:N56))</f>
        <v>0</v>
      </c>
      <c r="BS47" s="50">
        <f>IF($AN47="N","N",SUM('調查資料(OUT)'!R53:R56))</f>
        <v>0</v>
      </c>
      <c r="BT47" s="50">
        <f>IF($AN47="N","N",SUM('調查資料(OUT)'!V53:V56))</f>
        <v>0</v>
      </c>
      <c r="BU47" s="56" t="e">
        <f t="shared" si="184"/>
        <v>#DIV/0!</v>
      </c>
      <c r="BV47" s="50">
        <f t="shared" si="185"/>
        <v>0</v>
      </c>
      <c r="BW47" s="50">
        <f>IF($AN47="N","N",SUM('調查資料(OUT)'!O53:O56))</f>
        <v>0</v>
      </c>
      <c r="BX47" s="50">
        <f>IF($AN47="N","N",SUM('調查資料(OUT)'!S53:S56))</f>
        <v>0</v>
      </c>
      <c r="BY47" s="50">
        <f>IF($AN47="N","N",SUM('調查資料(OUT)'!W53:W56))</f>
        <v>0</v>
      </c>
      <c r="BZ47" s="56" t="e">
        <f t="shared" si="186"/>
        <v>#DIV/0!</v>
      </c>
      <c r="CA47" s="50">
        <f t="shared" si="187"/>
        <v>0</v>
      </c>
      <c r="CB47" s="50">
        <f>IF($AN47="N","N",SUM('調查資料(OUT)'!P53:P56))</f>
        <v>0</v>
      </c>
      <c r="CC47" s="50">
        <f>IF($AN47="N","N",SUM('調查資料(OUT)'!T53:T56))</f>
        <v>0</v>
      </c>
      <c r="CD47" s="50">
        <f>IF($AN47="N","N",SUM('調查資料(OUT)'!X53:X56))</f>
        <v>0</v>
      </c>
      <c r="CE47" s="56" t="e">
        <f t="shared" si="188"/>
        <v>#DIV/0!</v>
      </c>
      <c r="CF47" s="50">
        <f t="shared" si="189"/>
        <v>0</v>
      </c>
      <c r="CG47" s="50">
        <f>IF($AN47="N","N",SUM('調查資料(OUT)'!Q53:Q56))</f>
        <v>0</v>
      </c>
      <c r="CH47" s="50">
        <f>IF($AN47="N","N",SUM('調查資料(OUT)'!U53:U56))</f>
        <v>0</v>
      </c>
      <c r="CI47" s="50">
        <f>IF($AN47="N","N",SUM('調查資料(OUT)'!Y53:Y56))</f>
        <v>0</v>
      </c>
      <c r="CJ47" s="56" t="e">
        <f t="shared" si="190"/>
        <v>#DIV/0!</v>
      </c>
      <c r="CK47" s="50">
        <f t="shared" si="262"/>
        <v>0</v>
      </c>
      <c r="CL47" s="56" t="e">
        <f t="shared" si="263"/>
        <v>#DIV/0!</v>
      </c>
      <c r="CM47" s="50">
        <f t="shared" si="264"/>
        <v>0</v>
      </c>
      <c r="CN47" s="56" t="e">
        <f t="shared" si="265"/>
        <v>#DIV/0!</v>
      </c>
      <c r="CO47" s="50">
        <f t="shared" si="266"/>
        <v>0</v>
      </c>
      <c r="CP47" s="56" t="e">
        <f t="shared" si="267"/>
        <v>#DIV/0!</v>
      </c>
      <c r="CQ47" s="50">
        <f t="shared" si="268"/>
        <v>0</v>
      </c>
      <c r="CR47" s="50">
        <f t="shared" si="198"/>
        <v>0</v>
      </c>
      <c r="CS47" s="50">
        <f>IF($AN47="N","N",SUM('調查資料(OUT)'!Z53:Z56))</f>
        <v>0</v>
      </c>
      <c r="CT47" s="50">
        <f>IF($AN47="N","N",SUM('調查資料(OUT)'!AD53:AD56))</f>
        <v>0</v>
      </c>
      <c r="CU47" s="50">
        <f>IF($AN47="N","N",SUM('調查資料(OUT)'!AH53:AH56))</f>
        <v>0</v>
      </c>
      <c r="CV47" s="56" t="e">
        <f t="shared" si="199"/>
        <v>#DIV/0!</v>
      </c>
      <c r="CW47" s="50">
        <f t="shared" si="200"/>
        <v>0</v>
      </c>
      <c r="CX47" s="50">
        <f>IF($AN47="N","N",SUM('調查資料(OUT)'!AA53:AA56))</f>
        <v>0</v>
      </c>
      <c r="CY47" s="50">
        <f>IF($AN47="N","N",SUM('調查資料(OUT)'!AE53:AE56))</f>
        <v>0</v>
      </c>
      <c r="CZ47" s="50">
        <f>IF($AN47="N","N",SUM('調查資料(OUT)'!AI53:AI56))</f>
        <v>0</v>
      </c>
      <c r="DA47" s="56" t="e">
        <f t="shared" si="201"/>
        <v>#DIV/0!</v>
      </c>
      <c r="DB47" s="50">
        <f t="shared" si="202"/>
        <v>0</v>
      </c>
      <c r="DC47" s="50">
        <f>IF($AN47="N","N",SUM('調查資料(OUT)'!AB53:AB56))</f>
        <v>0</v>
      </c>
      <c r="DD47" s="50">
        <f>IF($AN47="N","N",SUM('調查資料(OUT)'!AF53:AF56))</f>
        <v>0</v>
      </c>
      <c r="DE47" s="50">
        <f>IF($AN47="N","N",SUM('調查資料(OUT)'!AJ53:AJ56))</f>
        <v>0</v>
      </c>
      <c r="DF47" s="56" t="e">
        <f t="shared" si="203"/>
        <v>#DIV/0!</v>
      </c>
      <c r="DG47" s="50">
        <f t="shared" si="204"/>
        <v>0</v>
      </c>
      <c r="DH47" s="50">
        <f>IF($AN47="N","N",SUM('調查資料(OUT)'!AC53:AC56))</f>
        <v>0</v>
      </c>
      <c r="DI47" s="50">
        <f>IF($AN47="N","N",SUM('調查資料(OUT)'!AG53:AG56))</f>
        <v>0</v>
      </c>
      <c r="DJ47" s="50">
        <f>IF($AN47="N","N",SUM('調查資料(OUT)'!AK53:AK56))</f>
        <v>0</v>
      </c>
      <c r="DK47" s="56" t="e">
        <f t="shared" si="205"/>
        <v>#DIV/0!</v>
      </c>
      <c r="DL47" s="50">
        <f t="shared" si="269"/>
        <v>0</v>
      </c>
      <c r="DM47" s="56" t="e">
        <f t="shared" si="270"/>
        <v>#DIV/0!</v>
      </c>
      <c r="DN47" s="50">
        <f t="shared" si="271"/>
        <v>0</v>
      </c>
      <c r="DO47" s="56" t="e">
        <f t="shared" si="272"/>
        <v>#DIV/0!</v>
      </c>
      <c r="DP47" s="50">
        <f t="shared" si="273"/>
        <v>0</v>
      </c>
      <c r="DQ47" s="56" t="e">
        <f t="shared" si="274"/>
        <v>#DIV/0!</v>
      </c>
      <c r="DR47" s="50">
        <f t="shared" si="275"/>
        <v>0</v>
      </c>
      <c r="DS47" s="50">
        <f t="shared" si="213"/>
        <v>0</v>
      </c>
      <c r="DT47" s="50">
        <f>IF($AN47="N","N",SUM('調查資料(OUT)'!AL53:AL56))</f>
        <v>0</v>
      </c>
      <c r="DU47" s="50">
        <f>IF($AN47="N","N",SUM('調查資料(OUT)'!AP53:AP56))</f>
        <v>0</v>
      </c>
      <c r="DV47" s="50">
        <f>IF($AN47="N","N",SUM('調查資料(OUT)'!AT53:AT56))</f>
        <v>0</v>
      </c>
      <c r="DW47" s="56" t="e">
        <f t="shared" si="214"/>
        <v>#DIV/0!</v>
      </c>
      <c r="DX47" s="50">
        <f t="shared" si="215"/>
        <v>0</v>
      </c>
      <c r="DY47" s="50">
        <f>IF($AN47="N","N",SUM('調查資料(OUT)'!AM53:AM56))</f>
        <v>0</v>
      </c>
      <c r="DZ47" s="50">
        <f>IF($AN47="N","N",SUM('調查資料(OUT)'!AQ53:AQ56))</f>
        <v>0</v>
      </c>
      <c r="EA47" s="50">
        <f>IF($AN47="N","N",SUM('調查資料(OUT)'!AU53:AU56))</f>
        <v>0</v>
      </c>
      <c r="EB47" s="56" t="e">
        <f t="shared" si="216"/>
        <v>#DIV/0!</v>
      </c>
      <c r="EC47" s="50">
        <f t="shared" si="217"/>
        <v>0</v>
      </c>
      <c r="ED47" s="50">
        <f>IF($AN47="N","N",SUM('調查資料(OUT)'!AN53:AN56))</f>
        <v>0</v>
      </c>
      <c r="EE47" s="50">
        <f>IF($AN47="N","N",SUM('調查資料(OUT)'!AR53:AR56))</f>
        <v>0</v>
      </c>
      <c r="EF47" s="50">
        <f>IF($AN47="N","N",SUM('調查資料(OUT)'!AV53:AV56))</f>
        <v>0</v>
      </c>
      <c r="EG47" s="56" t="e">
        <f t="shared" si="218"/>
        <v>#DIV/0!</v>
      </c>
      <c r="EH47" s="50">
        <f t="shared" si="219"/>
        <v>0</v>
      </c>
      <c r="EI47" s="50">
        <f>IF($AN47="N","N",SUM('調查資料(OUT)'!AO53:AO56))</f>
        <v>0</v>
      </c>
      <c r="EJ47" s="50">
        <f>IF($AN47="N","N",SUM('調查資料(OUT)'!AS53:AS56))</f>
        <v>0</v>
      </c>
      <c r="EK47" s="50">
        <f>IF($AN47="N","N",SUM('調查資料(OUT)'!AW53:AW56))</f>
        <v>0</v>
      </c>
      <c r="EL47" s="56" t="e">
        <f t="shared" si="220"/>
        <v>#DIV/0!</v>
      </c>
      <c r="EM47" s="50">
        <f t="shared" si="276"/>
        <v>0</v>
      </c>
      <c r="EN47" s="56" t="e">
        <f t="shared" si="277"/>
        <v>#DIV/0!</v>
      </c>
      <c r="EO47" s="50">
        <f t="shared" si="278"/>
        <v>0</v>
      </c>
      <c r="EP47" s="56" t="e">
        <f t="shared" si="279"/>
        <v>#DIV/0!</v>
      </c>
      <c r="EQ47" s="50">
        <f t="shared" si="280"/>
        <v>0</v>
      </c>
      <c r="ER47" s="56" t="e">
        <f t="shared" si="281"/>
        <v>#DIV/0!</v>
      </c>
      <c r="ES47" s="50">
        <f t="shared" si="282"/>
        <v>0</v>
      </c>
      <c r="ET47" s="50">
        <f t="shared" si="227"/>
        <v>0</v>
      </c>
      <c r="EU47" s="50">
        <f>IF($AN47="N","N",SUM('調查資料(OUT)'!AX53:AX56))</f>
        <v>0</v>
      </c>
      <c r="EV47" s="50">
        <f>IF($AN47="N","N",SUM('調查資料(OUT)'!BB53:BB56))</f>
        <v>0</v>
      </c>
      <c r="EW47" s="50">
        <f>IF($AN47="N","N",SUM('調查資料(OUT)'!BF53:BF56))</f>
        <v>0</v>
      </c>
      <c r="EX47" s="56" t="e">
        <f t="shared" si="228"/>
        <v>#DIV/0!</v>
      </c>
      <c r="EY47" s="50">
        <f t="shared" si="229"/>
        <v>0</v>
      </c>
      <c r="EZ47" s="50">
        <f>IF($AN47="N","N",SUM('調查資料(OUT)'!AY53:AY56))</f>
        <v>0</v>
      </c>
      <c r="FA47" s="50">
        <f>IF($AN47="N","N",SUM('調查資料(OUT)'!BC53:BC56))</f>
        <v>0</v>
      </c>
      <c r="FB47" s="50">
        <f>IF($AN47="N","N",SUM('調查資料(OUT)'!BG53:BG56))</f>
        <v>0</v>
      </c>
      <c r="FC47" s="56" t="e">
        <f t="shared" si="230"/>
        <v>#DIV/0!</v>
      </c>
      <c r="FD47" s="50">
        <f t="shared" si="231"/>
        <v>0</v>
      </c>
      <c r="FE47" s="50">
        <f>IF($AN47="N","N",SUM('調查資料(OUT)'!AZ53:AZ56))</f>
        <v>0</v>
      </c>
      <c r="FF47" s="50">
        <f>IF($AN47="N","N",SUM('調查資料(OUT)'!BD53:BD56))</f>
        <v>0</v>
      </c>
      <c r="FG47" s="50">
        <f>IF($AN47="N","N",SUM('調查資料(OUT)'!BH53:BH56))</f>
        <v>0</v>
      </c>
      <c r="FH47" s="56" t="e">
        <f t="shared" si="232"/>
        <v>#DIV/0!</v>
      </c>
      <c r="FI47" s="50">
        <f t="shared" si="233"/>
        <v>0</v>
      </c>
      <c r="FJ47" s="50">
        <f>IF($AN47="N","N",SUM('調查資料(OUT)'!BA53:BA56))</f>
        <v>0</v>
      </c>
      <c r="FK47" s="50">
        <f>IF($AN47="N","N",SUM('調查資料(OUT)'!BE53:BE56))</f>
        <v>0</v>
      </c>
      <c r="FL47" s="50">
        <f>IF($AN47="N","N",SUM('調查資料(OUT)'!BI53:BI56))</f>
        <v>0</v>
      </c>
      <c r="FM47" s="56" t="e">
        <f t="shared" si="234"/>
        <v>#DIV/0!</v>
      </c>
      <c r="FN47" s="50">
        <f t="shared" si="246"/>
        <v>0</v>
      </c>
      <c r="FO47" s="56" t="e">
        <f t="shared" si="247"/>
        <v>#DIV/0!</v>
      </c>
      <c r="FP47" s="50">
        <f t="shared" si="248"/>
        <v>0</v>
      </c>
      <c r="FQ47" s="56" t="e">
        <f t="shared" si="249"/>
        <v>#DIV/0!</v>
      </c>
      <c r="FR47" s="50">
        <f t="shared" si="250"/>
        <v>0</v>
      </c>
      <c r="FS47" s="56" t="e">
        <f t="shared" si="251"/>
        <v>#DIV/0!</v>
      </c>
      <c r="FT47" s="50">
        <f t="shared" si="252"/>
        <v>0</v>
      </c>
    </row>
    <row r="48" spans="1:176">
      <c r="A48" s="314">
        <f>'調查資料(OUT)'!A54</f>
        <v>1045</v>
      </c>
      <c r="B48" s="315">
        <f t="shared" si="238"/>
        <v>0</v>
      </c>
      <c r="C48" s="315">
        <f>IFERROR('調查資料(OUT)'!$B$1*'調查資料(OUT)'!B54,0)+IFERROR('調查資料(OUT)'!$F$1*'調查資料(OUT)'!F54,0)+IFERROR('調查資料(OUT)'!$J$1*'調查資料(OUT)'!J54,0)</f>
        <v>0</v>
      </c>
      <c r="D48" s="315">
        <f>IFERROR('調查資料(OUT)'!$C$1*'調查資料(OUT)'!C54,0)+IFERROR('調查資料(OUT)'!$G$1*'調查資料(OUT)'!G54,0)+IFERROR('調查資料(OUT)'!$K$1*'調查資料(OUT)'!K54,0)</f>
        <v>0</v>
      </c>
      <c r="E48" s="315">
        <f>IFERROR('調查資料(OUT)'!$D$1*'調查資料(OUT)'!D54,0)+IFERROR('調查資料(OUT)'!$H$1*'調查資料(OUT)'!H54,0)+IFERROR('調查資料(OUT)'!$L$1*'調查資料(OUT)'!L54,0)</f>
        <v>0</v>
      </c>
      <c r="F48" s="316">
        <f>IFERROR('調查資料(OUT)'!$E$1*'調查資料(OUT)'!E54,0)+IFERROR('調查資料(OUT)'!$I$1*'調查資料(OUT)'!I54,0)+IFERROR('調查資料(OUT)'!$M$1*'調查資料(OUT)'!M54,0)</f>
        <v>0</v>
      </c>
      <c r="G48" s="315">
        <f t="shared" si="239"/>
        <v>0</v>
      </c>
      <c r="H48" s="315">
        <f>IFERROR('調查資料(OUT)'!$N$1*'調查資料(OUT)'!N54,0)+IFERROR('調查資料(OUT)'!$R$1*'調查資料(OUT)'!R54,0)+IFERROR('調查資料(OUT)'!$V$1*'調查資料(OUT)'!V54,0)</f>
        <v>0</v>
      </c>
      <c r="I48" s="315">
        <f>IFERROR('調查資料(OUT)'!$O$1*'調查資料(OUT)'!O54,0)+IFERROR('調查資料(OUT)'!$S$1*'調查資料(OUT)'!S54,0)+IFERROR('調查資料(OUT)'!$W$1*'調查資料(OUT)'!W54,0)</f>
        <v>0</v>
      </c>
      <c r="J48" s="315">
        <f>IFERROR('調查資料(OUT)'!$P$1*'調查資料(OUT)'!P54,0)+IFERROR('調查資料(OUT)'!$T$1*'調查資料(OUT)'!T54,0)+IFERROR('調查資料(OUT)'!$X$1*'調查資料(OUT)'!X54,0)</f>
        <v>0</v>
      </c>
      <c r="K48" s="316">
        <f>IFERROR('調查資料(OUT)'!$Q$1*'調查資料(OUT)'!Q54,0)+IFERROR('調查資料(OUT)'!$U$1*'調查資料(OUT)'!U54,0)+IFERROR('調查資料(OUT)'!$Y$1*'調查資料(OUT)'!Y54,0)</f>
        <v>0</v>
      </c>
      <c r="L48" s="315">
        <f t="shared" si="240"/>
        <v>0</v>
      </c>
      <c r="M48" s="315">
        <f>IFERROR('調查資料(OUT)'!$Z$1*'調查資料(OUT)'!Z54,0)+IFERROR('調查資料(OUT)'!$AD$1*'調查資料(OUT)'!AD54,0)+IFERROR('調查資料(OUT)'!$AH$1*'調查資料(OUT)'!AH54,0)</f>
        <v>0</v>
      </c>
      <c r="N48" s="315">
        <f>IFERROR('調查資料(OUT)'!$AA$1*'調查資料(OUT)'!AA54,0)+IFERROR('調查資料(OUT)'!$AE$1*'調查資料(OUT)'!AE54,0)+IFERROR('調查資料(OUT)'!$AI$1*'調查資料(OUT)'!AI54,0)</f>
        <v>0</v>
      </c>
      <c r="O48" s="315">
        <f>IFERROR('調查資料(OUT)'!$AB$1*'調查資料(OUT)'!AB54,0)+IFERROR('調查資料(OUT)'!$AF$1*'調查資料(OUT)'!AF54,0)+IFERROR('調查資料(OUT)'!$AJ$1*'調查資料(OUT)'!AJ54,0)</f>
        <v>0</v>
      </c>
      <c r="P48" s="316">
        <f>IFERROR('調查資料(OUT)'!$AC$1*'調查資料(OUT)'!AC54,0)+IFERROR('調查資料(OUT)'!$AG$1*'調查資料(OUT)'!AG54,0)+IFERROR('調查資料(OUT)'!$AK$1*'調查資料(OUT)'!AK54,0)</f>
        <v>0</v>
      </c>
      <c r="Q48" s="315">
        <f t="shared" si="241"/>
        <v>0</v>
      </c>
      <c r="R48" s="315">
        <f>IFERROR('調查資料(OUT)'!$AL$1*'調查資料(OUT)'!AL54,0)+IFERROR('調查資料(OUT)'!$AP$1*'調查資料(OUT)'!AP54,0)+IFERROR('調查資料(OUT)'!$AT$1*'調查資料(OUT)'!AT54,0)</f>
        <v>0</v>
      </c>
      <c r="S48" s="315">
        <f>IFERROR('調查資料(OUT)'!$AM$1*'調查資料(OUT)'!AM54,0)+IFERROR('調查資料(OUT)'!$AQ$1*'調查資料(OUT)'!AQ54,0)+IFERROR('調查資料(OUT)'!$AU$1*'調查資料(OUT)'!AU54,0)</f>
        <v>0</v>
      </c>
      <c r="T48" s="315">
        <f>IFERROR('調查資料(OUT)'!$AN$1*'調查資料(OUT)'!AN54,0)+IFERROR('調查資料(OUT)'!$AR$1*'調查資料(OUT)'!AR54,0)+IFERROR('調查資料(OUT)'!$AV$1*'調查資料(OUT)'!AV54,0)</f>
        <v>0</v>
      </c>
      <c r="U48" s="316">
        <f>IFERROR('調查資料(OUT)'!$AO$1*'調查資料(OUT)'!AO54,0)+IFERROR('調查資料(OUT)'!$AS$1*'調查資料(OUT)'!AS54,0)+IFERROR('調查資料(OUT)'!$AW$1*'調查資料(OUT)'!AW54,0)</f>
        <v>0</v>
      </c>
      <c r="V48" s="315">
        <f t="shared" si="242"/>
        <v>0</v>
      </c>
      <c r="W48" s="315">
        <f>IFERROR('調查資料(OUT)'!$AX$1*'調查資料(OUT)'!AX54,0)+IFERROR('調查資料(OUT)'!$BB$1*'調查資料(OUT)'!BB54,0)+IFERROR('調查資料(OUT)'!$BF$1*'調查資料(OUT)'!BF54,0)</f>
        <v>0</v>
      </c>
      <c r="X48" s="315">
        <f>IFERROR('調查資料(OUT)'!$AY$1*'調查資料(OUT)'!AY54,0)+IFERROR('調查資料(OUT)'!$BC$1*'調查資料(OUT)'!BC54,0)+IFERROR('調查資料(OUT)'!$BG$1*'調查資料(OUT)'!BG54,0)</f>
        <v>0</v>
      </c>
      <c r="Y48" s="315">
        <f>IFERROR('調查資料(OUT)'!$AZ$1*'調查資料(OUT)'!AZ54,0)+IFERROR('調查資料(OUT)'!$BD$1*'調查資料(OUT)'!BD54,0)+IFERROR('調查資料(OUT)'!$BH$1*'調查資料(OUT)'!BH54,0)</f>
        <v>0</v>
      </c>
      <c r="Z48" s="316">
        <f>IFERROR('調查資料(OUT)'!$BA$1*'調查資料(OUT)'!BA54,0)+IFERROR('調查資料(OUT)'!$BE$1*'調查資料(OUT)'!BE54,0)+IFERROR('調查資料(OUT)'!$BI$1*'調查資料(OUT)'!BI54,0)</f>
        <v>0</v>
      </c>
      <c r="AA48" s="317">
        <f t="shared" si="243"/>
        <v>0</v>
      </c>
      <c r="AC48" s="352">
        <f>'調查資料(OUT)'!A54</f>
        <v>1045</v>
      </c>
      <c r="AD48" s="353">
        <f t="shared" si="244"/>
        <v>1145</v>
      </c>
      <c r="AE48" s="315">
        <f t="shared" si="254"/>
        <v>0</v>
      </c>
      <c r="AF48" s="315"/>
      <c r="AG48" s="315">
        <f t="shared" si="290"/>
        <v>0</v>
      </c>
      <c r="AH48" s="355" t="e">
        <f t="shared" si="288"/>
        <v>#DIV/0!</v>
      </c>
      <c r="AI48" s="355" t="e">
        <f t="shared" si="285"/>
        <v>#DIV/0!</v>
      </c>
      <c r="AJ48" s="355" t="e">
        <f t="shared" si="286"/>
        <v>#DIV/0!</v>
      </c>
      <c r="AK48" s="355" t="e">
        <f t="shared" si="287"/>
        <v>#DIV/0!</v>
      </c>
      <c r="AL48" s="355" t="e">
        <f t="shared" si="289"/>
        <v>#DIV/0!</v>
      </c>
      <c r="AM48" s="357"/>
      <c r="AN48" s="315">
        <f t="shared" si="283"/>
        <v>1045</v>
      </c>
      <c r="AO48" s="316">
        <f t="shared" si="284"/>
        <v>1145</v>
      </c>
      <c r="AP48" s="50">
        <f t="shared" si="245"/>
        <v>0</v>
      </c>
      <c r="AQ48" s="50">
        <f>IF($AN48="N","N",SUM('調查資料(OUT)'!B54:B57))</f>
        <v>0</v>
      </c>
      <c r="AR48" s="50">
        <f>IF($AN48="N","N",SUM('調查資料(OUT)'!F54:F57))</f>
        <v>0</v>
      </c>
      <c r="AS48" s="50">
        <f>IF($AN48="N","N",SUM('調查資料(OUT)'!J54:J57))</f>
        <v>0</v>
      </c>
      <c r="AT48" s="56" t="e">
        <f t="shared" si="169"/>
        <v>#DIV/0!</v>
      </c>
      <c r="AU48" s="50">
        <f t="shared" si="170"/>
        <v>0</v>
      </c>
      <c r="AV48" s="50">
        <f>IF($AN48="N","N",SUM('調查資料(OUT)'!C54:C57))</f>
        <v>0</v>
      </c>
      <c r="AW48" s="50">
        <f>IF($AN48="N","N",SUM('調查資料(OUT)'!G54:G57))</f>
        <v>0</v>
      </c>
      <c r="AX48" s="50">
        <f>IF($AN48="N","N",SUM('調查資料(OUT)'!K54:K57))</f>
        <v>0</v>
      </c>
      <c r="AY48" s="56" t="e">
        <f t="shared" si="171"/>
        <v>#DIV/0!</v>
      </c>
      <c r="AZ48" s="50">
        <f t="shared" si="172"/>
        <v>0</v>
      </c>
      <c r="BA48" s="50">
        <f>IF($AN48="N","N",SUM('調查資料(OUT)'!D54:D57))</f>
        <v>0</v>
      </c>
      <c r="BB48" s="50">
        <f>IF($AN48="N","N",SUM('調查資料(OUT)'!H54:H57))</f>
        <v>0</v>
      </c>
      <c r="BC48" s="50">
        <f>IF($AN48="N","N",SUM('調查資料(OUT)'!L54:L57))</f>
        <v>0</v>
      </c>
      <c r="BD48" s="56" t="e">
        <f t="shared" si="173"/>
        <v>#DIV/0!</v>
      </c>
      <c r="BE48" s="50">
        <f t="shared" si="174"/>
        <v>0</v>
      </c>
      <c r="BF48" s="50">
        <f>IF($AN48="N","N",SUM('調查資料(OUT)'!E54:E57))</f>
        <v>0</v>
      </c>
      <c r="BG48" s="50">
        <f>IF($AN48="N","N",SUM('調查資料(OUT)'!I54:I57))</f>
        <v>0</v>
      </c>
      <c r="BH48" s="50">
        <f>IF($AN48="N","N",SUM('調查資料(OUT)'!M54:M57))</f>
        <v>0</v>
      </c>
      <c r="BI48" s="56" t="e">
        <f t="shared" si="175"/>
        <v>#DIV/0!</v>
      </c>
      <c r="BJ48" s="50">
        <f t="shared" si="255"/>
        <v>0</v>
      </c>
      <c r="BK48" s="56" t="e">
        <f t="shared" si="256"/>
        <v>#DIV/0!</v>
      </c>
      <c r="BL48" s="50">
        <f t="shared" si="257"/>
        <v>0</v>
      </c>
      <c r="BM48" s="56" t="e">
        <f t="shared" si="258"/>
        <v>#DIV/0!</v>
      </c>
      <c r="BN48" s="50">
        <f t="shared" si="259"/>
        <v>0</v>
      </c>
      <c r="BO48" s="56" t="e">
        <f t="shared" si="260"/>
        <v>#DIV/0!</v>
      </c>
      <c r="BP48" s="50">
        <f t="shared" si="261"/>
        <v>0</v>
      </c>
      <c r="BQ48" s="50">
        <f t="shared" si="183"/>
        <v>0</v>
      </c>
      <c r="BR48" s="50">
        <f>IF($AN48="N","N",SUM('調查資料(OUT)'!N54:N57))</f>
        <v>0</v>
      </c>
      <c r="BS48" s="50">
        <f>IF($AN48="N","N",SUM('調查資料(OUT)'!R54:R57))</f>
        <v>0</v>
      </c>
      <c r="BT48" s="50">
        <f>IF($AN48="N","N",SUM('調查資料(OUT)'!V54:V57))</f>
        <v>0</v>
      </c>
      <c r="BU48" s="56" t="e">
        <f t="shared" si="184"/>
        <v>#DIV/0!</v>
      </c>
      <c r="BV48" s="50">
        <f t="shared" si="185"/>
        <v>0</v>
      </c>
      <c r="BW48" s="50">
        <f>IF($AN48="N","N",SUM('調查資料(OUT)'!O54:O57))</f>
        <v>0</v>
      </c>
      <c r="BX48" s="50">
        <f>IF($AN48="N","N",SUM('調查資料(OUT)'!S54:S57))</f>
        <v>0</v>
      </c>
      <c r="BY48" s="50">
        <f>IF($AN48="N","N",SUM('調查資料(OUT)'!W54:W57))</f>
        <v>0</v>
      </c>
      <c r="BZ48" s="56" t="e">
        <f t="shared" si="186"/>
        <v>#DIV/0!</v>
      </c>
      <c r="CA48" s="50">
        <f t="shared" si="187"/>
        <v>0</v>
      </c>
      <c r="CB48" s="50">
        <f>IF($AN48="N","N",SUM('調查資料(OUT)'!P54:P57))</f>
        <v>0</v>
      </c>
      <c r="CC48" s="50">
        <f>IF($AN48="N","N",SUM('調查資料(OUT)'!T54:T57))</f>
        <v>0</v>
      </c>
      <c r="CD48" s="50">
        <f>IF($AN48="N","N",SUM('調查資料(OUT)'!X54:X57))</f>
        <v>0</v>
      </c>
      <c r="CE48" s="56" t="e">
        <f t="shared" si="188"/>
        <v>#DIV/0!</v>
      </c>
      <c r="CF48" s="50">
        <f t="shared" si="189"/>
        <v>0</v>
      </c>
      <c r="CG48" s="50">
        <f>IF($AN48="N","N",SUM('調查資料(OUT)'!Q54:Q57))</f>
        <v>0</v>
      </c>
      <c r="CH48" s="50">
        <f>IF($AN48="N","N",SUM('調查資料(OUT)'!U54:U57))</f>
        <v>0</v>
      </c>
      <c r="CI48" s="50">
        <f>IF($AN48="N","N",SUM('調查資料(OUT)'!Y54:Y57))</f>
        <v>0</v>
      </c>
      <c r="CJ48" s="56" t="e">
        <f t="shared" si="190"/>
        <v>#DIV/0!</v>
      </c>
      <c r="CK48" s="50">
        <f t="shared" si="262"/>
        <v>0</v>
      </c>
      <c r="CL48" s="56" t="e">
        <f t="shared" si="263"/>
        <v>#DIV/0!</v>
      </c>
      <c r="CM48" s="50">
        <f t="shared" si="264"/>
        <v>0</v>
      </c>
      <c r="CN48" s="56" t="e">
        <f t="shared" si="265"/>
        <v>#DIV/0!</v>
      </c>
      <c r="CO48" s="50">
        <f t="shared" si="266"/>
        <v>0</v>
      </c>
      <c r="CP48" s="56" t="e">
        <f t="shared" si="267"/>
        <v>#DIV/0!</v>
      </c>
      <c r="CQ48" s="50">
        <f t="shared" si="268"/>
        <v>0</v>
      </c>
      <c r="CR48" s="50">
        <f t="shared" si="198"/>
        <v>0</v>
      </c>
      <c r="CS48" s="50">
        <f>IF($AN48="N","N",SUM('調查資料(OUT)'!Z54:Z57))</f>
        <v>0</v>
      </c>
      <c r="CT48" s="50">
        <f>IF($AN48="N","N",SUM('調查資料(OUT)'!AD54:AD57))</f>
        <v>0</v>
      </c>
      <c r="CU48" s="50">
        <f>IF($AN48="N","N",SUM('調查資料(OUT)'!AH54:AH57))</f>
        <v>0</v>
      </c>
      <c r="CV48" s="56" t="e">
        <f t="shared" si="199"/>
        <v>#DIV/0!</v>
      </c>
      <c r="CW48" s="50">
        <f t="shared" si="200"/>
        <v>0</v>
      </c>
      <c r="CX48" s="50">
        <f>IF($AN48="N","N",SUM('調查資料(OUT)'!AA54:AA57))</f>
        <v>0</v>
      </c>
      <c r="CY48" s="50">
        <f>IF($AN48="N","N",SUM('調查資料(OUT)'!AE54:AE57))</f>
        <v>0</v>
      </c>
      <c r="CZ48" s="50">
        <f>IF($AN48="N","N",SUM('調查資料(OUT)'!AI54:AI57))</f>
        <v>0</v>
      </c>
      <c r="DA48" s="56" t="e">
        <f t="shared" si="201"/>
        <v>#DIV/0!</v>
      </c>
      <c r="DB48" s="50">
        <f t="shared" si="202"/>
        <v>0</v>
      </c>
      <c r="DC48" s="50">
        <f>IF($AN48="N","N",SUM('調查資料(OUT)'!AB54:AB57))</f>
        <v>0</v>
      </c>
      <c r="DD48" s="50">
        <f>IF($AN48="N","N",SUM('調查資料(OUT)'!AF54:AF57))</f>
        <v>0</v>
      </c>
      <c r="DE48" s="50">
        <f>IF($AN48="N","N",SUM('調查資料(OUT)'!AJ54:AJ57))</f>
        <v>0</v>
      </c>
      <c r="DF48" s="56" t="e">
        <f t="shared" si="203"/>
        <v>#DIV/0!</v>
      </c>
      <c r="DG48" s="50">
        <f t="shared" si="204"/>
        <v>0</v>
      </c>
      <c r="DH48" s="50">
        <f>IF($AN48="N","N",SUM('調查資料(OUT)'!AC54:AC57))</f>
        <v>0</v>
      </c>
      <c r="DI48" s="50">
        <f>IF($AN48="N","N",SUM('調查資料(OUT)'!AG54:AG57))</f>
        <v>0</v>
      </c>
      <c r="DJ48" s="50">
        <f>IF($AN48="N","N",SUM('調查資料(OUT)'!AK54:AK57))</f>
        <v>0</v>
      </c>
      <c r="DK48" s="56" t="e">
        <f t="shared" si="205"/>
        <v>#DIV/0!</v>
      </c>
      <c r="DL48" s="50">
        <f t="shared" si="269"/>
        <v>0</v>
      </c>
      <c r="DM48" s="56" t="e">
        <f t="shared" si="270"/>
        <v>#DIV/0!</v>
      </c>
      <c r="DN48" s="50">
        <f t="shared" si="271"/>
        <v>0</v>
      </c>
      <c r="DO48" s="56" t="e">
        <f t="shared" si="272"/>
        <v>#DIV/0!</v>
      </c>
      <c r="DP48" s="50">
        <f t="shared" si="273"/>
        <v>0</v>
      </c>
      <c r="DQ48" s="56" t="e">
        <f t="shared" si="274"/>
        <v>#DIV/0!</v>
      </c>
      <c r="DR48" s="50">
        <f t="shared" si="275"/>
        <v>0</v>
      </c>
      <c r="DS48" s="50">
        <f t="shared" si="213"/>
        <v>0</v>
      </c>
      <c r="DT48" s="50">
        <f>IF($AN48="N","N",SUM('調查資料(OUT)'!AL54:AL57))</f>
        <v>0</v>
      </c>
      <c r="DU48" s="50">
        <f>IF($AN48="N","N",SUM('調查資料(OUT)'!AP54:AP57))</f>
        <v>0</v>
      </c>
      <c r="DV48" s="50">
        <f>IF($AN48="N","N",SUM('調查資料(OUT)'!AT54:AT57))</f>
        <v>0</v>
      </c>
      <c r="DW48" s="56" t="e">
        <f t="shared" si="214"/>
        <v>#DIV/0!</v>
      </c>
      <c r="DX48" s="50">
        <f t="shared" si="215"/>
        <v>0</v>
      </c>
      <c r="DY48" s="50">
        <f>IF($AN48="N","N",SUM('調查資料(OUT)'!AM54:AM57))</f>
        <v>0</v>
      </c>
      <c r="DZ48" s="50">
        <f>IF($AN48="N","N",SUM('調查資料(OUT)'!AQ54:AQ57))</f>
        <v>0</v>
      </c>
      <c r="EA48" s="50">
        <f>IF($AN48="N","N",SUM('調查資料(OUT)'!AU54:AU57))</f>
        <v>0</v>
      </c>
      <c r="EB48" s="56" t="e">
        <f t="shared" si="216"/>
        <v>#DIV/0!</v>
      </c>
      <c r="EC48" s="50">
        <f t="shared" si="217"/>
        <v>0</v>
      </c>
      <c r="ED48" s="50">
        <f>IF($AN48="N","N",SUM('調查資料(OUT)'!AN54:AN57))</f>
        <v>0</v>
      </c>
      <c r="EE48" s="50">
        <f>IF($AN48="N","N",SUM('調查資料(OUT)'!AR54:AR57))</f>
        <v>0</v>
      </c>
      <c r="EF48" s="50">
        <f>IF($AN48="N","N",SUM('調查資料(OUT)'!AV54:AV57))</f>
        <v>0</v>
      </c>
      <c r="EG48" s="56" t="e">
        <f t="shared" si="218"/>
        <v>#DIV/0!</v>
      </c>
      <c r="EH48" s="50">
        <f t="shared" si="219"/>
        <v>0</v>
      </c>
      <c r="EI48" s="50">
        <f>IF($AN48="N","N",SUM('調查資料(OUT)'!AO54:AO57))</f>
        <v>0</v>
      </c>
      <c r="EJ48" s="50">
        <f>IF($AN48="N","N",SUM('調查資料(OUT)'!AS54:AS57))</f>
        <v>0</v>
      </c>
      <c r="EK48" s="50">
        <f>IF($AN48="N","N",SUM('調查資料(OUT)'!AW54:AW57))</f>
        <v>0</v>
      </c>
      <c r="EL48" s="56" t="e">
        <f t="shared" si="220"/>
        <v>#DIV/0!</v>
      </c>
      <c r="EM48" s="50">
        <f t="shared" si="276"/>
        <v>0</v>
      </c>
      <c r="EN48" s="56" t="e">
        <f t="shared" si="277"/>
        <v>#DIV/0!</v>
      </c>
      <c r="EO48" s="50">
        <f t="shared" si="278"/>
        <v>0</v>
      </c>
      <c r="EP48" s="56" t="e">
        <f t="shared" si="279"/>
        <v>#DIV/0!</v>
      </c>
      <c r="EQ48" s="50">
        <f t="shared" si="280"/>
        <v>0</v>
      </c>
      <c r="ER48" s="56" t="e">
        <f t="shared" si="281"/>
        <v>#DIV/0!</v>
      </c>
      <c r="ES48" s="50">
        <f t="shared" si="282"/>
        <v>0</v>
      </c>
      <c r="ET48" s="50">
        <f t="shared" si="227"/>
        <v>0</v>
      </c>
      <c r="EU48" s="50">
        <f>IF($AN48="N","N",SUM('調查資料(OUT)'!AX54:AX57))</f>
        <v>0</v>
      </c>
      <c r="EV48" s="50">
        <f>IF($AN48="N","N",SUM('調查資料(OUT)'!BB54:BB57))</f>
        <v>0</v>
      </c>
      <c r="EW48" s="50">
        <f>IF($AN48="N","N",SUM('調查資料(OUT)'!BF54:BF57))</f>
        <v>0</v>
      </c>
      <c r="EX48" s="56" t="e">
        <f t="shared" si="228"/>
        <v>#DIV/0!</v>
      </c>
      <c r="EY48" s="50">
        <f t="shared" si="229"/>
        <v>0</v>
      </c>
      <c r="EZ48" s="50">
        <f>IF($AN48="N","N",SUM('調查資料(OUT)'!AY54:AY57))</f>
        <v>0</v>
      </c>
      <c r="FA48" s="50">
        <f>IF($AN48="N","N",SUM('調查資料(OUT)'!BC54:BC57))</f>
        <v>0</v>
      </c>
      <c r="FB48" s="50">
        <f>IF($AN48="N","N",SUM('調查資料(OUT)'!BG54:BG57))</f>
        <v>0</v>
      </c>
      <c r="FC48" s="56" t="e">
        <f t="shared" si="230"/>
        <v>#DIV/0!</v>
      </c>
      <c r="FD48" s="50">
        <f t="shared" si="231"/>
        <v>0</v>
      </c>
      <c r="FE48" s="50">
        <f>IF($AN48="N","N",SUM('調查資料(OUT)'!AZ54:AZ57))</f>
        <v>0</v>
      </c>
      <c r="FF48" s="50">
        <f>IF($AN48="N","N",SUM('調查資料(OUT)'!BD54:BD57))</f>
        <v>0</v>
      </c>
      <c r="FG48" s="50">
        <f>IF($AN48="N","N",SUM('調查資料(OUT)'!BH54:BH57))</f>
        <v>0</v>
      </c>
      <c r="FH48" s="56" t="e">
        <f t="shared" si="232"/>
        <v>#DIV/0!</v>
      </c>
      <c r="FI48" s="50">
        <f t="shared" si="233"/>
        <v>0</v>
      </c>
      <c r="FJ48" s="50">
        <f>IF($AN48="N","N",SUM('調查資料(OUT)'!BA54:BA57))</f>
        <v>0</v>
      </c>
      <c r="FK48" s="50">
        <f>IF($AN48="N","N",SUM('調查資料(OUT)'!BE54:BE57))</f>
        <v>0</v>
      </c>
      <c r="FL48" s="50">
        <f>IF($AN48="N","N",SUM('調查資料(OUT)'!BI54:BI57))</f>
        <v>0</v>
      </c>
      <c r="FM48" s="56" t="e">
        <f t="shared" si="234"/>
        <v>#DIV/0!</v>
      </c>
      <c r="FN48" s="50">
        <f t="shared" si="246"/>
        <v>0</v>
      </c>
      <c r="FO48" s="56" t="e">
        <f t="shared" si="247"/>
        <v>#DIV/0!</v>
      </c>
      <c r="FP48" s="50">
        <f t="shared" si="248"/>
        <v>0</v>
      </c>
      <c r="FQ48" s="56" t="e">
        <f t="shared" si="249"/>
        <v>#DIV/0!</v>
      </c>
      <c r="FR48" s="50">
        <f t="shared" si="250"/>
        <v>0</v>
      </c>
      <c r="FS48" s="56" t="e">
        <f t="shared" si="251"/>
        <v>#DIV/0!</v>
      </c>
      <c r="FT48" s="50">
        <f t="shared" si="252"/>
        <v>0</v>
      </c>
    </row>
    <row r="49" spans="1:176">
      <c r="A49" s="314">
        <f>'調查資料(OUT)'!A55</f>
        <v>1100</v>
      </c>
      <c r="B49" s="315">
        <f t="shared" si="238"/>
        <v>0</v>
      </c>
      <c r="C49" s="315">
        <f>IFERROR('調查資料(OUT)'!$B$1*'調查資料(OUT)'!B55,0)+IFERROR('調查資料(OUT)'!$F$1*'調查資料(OUT)'!F55,0)+IFERROR('調查資料(OUT)'!$J$1*'調查資料(OUT)'!J55,0)</f>
        <v>0</v>
      </c>
      <c r="D49" s="315">
        <f>IFERROR('調查資料(OUT)'!$C$1*'調查資料(OUT)'!C55,0)+IFERROR('調查資料(OUT)'!$G$1*'調查資料(OUT)'!G55,0)+IFERROR('調查資料(OUT)'!$K$1*'調查資料(OUT)'!K55,0)</f>
        <v>0</v>
      </c>
      <c r="E49" s="315">
        <f>IFERROR('調查資料(OUT)'!$D$1*'調查資料(OUT)'!D55,0)+IFERROR('調查資料(OUT)'!$H$1*'調查資料(OUT)'!H55,0)+IFERROR('調查資料(OUT)'!$L$1*'調查資料(OUT)'!L55,0)</f>
        <v>0</v>
      </c>
      <c r="F49" s="316">
        <f>IFERROR('調查資料(OUT)'!$E$1*'調查資料(OUT)'!E55,0)+IFERROR('調查資料(OUT)'!$I$1*'調查資料(OUT)'!I55,0)+IFERROR('調查資料(OUT)'!$M$1*'調查資料(OUT)'!M55,0)</f>
        <v>0</v>
      </c>
      <c r="G49" s="315">
        <f t="shared" si="239"/>
        <v>0</v>
      </c>
      <c r="H49" s="315">
        <f>IFERROR('調查資料(OUT)'!$N$1*'調查資料(OUT)'!N55,0)+IFERROR('調查資料(OUT)'!$R$1*'調查資料(OUT)'!R55,0)+IFERROR('調查資料(OUT)'!$V$1*'調查資料(OUT)'!V55,0)</f>
        <v>0</v>
      </c>
      <c r="I49" s="315">
        <f>IFERROR('調查資料(OUT)'!$O$1*'調查資料(OUT)'!O55,0)+IFERROR('調查資料(OUT)'!$S$1*'調查資料(OUT)'!S55,0)+IFERROR('調查資料(OUT)'!$W$1*'調查資料(OUT)'!W55,0)</f>
        <v>0</v>
      </c>
      <c r="J49" s="315">
        <f>IFERROR('調查資料(OUT)'!$P$1*'調查資料(OUT)'!P55,0)+IFERROR('調查資料(OUT)'!$T$1*'調查資料(OUT)'!T55,0)+IFERROR('調查資料(OUT)'!$X$1*'調查資料(OUT)'!X55,0)</f>
        <v>0</v>
      </c>
      <c r="K49" s="316">
        <f>IFERROR('調查資料(OUT)'!$Q$1*'調查資料(OUT)'!Q55,0)+IFERROR('調查資料(OUT)'!$U$1*'調查資料(OUT)'!U55,0)+IFERROR('調查資料(OUT)'!$Y$1*'調查資料(OUT)'!Y55,0)</f>
        <v>0</v>
      </c>
      <c r="L49" s="315">
        <f t="shared" si="240"/>
        <v>0</v>
      </c>
      <c r="M49" s="315">
        <f>IFERROR('調查資料(OUT)'!$Z$1*'調查資料(OUT)'!Z55,0)+IFERROR('調查資料(OUT)'!$AD$1*'調查資料(OUT)'!AD55,0)+IFERROR('調查資料(OUT)'!$AH$1*'調查資料(OUT)'!AH55,0)</f>
        <v>0</v>
      </c>
      <c r="N49" s="315">
        <f>IFERROR('調查資料(OUT)'!$AA$1*'調查資料(OUT)'!AA55,0)+IFERROR('調查資料(OUT)'!$AE$1*'調查資料(OUT)'!AE55,0)+IFERROR('調查資料(OUT)'!$AI$1*'調查資料(OUT)'!AI55,0)</f>
        <v>0</v>
      </c>
      <c r="O49" s="315">
        <f>IFERROR('調查資料(OUT)'!$AB$1*'調查資料(OUT)'!AB55,0)+IFERROR('調查資料(OUT)'!$AF$1*'調查資料(OUT)'!AF55,0)+IFERROR('調查資料(OUT)'!$AJ$1*'調查資料(OUT)'!AJ55,0)</f>
        <v>0</v>
      </c>
      <c r="P49" s="316">
        <f>IFERROR('調查資料(OUT)'!$AC$1*'調查資料(OUT)'!AC55,0)+IFERROR('調查資料(OUT)'!$AG$1*'調查資料(OUT)'!AG55,0)+IFERROR('調查資料(OUT)'!$AK$1*'調查資料(OUT)'!AK55,0)</f>
        <v>0</v>
      </c>
      <c r="Q49" s="315">
        <f t="shared" si="241"/>
        <v>0</v>
      </c>
      <c r="R49" s="315">
        <f>IFERROR('調查資料(OUT)'!$AL$1*'調查資料(OUT)'!AL55,0)+IFERROR('調查資料(OUT)'!$AP$1*'調查資料(OUT)'!AP55,0)+IFERROR('調查資料(OUT)'!$AT$1*'調查資料(OUT)'!AT55,0)</f>
        <v>0</v>
      </c>
      <c r="S49" s="315">
        <f>IFERROR('調查資料(OUT)'!$AM$1*'調查資料(OUT)'!AM55,0)+IFERROR('調查資料(OUT)'!$AQ$1*'調查資料(OUT)'!AQ55,0)+IFERROR('調查資料(OUT)'!$AU$1*'調查資料(OUT)'!AU55,0)</f>
        <v>0</v>
      </c>
      <c r="T49" s="315">
        <f>IFERROR('調查資料(OUT)'!$AN$1*'調查資料(OUT)'!AN55,0)+IFERROR('調查資料(OUT)'!$AR$1*'調查資料(OUT)'!AR55,0)+IFERROR('調查資料(OUT)'!$AV$1*'調查資料(OUT)'!AV55,0)</f>
        <v>0</v>
      </c>
      <c r="U49" s="316">
        <f>IFERROR('調查資料(OUT)'!$AO$1*'調查資料(OUT)'!AO55,0)+IFERROR('調查資料(OUT)'!$AS$1*'調查資料(OUT)'!AS55,0)+IFERROR('調查資料(OUT)'!$AW$1*'調查資料(OUT)'!AW55,0)</f>
        <v>0</v>
      </c>
      <c r="V49" s="315">
        <f t="shared" si="242"/>
        <v>0</v>
      </c>
      <c r="W49" s="315">
        <f>IFERROR('調查資料(OUT)'!$AX$1*'調查資料(OUT)'!AX55,0)+IFERROR('調查資料(OUT)'!$BB$1*'調查資料(OUT)'!BB55,0)+IFERROR('調查資料(OUT)'!$BF$1*'調查資料(OUT)'!BF55,0)</f>
        <v>0</v>
      </c>
      <c r="X49" s="315">
        <f>IFERROR('調查資料(OUT)'!$AY$1*'調查資料(OUT)'!AY55,0)+IFERROR('調查資料(OUT)'!$BC$1*'調查資料(OUT)'!BC55,0)+IFERROR('調查資料(OUT)'!$BG$1*'調查資料(OUT)'!BG55,0)</f>
        <v>0</v>
      </c>
      <c r="Y49" s="315">
        <f>IFERROR('調查資料(OUT)'!$AZ$1*'調查資料(OUT)'!AZ55,0)+IFERROR('調查資料(OUT)'!$BD$1*'調查資料(OUT)'!BD55,0)+IFERROR('調查資料(OUT)'!$BH$1*'調查資料(OUT)'!BH55,0)</f>
        <v>0</v>
      </c>
      <c r="Z49" s="316">
        <f>IFERROR('調查資料(OUT)'!$BA$1*'調查資料(OUT)'!BA55,0)+IFERROR('調查資料(OUT)'!$BE$1*'調查資料(OUT)'!BE55,0)+IFERROR('調查資料(OUT)'!$BI$1*'調查資料(OUT)'!BI55,0)</f>
        <v>0</v>
      </c>
      <c r="AA49" s="317">
        <f t="shared" si="243"/>
        <v>0</v>
      </c>
      <c r="AC49" s="352">
        <f>'調查資料(OUT)'!A55</f>
        <v>1100</v>
      </c>
      <c r="AD49" s="353">
        <f t="shared" si="244"/>
        <v>1200</v>
      </c>
      <c r="AE49" s="315">
        <f t="shared" si="254"/>
        <v>0</v>
      </c>
      <c r="AF49" s="315"/>
      <c r="AG49" s="315">
        <f t="shared" si="290"/>
        <v>0</v>
      </c>
      <c r="AH49" s="355" t="e">
        <f t="shared" si="288"/>
        <v>#DIV/0!</v>
      </c>
      <c r="AI49" s="355" t="e">
        <f t="shared" si="285"/>
        <v>#DIV/0!</v>
      </c>
      <c r="AJ49" s="355" t="e">
        <f t="shared" si="286"/>
        <v>#DIV/0!</v>
      </c>
      <c r="AK49" s="355" t="e">
        <f t="shared" si="287"/>
        <v>#DIV/0!</v>
      </c>
      <c r="AL49" s="355" t="e">
        <f t="shared" si="289"/>
        <v>#DIV/0!</v>
      </c>
      <c r="AM49" s="357"/>
      <c r="AN49" s="315">
        <f t="shared" si="283"/>
        <v>1100</v>
      </c>
      <c r="AO49" s="316">
        <f t="shared" si="284"/>
        <v>1200</v>
      </c>
      <c r="AP49" s="50">
        <f t="shared" si="245"/>
        <v>0</v>
      </c>
      <c r="AQ49" s="50">
        <f>IF($AN49="N","N",SUM('調查資料(OUT)'!B55:B58))</f>
        <v>0</v>
      </c>
      <c r="AR49" s="50">
        <f>IF($AN49="N","N",SUM('調查資料(OUT)'!F55:F58))</f>
        <v>0</v>
      </c>
      <c r="AS49" s="50">
        <f>IF($AN49="N","N",SUM('調查資料(OUT)'!J55:J58))</f>
        <v>0</v>
      </c>
      <c r="AT49" s="56" t="e">
        <f t="shared" si="169"/>
        <v>#DIV/0!</v>
      </c>
      <c r="AU49" s="50">
        <f t="shared" si="170"/>
        <v>0</v>
      </c>
      <c r="AV49" s="50">
        <f>IF($AN49="N","N",SUM('調查資料(OUT)'!C55:C58))</f>
        <v>0</v>
      </c>
      <c r="AW49" s="50">
        <f>IF($AN49="N","N",SUM('調查資料(OUT)'!G55:G58))</f>
        <v>0</v>
      </c>
      <c r="AX49" s="50">
        <f>IF($AN49="N","N",SUM('調查資料(OUT)'!K55:K58))</f>
        <v>0</v>
      </c>
      <c r="AY49" s="56" t="e">
        <f t="shared" si="171"/>
        <v>#DIV/0!</v>
      </c>
      <c r="AZ49" s="50">
        <f t="shared" si="172"/>
        <v>0</v>
      </c>
      <c r="BA49" s="50">
        <f>IF($AN49="N","N",SUM('調查資料(OUT)'!D55:D58))</f>
        <v>0</v>
      </c>
      <c r="BB49" s="50">
        <f>IF($AN49="N","N",SUM('調查資料(OUT)'!H55:H58))</f>
        <v>0</v>
      </c>
      <c r="BC49" s="50">
        <f>IF($AN49="N","N",SUM('調查資料(OUT)'!L55:L58))</f>
        <v>0</v>
      </c>
      <c r="BD49" s="56" t="e">
        <f t="shared" si="173"/>
        <v>#DIV/0!</v>
      </c>
      <c r="BE49" s="50">
        <f t="shared" si="174"/>
        <v>0</v>
      </c>
      <c r="BF49" s="50">
        <f>IF($AN49="N","N",SUM('調查資料(OUT)'!E55:E58))</f>
        <v>0</v>
      </c>
      <c r="BG49" s="50">
        <f>IF($AN49="N","N",SUM('調查資料(OUT)'!I55:I58))</f>
        <v>0</v>
      </c>
      <c r="BH49" s="50">
        <f>IF($AN49="N","N",SUM('調查資料(OUT)'!M55:M58))</f>
        <v>0</v>
      </c>
      <c r="BI49" s="56" t="e">
        <f t="shared" si="175"/>
        <v>#DIV/0!</v>
      </c>
      <c r="BJ49" s="50">
        <f t="shared" si="255"/>
        <v>0</v>
      </c>
      <c r="BK49" s="56" t="e">
        <f t="shared" si="256"/>
        <v>#DIV/0!</v>
      </c>
      <c r="BL49" s="50">
        <f t="shared" si="257"/>
        <v>0</v>
      </c>
      <c r="BM49" s="56" t="e">
        <f t="shared" si="258"/>
        <v>#DIV/0!</v>
      </c>
      <c r="BN49" s="50">
        <f t="shared" si="259"/>
        <v>0</v>
      </c>
      <c r="BO49" s="56" t="e">
        <f t="shared" si="260"/>
        <v>#DIV/0!</v>
      </c>
      <c r="BP49" s="50">
        <f t="shared" si="261"/>
        <v>0</v>
      </c>
      <c r="BQ49" s="50">
        <f t="shared" si="183"/>
        <v>0</v>
      </c>
      <c r="BR49" s="50">
        <f>IF($AN49="N","N",SUM('調查資料(OUT)'!N55:N58))</f>
        <v>0</v>
      </c>
      <c r="BS49" s="50">
        <f>IF($AN49="N","N",SUM('調查資料(OUT)'!R55:R58))</f>
        <v>0</v>
      </c>
      <c r="BT49" s="50">
        <f>IF($AN49="N","N",SUM('調查資料(OUT)'!V55:V58))</f>
        <v>0</v>
      </c>
      <c r="BU49" s="56" t="e">
        <f t="shared" si="184"/>
        <v>#DIV/0!</v>
      </c>
      <c r="BV49" s="50">
        <f t="shared" si="185"/>
        <v>0</v>
      </c>
      <c r="BW49" s="50">
        <f>IF($AN49="N","N",SUM('調查資料(OUT)'!O55:O58))</f>
        <v>0</v>
      </c>
      <c r="BX49" s="50">
        <f>IF($AN49="N","N",SUM('調查資料(OUT)'!S55:S58))</f>
        <v>0</v>
      </c>
      <c r="BY49" s="50">
        <f>IF($AN49="N","N",SUM('調查資料(OUT)'!W55:W58))</f>
        <v>0</v>
      </c>
      <c r="BZ49" s="56" t="e">
        <f t="shared" si="186"/>
        <v>#DIV/0!</v>
      </c>
      <c r="CA49" s="50">
        <f t="shared" si="187"/>
        <v>0</v>
      </c>
      <c r="CB49" s="50">
        <f>IF($AN49="N","N",SUM('調查資料(OUT)'!P55:P58))</f>
        <v>0</v>
      </c>
      <c r="CC49" s="50">
        <f>IF($AN49="N","N",SUM('調查資料(OUT)'!T55:T58))</f>
        <v>0</v>
      </c>
      <c r="CD49" s="50">
        <f>IF($AN49="N","N",SUM('調查資料(OUT)'!X55:X58))</f>
        <v>0</v>
      </c>
      <c r="CE49" s="56" t="e">
        <f t="shared" si="188"/>
        <v>#DIV/0!</v>
      </c>
      <c r="CF49" s="50">
        <f t="shared" si="189"/>
        <v>0</v>
      </c>
      <c r="CG49" s="50">
        <f>IF($AN49="N","N",SUM('調查資料(OUT)'!Q55:Q58))</f>
        <v>0</v>
      </c>
      <c r="CH49" s="50">
        <f>IF($AN49="N","N",SUM('調查資料(OUT)'!U55:U58))</f>
        <v>0</v>
      </c>
      <c r="CI49" s="50">
        <f>IF($AN49="N","N",SUM('調查資料(OUT)'!Y55:Y58))</f>
        <v>0</v>
      </c>
      <c r="CJ49" s="56" t="e">
        <f t="shared" si="190"/>
        <v>#DIV/0!</v>
      </c>
      <c r="CK49" s="50">
        <f t="shared" si="262"/>
        <v>0</v>
      </c>
      <c r="CL49" s="56" t="e">
        <f t="shared" si="263"/>
        <v>#DIV/0!</v>
      </c>
      <c r="CM49" s="50">
        <f t="shared" si="264"/>
        <v>0</v>
      </c>
      <c r="CN49" s="56" t="e">
        <f t="shared" si="265"/>
        <v>#DIV/0!</v>
      </c>
      <c r="CO49" s="50">
        <f t="shared" si="266"/>
        <v>0</v>
      </c>
      <c r="CP49" s="56" t="e">
        <f t="shared" si="267"/>
        <v>#DIV/0!</v>
      </c>
      <c r="CQ49" s="50">
        <f t="shared" si="268"/>
        <v>0</v>
      </c>
      <c r="CR49" s="50">
        <f t="shared" si="198"/>
        <v>0</v>
      </c>
      <c r="CS49" s="50">
        <f>IF($AN49="N","N",SUM('調查資料(OUT)'!Z55:Z58))</f>
        <v>0</v>
      </c>
      <c r="CT49" s="50">
        <f>IF($AN49="N","N",SUM('調查資料(OUT)'!AD55:AD58))</f>
        <v>0</v>
      </c>
      <c r="CU49" s="50">
        <f>IF($AN49="N","N",SUM('調查資料(OUT)'!AH55:AH58))</f>
        <v>0</v>
      </c>
      <c r="CV49" s="56" t="e">
        <f t="shared" si="199"/>
        <v>#DIV/0!</v>
      </c>
      <c r="CW49" s="50">
        <f t="shared" si="200"/>
        <v>0</v>
      </c>
      <c r="CX49" s="50">
        <f>IF($AN49="N","N",SUM('調查資料(OUT)'!AA55:AA58))</f>
        <v>0</v>
      </c>
      <c r="CY49" s="50">
        <f>IF($AN49="N","N",SUM('調查資料(OUT)'!AE55:AE58))</f>
        <v>0</v>
      </c>
      <c r="CZ49" s="50">
        <f>IF($AN49="N","N",SUM('調查資料(OUT)'!AI55:AI58))</f>
        <v>0</v>
      </c>
      <c r="DA49" s="56" t="e">
        <f t="shared" si="201"/>
        <v>#DIV/0!</v>
      </c>
      <c r="DB49" s="50">
        <f t="shared" si="202"/>
        <v>0</v>
      </c>
      <c r="DC49" s="50">
        <f>IF($AN49="N","N",SUM('調查資料(OUT)'!AB55:AB58))</f>
        <v>0</v>
      </c>
      <c r="DD49" s="50">
        <f>IF($AN49="N","N",SUM('調查資料(OUT)'!AF55:AF58))</f>
        <v>0</v>
      </c>
      <c r="DE49" s="50">
        <f>IF($AN49="N","N",SUM('調查資料(OUT)'!AJ55:AJ58))</f>
        <v>0</v>
      </c>
      <c r="DF49" s="56" t="e">
        <f t="shared" si="203"/>
        <v>#DIV/0!</v>
      </c>
      <c r="DG49" s="50">
        <f t="shared" si="204"/>
        <v>0</v>
      </c>
      <c r="DH49" s="50">
        <f>IF($AN49="N","N",SUM('調查資料(OUT)'!AC55:AC58))</f>
        <v>0</v>
      </c>
      <c r="DI49" s="50">
        <f>IF($AN49="N","N",SUM('調查資料(OUT)'!AG55:AG58))</f>
        <v>0</v>
      </c>
      <c r="DJ49" s="50">
        <f>IF($AN49="N","N",SUM('調查資料(OUT)'!AK55:AK58))</f>
        <v>0</v>
      </c>
      <c r="DK49" s="56" t="e">
        <f t="shared" si="205"/>
        <v>#DIV/0!</v>
      </c>
      <c r="DL49" s="50">
        <f t="shared" si="269"/>
        <v>0</v>
      </c>
      <c r="DM49" s="56" t="e">
        <f t="shared" si="270"/>
        <v>#DIV/0!</v>
      </c>
      <c r="DN49" s="50">
        <f t="shared" si="271"/>
        <v>0</v>
      </c>
      <c r="DO49" s="56" t="e">
        <f t="shared" si="272"/>
        <v>#DIV/0!</v>
      </c>
      <c r="DP49" s="50">
        <f t="shared" si="273"/>
        <v>0</v>
      </c>
      <c r="DQ49" s="56" t="e">
        <f t="shared" si="274"/>
        <v>#DIV/0!</v>
      </c>
      <c r="DR49" s="50">
        <f t="shared" si="275"/>
        <v>0</v>
      </c>
      <c r="DS49" s="50">
        <f t="shared" si="213"/>
        <v>0</v>
      </c>
      <c r="DT49" s="50">
        <f>IF($AN49="N","N",SUM('調查資料(OUT)'!AL55:AL58))</f>
        <v>0</v>
      </c>
      <c r="DU49" s="50">
        <f>IF($AN49="N","N",SUM('調查資料(OUT)'!AP55:AP58))</f>
        <v>0</v>
      </c>
      <c r="DV49" s="50">
        <f>IF($AN49="N","N",SUM('調查資料(OUT)'!AT55:AT58))</f>
        <v>0</v>
      </c>
      <c r="DW49" s="56" t="e">
        <f t="shared" si="214"/>
        <v>#DIV/0!</v>
      </c>
      <c r="DX49" s="50">
        <f t="shared" si="215"/>
        <v>0</v>
      </c>
      <c r="DY49" s="50">
        <f>IF($AN49="N","N",SUM('調查資料(OUT)'!AM55:AM58))</f>
        <v>0</v>
      </c>
      <c r="DZ49" s="50">
        <f>IF($AN49="N","N",SUM('調查資料(OUT)'!AQ55:AQ58))</f>
        <v>0</v>
      </c>
      <c r="EA49" s="50">
        <f>IF($AN49="N","N",SUM('調查資料(OUT)'!AU55:AU58))</f>
        <v>0</v>
      </c>
      <c r="EB49" s="56" t="e">
        <f t="shared" si="216"/>
        <v>#DIV/0!</v>
      </c>
      <c r="EC49" s="50">
        <f t="shared" si="217"/>
        <v>0</v>
      </c>
      <c r="ED49" s="50">
        <f>IF($AN49="N","N",SUM('調查資料(OUT)'!AN55:AN58))</f>
        <v>0</v>
      </c>
      <c r="EE49" s="50">
        <f>IF($AN49="N","N",SUM('調查資料(OUT)'!AR55:AR58))</f>
        <v>0</v>
      </c>
      <c r="EF49" s="50">
        <f>IF($AN49="N","N",SUM('調查資料(OUT)'!AV55:AV58))</f>
        <v>0</v>
      </c>
      <c r="EG49" s="56" t="e">
        <f t="shared" si="218"/>
        <v>#DIV/0!</v>
      </c>
      <c r="EH49" s="50">
        <f t="shared" si="219"/>
        <v>0</v>
      </c>
      <c r="EI49" s="50">
        <f>IF($AN49="N","N",SUM('調查資料(OUT)'!AO55:AO58))</f>
        <v>0</v>
      </c>
      <c r="EJ49" s="50">
        <f>IF($AN49="N","N",SUM('調查資料(OUT)'!AS55:AS58))</f>
        <v>0</v>
      </c>
      <c r="EK49" s="50">
        <f>IF($AN49="N","N",SUM('調查資料(OUT)'!AW55:AW58))</f>
        <v>0</v>
      </c>
      <c r="EL49" s="56" t="e">
        <f t="shared" si="220"/>
        <v>#DIV/0!</v>
      </c>
      <c r="EM49" s="50">
        <f t="shared" si="276"/>
        <v>0</v>
      </c>
      <c r="EN49" s="56" t="e">
        <f t="shared" si="277"/>
        <v>#DIV/0!</v>
      </c>
      <c r="EO49" s="50">
        <f t="shared" si="278"/>
        <v>0</v>
      </c>
      <c r="EP49" s="56" t="e">
        <f t="shared" si="279"/>
        <v>#DIV/0!</v>
      </c>
      <c r="EQ49" s="50">
        <f t="shared" si="280"/>
        <v>0</v>
      </c>
      <c r="ER49" s="56" t="e">
        <f t="shared" si="281"/>
        <v>#DIV/0!</v>
      </c>
      <c r="ES49" s="50">
        <f t="shared" si="282"/>
        <v>0</v>
      </c>
      <c r="ET49" s="50">
        <f t="shared" si="227"/>
        <v>0</v>
      </c>
      <c r="EU49" s="50">
        <f>IF($AN49="N","N",SUM('調查資料(OUT)'!AX55:AX58))</f>
        <v>0</v>
      </c>
      <c r="EV49" s="50">
        <f>IF($AN49="N","N",SUM('調查資料(OUT)'!BB55:BB58))</f>
        <v>0</v>
      </c>
      <c r="EW49" s="50">
        <f>IF($AN49="N","N",SUM('調查資料(OUT)'!BF55:BF58))</f>
        <v>0</v>
      </c>
      <c r="EX49" s="56" t="e">
        <f t="shared" si="228"/>
        <v>#DIV/0!</v>
      </c>
      <c r="EY49" s="50">
        <f t="shared" si="229"/>
        <v>0</v>
      </c>
      <c r="EZ49" s="50">
        <f>IF($AN49="N","N",SUM('調查資料(OUT)'!AY55:AY58))</f>
        <v>0</v>
      </c>
      <c r="FA49" s="50">
        <f>IF($AN49="N","N",SUM('調查資料(OUT)'!BC55:BC58))</f>
        <v>0</v>
      </c>
      <c r="FB49" s="50">
        <f>IF($AN49="N","N",SUM('調查資料(OUT)'!BG55:BG58))</f>
        <v>0</v>
      </c>
      <c r="FC49" s="56" t="e">
        <f t="shared" si="230"/>
        <v>#DIV/0!</v>
      </c>
      <c r="FD49" s="50">
        <f t="shared" si="231"/>
        <v>0</v>
      </c>
      <c r="FE49" s="50">
        <f>IF($AN49="N","N",SUM('調查資料(OUT)'!AZ55:AZ58))</f>
        <v>0</v>
      </c>
      <c r="FF49" s="50">
        <f>IF($AN49="N","N",SUM('調查資料(OUT)'!BD55:BD58))</f>
        <v>0</v>
      </c>
      <c r="FG49" s="50">
        <f>IF($AN49="N","N",SUM('調查資料(OUT)'!BH55:BH58))</f>
        <v>0</v>
      </c>
      <c r="FH49" s="56" t="e">
        <f t="shared" si="232"/>
        <v>#DIV/0!</v>
      </c>
      <c r="FI49" s="50">
        <f t="shared" si="233"/>
        <v>0</v>
      </c>
      <c r="FJ49" s="50">
        <f>IF($AN49="N","N",SUM('調查資料(OUT)'!BA55:BA58))</f>
        <v>0</v>
      </c>
      <c r="FK49" s="50">
        <f>IF($AN49="N","N",SUM('調查資料(OUT)'!BE55:BE58))</f>
        <v>0</v>
      </c>
      <c r="FL49" s="50">
        <f>IF($AN49="N","N",SUM('調查資料(OUT)'!BI55:BI58))</f>
        <v>0</v>
      </c>
      <c r="FM49" s="56" t="e">
        <f t="shared" si="234"/>
        <v>#DIV/0!</v>
      </c>
      <c r="FN49" s="50">
        <f t="shared" si="246"/>
        <v>0</v>
      </c>
      <c r="FO49" s="56" t="e">
        <f t="shared" si="247"/>
        <v>#DIV/0!</v>
      </c>
      <c r="FP49" s="50">
        <f t="shared" si="248"/>
        <v>0</v>
      </c>
      <c r="FQ49" s="56" t="e">
        <f t="shared" si="249"/>
        <v>#DIV/0!</v>
      </c>
      <c r="FR49" s="50">
        <f t="shared" si="250"/>
        <v>0</v>
      </c>
      <c r="FS49" s="56" t="e">
        <f t="shared" si="251"/>
        <v>#DIV/0!</v>
      </c>
      <c r="FT49" s="50">
        <f t="shared" si="252"/>
        <v>0</v>
      </c>
    </row>
    <row r="50" spans="1:176">
      <c r="A50" s="314">
        <f>'調查資料(OUT)'!A56</f>
        <v>1115</v>
      </c>
      <c r="B50" s="315">
        <f t="shared" si="238"/>
        <v>0</v>
      </c>
      <c r="C50" s="315">
        <f>IFERROR('調查資料(OUT)'!$B$1*'調查資料(OUT)'!B56,0)+IFERROR('調查資料(OUT)'!$F$1*'調查資料(OUT)'!F56,0)+IFERROR('調查資料(OUT)'!$J$1*'調查資料(OUT)'!J56,0)</f>
        <v>0</v>
      </c>
      <c r="D50" s="315">
        <f>IFERROR('調查資料(OUT)'!$C$1*'調查資料(OUT)'!C56,0)+IFERROR('調查資料(OUT)'!$G$1*'調查資料(OUT)'!G56,0)+IFERROR('調查資料(OUT)'!$K$1*'調查資料(OUT)'!K56,0)</f>
        <v>0</v>
      </c>
      <c r="E50" s="315">
        <f>IFERROR('調查資料(OUT)'!$D$1*'調查資料(OUT)'!D56,0)+IFERROR('調查資料(OUT)'!$H$1*'調查資料(OUT)'!H56,0)+IFERROR('調查資料(OUT)'!$L$1*'調查資料(OUT)'!L56,0)</f>
        <v>0</v>
      </c>
      <c r="F50" s="316">
        <f>IFERROR('調查資料(OUT)'!$E$1*'調查資料(OUT)'!E56,0)+IFERROR('調查資料(OUT)'!$I$1*'調查資料(OUT)'!I56,0)+IFERROR('調查資料(OUT)'!$M$1*'調查資料(OUT)'!M56,0)</f>
        <v>0</v>
      </c>
      <c r="G50" s="315">
        <f t="shared" si="239"/>
        <v>0</v>
      </c>
      <c r="H50" s="315">
        <f>IFERROR('調查資料(OUT)'!$N$1*'調查資料(OUT)'!N56,0)+IFERROR('調查資料(OUT)'!$R$1*'調查資料(OUT)'!R56,0)+IFERROR('調查資料(OUT)'!$V$1*'調查資料(OUT)'!V56,0)</f>
        <v>0</v>
      </c>
      <c r="I50" s="315">
        <f>IFERROR('調查資料(OUT)'!$O$1*'調查資料(OUT)'!O56,0)+IFERROR('調查資料(OUT)'!$S$1*'調查資料(OUT)'!S56,0)+IFERROR('調查資料(OUT)'!$W$1*'調查資料(OUT)'!W56,0)</f>
        <v>0</v>
      </c>
      <c r="J50" s="315">
        <f>IFERROR('調查資料(OUT)'!$P$1*'調查資料(OUT)'!P56,0)+IFERROR('調查資料(OUT)'!$T$1*'調查資料(OUT)'!T56,0)+IFERROR('調查資料(OUT)'!$X$1*'調查資料(OUT)'!X56,0)</f>
        <v>0</v>
      </c>
      <c r="K50" s="316">
        <f>IFERROR('調查資料(OUT)'!$Q$1*'調查資料(OUT)'!Q56,0)+IFERROR('調查資料(OUT)'!$U$1*'調查資料(OUT)'!U56,0)+IFERROR('調查資料(OUT)'!$Y$1*'調查資料(OUT)'!Y56,0)</f>
        <v>0</v>
      </c>
      <c r="L50" s="315">
        <f t="shared" si="240"/>
        <v>0</v>
      </c>
      <c r="M50" s="315">
        <f>IFERROR('調查資料(OUT)'!$Z$1*'調查資料(OUT)'!Z56,0)+IFERROR('調查資料(OUT)'!$AD$1*'調查資料(OUT)'!AD56,0)+IFERROR('調查資料(OUT)'!$AH$1*'調查資料(OUT)'!AH56,0)</f>
        <v>0</v>
      </c>
      <c r="N50" s="315">
        <f>IFERROR('調查資料(OUT)'!$AA$1*'調查資料(OUT)'!AA56,0)+IFERROR('調查資料(OUT)'!$AE$1*'調查資料(OUT)'!AE56,0)+IFERROR('調查資料(OUT)'!$AI$1*'調查資料(OUT)'!AI56,0)</f>
        <v>0</v>
      </c>
      <c r="O50" s="315">
        <f>IFERROR('調查資料(OUT)'!$AB$1*'調查資料(OUT)'!AB56,0)+IFERROR('調查資料(OUT)'!$AF$1*'調查資料(OUT)'!AF56,0)+IFERROR('調查資料(OUT)'!$AJ$1*'調查資料(OUT)'!AJ56,0)</f>
        <v>0</v>
      </c>
      <c r="P50" s="316">
        <f>IFERROR('調查資料(OUT)'!$AC$1*'調查資料(OUT)'!AC56,0)+IFERROR('調查資料(OUT)'!$AG$1*'調查資料(OUT)'!AG56,0)+IFERROR('調查資料(OUT)'!$AK$1*'調查資料(OUT)'!AK56,0)</f>
        <v>0</v>
      </c>
      <c r="Q50" s="315">
        <f t="shared" si="241"/>
        <v>0</v>
      </c>
      <c r="R50" s="315">
        <f>IFERROR('調查資料(OUT)'!$AL$1*'調查資料(OUT)'!AL56,0)+IFERROR('調查資料(OUT)'!$AP$1*'調查資料(OUT)'!AP56,0)+IFERROR('調查資料(OUT)'!$AT$1*'調查資料(OUT)'!AT56,0)</f>
        <v>0</v>
      </c>
      <c r="S50" s="315">
        <f>IFERROR('調查資料(OUT)'!$AM$1*'調查資料(OUT)'!AM56,0)+IFERROR('調查資料(OUT)'!$AQ$1*'調查資料(OUT)'!AQ56,0)+IFERROR('調查資料(OUT)'!$AU$1*'調查資料(OUT)'!AU56,0)</f>
        <v>0</v>
      </c>
      <c r="T50" s="315">
        <f>IFERROR('調查資料(OUT)'!$AN$1*'調查資料(OUT)'!AN56,0)+IFERROR('調查資料(OUT)'!$AR$1*'調查資料(OUT)'!AR56,0)+IFERROR('調查資料(OUT)'!$AV$1*'調查資料(OUT)'!AV56,0)</f>
        <v>0</v>
      </c>
      <c r="U50" s="316">
        <f>IFERROR('調查資料(OUT)'!$AO$1*'調查資料(OUT)'!AO56,0)+IFERROR('調查資料(OUT)'!$AS$1*'調查資料(OUT)'!AS56,0)+IFERROR('調查資料(OUT)'!$AW$1*'調查資料(OUT)'!AW56,0)</f>
        <v>0</v>
      </c>
      <c r="V50" s="315">
        <f t="shared" si="242"/>
        <v>0</v>
      </c>
      <c r="W50" s="315">
        <f>IFERROR('調查資料(OUT)'!$AX$1*'調查資料(OUT)'!AX56,0)+IFERROR('調查資料(OUT)'!$BB$1*'調查資料(OUT)'!BB56,0)+IFERROR('調查資料(OUT)'!$BF$1*'調查資料(OUT)'!BF56,0)</f>
        <v>0</v>
      </c>
      <c r="X50" s="315">
        <f>IFERROR('調查資料(OUT)'!$AY$1*'調查資料(OUT)'!AY56,0)+IFERROR('調查資料(OUT)'!$BC$1*'調查資料(OUT)'!BC56,0)+IFERROR('調查資料(OUT)'!$BG$1*'調查資料(OUT)'!BG56,0)</f>
        <v>0</v>
      </c>
      <c r="Y50" s="315">
        <f>IFERROR('調查資料(OUT)'!$AZ$1*'調查資料(OUT)'!AZ56,0)+IFERROR('調查資料(OUT)'!$BD$1*'調查資料(OUT)'!BD56,0)+IFERROR('調查資料(OUT)'!$BH$1*'調查資料(OUT)'!BH56,0)</f>
        <v>0</v>
      </c>
      <c r="Z50" s="316">
        <f>IFERROR('調查資料(OUT)'!$BA$1*'調查資料(OUT)'!BA56,0)+IFERROR('調查資料(OUT)'!$BE$1*'調查資料(OUT)'!BE56,0)+IFERROR('調查資料(OUT)'!$BI$1*'調查資料(OUT)'!BI56,0)</f>
        <v>0</v>
      </c>
      <c r="AA50" s="317">
        <f t="shared" si="243"/>
        <v>0</v>
      </c>
      <c r="AC50" s="352">
        <f>'調查資料(OUT)'!A56</f>
        <v>1115</v>
      </c>
      <c r="AD50" s="353">
        <f t="shared" si="244"/>
        <v>1215</v>
      </c>
      <c r="AE50" s="315">
        <f t="shared" si="254"/>
        <v>0</v>
      </c>
      <c r="AF50" s="315"/>
      <c r="AG50" s="315">
        <f t="shared" si="290"/>
        <v>0</v>
      </c>
      <c r="AH50" s="355" t="e">
        <f t="shared" si="288"/>
        <v>#DIV/0!</v>
      </c>
      <c r="AI50" s="355" t="e">
        <f t="shared" si="285"/>
        <v>#DIV/0!</v>
      </c>
      <c r="AJ50" s="355" t="e">
        <f t="shared" si="286"/>
        <v>#DIV/0!</v>
      </c>
      <c r="AK50" s="355" t="e">
        <f t="shared" si="287"/>
        <v>#DIV/0!</v>
      </c>
      <c r="AL50" s="355" t="e">
        <f t="shared" si="289"/>
        <v>#DIV/0!</v>
      </c>
      <c r="AM50" s="357"/>
      <c r="AN50" s="315">
        <f t="shared" ref="AN50:AN52" si="291">IF(AE50=AF$41,$AC50,"N")</f>
        <v>1115</v>
      </c>
      <c r="AO50" s="316">
        <f t="shared" ref="AO50:AO52" si="292">IF(AE50=AF$41,$AD50,"N")</f>
        <v>1215</v>
      </c>
      <c r="AP50" s="50">
        <f t="shared" si="245"/>
        <v>0</v>
      </c>
      <c r="AQ50" s="50">
        <f>IF($AN50="N","N",SUM('調查資料(OUT)'!B56:B59))</f>
        <v>0</v>
      </c>
      <c r="AR50" s="50">
        <f>IF($AN50="N","N",SUM('調查資料(OUT)'!F56:F59))</f>
        <v>0</v>
      </c>
      <c r="AS50" s="50">
        <f>IF($AN50="N","N",SUM('調查資料(OUT)'!J56:J59))</f>
        <v>0</v>
      </c>
      <c r="AT50" s="56" t="e">
        <f t="shared" si="169"/>
        <v>#DIV/0!</v>
      </c>
      <c r="AU50" s="50">
        <f t="shared" si="170"/>
        <v>0</v>
      </c>
      <c r="AV50" s="50">
        <f>IF($AN50="N","N",SUM('調查資料(OUT)'!C56:C59))</f>
        <v>0</v>
      </c>
      <c r="AW50" s="50">
        <f>IF($AN50="N","N",SUM('調查資料(OUT)'!G56:G59))</f>
        <v>0</v>
      </c>
      <c r="AX50" s="50">
        <f>IF($AN50="N","N",SUM('調查資料(OUT)'!K56:K59))</f>
        <v>0</v>
      </c>
      <c r="AY50" s="56" t="e">
        <f t="shared" si="171"/>
        <v>#DIV/0!</v>
      </c>
      <c r="AZ50" s="50">
        <f t="shared" si="172"/>
        <v>0</v>
      </c>
      <c r="BA50" s="50">
        <f>IF($AN50="N","N",SUM('調查資料(OUT)'!D56:D59))</f>
        <v>0</v>
      </c>
      <c r="BB50" s="50">
        <f>IF($AN50="N","N",SUM('調查資料(OUT)'!H56:H59))</f>
        <v>0</v>
      </c>
      <c r="BC50" s="50">
        <f>IF($AN50="N","N",SUM('調查資料(OUT)'!L56:L59))</f>
        <v>0</v>
      </c>
      <c r="BD50" s="56" t="e">
        <f t="shared" si="173"/>
        <v>#DIV/0!</v>
      </c>
      <c r="BE50" s="50">
        <f t="shared" si="174"/>
        <v>0</v>
      </c>
      <c r="BF50" s="50">
        <f>IF($AN50="N","N",SUM('調查資料(OUT)'!E56:E59))</f>
        <v>0</v>
      </c>
      <c r="BG50" s="50">
        <f>IF($AN50="N","N",SUM('調查資料(OUT)'!I56:I59))</f>
        <v>0</v>
      </c>
      <c r="BH50" s="50">
        <f>IF($AN50="N","N",SUM('調查資料(OUT)'!M56:M59))</f>
        <v>0</v>
      </c>
      <c r="BI50" s="56" t="e">
        <f t="shared" si="175"/>
        <v>#DIV/0!</v>
      </c>
      <c r="BJ50" s="50">
        <f t="shared" si="255"/>
        <v>0</v>
      </c>
      <c r="BK50" s="56" t="e">
        <f t="shared" si="256"/>
        <v>#DIV/0!</v>
      </c>
      <c r="BL50" s="50">
        <f t="shared" si="257"/>
        <v>0</v>
      </c>
      <c r="BM50" s="56" t="e">
        <f t="shared" si="258"/>
        <v>#DIV/0!</v>
      </c>
      <c r="BN50" s="50">
        <f t="shared" si="259"/>
        <v>0</v>
      </c>
      <c r="BO50" s="56" t="e">
        <f t="shared" si="260"/>
        <v>#DIV/0!</v>
      </c>
      <c r="BP50" s="50">
        <f t="shared" si="261"/>
        <v>0</v>
      </c>
      <c r="BQ50" s="50">
        <f t="shared" si="183"/>
        <v>0</v>
      </c>
      <c r="BR50" s="50">
        <f>IF($AN50="N","N",SUM('調查資料(OUT)'!N56:N59))</f>
        <v>0</v>
      </c>
      <c r="BS50" s="50">
        <f>IF($AN50="N","N",SUM('調查資料(OUT)'!R56:R59))</f>
        <v>0</v>
      </c>
      <c r="BT50" s="50">
        <f>IF($AN50="N","N",SUM('調查資料(OUT)'!V56:V59))</f>
        <v>0</v>
      </c>
      <c r="BU50" s="56" t="e">
        <f t="shared" si="184"/>
        <v>#DIV/0!</v>
      </c>
      <c r="BV50" s="50">
        <f t="shared" si="185"/>
        <v>0</v>
      </c>
      <c r="BW50" s="50">
        <f>IF($AN50="N","N",SUM('調查資料(OUT)'!O56:O59))</f>
        <v>0</v>
      </c>
      <c r="BX50" s="50">
        <f>IF($AN50="N","N",SUM('調查資料(OUT)'!S56:S59))</f>
        <v>0</v>
      </c>
      <c r="BY50" s="50">
        <f>IF($AN50="N","N",SUM('調查資料(OUT)'!W56:W59))</f>
        <v>0</v>
      </c>
      <c r="BZ50" s="56" t="e">
        <f t="shared" si="186"/>
        <v>#DIV/0!</v>
      </c>
      <c r="CA50" s="50">
        <f t="shared" si="187"/>
        <v>0</v>
      </c>
      <c r="CB50" s="50">
        <f>IF($AN50="N","N",SUM('調查資料(OUT)'!P56:P59))</f>
        <v>0</v>
      </c>
      <c r="CC50" s="50">
        <f>IF($AN50="N","N",SUM('調查資料(OUT)'!T56:T59))</f>
        <v>0</v>
      </c>
      <c r="CD50" s="50">
        <f>IF($AN50="N","N",SUM('調查資料(OUT)'!X56:X59))</f>
        <v>0</v>
      </c>
      <c r="CE50" s="56" t="e">
        <f t="shared" si="188"/>
        <v>#DIV/0!</v>
      </c>
      <c r="CF50" s="50">
        <f t="shared" si="189"/>
        <v>0</v>
      </c>
      <c r="CG50" s="50">
        <f>IF($AN50="N","N",SUM('調查資料(OUT)'!Q56:Q59))</f>
        <v>0</v>
      </c>
      <c r="CH50" s="50">
        <f>IF($AN50="N","N",SUM('調查資料(OUT)'!U56:U59))</f>
        <v>0</v>
      </c>
      <c r="CI50" s="50">
        <f>IF($AN50="N","N",SUM('調查資料(OUT)'!Y56:Y59))</f>
        <v>0</v>
      </c>
      <c r="CJ50" s="56" t="e">
        <f t="shared" si="190"/>
        <v>#DIV/0!</v>
      </c>
      <c r="CK50" s="50">
        <f t="shared" si="262"/>
        <v>0</v>
      </c>
      <c r="CL50" s="56" t="e">
        <f t="shared" si="263"/>
        <v>#DIV/0!</v>
      </c>
      <c r="CM50" s="50">
        <f t="shared" si="264"/>
        <v>0</v>
      </c>
      <c r="CN50" s="56" t="e">
        <f t="shared" si="265"/>
        <v>#DIV/0!</v>
      </c>
      <c r="CO50" s="50">
        <f t="shared" si="266"/>
        <v>0</v>
      </c>
      <c r="CP50" s="56" t="e">
        <f t="shared" si="267"/>
        <v>#DIV/0!</v>
      </c>
      <c r="CQ50" s="50">
        <f t="shared" si="268"/>
        <v>0</v>
      </c>
      <c r="CR50" s="50">
        <f t="shared" si="198"/>
        <v>0</v>
      </c>
      <c r="CS50" s="50">
        <f>IF($AN50="N","N",SUM('調查資料(OUT)'!Z56:Z59))</f>
        <v>0</v>
      </c>
      <c r="CT50" s="50">
        <f>IF($AN50="N","N",SUM('調查資料(OUT)'!AD56:AD59))</f>
        <v>0</v>
      </c>
      <c r="CU50" s="50">
        <f>IF($AN50="N","N",SUM('調查資料(OUT)'!AH56:AH59))</f>
        <v>0</v>
      </c>
      <c r="CV50" s="56" t="e">
        <f t="shared" si="199"/>
        <v>#DIV/0!</v>
      </c>
      <c r="CW50" s="50">
        <f t="shared" si="200"/>
        <v>0</v>
      </c>
      <c r="CX50" s="50">
        <f>IF($AN50="N","N",SUM('調查資料(OUT)'!AA56:AA59))</f>
        <v>0</v>
      </c>
      <c r="CY50" s="50">
        <f>IF($AN50="N","N",SUM('調查資料(OUT)'!AE56:AE59))</f>
        <v>0</v>
      </c>
      <c r="CZ50" s="50">
        <f>IF($AN50="N","N",SUM('調查資料(OUT)'!AI56:AI59))</f>
        <v>0</v>
      </c>
      <c r="DA50" s="56" t="e">
        <f t="shared" si="201"/>
        <v>#DIV/0!</v>
      </c>
      <c r="DB50" s="50">
        <f t="shared" si="202"/>
        <v>0</v>
      </c>
      <c r="DC50" s="50">
        <f>IF($AN50="N","N",SUM('調查資料(OUT)'!AB56:AB59))</f>
        <v>0</v>
      </c>
      <c r="DD50" s="50">
        <f>IF($AN50="N","N",SUM('調查資料(OUT)'!AF56:AF59))</f>
        <v>0</v>
      </c>
      <c r="DE50" s="50">
        <f>IF($AN50="N","N",SUM('調查資料(OUT)'!AJ56:AJ59))</f>
        <v>0</v>
      </c>
      <c r="DF50" s="56" t="e">
        <f t="shared" si="203"/>
        <v>#DIV/0!</v>
      </c>
      <c r="DG50" s="50">
        <f t="shared" si="204"/>
        <v>0</v>
      </c>
      <c r="DH50" s="50">
        <f>IF($AN50="N","N",SUM('調查資料(OUT)'!AC56:AC59))</f>
        <v>0</v>
      </c>
      <c r="DI50" s="50">
        <f>IF($AN50="N","N",SUM('調查資料(OUT)'!AG56:AG59))</f>
        <v>0</v>
      </c>
      <c r="DJ50" s="50">
        <f>IF($AN50="N","N",SUM('調查資料(OUT)'!AK56:AK59))</f>
        <v>0</v>
      </c>
      <c r="DK50" s="56" t="e">
        <f t="shared" si="205"/>
        <v>#DIV/0!</v>
      </c>
      <c r="DL50" s="50">
        <f t="shared" si="269"/>
        <v>0</v>
      </c>
      <c r="DM50" s="56" t="e">
        <f t="shared" si="270"/>
        <v>#DIV/0!</v>
      </c>
      <c r="DN50" s="50">
        <f t="shared" si="271"/>
        <v>0</v>
      </c>
      <c r="DO50" s="56" t="e">
        <f t="shared" si="272"/>
        <v>#DIV/0!</v>
      </c>
      <c r="DP50" s="50">
        <f t="shared" si="273"/>
        <v>0</v>
      </c>
      <c r="DQ50" s="56" t="e">
        <f t="shared" si="274"/>
        <v>#DIV/0!</v>
      </c>
      <c r="DR50" s="50">
        <f t="shared" si="275"/>
        <v>0</v>
      </c>
      <c r="DS50" s="50">
        <f t="shared" si="213"/>
        <v>0</v>
      </c>
      <c r="DT50" s="50">
        <f>IF($AN50="N","N",SUM('調查資料(OUT)'!AL56:AL59))</f>
        <v>0</v>
      </c>
      <c r="DU50" s="50">
        <f>IF($AN50="N","N",SUM('調查資料(OUT)'!AP56:AP59))</f>
        <v>0</v>
      </c>
      <c r="DV50" s="50">
        <f>IF($AN50="N","N",SUM('調查資料(OUT)'!AT56:AT59))</f>
        <v>0</v>
      </c>
      <c r="DW50" s="56" t="e">
        <f t="shared" si="214"/>
        <v>#DIV/0!</v>
      </c>
      <c r="DX50" s="50">
        <f t="shared" si="215"/>
        <v>0</v>
      </c>
      <c r="DY50" s="50">
        <f>IF($AN50="N","N",SUM('調查資料(OUT)'!AM56:AM59))</f>
        <v>0</v>
      </c>
      <c r="DZ50" s="50">
        <f>IF($AN50="N","N",SUM('調查資料(OUT)'!AQ56:AQ59))</f>
        <v>0</v>
      </c>
      <c r="EA50" s="50">
        <f>IF($AN50="N","N",SUM('調查資料(OUT)'!AU56:AU59))</f>
        <v>0</v>
      </c>
      <c r="EB50" s="56" t="e">
        <f t="shared" si="216"/>
        <v>#DIV/0!</v>
      </c>
      <c r="EC50" s="50">
        <f t="shared" si="217"/>
        <v>0</v>
      </c>
      <c r="ED50" s="50">
        <f>IF($AN50="N","N",SUM('調查資料(OUT)'!AN56:AN59))</f>
        <v>0</v>
      </c>
      <c r="EE50" s="50">
        <f>IF($AN50="N","N",SUM('調查資料(OUT)'!AR56:AR59))</f>
        <v>0</v>
      </c>
      <c r="EF50" s="50">
        <f>IF($AN50="N","N",SUM('調查資料(OUT)'!AV56:AV59))</f>
        <v>0</v>
      </c>
      <c r="EG50" s="56" t="e">
        <f t="shared" si="218"/>
        <v>#DIV/0!</v>
      </c>
      <c r="EH50" s="50">
        <f t="shared" si="219"/>
        <v>0</v>
      </c>
      <c r="EI50" s="50">
        <f>IF($AN50="N","N",SUM('調查資料(OUT)'!AO56:AO59))</f>
        <v>0</v>
      </c>
      <c r="EJ50" s="50">
        <f>IF($AN50="N","N",SUM('調查資料(OUT)'!AS56:AS59))</f>
        <v>0</v>
      </c>
      <c r="EK50" s="50">
        <f>IF($AN50="N","N",SUM('調查資料(OUT)'!AW56:AW59))</f>
        <v>0</v>
      </c>
      <c r="EL50" s="56" t="e">
        <f t="shared" si="220"/>
        <v>#DIV/0!</v>
      </c>
      <c r="EM50" s="50">
        <f t="shared" si="276"/>
        <v>0</v>
      </c>
      <c r="EN50" s="56" t="e">
        <f t="shared" si="277"/>
        <v>#DIV/0!</v>
      </c>
      <c r="EO50" s="50">
        <f t="shared" si="278"/>
        <v>0</v>
      </c>
      <c r="EP50" s="56" t="e">
        <f t="shared" si="279"/>
        <v>#DIV/0!</v>
      </c>
      <c r="EQ50" s="50">
        <f t="shared" si="280"/>
        <v>0</v>
      </c>
      <c r="ER50" s="56" t="e">
        <f t="shared" si="281"/>
        <v>#DIV/0!</v>
      </c>
      <c r="ES50" s="50">
        <f t="shared" si="282"/>
        <v>0</v>
      </c>
      <c r="ET50" s="50">
        <f t="shared" si="227"/>
        <v>0</v>
      </c>
      <c r="EU50" s="50">
        <f>IF($AN50="N","N",SUM('調查資料(OUT)'!AX56:AX59))</f>
        <v>0</v>
      </c>
      <c r="EV50" s="50">
        <f>IF($AN50="N","N",SUM('調查資料(OUT)'!BB56:BB59))</f>
        <v>0</v>
      </c>
      <c r="EW50" s="50">
        <f>IF($AN50="N","N",SUM('調查資料(OUT)'!BF56:BF59))</f>
        <v>0</v>
      </c>
      <c r="EX50" s="56" t="e">
        <f t="shared" si="228"/>
        <v>#DIV/0!</v>
      </c>
      <c r="EY50" s="50">
        <f t="shared" si="229"/>
        <v>0</v>
      </c>
      <c r="EZ50" s="50">
        <f>IF($AN50="N","N",SUM('調查資料(OUT)'!AY56:AY59))</f>
        <v>0</v>
      </c>
      <c r="FA50" s="50">
        <f>IF($AN50="N","N",SUM('調查資料(OUT)'!BC56:BC59))</f>
        <v>0</v>
      </c>
      <c r="FB50" s="50">
        <f>IF($AN50="N","N",SUM('調查資料(OUT)'!BG56:BG59))</f>
        <v>0</v>
      </c>
      <c r="FC50" s="56" t="e">
        <f t="shared" si="230"/>
        <v>#DIV/0!</v>
      </c>
      <c r="FD50" s="50">
        <f t="shared" si="231"/>
        <v>0</v>
      </c>
      <c r="FE50" s="50">
        <f>IF($AN50="N","N",SUM('調查資料(OUT)'!AZ56:AZ59))</f>
        <v>0</v>
      </c>
      <c r="FF50" s="50">
        <f>IF($AN50="N","N",SUM('調查資料(OUT)'!BD56:BD59))</f>
        <v>0</v>
      </c>
      <c r="FG50" s="50">
        <f>IF($AN50="N","N",SUM('調查資料(OUT)'!BH56:BH59))</f>
        <v>0</v>
      </c>
      <c r="FH50" s="56" t="e">
        <f t="shared" si="232"/>
        <v>#DIV/0!</v>
      </c>
      <c r="FI50" s="50">
        <f t="shared" si="233"/>
        <v>0</v>
      </c>
      <c r="FJ50" s="50">
        <f>IF($AN50="N","N",SUM('調查資料(OUT)'!BA56:BA59))</f>
        <v>0</v>
      </c>
      <c r="FK50" s="50">
        <f>IF($AN50="N","N",SUM('調查資料(OUT)'!BE56:BE59))</f>
        <v>0</v>
      </c>
      <c r="FL50" s="50">
        <f>IF($AN50="N","N",SUM('調查資料(OUT)'!BI56:BI59))</f>
        <v>0</v>
      </c>
      <c r="FM50" s="56" t="e">
        <f t="shared" si="234"/>
        <v>#DIV/0!</v>
      </c>
      <c r="FN50" s="50">
        <f t="shared" si="246"/>
        <v>0</v>
      </c>
      <c r="FO50" s="56" t="e">
        <f t="shared" si="247"/>
        <v>#DIV/0!</v>
      </c>
      <c r="FP50" s="50">
        <f t="shared" si="248"/>
        <v>0</v>
      </c>
      <c r="FQ50" s="56" t="e">
        <f t="shared" si="249"/>
        <v>#DIV/0!</v>
      </c>
      <c r="FR50" s="50">
        <f t="shared" si="250"/>
        <v>0</v>
      </c>
      <c r="FS50" s="56" t="e">
        <f t="shared" si="251"/>
        <v>#DIV/0!</v>
      </c>
      <c r="FT50" s="50">
        <f t="shared" si="252"/>
        <v>0</v>
      </c>
    </row>
    <row r="51" spans="1:176">
      <c r="A51" s="314">
        <f>'調查資料(OUT)'!A57</f>
        <v>1130</v>
      </c>
      <c r="B51" s="315">
        <f t="shared" si="238"/>
        <v>0</v>
      </c>
      <c r="C51" s="315">
        <f>IFERROR('調查資料(OUT)'!$B$1*'調查資料(OUT)'!B57,0)+IFERROR('調查資料(OUT)'!$F$1*'調查資料(OUT)'!F57,0)+IFERROR('調查資料(OUT)'!$J$1*'調查資料(OUT)'!J57,0)</f>
        <v>0</v>
      </c>
      <c r="D51" s="315">
        <f>IFERROR('調查資料(OUT)'!$C$1*'調查資料(OUT)'!C57,0)+IFERROR('調查資料(OUT)'!$G$1*'調查資料(OUT)'!G57,0)+IFERROR('調查資料(OUT)'!$K$1*'調查資料(OUT)'!K57,0)</f>
        <v>0</v>
      </c>
      <c r="E51" s="315">
        <f>IFERROR('調查資料(OUT)'!$D$1*'調查資料(OUT)'!D57,0)+IFERROR('調查資料(OUT)'!$H$1*'調查資料(OUT)'!H57,0)+IFERROR('調查資料(OUT)'!$L$1*'調查資料(OUT)'!L57,0)</f>
        <v>0</v>
      </c>
      <c r="F51" s="316">
        <f>IFERROR('調查資料(OUT)'!$E$1*'調查資料(OUT)'!E57,0)+IFERROR('調查資料(OUT)'!$I$1*'調查資料(OUT)'!I57,0)+IFERROR('調查資料(OUT)'!$M$1*'調查資料(OUT)'!M57,0)</f>
        <v>0</v>
      </c>
      <c r="G51" s="315">
        <f t="shared" si="239"/>
        <v>0</v>
      </c>
      <c r="H51" s="315">
        <f>IFERROR('調查資料(OUT)'!$N$1*'調查資料(OUT)'!N57,0)+IFERROR('調查資料(OUT)'!$R$1*'調查資料(OUT)'!R57,0)+IFERROR('調查資料(OUT)'!$V$1*'調查資料(OUT)'!V57,0)</f>
        <v>0</v>
      </c>
      <c r="I51" s="315">
        <f>IFERROR('調查資料(OUT)'!$O$1*'調查資料(OUT)'!O57,0)+IFERROR('調查資料(OUT)'!$S$1*'調查資料(OUT)'!S57,0)+IFERROR('調查資料(OUT)'!$W$1*'調查資料(OUT)'!W57,0)</f>
        <v>0</v>
      </c>
      <c r="J51" s="315">
        <f>IFERROR('調查資料(OUT)'!$P$1*'調查資料(OUT)'!P57,0)+IFERROR('調查資料(OUT)'!$T$1*'調查資料(OUT)'!T57,0)+IFERROR('調查資料(OUT)'!$X$1*'調查資料(OUT)'!X57,0)</f>
        <v>0</v>
      </c>
      <c r="K51" s="316">
        <f>IFERROR('調查資料(OUT)'!$Q$1*'調查資料(OUT)'!Q57,0)+IFERROR('調查資料(OUT)'!$U$1*'調查資料(OUT)'!U57,0)+IFERROR('調查資料(OUT)'!$Y$1*'調查資料(OUT)'!Y57,0)</f>
        <v>0</v>
      </c>
      <c r="L51" s="315">
        <f t="shared" si="240"/>
        <v>0</v>
      </c>
      <c r="M51" s="315">
        <f>IFERROR('調查資料(OUT)'!$Z$1*'調查資料(OUT)'!Z57,0)+IFERROR('調查資料(OUT)'!$AD$1*'調查資料(OUT)'!AD57,0)+IFERROR('調查資料(OUT)'!$AH$1*'調查資料(OUT)'!AH57,0)</f>
        <v>0</v>
      </c>
      <c r="N51" s="315">
        <f>IFERROR('調查資料(OUT)'!$AA$1*'調查資料(OUT)'!AA57,0)+IFERROR('調查資料(OUT)'!$AE$1*'調查資料(OUT)'!AE57,0)+IFERROR('調查資料(OUT)'!$AI$1*'調查資料(OUT)'!AI57,0)</f>
        <v>0</v>
      </c>
      <c r="O51" s="315">
        <f>IFERROR('調查資料(OUT)'!$AB$1*'調查資料(OUT)'!AB57,0)+IFERROR('調查資料(OUT)'!$AF$1*'調查資料(OUT)'!AF57,0)+IFERROR('調查資料(OUT)'!$AJ$1*'調查資料(OUT)'!AJ57,0)</f>
        <v>0</v>
      </c>
      <c r="P51" s="316">
        <f>IFERROR('調查資料(OUT)'!$AC$1*'調查資料(OUT)'!AC57,0)+IFERROR('調查資料(OUT)'!$AG$1*'調查資料(OUT)'!AG57,0)+IFERROR('調查資料(OUT)'!$AK$1*'調查資料(OUT)'!AK57,0)</f>
        <v>0</v>
      </c>
      <c r="Q51" s="315">
        <f t="shared" si="241"/>
        <v>0</v>
      </c>
      <c r="R51" s="315">
        <f>IFERROR('調查資料(OUT)'!$AL$1*'調查資料(OUT)'!AL57,0)+IFERROR('調查資料(OUT)'!$AP$1*'調查資料(OUT)'!AP57,0)+IFERROR('調查資料(OUT)'!$AT$1*'調查資料(OUT)'!AT57,0)</f>
        <v>0</v>
      </c>
      <c r="S51" s="315">
        <f>IFERROR('調查資料(OUT)'!$AM$1*'調查資料(OUT)'!AM57,0)+IFERROR('調查資料(OUT)'!$AQ$1*'調查資料(OUT)'!AQ57,0)+IFERROR('調查資料(OUT)'!$AU$1*'調查資料(OUT)'!AU57,0)</f>
        <v>0</v>
      </c>
      <c r="T51" s="315">
        <f>IFERROR('調查資料(OUT)'!$AN$1*'調查資料(OUT)'!AN57,0)+IFERROR('調查資料(OUT)'!$AR$1*'調查資料(OUT)'!AR57,0)+IFERROR('調查資料(OUT)'!$AV$1*'調查資料(OUT)'!AV57,0)</f>
        <v>0</v>
      </c>
      <c r="U51" s="316">
        <f>IFERROR('調查資料(OUT)'!$AO$1*'調查資料(OUT)'!AO57,0)+IFERROR('調查資料(OUT)'!$AS$1*'調查資料(OUT)'!AS57,0)+IFERROR('調查資料(OUT)'!$AW$1*'調查資料(OUT)'!AW57,0)</f>
        <v>0</v>
      </c>
      <c r="V51" s="315">
        <f t="shared" si="242"/>
        <v>0</v>
      </c>
      <c r="W51" s="315">
        <f>IFERROR('調查資料(OUT)'!$AX$1*'調查資料(OUT)'!AX57,0)+IFERROR('調查資料(OUT)'!$BB$1*'調查資料(OUT)'!BB57,0)+IFERROR('調查資料(OUT)'!$BF$1*'調查資料(OUT)'!BF57,0)</f>
        <v>0</v>
      </c>
      <c r="X51" s="315">
        <f>IFERROR('調查資料(OUT)'!$AY$1*'調查資料(OUT)'!AY57,0)+IFERROR('調查資料(OUT)'!$BC$1*'調查資料(OUT)'!BC57,0)+IFERROR('調查資料(OUT)'!$BG$1*'調查資料(OUT)'!BG57,0)</f>
        <v>0</v>
      </c>
      <c r="Y51" s="315">
        <f>IFERROR('調查資料(OUT)'!$AZ$1*'調查資料(OUT)'!AZ57,0)+IFERROR('調查資料(OUT)'!$BD$1*'調查資料(OUT)'!BD57,0)+IFERROR('調查資料(OUT)'!$BH$1*'調查資料(OUT)'!BH57,0)</f>
        <v>0</v>
      </c>
      <c r="Z51" s="316">
        <f>IFERROR('調查資料(OUT)'!$BA$1*'調查資料(OUT)'!BA57,0)+IFERROR('調查資料(OUT)'!$BE$1*'調查資料(OUT)'!BE57,0)+IFERROR('調查資料(OUT)'!$BI$1*'調查資料(OUT)'!BI57,0)</f>
        <v>0</v>
      </c>
      <c r="AA51" s="317">
        <f t="shared" si="243"/>
        <v>0</v>
      </c>
      <c r="AC51" s="352">
        <f>'調查資料(OUT)'!A57</f>
        <v>1130</v>
      </c>
      <c r="AD51" s="353">
        <f t="shared" si="244"/>
        <v>1230</v>
      </c>
      <c r="AE51" s="315">
        <f t="shared" si="254"/>
        <v>0</v>
      </c>
      <c r="AF51" s="315"/>
      <c r="AG51" s="315">
        <f t="shared" si="290"/>
        <v>0</v>
      </c>
      <c r="AH51" s="355" t="e">
        <f t="shared" si="288"/>
        <v>#DIV/0!</v>
      </c>
      <c r="AI51" s="355" t="e">
        <f t="shared" si="285"/>
        <v>#DIV/0!</v>
      </c>
      <c r="AJ51" s="355" t="e">
        <f t="shared" si="286"/>
        <v>#DIV/0!</v>
      </c>
      <c r="AK51" s="355" t="e">
        <f t="shared" si="287"/>
        <v>#DIV/0!</v>
      </c>
      <c r="AL51" s="355" t="e">
        <f t="shared" si="289"/>
        <v>#DIV/0!</v>
      </c>
      <c r="AM51" s="357"/>
      <c r="AN51" s="315">
        <f t="shared" si="291"/>
        <v>1130</v>
      </c>
      <c r="AO51" s="316">
        <f t="shared" si="292"/>
        <v>1230</v>
      </c>
      <c r="AP51" s="50">
        <f t="shared" si="245"/>
        <v>0</v>
      </c>
      <c r="AQ51" s="50">
        <f>IF($AN51="N","N",SUM('調查資料(OUT)'!B57:B60))</f>
        <v>0</v>
      </c>
      <c r="AR51" s="50">
        <f>IF($AN51="N","N",SUM('調查資料(OUT)'!F57:F60))</f>
        <v>0</v>
      </c>
      <c r="AS51" s="50">
        <f>IF($AN51="N","N",SUM('調查資料(OUT)'!J57:J60))</f>
        <v>0</v>
      </c>
      <c r="AT51" s="56" t="e">
        <f t="shared" si="169"/>
        <v>#DIV/0!</v>
      </c>
      <c r="AU51" s="50">
        <f t="shared" si="170"/>
        <v>0</v>
      </c>
      <c r="AV51" s="50">
        <f>IF($AN51="N","N",SUM('調查資料(OUT)'!C57:C60))</f>
        <v>0</v>
      </c>
      <c r="AW51" s="50">
        <f>IF($AN51="N","N",SUM('調查資料(OUT)'!G57:G60))</f>
        <v>0</v>
      </c>
      <c r="AX51" s="50">
        <f>IF($AN51="N","N",SUM('調查資料(OUT)'!K57:K60))</f>
        <v>0</v>
      </c>
      <c r="AY51" s="56" t="e">
        <f t="shared" si="171"/>
        <v>#DIV/0!</v>
      </c>
      <c r="AZ51" s="50">
        <f t="shared" si="172"/>
        <v>0</v>
      </c>
      <c r="BA51" s="50">
        <f>IF($AN51="N","N",SUM('調查資料(OUT)'!D57:D60))</f>
        <v>0</v>
      </c>
      <c r="BB51" s="50">
        <f>IF($AN51="N","N",SUM('調查資料(OUT)'!H57:H60))</f>
        <v>0</v>
      </c>
      <c r="BC51" s="50">
        <f>IF($AN51="N","N",SUM('調查資料(OUT)'!L57:L60))</f>
        <v>0</v>
      </c>
      <c r="BD51" s="56" t="e">
        <f t="shared" si="173"/>
        <v>#DIV/0!</v>
      </c>
      <c r="BE51" s="50">
        <f t="shared" si="174"/>
        <v>0</v>
      </c>
      <c r="BF51" s="50">
        <f>IF($AN51="N","N",SUM('調查資料(OUT)'!E57:E60))</f>
        <v>0</v>
      </c>
      <c r="BG51" s="50">
        <f>IF($AN51="N","N",SUM('調查資料(OUT)'!I57:I60))</f>
        <v>0</v>
      </c>
      <c r="BH51" s="50">
        <f>IF($AN51="N","N",SUM('調查資料(OUT)'!M57:M60))</f>
        <v>0</v>
      </c>
      <c r="BI51" s="56" t="e">
        <f t="shared" si="175"/>
        <v>#DIV/0!</v>
      </c>
      <c r="BJ51" s="50">
        <f t="shared" si="255"/>
        <v>0</v>
      </c>
      <c r="BK51" s="56" t="e">
        <f t="shared" si="256"/>
        <v>#DIV/0!</v>
      </c>
      <c r="BL51" s="50">
        <f t="shared" si="257"/>
        <v>0</v>
      </c>
      <c r="BM51" s="56" t="e">
        <f t="shared" si="258"/>
        <v>#DIV/0!</v>
      </c>
      <c r="BN51" s="50">
        <f t="shared" si="259"/>
        <v>0</v>
      </c>
      <c r="BO51" s="56" t="e">
        <f t="shared" si="260"/>
        <v>#DIV/0!</v>
      </c>
      <c r="BP51" s="50">
        <f t="shared" si="261"/>
        <v>0</v>
      </c>
      <c r="BQ51" s="50">
        <f t="shared" si="183"/>
        <v>0</v>
      </c>
      <c r="BR51" s="50">
        <f>IF($AN51="N","N",SUM('調查資料(OUT)'!N57:N60))</f>
        <v>0</v>
      </c>
      <c r="BS51" s="50">
        <f>IF($AN51="N","N",SUM('調查資料(OUT)'!R57:R60))</f>
        <v>0</v>
      </c>
      <c r="BT51" s="50">
        <f>IF($AN51="N","N",SUM('調查資料(OUT)'!V57:V60))</f>
        <v>0</v>
      </c>
      <c r="BU51" s="56" t="e">
        <f t="shared" si="184"/>
        <v>#DIV/0!</v>
      </c>
      <c r="BV51" s="50">
        <f t="shared" si="185"/>
        <v>0</v>
      </c>
      <c r="BW51" s="50">
        <f>IF($AN51="N","N",SUM('調查資料(OUT)'!O57:O60))</f>
        <v>0</v>
      </c>
      <c r="BX51" s="50">
        <f>IF($AN51="N","N",SUM('調查資料(OUT)'!S57:S60))</f>
        <v>0</v>
      </c>
      <c r="BY51" s="50">
        <f>IF($AN51="N","N",SUM('調查資料(OUT)'!W57:W60))</f>
        <v>0</v>
      </c>
      <c r="BZ51" s="56" t="e">
        <f t="shared" si="186"/>
        <v>#DIV/0!</v>
      </c>
      <c r="CA51" s="50">
        <f t="shared" si="187"/>
        <v>0</v>
      </c>
      <c r="CB51" s="50">
        <f>IF($AN51="N","N",SUM('調查資料(OUT)'!P57:P60))</f>
        <v>0</v>
      </c>
      <c r="CC51" s="50">
        <f>IF($AN51="N","N",SUM('調查資料(OUT)'!T57:T60))</f>
        <v>0</v>
      </c>
      <c r="CD51" s="50">
        <f>IF($AN51="N","N",SUM('調查資料(OUT)'!X57:X60))</f>
        <v>0</v>
      </c>
      <c r="CE51" s="56" t="e">
        <f t="shared" si="188"/>
        <v>#DIV/0!</v>
      </c>
      <c r="CF51" s="50">
        <f t="shared" si="189"/>
        <v>0</v>
      </c>
      <c r="CG51" s="50">
        <f>IF($AN51="N","N",SUM('調查資料(OUT)'!Q57:Q60))</f>
        <v>0</v>
      </c>
      <c r="CH51" s="50">
        <f>IF($AN51="N","N",SUM('調查資料(OUT)'!U57:U60))</f>
        <v>0</v>
      </c>
      <c r="CI51" s="50">
        <f>IF($AN51="N","N",SUM('調查資料(OUT)'!Y57:Y60))</f>
        <v>0</v>
      </c>
      <c r="CJ51" s="56" t="e">
        <f t="shared" si="190"/>
        <v>#DIV/0!</v>
      </c>
      <c r="CK51" s="50">
        <f t="shared" si="262"/>
        <v>0</v>
      </c>
      <c r="CL51" s="56" t="e">
        <f t="shared" si="263"/>
        <v>#DIV/0!</v>
      </c>
      <c r="CM51" s="50">
        <f t="shared" si="264"/>
        <v>0</v>
      </c>
      <c r="CN51" s="56" t="e">
        <f t="shared" si="265"/>
        <v>#DIV/0!</v>
      </c>
      <c r="CO51" s="50">
        <f t="shared" si="266"/>
        <v>0</v>
      </c>
      <c r="CP51" s="56" t="e">
        <f t="shared" si="267"/>
        <v>#DIV/0!</v>
      </c>
      <c r="CQ51" s="50">
        <f t="shared" si="268"/>
        <v>0</v>
      </c>
      <c r="CR51" s="50">
        <f t="shared" si="198"/>
        <v>0</v>
      </c>
      <c r="CS51" s="50">
        <f>IF($AN51="N","N",SUM('調查資料(OUT)'!Z57:Z60))</f>
        <v>0</v>
      </c>
      <c r="CT51" s="50">
        <f>IF($AN51="N","N",SUM('調查資料(OUT)'!AD57:AD60))</f>
        <v>0</v>
      </c>
      <c r="CU51" s="50">
        <f>IF($AN51="N","N",SUM('調查資料(OUT)'!AH57:AH60))</f>
        <v>0</v>
      </c>
      <c r="CV51" s="56" t="e">
        <f t="shared" si="199"/>
        <v>#DIV/0!</v>
      </c>
      <c r="CW51" s="50">
        <f t="shared" si="200"/>
        <v>0</v>
      </c>
      <c r="CX51" s="50">
        <f>IF($AN51="N","N",SUM('調查資料(OUT)'!AA57:AA60))</f>
        <v>0</v>
      </c>
      <c r="CY51" s="50">
        <f>IF($AN51="N","N",SUM('調查資料(OUT)'!AE57:AE60))</f>
        <v>0</v>
      </c>
      <c r="CZ51" s="50">
        <f>IF($AN51="N","N",SUM('調查資料(OUT)'!AI57:AI60))</f>
        <v>0</v>
      </c>
      <c r="DA51" s="56" t="e">
        <f t="shared" si="201"/>
        <v>#DIV/0!</v>
      </c>
      <c r="DB51" s="50">
        <f t="shared" si="202"/>
        <v>0</v>
      </c>
      <c r="DC51" s="50">
        <f>IF($AN51="N","N",SUM('調查資料(OUT)'!AB57:AB60))</f>
        <v>0</v>
      </c>
      <c r="DD51" s="50">
        <f>IF($AN51="N","N",SUM('調查資料(OUT)'!AF57:AF60))</f>
        <v>0</v>
      </c>
      <c r="DE51" s="50">
        <f>IF($AN51="N","N",SUM('調查資料(OUT)'!AJ57:AJ60))</f>
        <v>0</v>
      </c>
      <c r="DF51" s="56" t="e">
        <f t="shared" si="203"/>
        <v>#DIV/0!</v>
      </c>
      <c r="DG51" s="50">
        <f t="shared" si="204"/>
        <v>0</v>
      </c>
      <c r="DH51" s="50">
        <f>IF($AN51="N","N",SUM('調查資料(OUT)'!AC57:AC60))</f>
        <v>0</v>
      </c>
      <c r="DI51" s="50">
        <f>IF($AN51="N","N",SUM('調查資料(OUT)'!AG57:AG60))</f>
        <v>0</v>
      </c>
      <c r="DJ51" s="50">
        <f>IF($AN51="N","N",SUM('調查資料(OUT)'!AK57:AK60))</f>
        <v>0</v>
      </c>
      <c r="DK51" s="56" t="e">
        <f t="shared" si="205"/>
        <v>#DIV/0!</v>
      </c>
      <c r="DL51" s="50">
        <f t="shared" si="269"/>
        <v>0</v>
      </c>
      <c r="DM51" s="56" t="e">
        <f t="shared" si="270"/>
        <v>#DIV/0!</v>
      </c>
      <c r="DN51" s="50">
        <f t="shared" si="271"/>
        <v>0</v>
      </c>
      <c r="DO51" s="56" t="e">
        <f t="shared" si="272"/>
        <v>#DIV/0!</v>
      </c>
      <c r="DP51" s="50">
        <f t="shared" si="273"/>
        <v>0</v>
      </c>
      <c r="DQ51" s="56" t="e">
        <f t="shared" si="274"/>
        <v>#DIV/0!</v>
      </c>
      <c r="DR51" s="50">
        <f t="shared" si="275"/>
        <v>0</v>
      </c>
      <c r="DS51" s="50">
        <f t="shared" si="213"/>
        <v>0</v>
      </c>
      <c r="DT51" s="50">
        <f>IF($AN51="N","N",SUM('調查資料(OUT)'!AL57:AL60))</f>
        <v>0</v>
      </c>
      <c r="DU51" s="50">
        <f>IF($AN51="N","N",SUM('調查資料(OUT)'!AP57:AP60))</f>
        <v>0</v>
      </c>
      <c r="DV51" s="50">
        <f>IF($AN51="N","N",SUM('調查資料(OUT)'!AT57:AT60))</f>
        <v>0</v>
      </c>
      <c r="DW51" s="56" t="e">
        <f t="shared" si="214"/>
        <v>#DIV/0!</v>
      </c>
      <c r="DX51" s="50">
        <f t="shared" si="215"/>
        <v>0</v>
      </c>
      <c r="DY51" s="50">
        <f>IF($AN51="N","N",SUM('調查資料(OUT)'!AM57:AM60))</f>
        <v>0</v>
      </c>
      <c r="DZ51" s="50">
        <f>IF($AN51="N","N",SUM('調查資料(OUT)'!AQ57:AQ60))</f>
        <v>0</v>
      </c>
      <c r="EA51" s="50">
        <f>IF($AN51="N","N",SUM('調查資料(OUT)'!AU57:AU60))</f>
        <v>0</v>
      </c>
      <c r="EB51" s="56" t="e">
        <f t="shared" si="216"/>
        <v>#DIV/0!</v>
      </c>
      <c r="EC51" s="50">
        <f t="shared" si="217"/>
        <v>0</v>
      </c>
      <c r="ED51" s="50">
        <f>IF($AN51="N","N",SUM('調查資料(OUT)'!AN57:AN60))</f>
        <v>0</v>
      </c>
      <c r="EE51" s="50">
        <f>IF($AN51="N","N",SUM('調查資料(OUT)'!AR57:AR60))</f>
        <v>0</v>
      </c>
      <c r="EF51" s="50">
        <f>IF($AN51="N","N",SUM('調查資料(OUT)'!AV57:AV60))</f>
        <v>0</v>
      </c>
      <c r="EG51" s="56" t="e">
        <f t="shared" si="218"/>
        <v>#DIV/0!</v>
      </c>
      <c r="EH51" s="50">
        <f t="shared" si="219"/>
        <v>0</v>
      </c>
      <c r="EI51" s="50">
        <f>IF($AN51="N","N",SUM('調查資料(OUT)'!AO57:AO60))</f>
        <v>0</v>
      </c>
      <c r="EJ51" s="50">
        <f>IF($AN51="N","N",SUM('調查資料(OUT)'!AS57:AS60))</f>
        <v>0</v>
      </c>
      <c r="EK51" s="50">
        <f>IF($AN51="N","N",SUM('調查資料(OUT)'!AW57:AW60))</f>
        <v>0</v>
      </c>
      <c r="EL51" s="56" t="e">
        <f t="shared" si="220"/>
        <v>#DIV/0!</v>
      </c>
      <c r="EM51" s="50">
        <f t="shared" si="276"/>
        <v>0</v>
      </c>
      <c r="EN51" s="56" t="e">
        <f t="shared" si="277"/>
        <v>#DIV/0!</v>
      </c>
      <c r="EO51" s="50">
        <f t="shared" si="278"/>
        <v>0</v>
      </c>
      <c r="EP51" s="56" t="e">
        <f t="shared" si="279"/>
        <v>#DIV/0!</v>
      </c>
      <c r="EQ51" s="50">
        <f t="shared" si="280"/>
        <v>0</v>
      </c>
      <c r="ER51" s="56" t="e">
        <f t="shared" si="281"/>
        <v>#DIV/0!</v>
      </c>
      <c r="ES51" s="50">
        <f t="shared" si="282"/>
        <v>0</v>
      </c>
      <c r="ET51" s="50">
        <f t="shared" si="227"/>
        <v>0</v>
      </c>
      <c r="EU51" s="50">
        <f>IF($AN51="N","N",SUM('調查資料(OUT)'!AX57:AX60))</f>
        <v>0</v>
      </c>
      <c r="EV51" s="50">
        <f>IF($AN51="N","N",SUM('調查資料(OUT)'!BB57:BB60))</f>
        <v>0</v>
      </c>
      <c r="EW51" s="50">
        <f>IF($AN51="N","N",SUM('調查資料(OUT)'!BF57:BF60))</f>
        <v>0</v>
      </c>
      <c r="EX51" s="56" t="e">
        <f t="shared" si="228"/>
        <v>#DIV/0!</v>
      </c>
      <c r="EY51" s="50">
        <f t="shared" si="229"/>
        <v>0</v>
      </c>
      <c r="EZ51" s="50">
        <f>IF($AN51="N","N",SUM('調查資料(OUT)'!AY57:AY60))</f>
        <v>0</v>
      </c>
      <c r="FA51" s="50">
        <f>IF($AN51="N","N",SUM('調查資料(OUT)'!BC57:BC60))</f>
        <v>0</v>
      </c>
      <c r="FB51" s="50">
        <f>IF($AN51="N","N",SUM('調查資料(OUT)'!BG57:BG60))</f>
        <v>0</v>
      </c>
      <c r="FC51" s="56" t="e">
        <f t="shared" si="230"/>
        <v>#DIV/0!</v>
      </c>
      <c r="FD51" s="50">
        <f t="shared" si="231"/>
        <v>0</v>
      </c>
      <c r="FE51" s="50">
        <f>IF($AN51="N","N",SUM('調查資料(OUT)'!AZ57:AZ60))</f>
        <v>0</v>
      </c>
      <c r="FF51" s="50">
        <f>IF($AN51="N","N",SUM('調查資料(OUT)'!BD57:BD60))</f>
        <v>0</v>
      </c>
      <c r="FG51" s="50">
        <f>IF($AN51="N","N",SUM('調查資料(OUT)'!BH57:BH60))</f>
        <v>0</v>
      </c>
      <c r="FH51" s="56" t="e">
        <f t="shared" si="232"/>
        <v>#DIV/0!</v>
      </c>
      <c r="FI51" s="50">
        <f t="shared" si="233"/>
        <v>0</v>
      </c>
      <c r="FJ51" s="50">
        <f>IF($AN51="N","N",SUM('調查資料(OUT)'!BA57:BA60))</f>
        <v>0</v>
      </c>
      <c r="FK51" s="50">
        <f>IF($AN51="N","N",SUM('調查資料(OUT)'!BE57:BE60))</f>
        <v>0</v>
      </c>
      <c r="FL51" s="50">
        <f>IF($AN51="N","N",SUM('調查資料(OUT)'!BI57:BI60))</f>
        <v>0</v>
      </c>
      <c r="FM51" s="56" t="e">
        <f t="shared" si="234"/>
        <v>#DIV/0!</v>
      </c>
      <c r="FN51" s="50">
        <f t="shared" si="246"/>
        <v>0</v>
      </c>
      <c r="FO51" s="56" t="e">
        <f t="shared" si="247"/>
        <v>#DIV/0!</v>
      </c>
      <c r="FP51" s="50">
        <f t="shared" si="248"/>
        <v>0</v>
      </c>
      <c r="FQ51" s="56" t="e">
        <f t="shared" si="249"/>
        <v>#DIV/0!</v>
      </c>
      <c r="FR51" s="50">
        <f t="shared" si="250"/>
        <v>0</v>
      </c>
      <c r="FS51" s="56" t="e">
        <f t="shared" si="251"/>
        <v>#DIV/0!</v>
      </c>
      <c r="FT51" s="50">
        <f t="shared" si="252"/>
        <v>0</v>
      </c>
    </row>
    <row r="52" spans="1:176">
      <c r="A52" s="314">
        <f>'調查資料(OUT)'!A58</f>
        <v>1145</v>
      </c>
      <c r="B52" s="315">
        <f t="shared" si="238"/>
        <v>0</v>
      </c>
      <c r="C52" s="315">
        <f>IFERROR('調查資料(OUT)'!$B$1*'調查資料(OUT)'!B58,0)+IFERROR('調查資料(OUT)'!$F$1*'調查資料(OUT)'!F58,0)+IFERROR('調查資料(OUT)'!$J$1*'調查資料(OUT)'!J58,0)</f>
        <v>0</v>
      </c>
      <c r="D52" s="315">
        <f>IFERROR('調查資料(OUT)'!$C$1*'調查資料(OUT)'!C58,0)+IFERROR('調查資料(OUT)'!$G$1*'調查資料(OUT)'!G58,0)+IFERROR('調查資料(OUT)'!$K$1*'調查資料(OUT)'!K58,0)</f>
        <v>0</v>
      </c>
      <c r="E52" s="315">
        <f>IFERROR('調查資料(OUT)'!$D$1*'調查資料(OUT)'!D58,0)+IFERROR('調查資料(OUT)'!$H$1*'調查資料(OUT)'!H58,0)+IFERROR('調查資料(OUT)'!$L$1*'調查資料(OUT)'!L58,0)</f>
        <v>0</v>
      </c>
      <c r="F52" s="316">
        <f>IFERROR('調查資料(OUT)'!$E$1*'調查資料(OUT)'!E58,0)+IFERROR('調查資料(OUT)'!$I$1*'調查資料(OUT)'!I58,0)+IFERROR('調查資料(OUT)'!$M$1*'調查資料(OUT)'!M58,0)</f>
        <v>0</v>
      </c>
      <c r="G52" s="315">
        <f t="shared" si="239"/>
        <v>0</v>
      </c>
      <c r="H52" s="315">
        <f>IFERROR('調查資料(OUT)'!$N$1*'調查資料(OUT)'!N58,0)+IFERROR('調查資料(OUT)'!$R$1*'調查資料(OUT)'!R58,0)+IFERROR('調查資料(OUT)'!$V$1*'調查資料(OUT)'!V58,0)</f>
        <v>0</v>
      </c>
      <c r="I52" s="315">
        <f>IFERROR('調查資料(OUT)'!$O$1*'調查資料(OUT)'!O58,0)+IFERROR('調查資料(OUT)'!$S$1*'調查資料(OUT)'!S58,0)+IFERROR('調查資料(OUT)'!$W$1*'調查資料(OUT)'!W58,0)</f>
        <v>0</v>
      </c>
      <c r="J52" s="315">
        <f>IFERROR('調查資料(OUT)'!$P$1*'調查資料(OUT)'!P58,0)+IFERROR('調查資料(OUT)'!$T$1*'調查資料(OUT)'!T58,0)+IFERROR('調查資料(OUT)'!$X$1*'調查資料(OUT)'!X58,0)</f>
        <v>0</v>
      </c>
      <c r="K52" s="316">
        <f>IFERROR('調查資料(OUT)'!$Q$1*'調查資料(OUT)'!Q58,0)+IFERROR('調查資料(OUT)'!$U$1*'調查資料(OUT)'!U58,0)+IFERROR('調查資料(OUT)'!$Y$1*'調查資料(OUT)'!Y58,0)</f>
        <v>0</v>
      </c>
      <c r="L52" s="315">
        <f t="shared" si="240"/>
        <v>0</v>
      </c>
      <c r="M52" s="315">
        <f>IFERROR('調查資料(OUT)'!$Z$1*'調查資料(OUT)'!Z58,0)+IFERROR('調查資料(OUT)'!$AD$1*'調查資料(OUT)'!AD58,0)+IFERROR('調查資料(OUT)'!$AH$1*'調查資料(OUT)'!AH58,0)</f>
        <v>0</v>
      </c>
      <c r="N52" s="315">
        <f>IFERROR('調查資料(OUT)'!$AA$1*'調查資料(OUT)'!AA58,0)+IFERROR('調查資料(OUT)'!$AE$1*'調查資料(OUT)'!AE58,0)+IFERROR('調查資料(OUT)'!$AI$1*'調查資料(OUT)'!AI58,0)</f>
        <v>0</v>
      </c>
      <c r="O52" s="315">
        <f>IFERROR('調查資料(OUT)'!$AB$1*'調查資料(OUT)'!AB58,0)+IFERROR('調查資料(OUT)'!$AF$1*'調查資料(OUT)'!AF58,0)+IFERROR('調查資料(OUT)'!$AJ$1*'調查資料(OUT)'!AJ58,0)</f>
        <v>0</v>
      </c>
      <c r="P52" s="316">
        <f>IFERROR('調查資料(OUT)'!$AC$1*'調查資料(OUT)'!AC58,0)+IFERROR('調查資料(OUT)'!$AG$1*'調查資料(OUT)'!AG58,0)+IFERROR('調查資料(OUT)'!$AK$1*'調查資料(OUT)'!AK58,0)</f>
        <v>0</v>
      </c>
      <c r="Q52" s="315">
        <f t="shared" si="241"/>
        <v>0</v>
      </c>
      <c r="R52" s="315">
        <f>IFERROR('調查資料(OUT)'!$AL$1*'調查資料(OUT)'!AL58,0)+IFERROR('調查資料(OUT)'!$AP$1*'調查資料(OUT)'!AP58,0)+IFERROR('調查資料(OUT)'!$AT$1*'調查資料(OUT)'!AT58,0)</f>
        <v>0</v>
      </c>
      <c r="S52" s="315">
        <f>IFERROR('調查資料(OUT)'!$AM$1*'調查資料(OUT)'!AM58,0)+IFERROR('調查資料(OUT)'!$AQ$1*'調查資料(OUT)'!AQ58,0)+IFERROR('調查資料(OUT)'!$AU$1*'調查資料(OUT)'!AU58,0)</f>
        <v>0</v>
      </c>
      <c r="T52" s="315">
        <f>IFERROR('調查資料(OUT)'!$AN$1*'調查資料(OUT)'!AN58,0)+IFERROR('調查資料(OUT)'!$AR$1*'調查資料(OUT)'!AR58,0)+IFERROR('調查資料(OUT)'!$AV$1*'調查資料(OUT)'!AV58,0)</f>
        <v>0</v>
      </c>
      <c r="U52" s="316">
        <f>IFERROR('調查資料(OUT)'!$AO$1*'調查資料(OUT)'!AO58,0)+IFERROR('調查資料(OUT)'!$AS$1*'調查資料(OUT)'!AS58,0)+IFERROR('調查資料(OUT)'!$AW$1*'調查資料(OUT)'!AW58,0)</f>
        <v>0</v>
      </c>
      <c r="V52" s="315">
        <f t="shared" si="242"/>
        <v>0</v>
      </c>
      <c r="W52" s="315">
        <f>IFERROR('調查資料(OUT)'!$AX$1*'調查資料(OUT)'!AX58,0)+IFERROR('調查資料(OUT)'!$BB$1*'調查資料(OUT)'!BB58,0)+IFERROR('調查資料(OUT)'!$BF$1*'調查資料(OUT)'!BF58,0)</f>
        <v>0</v>
      </c>
      <c r="X52" s="315">
        <f>IFERROR('調查資料(OUT)'!$AY$1*'調查資料(OUT)'!AY58,0)+IFERROR('調查資料(OUT)'!$BC$1*'調查資料(OUT)'!BC58,0)+IFERROR('調查資料(OUT)'!$BG$1*'調查資料(OUT)'!BG58,0)</f>
        <v>0</v>
      </c>
      <c r="Y52" s="315">
        <f>IFERROR('調查資料(OUT)'!$AZ$1*'調查資料(OUT)'!AZ58,0)+IFERROR('調查資料(OUT)'!$BD$1*'調查資料(OUT)'!BD58,0)+IFERROR('調查資料(OUT)'!$BH$1*'調查資料(OUT)'!BH58,0)</f>
        <v>0</v>
      </c>
      <c r="Z52" s="316">
        <f>IFERROR('調查資料(OUT)'!$BA$1*'調查資料(OUT)'!BA58,0)+IFERROR('調查資料(OUT)'!$BE$1*'調查資料(OUT)'!BE58,0)+IFERROR('調查資料(OUT)'!$BI$1*'調查資料(OUT)'!BI58,0)</f>
        <v>0</v>
      </c>
      <c r="AA52" s="317">
        <f t="shared" si="243"/>
        <v>0</v>
      </c>
      <c r="AC52" s="352">
        <f>'調查資料(OUT)'!A58</f>
        <v>1145</v>
      </c>
      <c r="AD52" s="353">
        <f t="shared" si="244"/>
        <v>1245</v>
      </c>
      <c r="AE52" s="315">
        <f t="shared" si="254"/>
        <v>0</v>
      </c>
      <c r="AF52" s="315"/>
      <c r="AG52" s="315">
        <f t="shared" si="290"/>
        <v>0</v>
      </c>
      <c r="AH52" s="355" t="e">
        <f t="shared" si="288"/>
        <v>#DIV/0!</v>
      </c>
      <c r="AI52" s="355" t="e">
        <f t="shared" si="285"/>
        <v>#DIV/0!</v>
      </c>
      <c r="AJ52" s="355" t="e">
        <f t="shared" si="286"/>
        <v>#DIV/0!</v>
      </c>
      <c r="AK52" s="355" t="e">
        <f t="shared" si="287"/>
        <v>#DIV/0!</v>
      </c>
      <c r="AL52" s="355" t="e">
        <f t="shared" si="289"/>
        <v>#DIV/0!</v>
      </c>
      <c r="AM52" s="357"/>
      <c r="AN52" s="315">
        <f t="shared" si="291"/>
        <v>1145</v>
      </c>
      <c r="AO52" s="316">
        <f t="shared" si="292"/>
        <v>1245</v>
      </c>
      <c r="AP52" s="50">
        <f t="shared" si="245"/>
        <v>0</v>
      </c>
      <c r="AQ52" s="50">
        <f>IF($AN52="N","N",SUM('調查資料(OUT)'!B58:B61))</f>
        <v>0</v>
      </c>
      <c r="AR52" s="50">
        <f>IF($AN52="N","N",SUM('調查資料(OUT)'!F58:F61))</f>
        <v>0</v>
      </c>
      <c r="AS52" s="50">
        <f>IF($AN52="N","N",SUM('調查資料(OUT)'!J58:J61))</f>
        <v>0</v>
      </c>
      <c r="AT52" s="56" t="e">
        <f t="shared" si="169"/>
        <v>#DIV/0!</v>
      </c>
      <c r="AU52" s="50">
        <f t="shared" si="170"/>
        <v>0</v>
      </c>
      <c r="AV52" s="50">
        <f>IF($AN52="N","N",SUM('調查資料(OUT)'!C58:C61))</f>
        <v>0</v>
      </c>
      <c r="AW52" s="50">
        <f>IF($AN52="N","N",SUM('調查資料(OUT)'!G58:G61))</f>
        <v>0</v>
      </c>
      <c r="AX52" s="50">
        <f>IF($AN52="N","N",SUM('調查資料(OUT)'!K58:K61))</f>
        <v>0</v>
      </c>
      <c r="AY52" s="56" t="e">
        <f t="shared" si="171"/>
        <v>#DIV/0!</v>
      </c>
      <c r="AZ52" s="50">
        <f t="shared" si="172"/>
        <v>0</v>
      </c>
      <c r="BA52" s="50">
        <f>IF($AN52="N","N",SUM('調查資料(OUT)'!D58:D61))</f>
        <v>0</v>
      </c>
      <c r="BB52" s="50">
        <f>IF($AN52="N","N",SUM('調查資料(OUT)'!H58:H61))</f>
        <v>0</v>
      </c>
      <c r="BC52" s="50">
        <f>IF($AN52="N","N",SUM('調查資料(OUT)'!L58:L61))</f>
        <v>0</v>
      </c>
      <c r="BD52" s="56" t="e">
        <f t="shared" si="173"/>
        <v>#DIV/0!</v>
      </c>
      <c r="BE52" s="50">
        <f t="shared" si="174"/>
        <v>0</v>
      </c>
      <c r="BF52" s="50">
        <f>IF($AN52="N","N",SUM('調查資料(OUT)'!E58:E61))</f>
        <v>0</v>
      </c>
      <c r="BG52" s="50">
        <f>IF($AN52="N","N",SUM('調查資料(OUT)'!I58:I61))</f>
        <v>0</v>
      </c>
      <c r="BH52" s="50">
        <f>IF($AN52="N","N",SUM('調查資料(OUT)'!M58:M61))</f>
        <v>0</v>
      </c>
      <c r="BI52" s="56" t="e">
        <f t="shared" si="175"/>
        <v>#DIV/0!</v>
      </c>
      <c r="BJ52" s="50">
        <f t="shared" si="255"/>
        <v>0</v>
      </c>
      <c r="BK52" s="56" t="e">
        <f t="shared" si="256"/>
        <v>#DIV/0!</v>
      </c>
      <c r="BL52" s="50">
        <f t="shared" si="257"/>
        <v>0</v>
      </c>
      <c r="BM52" s="56" t="e">
        <f t="shared" si="258"/>
        <v>#DIV/0!</v>
      </c>
      <c r="BN52" s="50">
        <f t="shared" si="259"/>
        <v>0</v>
      </c>
      <c r="BO52" s="56" t="e">
        <f t="shared" si="260"/>
        <v>#DIV/0!</v>
      </c>
      <c r="BP52" s="50">
        <f t="shared" si="261"/>
        <v>0</v>
      </c>
      <c r="BQ52" s="50">
        <f t="shared" si="183"/>
        <v>0</v>
      </c>
      <c r="BR52" s="50">
        <f>IF($AN52="N","N",SUM('調查資料(OUT)'!N58:N61))</f>
        <v>0</v>
      </c>
      <c r="BS52" s="50">
        <f>IF($AN52="N","N",SUM('調查資料(OUT)'!R58:R61))</f>
        <v>0</v>
      </c>
      <c r="BT52" s="50">
        <f>IF($AN52="N","N",SUM('調查資料(OUT)'!V58:V61))</f>
        <v>0</v>
      </c>
      <c r="BU52" s="56" t="e">
        <f t="shared" si="184"/>
        <v>#DIV/0!</v>
      </c>
      <c r="BV52" s="50">
        <f t="shared" si="185"/>
        <v>0</v>
      </c>
      <c r="BW52" s="50">
        <f>IF($AN52="N","N",SUM('調查資料(OUT)'!O58:O61))</f>
        <v>0</v>
      </c>
      <c r="BX52" s="50">
        <f>IF($AN52="N","N",SUM('調查資料(OUT)'!S58:S61))</f>
        <v>0</v>
      </c>
      <c r="BY52" s="50">
        <f>IF($AN52="N","N",SUM('調查資料(OUT)'!W58:W61))</f>
        <v>0</v>
      </c>
      <c r="BZ52" s="56" t="e">
        <f t="shared" si="186"/>
        <v>#DIV/0!</v>
      </c>
      <c r="CA52" s="50">
        <f t="shared" si="187"/>
        <v>0</v>
      </c>
      <c r="CB52" s="50">
        <f>IF($AN52="N","N",SUM('調查資料(OUT)'!P58:P61))</f>
        <v>0</v>
      </c>
      <c r="CC52" s="50">
        <f>IF($AN52="N","N",SUM('調查資料(OUT)'!T58:T61))</f>
        <v>0</v>
      </c>
      <c r="CD52" s="50">
        <f>IF($AN52="N","N",SUM('調查資料(OUT)'!X58:X61))</f>
        <v>0</v>
      </c>
      <c r="CE52" s="56" t="e">
        <f t="shared" si="188"/>
        <v>#DIV/0!</v>
      </c>
      <c r="CF52" s="50">
        <f t="shared" si="189"/>
        <v>0</v>
      </c>
      <c r="CG52" s="50">
        <f>IF($AN52="N","N",SUM('調查資料(OUT)'!Q58:Q61))</f>
        <v>0</v>
      </c>
      <c r="CH52" s="50">
        <f>IF($AN52="N","N",SUM('調查資料(OUT)'!U58:U61))</f>
        <v>0</v>
      </c>
      <c r="CI52" s="50">
        <f>IF($AN52="N","N",SUM('調查資料(OUT)'!Y58:Y61))</f>
        <v>0</v>
      </c>
      <c r="CJ52" s="56" t="e">
        <f t="shared" si="190"/>
        <v>#DIV/0!</v>
      </c>
      <c r="CK52" s="50">
        <f t="shared" si="262"/>
        <v>0</v>
      </c>
      <c r="CL52" s="56" t="e">
        <f t="shared" si="263"/>
        <v>#DIV/0!</v>
      </c>
      <c r="CM52" s="50">
        <f t="shared" si="264"/>
        <v>0</v>
      </c>
      <c r="CN52" s="56" t="e">
        <f t="shared" si="265"/>
        <v>#DIV/0!</v>
      </c>
      <c r="CO52" s="50">
        <f t="shared" si="266"/>
        <v>0</v>
      </c>
      <c r="CP52" s="56" t="e">
        <f t="shared" si="267"/>
        <v>#DIV/0!</v>
      </c>
      <c r="CQ52" s="50">
        <f t="shared" si="268"/>
        <v>0</v>
      </c>
      <c r="CR52" s="50">
        <f t="shared" si="198"/>
        <v>0</v>
      </c>
      <c r="CS52" s="50">
        <f>IF($AN52="N","N",SUM('調查資料(OUT)'!Z58:Z61))</f>
        <v>0</v>
      </c>
      <c r="CT52" s="50">
        <f>IF($AN52="N","N",SUM('調查資料(OUT)'!AD58:AD61))</f>
        <v>0</v>
      </c>
      <c r="CU52" s="50">
        <f>IF($AN52="N","N",SUM('調查資料(OUT)'!AH58:AH61))</f>
        <v>0</v>
      </c>
      <c r="CV52" s="56" t="e">
        <f t="shared" si="199"/>
        <v>#DIV/0!</v>
      </c>
      <c r="CW52" s="50">
        <f t="shared" si="200"/>
        <v>0</v>
      </c>
      <c r="CX52" s="50">
        <f>IF($AN52="N","N",SUM('調查資料(OUT)'!AA58:AA61))</f>
        <v>0</v>
      </c>
      <c r="CY52" s="50">
        <f>IF($AN52="N","N",SUM('調查資料(OUT)'!AE58:AE61))</f>
        <v>0</v>
      </c>
      <c r="CZ52" s="50">
        <f>IF($AN52="N","N",SUM('調查資料(OUT)'!AI58:AI61))</f>
        <v>0</v>
      </c>
      <c r="DA52" s="56" t="e">
        <f t="shared" si="201"/>
        <v>#DIV/0!</v>
      </c>
      <c r="DB52" s="50">
        <f t="shared" si="202"/>
        <v>0</v>
      </c>
      <c r="DC52" s="50">
        <f>IF($AN52="N","N",SUM('調查資料(OUT)'!AB58:AB61))</f>
        <v>0</v>
      </c>
      <c r="DD52" s="50">
        <f>IF($AN52="N","N",SUM('調查資料(OUT)'!AF58:AF61))</f>
        <v>0</v>
      </c>
      <c r="DE52" s="50">
        <f>IF($AN52="N","N",SUM('調查資料(OUT)'!AJ58:AJ61))</f>
        <v>0</v>
      </c>
      <c r="DF52" s="56" t="e">
        <f t="shared" si="203"/>
        <v>#DIV/0!</v>
      </c>
      <c r="DG52" s="50">
        <f t="shared" si="204"/>
        <v>0</v>
      </c>
      <c r="DH52" s="50">
        <f>IF($AN52="N","N",SUM('調查資料(OUT)'!AC58:AC61))</f>
        <v>0</v>
      </c>
      <c r="DI52" s="50">
        <f>IF($AN52="N","N",SUM('調查資料(OUT)'!AG58:AG61))</f>
        <v>0</v>
      </c>
      <c r="DJ52" s="50">
        <f>IF($AN52="N","N",SUM('調查資料(OUT)'!AK58:AK61))</f>
        <v>0</v>
      </c>
      <c r="DK52" s="56" t="e">
        <f t="shared" si="205"/>
        <v>#DIV/0!</v>
      </c>
      <c r="DL52" s="50">
        <f t="shared" si="269"/>
        <v>0</v>
      </c>
      <c r="DM52" s="56" t="e">
        <f t="shared" si="270"/>
        <v>#DIV/0!</v>
      </c>
      <c r="DN52" s="50">
        <f t="shared" si="271"/>
        <v>0</v>
      </c>
      <c r="DO52" s="56" t="e">
        <f t="shared" si="272"/>
        <v>#DIV/0!</v>
      </c>
      <c r="DP52" s="50">
        <f t="shared" si="273"/>
        <v>0</v>
      </c>
      <c r="DQ52" s="56" t="e">
        <f t="shared" si="274"/>
        <v>#DIV/0!</v>
      </c>
      <c r="DR52" s="50">
        <f t="shared" si="275"/>
        <v>0</v>
      </c>
      <c r="DS52" s="50">
        <f t="shared" si="213"/>
        <v>0</v>
      </c>
      <c r="DT52" s="50">
        <f>IF($AN52="N","N",SUM('調查資料(OUT)'!AL58:AL61))</f>
        <v>0</v>
      </c>
      <c r="DU52" s="50">
        <f>IF($AN52="N","N",SUM('調查資料(OUT)'!AP58:AP61))</f>
        <v>0</v>
      </c>
      <c r="DV52" s="50">
        <f>IF($AN52="N","N",SUM('調查資料(OUT)'!AT58:AT61))</f>
        <v>0</v>
      </c>
      <c r="DW52" s="56" t="e">
        <f t="shared" si="214"/>
        <v>#DIV/0!</v>
      </c>
      <c r="DX52" s="50">
        <f t="shared" si="215"/>
        <v>0</v>
      </c>
      <c r="DY52" s="50">
        <f>IF($AN52="N","N",SUM('調查資料(OUT)'!AM58:AM61))</f>
        <v>0</v>
      </c>
      <c r="DZ52" s="50">
        <f>IF($AN52="N","N",SUM('調查資料(OUT)'!AQ58:AQ61))</f>
        <v>0</v>
      </c>
      <c r="EA52" s="50">
        <f>IF($AN52="N","N",SUM('調查資料(OUT)'!AU58:AU61))</f>
        <v>0</v>
      </c>
      <c r="EB52" s="56" t="e">
        <f t="shared" si="216"/>
        <v>#DIV/0!</v>
      </c>
      <c r="EC52" s="50">
        <f t="shared" si="217"/>
        <v>0</v>
      </c>
      <c r="ED52" s="50">
        <f>IF($AN52="N","N",SUM('調查資料(OUT)'!AN58:AN61))</f>
        <v>0</v>
      </c>
      <c r="EE52" s="50">
        <f>IF($AN52="N","N",SUM('調查資料(OUT)'!AR58:AR61))</f>
        <v>0</v>
      </c>
      <c r="EF52" s="50">
        <f>IF($AN52="N","N",SUM('調查資料(OUT)'!AV58:AV61))</f>
        <v>0</v>
      </c>
      <c r="EG52" s="56" t="e">
        <f t="shared" si="218"/>
        <v>#DIV/0!</v>
      </c>
      <c r="EH52" s="50">
        <f t="shared" si="219"/>
        <v>0</v>
      </c>
      <c r="EI52" s="50">
        <f>IF($AN52="N","N",SUM('調查資料(OUT)'!AO58:AO61))</f>
        <v>0</v>
      </c>
      <c r="EJ52" s="50">
        <f>IF($AN52="N","N",SUM('調查資料(OUT)'!AS58:AS61))</f>
        <v>0</v>
      </c>
      <c r="EK52" s="50">
        <f>IF($AN52="N","N",SUM('調查資料(OUT)'!AW58:AW61))</f>
        <v>0</v>
      </c>
      <c r="EL52" s="56" t="e">
        <f t="shared" si="220"/>
        <v>#DIV/0!</v>
      </c>
      <c r="EM52" s="50">
        <f t="shared" si="276"/>
        <v>0</v>
      </c>
      <c r="EN52" s="56" t="e">
        <f t="shared" si="277"/>
        <v>#DIV/0!</v>
      </c>
      <c r="EO52" s="50">
        <f t="shared" si="278"/>
        <v>0</v>
      </c>
      <c r="EP52" s="56" t="e">
        <f t="shared" si="279"/>
        <v>#DIV/0!</v>
      </c>
      <c r="EQ52" s="50">
        <f t="shared" si="280"/>
        <v>0</v>
      </c>
      <c r="ER52" s="56" t="e">
        <f t="shared" si="281"/>
        <v>#DIV/0!</v>
      </c>
      <c r="ES52" s="50">
        <f t="shared" si="282"/>
        <v>0</v>
      </c>
      <c r="ET52" s="50">
        <f t="shared" si="227"/>
        <v>0</v>
      </c>
      <c r="EU52" s="50">
        <f>IF($AN52="N","N",SUM('調查資料(OUT)'!AX58:AX61))</f>
        <v>0</v>
      </c>
      <c r="EV52" s="50">
        <f>IF($AN52="N","N",SUM('調查資料(OUT)'!BB58:BB61))</f>
        <v>0</v>
      </c>
      <c r="EW52" s="50">
        <f>IF($AN52="N","N",SUM('調查資料(OUT)'!BF58:BF61))</f>
        <v>0</v>
      </c>
      <c r="EX52" s="56" t="e">
        <f t="shared" si="228"/>
        <v>#DIV/0!</v>
      </c>
      <c r="EY52" s="50">
        <f t="shared" si="229"/>
        <v>0</v>
      </c>
      <c r="EZ52" s="50">
        <f>IF($AN52="N","N",SUM('調查資料(OUT)'!AY58:AY61))</f>
        <v>0</v>
      </c>
      <c r="FA52" s="50">
        <f>IF($AN52="N","N",SUM('調查資料(OUT)'!BC58:BC61))</f>
        <v>0</v>
      </c>
      <c r="FB52" s="50">
        <f>IF($AN52="N","N",SUM('調查資料(OUT)'!BG58:BG61))</f>
        <v>0</v>
      </c>
      <c r="FC52" s="56" t="e">
        <f t="shared" si="230"/>
        <v>#DIV/0!</v>
      </c>
      <c r="FD52" s="50">
        <f t="shared" si="231"/>
        <v>0</v>
      </c>
      <c r="FE52" s="50">
        <f>IF($AN52="N","N",SUM('調查資料(OUT)'!AZ58:AZ61))</f>
        <v>0</v>
      </c>
      <c r="FF52" s="50">
        <f>IF($AN52="N","N",SUM('調查資料(OUT)'!BD58:BD61))</f>
        <v>0</v>
      </c>
      <c r="FG52" s="50">
        <f>IF($AN52="N","N",SUM('調查資料(OUT)'!BH58:BH61))</f>
        <v>0</v>
      </c>
      <c r="FH52" s="56" t="e">
        <f t="shared" si="232"/>
        <v>#DIV/0!</v>
      </c>
      <c r="FI52" s="50">
        <f t="shared" si="233"/>
        <v>0</v>
      </c>
      <c r="FJ52" s="50">
        <f>IF($AN52="N","N",SUM('調查資料(OUT)'!BA58:BA61))</f>
        <v>0</v>
      </c>
      <c r="FK52" s="50">
        <f>IF($AN52="N","N",SUM('調查資料(OUT)'!BE58:BE61))</f>
        <v>0</v>
      </c>
      <c r="FL52" s="50">
        <f>IF($AN52="N","N",SUM('調查資料(OUT)'!BI58:BI61))</f>
        <v>0</v>
      </c>
      <c r="FM52" s="56" t="e">
        <f t="shared" si="234"/>
        <v>#DIV/0!</v>
      </c>
      <c r="FN52" s="50">
        <f t="shared" si="246"/>
        <v>0</v>
      </c>
      <c r="FO52" s="56" t="e">
        <f t="shared" si="247"/>
        <v>#DIV/0!</v>
      </c>
      <c r="FP52" s="50">
        <f t="shared" si="248"/>
        <v>0</v>
      </c>
      <c r="FQ52" s="56" t="e">
        <f t="shared" si="249"/>
        <v>#DIV/0!</v>
      </c>
      <c r="FR52" s="50">
        <f t="shared" si="250"/>
        <v>0</v>
      </c>
      <c r="FS52" s="56" t="e">
        <f t="shared" si="251"/>
        <v>#DIV/0!</v>
      </c>
      <c r="FT52" s="50">
        <f t="shared" si="252"/>
        <v>0</v>
      </c>
    </row>
    <row r="53" spans="1:176">
      <c r="A53" s="314">
        <f>'調查資料(OUT)'!A59</f>
        <v>1200</v>
      </c>
      <c r="B53" s="315">
        <f t="shared" si="238"/>
        <v>0</v>
      </c>
      <c r="C53" s="315">
        <f>IFERROR('調查資料(OUT)'!$B$1*'調查資料(OUT)'!B59,0)+IFERROR('調查資料(OUT)'!$F$1*'調查資料(OUT)'!F59,0)+IFERROR('調查資料(OUT)'!$J$1*'調查資料(OUT)'!J59,0)</f>
        <v>0</v>
      </c>
      <c r="D53" s="315">
        <f>IFERROR('調查資料(OUT)'!$C$1*'調查資料(OUT)'!C59,0)+IFERROR('調查資料(OUT)'!$G$1*'調查資料(OUT)'!G59,0)+IFERROR('調查資料(OUT)'!$K$1*'調查資料(OUT)'!K59,0)</f>
        <v>0</v>
      </c>
      <c r="E53" s="315">
        <f>IFERROR('調查資料(OUT)'!$D$1*'調查資料(OUT)'!D59,0)+IFERROR('調查資料(OUT)'!$H$1*'調查資料(OUT)'!H59,0)+IFERROR('調查資料(OUT)'!$L$1*'調查資料(OUT)'!L59,0)</f>
        <v>0</v>
      </c>
      <c r="F53" s="316">
        <f>IFERROR('調查資料(OUT)'!$E$1*'調查資料(OUT)'!E59,0)+IFERROR('調查資料(OUT)'!$I$1*'調查資料(OUT)'!I59,0)+IFERROR('調查資料(OUT)'!$M$1*'調查資料(OUT)'!M59,0)</f>
        <v>0</v>
      </c>
      <c r="G53" s="315">
        <f t="shared" si="239"/>
        <v>0</v>
      </c>
      <c r="H53" s="315">
        <f>IFERROR('調查資料(OUT)'!$N$1*'調查資料(OUT)'!N59,0)+IFERROR('調查資料(OUT)'!$R$1*'調查資料(OUT)'!R59,0)+IFERROR('調查資料(OUT)'!$V$1*'調查資料(OUT)'!V59,0)</f>
        <v>0</v>
      </c>
      <c r="I53" s="315">
        <f>IFERROR('調查資料(OUT)'!$O$1*'調查資料(OUT)'!O59,0)+IFERROR('調查資料(OUT)'!$S$1*'調查資料(OUT)'!S59,0)+IFERROR('調查資料(OUT)'!$W$1*'調查資料(OUT)'!W59,0)</f>
        <v>0</v>
      </c>
      <c r="J53" s="315">
        <f>IFERROR('調查資料(OUT)'!$P$1*'調查資料(OUT)'!P59,0)+IFERROR('調查資料(OUT)'!$T$1*'調查資料(OUT)'!T59,0)+IFERROR('調查資料(OUT)'!$X$1*'調查資料(OUT)'!X59,0)</f>
        <v>0</v>
      </c>
      <c r="K53" s="316">
        <f>IFERROR('調查資料(OUT)'!$Q$1*'調查資料(OUT)'!Q59,0)+IFERROR('調查資料(OUT)'!$U$1*'調查資料(OUT)'!U59,0)+IFERROR('調查資料(OUT)'!$Y$1*'調查資料(OUT)'!Y59,0)</f>
        <v>0</v>
      </c>
      <c r="L53" s="315">
        <f t="shared" si="240"/>
        <v>0</v>
      </c>
      <c r="M53" s="315">
        <f>IFERROR('調查資料(OUT)'!$Z$1*'調查資料(OUT)'!Z59,0)+IFERROR('調查資料(OUT)'!$AD$1*'調查資料(OUT)'!AD59,0)+IFERROR('調查資料(OUT)'!$AH$1*'調查資料(OUT)'!AH59,0)</f>
        <v>0</v>
      </c>
      <c r="N53" s="315">
        <f>IFERROR('調查資料(OUT)'!$AA$1*'調查資料(OUT)'!AA59,0)+IFERROR('調查資料(OUT)'!$AE$1*'調查資料(OUT)'!AE59,0)+IFERROR('調查資料(OUT)'!$AI$1*'調查資料(OUT)'!AI59,0)</f>
        <v>0</v>
      </c>
      <c r="O53" s="315">
        <f>IFERROR('調查資料(OUT)'!$AB$1*'調查資料(OUT)'!AB59,0)+IFERROR('調查資料(OUT)'!$AF$1*'調查資料(OUT)'!AF59,0)+IFERROR('調查資料(OUT)'!$AJ$1*'調查資料(OUT)'!AJ59,0)</f>
        <v>0</v>
      </c>
      <c r="P53" s="316">
        <f>IFERROR('調查資料(OUT)'!$AC$1*'調查資料(OUT)'!AC59,0)+IFERROR('調查資料(OUT)'!$AG$1*'調查資料(OUT)'!AG59,0)+IFERROR('調查資料(OUT)'!$AK$1*'調查資料(OUT)'!AK59,0)</f>
        <v>0</v>
      </c>
      <c r="Q53" s="315">
        <f t="shared" si="241"/>
        <v>0</v>
      </c>
      <c r="R53" s="315">
        <f>IFERROR('調查資料(OUT)'!$AL$1*'調查資料(OUT)'!AL59,0)+IFERROR('調查資料(OUT)'!$AP$1*'調查資料(OUT)'!AP59,0)+IFERROR('調查資料(OUT)'!$AT$1*'調查資料(OUT)'!AT59,0)</f>
        <v>0</v>
      </c>
      <c r="S53" s="315">
        <f>IFERROR('調查資料(OUT)'!$AM$1*'調查資料(OUT)'!AM59,0)+IFERROR('調查資料(OUT)'!$AQ$1*'調查資料(OUT)'!AQ59,0)+IFERROR('調查資料(OUT)'!$AU$1*'調查資料(OUT)'!AU59,0)</f>
        <v>0</v>
      </c>
      <c r="T53" s="315">
        <f>IFERROR('調查資料(OUT)'!$AN$1*'調查資料(OUT)'!AN59,0)+IFERROR('調查資料(OUT)'!$AR$1*'調查資料(OUT)'!AR59,0)+IFERROR('調查資料(OUT)'!$AV$1*'調查資料(OUT)'!AV59,0)</f>
        <v>0</v>
      </c>
      <c r="U53" s="316">
        <f>IFERROR('調查資料(OUT)'!$AO$1*'調查資料(OUT)'!AO59,0)+IFERROR('調查資料(OUT)'!$AS$1*'調查資料(OUT)'!AS59,0)+IFERROR('調查資料(OUT)'!$AW$1*'調查資料(OUT)'!AW59,0)</f>
        <v>0</v>
      </c>
      <c r="V53" s="315">
        <f t="shared" si="242"/>
        <v>0</v>
      </c>
      <c r="W53" s="315">
        <f>IFERROR('調查資料(OUT)'!$AX$1*'調查資料(OUT)'!AX59,0)+IFERROR('調查資料(OUT)'!$BB$1*'調查資料(OUT)'!BB59,0)+IFERROR('調查資料(OUT)'!$BF$1*'調查資料(OUT)'!BF59,0)</f>
        <v>0</v>
      </c>
      <c r="X53" s="315">
        <f>IFERROR('調查資料(OUT)'!$AY$1*'調查資料(OUT)'!AY59,0)+IFERROR('調查資料(OUT)'!$BC$1*'調查資料(OUT)'!BC59,0)+IFERROR('調查資料(OUT)'!$BG$1*'調查資料(OUT)'!BG59,0)</f>
        <v>0</v>
      </c>
      <c r="Y53" s="315">
        <f>IFERROR('調查資料(OUT)'!$AZ$1*'調查資料(OUT)'!AZ59,0)+IFERROR('調查資料(OUT)'!$BD$1*'調查資料(OUT)'!BD59,0)+IFERROR('調查資料(OUT)'!$BH$1*'調查資料(OUT)'!BH59,0)</f>
        <v>0</v>
      </c>
      <c r="Z53" s="316">
        <f>IFERROR('調查資料(OUT)'!$BA$1*'調查資料(OUT)'!BA59,0)+IFERROR('調查資料(OUT)'!$BE$1*'調查資料(OUT)'!BE59,0)+IFERROR('調查資料(OUT)'!$BI$1*'調查資料(OUT)'!BI59,0)</f>
        <v>0</v>
      </c>
      <c r="AA53" s="317">
        <f t="shared" si="243"/>
        <v>0</v>
      </c>
      <c r="AC53" s="352">
        <f>'調查資料(OUT)'!A59</f>
        <v>1200</v>
      </c>
      <c r="AD53" s="353">
        <f t="shared" si="244"/>
        <v>1300</v>
      </c>
      <c r="AE53" s="315">
        <f t="shared" si="254"/>
        <v>0</v>
      </c>
      <c r="AF53" s="315"/>
      <c r="AG53" s="315">
        <f t="shared" si="290"/>
        <v>0</v>
      </c>
      <c r="AH53" s="355" t="e">
        <f>IF($AE53=AF$41,SUM(B53:B56)/(4*(MAX(B53:B56))),0)</f>
        <v>#DIV/0!</v>
      </c>
      <c r="AI53" s="355" t="e">
        <f>IF($AE53=AF$41,SUM(G53:G56)/(4*(MAX(G53:G56))),0)</f>
        <v>#DIV/0!</v>
      </c>
      <c r="AJ53" s="355" t="e">
        <f>IF($AE53=AF$41,SUM(L53:L56)/(4*(MAX(L53:L56))),0)</f>
        <v>#DIV/0!</v>
      </c>
      <c r="AK53" s="355" t="e">
        <f>IF($AE53=AF$41,SUM(Q53:Q56)/(4*(MAX(Q53:Q56))),0)</f>
        <v>#DIV/0!</v>
      </c>
      <c r="AL53" s="355" t="e">
        <f>IF($AE53=AF$41,SUM(V53:V56)/(4*(MAX(V53:V56))),0)</f>
        <v>#DIV/0!</v>
      </c>
      <c r="AM53" s="357"/>
      <c r="AN53" s="315">
        <f>IF(AE53=AF$41,$AC53,"N")</f>
        <v>1200</v>
      </c>
      <c r="AO53" s="316">
        <f>IF(AE53=AF$41,$AD53,"N")</f>
        <v>1300</v>
      </c>
      <c r="AP53" s="50">
        <f t="shared" si="245"/>
        <v>0</v>
      </c>
      <c r="AQ53" s="50">
        <f>IF($AN53="N","N",SUM('調查資料(OUT)'!B59:B62))</f>
        <v>0</v>
      </c>
      <c r="AR53" s="50">
        <f>IF($AN53="N","N",SUM('調查資料(OUT)'!F59:F62))</f>
        <v>0</v>
      </c>
      <c r="AS53" s="50">
        <f>IF($AN53="N","N",SUM('調查資料(OUT)'!J59:J62))</f>
        <v>0</v>
      </c>
      <c r="AT53" s="56" t="e">
        <f t="shared" si="169"/>
        <v>#DIV/0!</v>
      </c>
      <c r="AU53" s="50">
        <f t="shared" si="170"/>
        <v>0</v>
      </c>
      <c r="AV53" s="50">
        <f>IF($AN53="N","N",SUM('調查資料(OUT)'!C59:C62))</f>
        <v>0</v>
      </c>
      <c r="AW53" s="50">
        <f>IF($AN53="N","N",SUM('調查資料(OUT)'!G59:G62))</f>
        <v>0</v>
      </c>
      <c r="AX53" s="50">
        <f>IF($AN53="N","N",SUM('調查資料(OUT)'!K59:K62))</f>
        <v>0</v>
      </c>
      <c r="AY53" s="56" t="e">
        <f t="shared" si="171"/>
        <v>#DIV/0!</v>
      </c>
      <c r="AZ53" s="50">
        <f t="shared" si="172"/>
        <v>0</v>
      </c>
      <c r="BA53" s="50">
        <f>IF($AN53="N","N",SUM('調查資料(OUT)'!D59:D62))</f>
        <v>0</v>
      </c>
      <c r="BB53" s="50">
        <f>IF($AN53="N","N",SUM('調查資料(OUT)'!H59:H62))</f>
        <v>0</v>
      </c>
      <c r="BC53" s="50">
        <f>IF($AN53="N","N",SUM('調查資料(OUT)'!L59:L62))</f>
        <v>0</v>
      </c>
      <c r="BD53" s="56" t="e">
        <f t="shared" si="173"/>
        <v>#DIV/0!</v>
      </c>
      <c r="BE53" s="50">
        <f t="shared" si="174"/>
        <v>0</v>
      </c>
      <c r="BF53" s="50">
        <f>IF($AN53="N","N",SUM('調查資料(OUT)'!E59:E62))</f>
        <v>0</v>
      </c>
      <c r="BG53" s="50">
        <f>IF($AN53="N","N",SUM('調查資料(OUT)'!I59:I62))</f>
        <v>0</v>
      </c>
      <c r="BH53" s="50">
        <f>IF($AN53="N","N",SUM('調查資料(OUT)'!M59:M62))</f>
        <v>0</v>
      </c>
      <c r="BI53" s="56" t="e">
        <f t="shared" si="175"/>
        <v>#DIV/0!</v>
      </c>
      <c r="BJ53" s="50">
        <f t="shared" si="255"/>
        <v>0</v>
      </c>
      <c r="BK53" s="56" t="e">
        <f t="shared" si="256"/>
        <v>#DIV/0!</v>
      </c>
      <c r="BL53" s="50">
        <f t="shared" si="257"/>
        <v>0</v>
      </c>
      <c r="BM53" s="56" t="e">
        <f t="shared" si="258"/>
        <v>#DIV/0!</v>
      </c>
      <c r="BN53" s="50">
        <f t="shared" si="259"/>
        <v>0</v>
      </c>
      <c r="BO53" s="56" t="e">
        <f t="shared" si="260"/>
        <v>#DIV/0!</v>
      </c>
      <c r="BP53" s="50">
        <f t="shared" si="261"/>
        <v>0</v>
      </c>
      <c r="BQ53" s="50">
        <f t="shared" si="183"/>
        <v>0</v>
      </c>
      <c r="BR53" s="50">
        <f>IF($AN53="N","N",SUM('調查資料(OUT)'!N59:N62))</f>
        <v>0</v>
      </c>
      <c r="BS53" s="50">
        <f>IF($AN53="N","N",SUM('調查資料(OUT)'!R59:R62))</f>
        <v>0</v>
      </c>
      <c r="BT53" s="50">
        <f>IF($AN53="N","N",SUM('調查資料(OUT)'!V59:V62))</f>
        <v>0</v>
      </c>
      <c r="BU53" s="56" t="e">
        <f t="shared" si="184"/>
        <v>#DIV/0!</v>
      </c>
      <c r="BV53" s="50">
        <f t="shared" si="185"/>
        <v>0</v>
      </c>
      <c r="BW53" s="50">
        <f>IF($AN53="N","N",SUM('調查資料(OUT)'!O59:O62))</f>
        <v>0</v>
      </c>
      <c r="BX53" s="50">
        <f>IF($AN53="N","N",SUM('調查資料(OUT)'!S59:S62))</f>
        <v>0</v>
      </c>
      <c r="BY53" s="50">
        <f>IF($AN53="N","N",SUM('調查資料(OUT)'!W59:W62))</f>
        <v>0</v>
      </c>
      <c r="BZ53" s="56" t="e">
        <f t="shared" si="186"/>
        <v>#DIV/0!</v>
      </c>
      <c r="CA53" s="50">
        <f t="shared" si="187"/>
        <v>0</v>
      </c>
      <c r="CB53" s="50">
        <f>IF($AN53="N","N",SUM('調查資料(OUT)'!P59:P62))</f>
        <v>0</v>
      </c>
      <c r="CC53" s="50">
        <f>IF($AN53="N","N",SUM('調查資料(OUT)'!T59:T62))</f>
        <v>0</v>
      </c>
      <c r="CD53" s="50">
        <f>IF($AN53="N","N",SUM('調查資料(OUT)'!X59:X62))</f>
        <v>0</v>
      </c>
      <c r="CE53" s="56" t="e">
        <f t="shared" si="188"/>
        <v>#DIV/0!</v>
      </c>
      <c r="CF53" s="50">
        <f t="shared" si="189"/>
        <v>0</v>
      </c>
      <c r="CG53" s="50">
        <f>IF($AN53="N","N",SUM('調查資料(OUT)'!Q59:Q62))</f>
        <v>0</v>
      </c>
      <c r="CH53" s="50">
        <f>IF($AN53="N","N",SUM('調查資料(OUT)'!U59:U62))</f>
        <v>0</v>
      </c>
      <c r="CI53" s="50">
        <f>IF($AN53="N","N",SUM('調查資料(OUT)'!Y59:Y62))</f>
        <v>0</v>
      </c>
      <c r="CJ53" s="56" t="e">
        <f t="shared" si="190"/>
        <v>#DIV/0!</v>
      </c>
      <c r="CK53" s="50">
        <f t="shared" si="262"/>
        <v>0</v>
      </c>
      <c r="CL53" s="56" t="e">
        <f t="shared" si="263"/>
        <v>#DIV/0!</v>
      </c>
      <c r="CM53" s="50">
        <f t="shared" si="264"/>
        <v>0</v>
      </c>
      <c r="CN53" s="56" t="e">
        <f t="shared" si="265"/>
        <v>#DIV/0!</v>
      </c>
      <c r="CO53" s="50">
        <f t="shared" si="266"/>
        <v>0</v>
      </c>
      <c r="CP53" s="56" t="e">
        <f t="shared" si="267"/>
        <v>#DIV/0!</v>
      </c>
      <c r="CQ53" s="50">
        <f t="shared" si="268"/>
        <v>0</v>
      </c>
      <c r="CR53" s="50">
        <f t="shared" si="198"/>
        <v>0</v>
      </c>
      <c r="CS53" s="50">
        <f>IF($AN53="N","N",SUM('調查資料(OUT)'!Z59:Z62))</f>
        <v>0</v>
      </c>
      <c r="CT53" s="50">
        <f>IF($AN53="N","N",SUM('調查資料(OUT)'!AD59:AD62))</f>
        <v>0</v>
      </c>
      <c r="CU53" s="50">
        <f>IF($AN53="N","N",SUM('調查資料(OUT)'!AH59:AH62))</f>
        <v>0</v>
      </c>
      <c r="CV53" s="56" t="e">
        <f t="shared" si="199"/>
        <v>#DIV/0!</v>
      </c>
      <c r="CW53" s="50">
        <f t="shared" si="200"/>
        <v>0</v>
      </c>
      <c r="CX53" s="50">
        <f>IF($AN53="N","N",SUM('調查資料(OUT)'!AA59:AA62))</f>
        <v>0</v>
      </c>
      <c r="CY53" s="50">
        <f>IF($AN53="N","N",SUM('調查資料(OUT)'!AE59:AE62))</f>
        <v>0</v>
      </c>
      <c r="CZ53" s="50">
        <f>IF($AN53="N","N",SUM('調查資料(OUT)'!AI59:AI62))</f>
        <v>0</v>
      </c>
      <c r="DA53" s="56" t="e">
        <f t="shared" si="201"/>
        <v>#DIV/0!</v>
      </c>
      <c r="DB53" s="50">
        <f t="shared" si="202"/>
        <v>0</v>
      </c>
      <c r="DC53" s="50">
        <f>IF($AN53="N","N",SUM('調查資料(OUT)'!AB59:AB62))</f>
        <v>0</v>
      </c>
      <c r="DD53" s="50">
        <f>IF($AN53="N","N",SUM('調查資料(OUT)'!AF59:AF62))</f>
        <v>0</v>
      </c>
      <c r="DE53" s="50">
        <f>IF($AN53="N","N",SUM('調查資料(OUT)'!AJ59:AJ62))</f>
        <v>0</v>
      </c>
      <c r="DF53" s="56" t="e">
        <f t="shared" si="203"/>
        <v>#DIV/0!</v>
      </c>
      <c r="DG53" s="50">
        <f t="shared" si="204"/>
        <v>0</v>
      </c>
      <c r="DH53" s="50">
        <f>IF($AN53="N","N",SUM('調查資料(OUT)'!AC59:AC62))</f>
        <v>0</v>
      </c>
      <c r="DI53" s="50">
        <f>IF($AN53="N","N",SUM('調查資料(OUT)'!AG59:AG62))</f>
        <v>0</v>
      </c>
      <c r="DJ53" s="50">
        <f>IF($AN53="N","N",SUM('調查資料(OUT)'!AK59:AK62))</f>
        <v>0</v>
      </c>
      <c r="DK53" s="56" t="e">
        <f t="shared" si="205"/>
        <v>#DIV/0!</v>
      </c>
      <c r="DL53" s="50">
        <f t="shared" si="269"/>
        <v>0</v>
      </c>
      <c r="DM53" s="56" t="e">
        <f t="shared" si="270"/>
        <v>#DIV/0!</v>
      </c>
      <c r="DN53" s="50">
        <f t="shared" si="271"/>
        <v>0</v>
      </c>
      <c r="DO53" s="56" t="e">
        <f t="shared" si="272"/>
        <v>#DIV/0!</v>
      </c>
      <c r="DP53" s="50">
        <f t="shared" si="273"/>
        <v>0</v>
      </c>
      <c r="DQ53" s="56" t="e">
        <f t="shared" si="274"/>
        <v>#DIV/0!</v>
      </c>
      <c r="DR53" s="50">
        <f t="shared" si="275"/>
        <v>0</v>
      </c>
      <c r="DS53" s="50">
        <f t="shared" si="213"/>
        <v>0</v>
      </c>
      <c r="DT53" s="50">
        <f>IF($AN53="N","N",SUM('調查資料(OUT)'!AL59:AL62))</f>
        <v>0</v>
      </c>
      <c r="DU53" s="50">
        <f>IF($AN53="N","N",SUM('調查資料(OUT)'!AP59:AP62))</f>
        <v>0</v>
      </c>
      <c r="DV53" s="50">
        <f>IF($AN53="N","N",SUM('調查資料(OUT)'!AT59:AT62))</f>
        <v>0</v>
      </c>
      <c r="DW53" s="56" t="e">
        <f t="shared" si="214"/>
        <v>#DIV/0!</v>
      </c>
      <c r="DX53" s="50">
        <f t="shared" si="215"/>
        <v>0</v>
      </c>
      <c r="DY53" s="50">
        <f>IF($AN53="N","N",SUM('調查資料(OUT)'!AM59:AM62))</f>
        <v>0</v>
      </c>
      <c r="DZ53" s="50">
        <f>IF($AN53="N","N",SUM('調查資料(OUT)'!AQ59:AQ62))</f>
        <v>0</v>
      </c>
      <c r="EA53" s="50">
        <f>IF($AN53="N","N",SUM('調查資料(OUT)'!AU59:AU62))</f>
        <v>0</v>
      </c>
      <c r="EB53" s="56" t="e">
        <f t="shared" si="216"/>
        <v>#DIV/0!</v>
      </c>
      <c r="EC53" s="50">
        <f t="shared" si="217"/>
        <v>0</v>
      </c>
      <c r="ED53" s="50">
        <f>IF($AN53="N","N",SUM('調查資料(OUT)'!AN59:AN62))</f>
        <v>0</v>
      </c>
      <c r="EE53" s="50">
        <f>IF($AN53="N","N",SUM('調查資料(OUT)'!AR59:AR62))</f>
        <v>0</v>
      </c>
      <c r="EF53" s="50">
        <f>IF($AN53="N","N",SUM('調查資料(OUT)'!AV59:AV62))</f>
        <v>0</v>
      </c>
      <c r="EG53" s="56" t="e">
        <f t="shared" si="218"/>
        <v>#DIV/0!</v>
      </c>
      <c r="EH53" s="50">
        <f t="shared" si="219"/>
        <v>0</v>
      </c>
      <c r="EI53" s="50">
        <f>IF($AN53="N","N",SUM('調查資料(OUT)'!AO59:AO62))</f>
        <v>0</v>
      </c>
      <c r="EJ53" s="50">
        <f>IF($AN53="N","N",SUM('調查資料(OUT)'!AS59:AS62))</f>
        <v>0</v>
      </c>
      <c r="EK53" s="50">
        <f>IF($AN53="N","N",SUM('調查資料(OUT)'!AW59:AW62))</f>
        <v>0</v>
      </c>
      <c r="EL53" s="56" t="e">
        <f t="shared" si="220"/>
        <v>#DIV/0!</v>
      </c>
      <c r="EM53" s="50">
        <f t="shared" si="276"/>
        <v>0</v>
      </c>
      <c r="EN53" s="56" t="e">
        <f t="shared" si="277"/>
        <v>#DIV/0!</v>
      </c>
      <c r="EO53" s="50">
        <f t="shared" si="278"/>
        <v>0</v>
      </c>
      <c r="EP53" s="56" t="e">
        <f t="shared" si="279"/>
        <v>#DIV/0!</v>
      </c>
      <c r="EQ53" s="50">
        <f t="shared" si="280"/>
        <v>0</v>
      </c>
      <c r="ER53" s="56" t="e">
        <f t="shared" si="281"/>
        <v>#DIV/0!</v>
      </c>
      <c r="ES53" s="50">
        <f t="shared" si="282"/>
        <v>0</v>
      </c>
      <c r="ET53" s="50">
        <f t="shared" si="227"/>
        <v>0</v>
      </c>
      <c r="EU53" s="50">
        <f>IF($AN53="N","N",SUM('調查資料(OUT)'!AX59:AX62))</f>
        <v>0</v>
      </c>
      <c r="EV53" s="50">
        <f>IF($AN53="N","N",SUM('調查資料(OUT)'!BB59:BB62))</f>
        <v>0</v>
      </c>
      <c r="EW53" s="50">
        <f>IF($AN53="N","N",SUM('調查資料(OUT)'!BF59:BF62))</f>
        <v>0</v>
      </c>
      <c r="EX53" s="56" t="e">
        <f t="shared" si="228"/>
        <v>#DIV/0!</v>
      </c>
      <c r="EY53" s="50">
        <f t="shared" si="229"/>
        <v>0</v>
      </c>
      <c r="EZ53" s="50">
        <f>IF($AN53="N","N",SUM('調查資料(OUT)'!AY59:AY62))</f>
        <v>0</v>
      </c>
      <c r="FA53" s="50">
        <f>IF($AN53="N","N",SUM('調查資料(OUT)'!BC59:BC62))</f>
        <v>0</v>
      </c>
      <c r="FB53" s="50">
        <f>IF($AN53="N","N",SUM('調查資料(OUT)'!BG59:BG62))</f>
        <v>0</v>
      </c>
      <c r="FC53" s="56" t="e">
        <f t="shared" si="230"/>
        <v>#DIV/0!</v>
      </c>
      <c r="FD53" s="50">
        <f t="shared" si="231"/>
        <v>0</v>
      </c>
      <c r="FE53" s="50">
        <f>IF($AN53="N","N",SUM('調查資料(OUT)'!AZ59:AZ62))</f>
        <v>0</v>
      </c>
      <c r="FF53" s="50">
        <f>IF($AN53="N","N",SUM('調查資料(OUT)'!BD59:BD62))</f>
        <v>0</v>
      </c>
      <c r="FG53" s="50">
        <f>IF($AN53="N","N",SUM('調查資料(OUT)'!BH59:BH62))</f>
        <v>0</v>
      </c>
      <c r="FH53" s="56" t="e">
        <f t="shared" si="232"/>
        <v>#DIV/0!</v>
      </c>
      <c r="FI53" s="50">
        <f t="shared" si="233"/>
        <v>0</v>
      </c>
      <c r="FJ53" s="50">
        <f>IF($AN53="N","N",SUM('調查資料(OUT)'!BA59:BA62))</f>
        <v>0</v>
      </c>
      <c r="FK53" s="50">
        <f>IF($AN53="N","N",SUM('調查資料(OUT)'!BE59:BE62))</f>
        <v>0</v>
      </c>
      <c r="FL53" s="50">
        <f>IF($AN53="N","N",SUM('調查資料(OUT)'!BI59:BI62))</f>
        <v>0</v>
      </c>
      <c r="FM53" s="56" t="e">
        <f t="shared" si="234"/>
        <v>#DIV/0!</v>
      </c>
      <c r="FN53" s="50">
        <f t="shared" si="246"/>
        <v>0</v>
      </c>
      <c r="FO53" s="56" t="e">
        <f t="shared" si="247"/>
        <v>#DIV/0!</v>
      </c>
      <c r="FP53" s="50">
        <f t="shared" si="248"/>
        <v>0</v>
      </c>
      <c r="FQ53" s="56" t="e">
        <f t="shared" si="249"/>
        <v>#DIV/0!</v>
      </c>
      <c r="FR53" s="50">
        <f t="shared" si="250"/>
        <v>0</v>
      </c>
      <c r="FS53" s="56" t="e">
        <f t="shared" si="251"/>
        <v>#DIV/0!</v>
      </c>
      <c r="FT53" s="50">
        <f t="shared" si="252"/>
        <v>0</v>
      </c>
    </row>
    <row r="54" spans="1:176">
      <c r="A54" s="274">
        <f>'調查資料(OUT)'!A60</f>
        <v>1215</v>
      </c>
      <c r="B54" s="50">
        <f t="shared" si="238"/>
        <v>0</v>
      </c>
      <c r="C54" s="50">
        <f>IFERROR('調查資料(OUT)'!$B$1*'調查資料(OUT)'!B60,0)+IFERROR('調查資料(OUT)'!$F$1*'調查資料(OUT)'!F60,0)+IFERROR('調查資料(OUT)'!$J$1*'調查資料(OUT)'!J60,0)</f>
        <v>0</v>
      </c>
      <c r="D54" s="50">
        <f>IFERROR('調查資料(OUT)'!$C$1*'調查資料(OUT)'!C60,0)+IFERROR('調查資料(OUT)'!$G$1*'調查資料(OUT)'!G60,0)+IFERROR('調查資料(OUT)'!$K$1*'調查資料(OUT)'!K60,0)</f>
        <v>0</v>
      </c>
      <c r="E54" s="50">
        <f>IFERROR('調查資料(OUT)'!$D$1*'調查資料(OUT)'!D60,0)+IFERROR('調查資料(OUT)'!$H$1*'調查資料(OUT)'!H60,0)+IFERROR('調查資料(OUT)'!$L$1*'調查資料(OUT)'!L60,0)</f>
        <v>0</v>
      </c>
      <c r="F54" s="252">
        <f>IFERROR('調查資料(OUT)'!$E$1*'調查資料(OUT)'!E60,0)+IFERROR('調查資料(OUT)'!$I$1*'調查資料(OUT)'!I60,0)+IFERROR('調查資料(OUT)'!$M$1*'調查資料(OUT)'!M60,0)</f>
        <v>0</v>
      </c>
      <c r="G54" s="50">
        <f t="shared" si="239"/>
        <v>0</v>
      </c>
      <c r="H54" s="50">
        <f>IFERROR('調查資料(OUT)'!$N$1*'調查資料(OUT)'!N60,0)+IFERROR('調查資料(OUT)'!$R$1*'調查資料(OUT)'!R60,0)+IFERROR('調查資料(OUT)'!$V$1*'調查資料(OUT)'!V60,0)</f>
        <v>0</v>
      </c>
      <c r="I54" s="50">
        <f>IFERROR('調查資料(OUT)'!$O$1*'調查資料(OUT)'!O60,0)+IFERROR('調查資料(OUT)'!$S$1*'調查資料(OUT)'!S60,0)+IFERROR('調查資料(OUT)'!$W$1*'調查資料(OUT)'!W60,0)</f>
        <v>0</v>
      </c>
      <c r="J54" s="50">
        <f>IFERROR('調查資料(OUT)'!$P$1*'調查資料(OUT)'!P60,0)+IFERROR('調查資料(OUT)'!$T$1*'調查資料(OUT)'!T60,0)+IFERROR('調查資料(OUT)'!$X$1*'調查資料(OUT)'!X60,0)</f>
        <v>0</v>
      </c>
      <c r="K54" s="252">
        <f>IFERROR('調查資料(OUT)'!$Q$1*'調查資料(OUT)'!Q60,0)+IFERROR('調查資料(OUT)'!$U$1*'調查資料(OUT)'!U60,0)+IFERROR('調查資料(OUT)'!$Y$1*'調查資料(OUT)'!Y60,0)</f>
        <v>0</v>
      </c>
      <c r="L54" s="50">
        <f t="shared" si="240"/>
        <v>0</v>
      </c>
      <c r="M54" s="50">
        <f>IFERROR('調查資料(OUT)'!$Z$1*'調查資料(OUT)'!Z60,0)+IFERROR('調查資料(OUT)'!$AD$1*'調查資料(OUT)'!AD60,0)+IFERROR('調查資料(OUT)'!$AH$1*'調查資料(OUT)'!AH60,0)</f>
        <v>0</v>
      </c>
      <c r="N54" s="50">
        <f>IFERROR('調查資料(OUT)'!$AA$1*'調查資料(OUT)'!AA60,0)+IFERROR('調查資料(OUT)'!$AE$1*'調查資料(OUT)'!AE60,0)+IFERROR('調查資料(OUT)'!$AI$1*'調查資料(OUT)'!AI60,0)</f>
        <v>0</v>
      </c>
      <c r="O54" s="50">
        <f>IFERROR('調查資料(OUT)'!$AB$1*'調查資料(OUT)'!AB60,0)+IFERROR('調查資料(OUT)'!$AF$1*'調查資料(OUT)'!AF60,0)+IFERROR('調查資料(OUT)'!$AJ$1*'調查資料(OUT)'!AJ60,0)</f>
        <v>0</v>
      </c>
      <c r="P54" s="252">
        <f>IFERROR('調查資料(OUT)'!$AC$1*'調查資料(OUT)'!AC60,0)+IFERROR('調查資料(OUT)'!$AG$1*'調查資料(OUT)'!AG60,0)+IFERROR('調查資料(OUT)'!$AK$1*'調查資料(OUT)'!AK60,0)</f>
        <v>0</v>
      </c>
      <c r="Q54" s="50">
        <f t="shared" si="241"/>
        <v>0</v>
      </c>
      <c r="R54" s="50">
        <f>IFERROR('調查資料(OUT)'!$AL$1*'調查資料(OUT)'!AL60,0)+IFERROR('調查資料(OUT)'!$AP$1*'調查資料(OUT)'!AP60,0)+IFERROR('調查資料(OUT)'!$AT$1*'調查資料(OUT)'!AT60,0)</f>
        <v>0</v>
      </c>
      <c r="S54" s="50">
        <f>IFERROR('調查資料(OUT)'!$AM$1*'調查資料(OUT)'!AM60,0)+IFERROR('調查資料(OUT)'!$AQ$1*'調查資料(OUT)'!AQ60,0)+IFERROR('調查資料(OUT)'!$AU$1*'調查資料(OUT)'!AU60,0)</f>
        <v>0</v>
      </c>
      <c r="T54" s="50">
        <f>IFERROR('調查資料(OUT)'!$AN$1*'調查資料(OUT)'!AN60,0)+IFERROR('調查資料(OUT)'!$AR$1*'調查資料(OUT)'!AR60,0)+IFERROR('調查資料(OUT)'!$AV$1*'調查資料(OUT)'!AV60,0)</f>
        <v>0</v>
      </c>
      <c r="U54" s="252">
        <f>IFERROR('調查資料(OUT)'!$AO$1*'調查資料(OUT)'!AO60,0)+IFERROR('調查資料(OUT)'!$AS$1*'調查資料(OUT)'!AS60,0)+IFERROR('調查資料(OUT)'!$AW$1*'調查資料(OUT)'!AW60,0)</f>
        <v>0</v>
      </c>
      <c r="V54" s="50">
        <f t="shared" si="242"/>
        <v>0</v>
      </c>
      <c r="W54" s="50">
        <f>IFERROR('調查資料(OUT)'!$AX$1*'調查資料(OUT)'!AX60,0)+IFERROR('調查資料(OUT)'!$BB$1*'調查資料(OUT)'!BB60,0)+IFERROR('調查資料(OUT)'!$BF$1*'調查資料(OUT)'!BF60,0)</f>
        <v>0</v>
      </c>
      <c r="X54" s="50">
        <f>IFERROR('調查資料(OUT)'!$AY$1*'調查資料(OUT)'!AY60,0)+IFERROR('調查資料(OUT)'!$BC$1*'調查資料(OUT)'!BC60,0)+IFERROR('調查資料(OUT)'!$BG$1*'調查資料(OUT)'!BG60,0)</f>
        <v>0</v>
      </c>
      <c r="Y54" s="50">
        <f>IFERROR('調查資料(OUT)'!$AZ$1*'調查資料(OUT)'!AZ60,0)+IFERROR('調查資料(OUT)'!$BD$1*'調查資料(OUT)'!BD60,0)+IFERROR('調查資料(OUT)'!$BH$1*'調查資料(OUT)'!BH60,0)</f>
        <v>0</v>
      </c>
      <c r="Z54" s="252">
        <f>IFERROR('調查資料(OUT)'!$BA$1*'調查資料(OUT)'!BA60,0)+IFERROR('調查資料(OUT)'!$BE$1*'調查資料(OUT)'!BE60,0)+IFERROR('調查資料(OUT)'!$BI$1*'調查資料(OUT)'!BI60,0)</f>
        <v>0</v>
      </c>
      <c r="AA54" s="253">
        <f t="shared" si="243"/>
        <v>0</v>
      </c>
      <c r="AC54" s="251">
        <f>'調查資料(OUT)'!A60</f>
        <v>1215</v>
      </c>
      <c r="AD54" s="254">
        <f t="shared" si="244"/>
        <v>1315</v>
      </c>
      <c r="AE54" s="50">
        <f t="shared" si="254"/>
        <v>0</v>
      </c>
      <c r="AG54" s="50">
        <f>IF($AE54=$AF$41,MAX(AA54:AA57),0)</f>
        <v>0</v>
      </c>
      <c r="AH54" s="256" t="e">
        <f>IF($AE54=AF$41,SUM(B54:B57)/(4*(MAX(B54:B57))),0)</f>
        <v>#DIV/0!</v>
      </c>
      <c r="AI54" s="256" t="e">
        <f>IF($AE54=AF$41,SUM(G54:G57)/(4*(MAX(G54:G57))),0)</f>
        <v>#DIV/0!</v>
      </c>
      <c r="AJ54" s="256" t="e">
        <f t="shared" ref="AJ54:AJ56" si="293">IF($AE54=AF$41,SUM(L54:L57)/(4*(MAX(L54:L57))),0)</f>
        <v>#DIV/0!</v>
      </c>
      <c r="AK54" s="256" t="e">
        <f t="shared" ref="AK54:AK56" si="294">IF($AE54=AF$41,SUM(Q54:Q57)/(4*(MAX(Q54:Q57))),0)</f>
        <v>#DIV/0!</v>
      </c>
      <c r="AL54" s="256" t="e">
        <f>IF($AE54=AF$41,SUM(V54:V57)/(4*(MAX(V54:V57))),0)</f>
        <v>#DIV/0!</v>
      </c>
      <c r="AN54" s="50">
        <f>IF(AE54=AF$41,$AC54,"N")</f>
        <v>1215</v>
      </c>
      <c r="AO54" s="252">
        <f t="shared" ref="AO54:AO56" si="295">IF(AE54=AF$41,$AD54,"N")</f>
        <v>1315</v>
      </c>
      <c r="AP54" s="50">
        <f t="shared" si="245"/>
        <v>0</v>
      </c>
      <c r="AQ54" s="50">
        <f>IF($AN54="N","N",SUM('調查資料(OUT)'!B60:B63))</f>
        <v>0</v>
      </c>
      <c r="AR54" s="50">
        <f>IF($AN54="N","N",SUM('調查資料(OUT)'!F60:F63))</f>
        <v>0</v>
      </c>
      <c r="AS54" s="50">
        <f>IF($AN54="N","N",SUM('調查資料(OUT)'!J60:J63))</f>
        <v>0</v>
      </c>
      <c r="AT54" s="56" t="e">
        <f t="shared" si="169"/>
        <v>#DIV/0!</v>
      </c>
      <c r="AU54" s="50">
        <f t="shared" si="170"/>
        <v>0</v>
      </c>
      <c r="AV54" s="50">
        <f>IF($AN54="N","N",SUM('調查資料(OUT)'!C60:C63))</f>
        <v>0</v>
      </c>
      <c r="AW54" s="50">
        <f>IF($AN54="N","N",SUM('調查資料(OUT)'!G60:G63))</f>
        <v>0</v>
      </c>
      <c r="AX54" s="50">
        <f>IF($AN54="N","N",SUM('調查資料(OUT)'!K60:K63))</f>
        <v>0</v>
      </c>
      <c r="AY54" s="56" t="e">
        <f t="shared" si="171"/>
        <v>#DIV/0!</v>
      </c>
      <c r="AZ54" s="50">
        <f t="shared" si="172"/>
        <v>0</v>
      </c>
      <c r="BA54" s="50">
        <f>IF($AN54="N","N",SUM('調查資料(OUT)'!D60:D63))</f>
        <v>0</v>
      </c>
      <c r="BB54" s="50">
        <f>IF($AN54="N","N",SUM('調查資料(OUT)'!H60:H63))</f>
        <v>0</v>
      </c>
      <c r="BC54" s="50">
        <f>IF($AN54="N","N",SUM('調查資料(OUT)'!L60:L63))</f>
        <v>0</v>
      </c>
      <c r="BD54" s="56" t="e">
        <f t="shared" si="173"/>
        <v>#DIV/0!</v>
      </c>
      <c r="BE54" s="50">
        <f t="shared" si="174"/>
        <v>0</v>
      </c>
      <c r="BF54" s="50">
        <f>IF($AN54="N","N",SUM('調查資料(OUT)'!E60:E63))</f>
        <v>0</v>
      </c>
      <c r="BG54" s="50">
        <f>IF($AN54="N","N",SUM('調查資料(OUT)'!I60:I63))</f>
        <v>0</v>
      </c>
      <c r="BH54" s="50">
        <f>IF($AN54="N","N",SUM('調查資料(OUT)'!M60:M63))</f>
        <v>0</v>
      </c>
      <c r="BI54" s="56" t="e">
        <f t="shared" si="175"/>
        <v>#DIV/0!</v>
      </c>
      <c r="BJ54" s="50">
        <f t="shared" si="255"/>
        <v>0</v>
      </c>
      <c r="BK54" s="56" t="e">
        <f t="shared" si="256"/>
        <v>#DIV/0!</v>
      </c>
      <c r="BL54" s="50">
        <f t="shared" si="257"/>
        <v>0</v>
      </c>
      <c r="BM54" s="56" t="e">
        <f t="shared" si="258"/>
        <v>#DIV/0!</v>
      </c>
      <c r="BN54" s="50">
        <f t="shared" si="259"/>
        <v>0</v>
      </c>
      <c r="BO54" s="56" t="e">
        <f t="shared" si="260"/>
        <v>#DIV/0!</v>
      </c>
      <c r="BP54" s="50">
        <f t="shared" si="261"/>
        <v>0</v>
      </c>
      <c r="BQ54" s="50">
        <f t="shared" si="183"/>
        <v>0</v>
      </c>
      <c r="BR54" s="50">
        <f>IF($AN54="N","N",SUM('調查資料(OUT)'!N60:N63))</f>
        <v>0</v>
      </c>
      <c r="BS54" s="50">
        <f>IF($AN54="N","N",SUM('調查資料(OUT)'!R60:R63))</f>
        <v>0</v>
      </c>
      <c r="BT54" s="50">
        <f>IF($AN54="N","N",SUM('調查資料(OUT)'!V60:V63))</f>
        <v>0</v>
      </c>
      <c r="BU54" s="56" t="e">
        <f t="shared" si="184"/>
        <v>#DIV/0!</v>
      </c>
      <c r="BV54" s="50">
        <f t="shared" si="185"/>
        <v>0</v>
      </c>
      <c r="BW54" s="50">
        <f>IF($AN54="N","N",SUM('調查資料(OUT)'!O60:O63))</f>
        <v>0</v>
      </c>
      <c r="BX54" s="50">
        <f>IF($AN54="N","N",SUM('調查資料(OUT)'!S60:S63))</f>
        <v>0</v>
      </c>
      <c r="BY54" s="50">
        <f>IF($AN54="N","N",SUM('調查資料(OUT)'!W60:W63))</f>
        <v>0</v>
      </c>
      <c r="BZ54" s="56" t="e">
        <f t="shared" si="186"/>
        <v>#DIV/0!</v>
      </c>
      <c r="CA54" s="50">
        <f t="shared" si="187"/>
        <v>0</v>
      </c>
      <c r="CB54" s="50">
        <f>IF($AN54="N","N",SUM('調查資料(OUT)'!P60:P63))</f>
        <v>0</v>
      </c>
      <c r="CC54" s="50">
        <f>IF($AN54="N","N",SUM('調查資料(OUT)'!T60:T63))</f>
        <v>0</v>
      </c>
      <c r="CD54" s="50">
        <f>IF($AN54="N","N",SUM('調查資料(OUT)'!X60:X63))</f>
        <v>0</v>
      </c>
      <c r="CE54" s="56" t="e">
        <f t="shared" si="188"/>
        <v>#DIV/0!</v>
      </c>
      <c r="CF54" s="50">
        <f t="shared" si="189"/>
        <v>0</v>
      </c>
      <c r="CG54" s="50">
        <f>IF($AN54="N","N",SUM('調查資料(OUT)'!Q60:Q63))</f>
        <v>0</v>
      </c>
      <c r="CH54" s="50">
        <f>IF($AN54="N","N",SUM('調查資料(OUT)'!U60:U63))</f>
        <v>0</v>
      </c>
      <c r="CI54" s="50">
        <f>IF($AN54="N","N",SUM('調查資料(OUT)'!Y60:Y63))</f>
        <v>0</v>
      </c>
      <c r="CJ54" s="56" t="e">
        <f t="shared" si="190"/>
        <v>#DIV/0!</v>
      </c>
      <c r="CK54" s="50">
        <f t="shared" si="262"/>
        <v>0</v>
      </c>
      <c r="CL54" s="56" t="e">
        <f t="shared" si="263"/>
        <v>#DIV/0!</v>
      </c>
      <c r="CM54" s="50">
        <f t="shared" si="264"/>
        <v>0</v>
      </c>
      <c r="CN54" s="56" t="e">
        <f t="shared" si="265"/>
        <v>#DIV/0!</v>
      </c>
      <c r="CO54" s="50">
        <f t="shared" si="266"/>
        <v>0</v>
      </c>
      <c r="CP54" s="56" t="e">
        <f t="shared" si="267"/>
        <v>#DIV/0!</v>
      </c>
      <c r="CQ54" s="50">
        <f t="shared" si="268"/>
        <v>0</v>
      </c>
      <c r="CR54" s="50">
        <f t="shared" si="198"/>
        <v>0</v>
      </c>
      <c r="CS54" s="50">
        <f>IF($AN54="N","N",SUM('調查資料(OUT)'!Z60:Z63))</f>
        <v>0</v>
      </c>
      <c r="CT54" s="50">
        <f>IF($AN54="N","N",SUM('調查資料(OUT)'!AD60:AD63))</f>
        <v>0</v>
      </c>
      <c r="CU54" s="50">
        <f>IF($AN54="N","N",SUM('調查資料(OUT)'!AH60:AH63))</f>
        <v>0</v>
      </c>
      <c r="CV54" s="56" t="e">
        <f t="shared" si="199"/>
        <v>#DIV/0!</v>
      </c>
      <c r="CW54" s="50">
        <f t="shared" si="200"/>
        <v>0</v>
      </c>
      <c r="CX54" s="50">
        <f>IF($AN54="N","N",SUM('調查資料(OUT)'!AA60:AA63))</f>
        <v>0</v>
      </c>
      <c r="CY54" s="50">
        <f>IF($AN54="N","N",SUM('調查資料(OUT)'!AE60:AE63))</f>
        <v>0</v>
      </c>
      <c r="CZ54" s="50">
        <f>IF($AN54="N","N",SUM('調查資料(OUT)'!AI60:AI63))</f>
        <v>0</v>
      </c>
      <c r="DA54" s="56" t="e">
        <f t="shared" si="201"/>
        <v>#DIV/0!</v>
      </c>
      <c r="DB54" s="50">
        <f t="shared" si="202"/>
        <v>0</v>
      </c>
      <c r="DC54" s="50">
        <f>IF($AN54="N","N",SUM('調查資料(OUT)'!AB60:AB63))</f>
        <v>0</v>
      </c>
      <c r="DD54" s="50">
        <f>IF($AN54="N","N",SUM('調查資料(OUT)'!AF60:AF63))</f>
        <v>0</v>
      </c>
      <c r="DE54" s="50">
        <f>IF($AN54="N","N",SUM('調查資料(OUT)'!AJ60:AJ63))</f>
        <v>0</v>
      </c>
      <c r="DF54" s="56" t="e">
        <f t="shared" si="203"/>
        <v>#DIV/0!</v>
      </c>
      <c r="DG54" s="50">
        <f t="shared" si="204"/>
        <v>0</v>
      </c>
      <c r="DH54" s="50">
        <f>IF($AN54="N","N",SUM('調查資料(OUT)'!AC60:AC63))</f>
        <v>0</v>
      </c>
      <c r="DI54" s="50">
        <f>IF($AN54="N","N",SUM('調查資料(OUT)'!AG60:AG63))</f>
        <v>0</v>
      </c>
      <c r="DJ54" s="50">
        <f>IF($AN54="N","N",SUM('調查資料(OUT)'!AK60:AK63))</f>
        <v>0</v>
      </c>
      <c r="DK54" s="56" t="e">
        <f t="shared" si="205"/>
        <v>#DIV/0!</v>
      </c>
      <c r="DL54" s="50">
        <f t="shared" si="269"/>
        <v>0</v>
      </c>
      <c r="DM54" s="56" t="e">
        <f t="shared" si="270"/>
        <v>#DIV/0!</v>
      </c>
      <c r="DN54" s="50">
        <f t="shared" si="271"/>
        <v>0</v>
      </c>
      <c r="DO54" s="56" t="e">
        <f t="shared" si="272"/>
        <v>#DIV/0!</v>
      </c>
      <c r="DP54" s="50">
        <f t="shared" si="273"/>
        <v>0</v>
      </c>
      <c r="DQ54" s="56" t="e">
        <f t="shared" si="274"/>
        <v>#DIV/0!</v>
      </c>
      <c r="DR54" s="50">
        <f t="shared" si="275"/>
        <v>0</v>
      </c>
      <c r="DS54" s="50">
        <f t="shared" si="213"/>
        <v>0</v>
      </c>
      <c r="DT54" s="50">
        <f>IF($AN54="N","N",SUM('調查資料(OUT)'!AL60:AL63))</f>
        <v>0</v>
      </c>
      <c r="DU54" s="50">
        <f>IF($AN54="N","N",SUM('調查資料(OUT)'!AP60:AP63))</f>
        <v>0</v>
      </c>
      <c r="DV54" s="50">
        <f>IF($AN54="N","N",SUM('調查資料(OUT)'!AT60:AT63))</f>
        <v>0</v>
      </c>
      <c r="DW54" s="56" t="e">
        <f t="shared" si="214"/>
        <v>#DIV/0!</v>
      </c>
      <c r="DX54" s="50">
        <f t="shared" si="215"/>
        <v>0</v>
      </c>
      <c r="DY54" s="50">
        <f>IF($AN54="N","N",SUM('調查資料(OUT)'!AM60:AM63))</f>
        <v>0</v>
      </c>
      <c r="DZ54" s="50">
        <f>IF($AN54="N","N",SUM('調查資料(OUT)'!AQ60:AQ63))</f>
        <v>0</v>
      </c>
      <c r="EA54" s="50">
        <f>IF($AN54="N","N",SUM('調查資料(OUT)'!AU60:AU63))</f>
        <v>0</v>
      </c>
      <c r="EB54" s="56" t="e">
        <f t="shared" si="216"/>
        <v>#DIV/0!</v>
      </c>
      <c r="EC54" s="50">
        <f t="shared" si="217"/>
        <v>0</v>
      </c>
      <c r="ED54" s="50">
        <f>IF($AN54="N","N",SUM('調查資料(OUT)'!AN60:AN63))</f>
        <v>0</v>
      </c>
      <c r="EE54" s="50">
        <f>IF($AN54="N","N",SUM('調查資料(OUT)'!AR60:AR63))</f>
        <v>0</v>
      </c>
      <c r="EF54" s="50">
        <f>IF($AN54="N","N",SUM('調查資料(OUT)'!AV60:AV63))</f>
        <v>0</v>
      </c>
      <c r="EG54" s="56" t="e">
        <f t="shared" si="218"/>
        <v>#DIV/0!</v>
      </c>
      <c r="EH54" s="50">
        <f t="shared" si="219"/>
        <v>0</v>
      </c>
      <c r="EI54" s="50">
        <f>IF($AN54="N","N",SUM('調查資料(OUT)'!AO60:AO63))</f>
        <v>0</v>
      </c>
      <c r="EJ54" s="50">
        <f>IF($AN54="N","N",SUM('調查資料(OUT)'!AS60:AS63))</f>
        <v>0</v>
      </c>
      <c r="EK54" s="50">
        <f>IF($AN54="N","N",SUM('調查資料(OUT)'!AW60:AW63))</f>
        <v>0</v>
      </c>
      <c r="EL54" s="56" t="e">
        <f t="shared" si="220"/>
        <v>#DIV/0!</v>
      </c>
      <c r="EM54" s="50">
        <f t="shared" si="276"/>
        <v>0</v>
      </c>
      <c r="EN54" s="56" t="e">
        <f t="shared" si="277"/>
        <v>#DIV/0!</v>
      </c>
      <c r="EO54" s="50">
        <f t="shared" si="278"/>
        <v>0</v>
      </c>
      <c r="EP54" s="56" t="e">
        <f t="shared" si="279"/>
        <v>#DIV/0!</v>
      </c>
      <c r="EQ54" s="50">
        <f t="shared" si="280"/>
        <v>0</v>
      </c>
      <c r="ER54" s="56" t="e">
        <f t="shared" si="281"/>
        <v>#DIV/0!</v>
      </c>
      <c r="ES54" s="50">
        <f t="shared" si="282"/>
        <v>0</v>
      </c>
      <c r="ET54" s="50">
        <f t="shared" si="227"/>
        <v>0</v>
      </c>
      <c r="EU54" s="50">
        <f>IF($AN54="N","N",SUM('調查資料(OUT)'!AX60:AX63))</f>
        <v>0</v>
      </c>
      <c r="EV54" s="50">
        <f>IF($AN54="N","N",SUM('調查資料(OUT)'!BB60:BB63))</f>
        <v>0</v>
      </c>
      <c r="EW54" s="50">
        <f>IF($AN54="N","N",SUM('調查資料(OUT)'!BF60:BF63))</f>
        <v>0</v>
      </c>
      <c r="EX54" s="56" t="e">
        <f t="shared" si="228"/>
        <v>#DIV/0!</v>
      </c>
      <c r="EY54" s="50">
        <f t="shared" si="229"/>
        <v>0</v>
      </c>
      <c r="EZ54" s="50">
        <f>IF($AN54="N","N",SUM('調查資料(OUT)'!AY60:AY63))</f>
        <v>0</v>
      </c>
      <c r="FA54" s="50">
        <f>IF($AN54="N","N",SUM('調查資料(OUT)'!BC60:BC63))</f>
        <v>0</v>
      </c>
      <c r="FB54" s="50">
        <f>IF($AN54="N","N",SUM('調查資料(OUT)'!BG60:BG63))</f>
        <v>0</v>
      </c>
      <c r="FC54" s="56" t="e">
        <f t="shared" si="230"/>
        <v>#DIV/0!</v>
      </c>
      <c r="FD54" s="50">
        <f t="shared" si="231"/>
        <v>0</v>
      </c>
      <c r="FE54" s="50">
        <f>IF($AN54="N","N",SUM('調查資料(OUT)'!AZ60:AZ63))</f>
        <v>0</v>
      </c>
      <c r="FF54" s="50">
        <f>IF($AN54="N","N",SUM('調查資料(OUT)'!BD60:BD63))</f>
        <v>0</v>
      </c>
      <c r="FG54" s="50">
        <f>IF($AN54="N","N",SUM('調查資料(OUT)'!BH60:BH63))</f>
        <v>0</v>
      </c>
      <c r="FH54" s="56" t="e">
        <f t="shared" si="232"/>
        <v>#DIV/0!</v>
      </c>
      <c r="FI54" s="50">
        <f t="shared" si="233"/>
        <v>0</v>
      </c>
      <c r="FJ54" s="50">
        <f>IF($AN54="N","N",SUM('調查資料(OUT)'!BA60:BA63))</f>
        <v>0</v>
      </c>
      <c r="FK54" s="50">
        <f>IF($AN54="N","N",SUM('調查資料(OUT)'!BE60:BE63))</f>
        <v>0</v>
      </c>
      <c r="FL54" s="50">
        <f>IF($AN54="N","N",SUM('調查資料(OUT)'!BI60:BI63))</f>
        <v>0</v>
      </c>
      <c r="FM54" s="56" t="e">
        <f t="shared" si="234"/>
        <v>#DIV/0!</v>
      </c>
      <c r="FN54" s="50">
        <f t="shared" si="246"/>
        <v>0</v>
      </c>
      <c r="FO54" s="56" t="e">
        <f t="shared" si="247"/>
        <v>#DIV/0!</v>
      </c>
      <c r="FP54" s="50">
        <f t="shared" si="248"/>
        <v>0</v>
      </c>
      <c r="FQ54" s="56" t="e">
        <f t="shared" si="249"/>
        <v>#DIV/0!</v>
      </c>
      <c r="FR54" s="50">
        <f t="shared" si="250"/>
        <v>0</v>
      </c>
      <c r="FS54" s="56" t="e">
        <f t="shared" si="251"/>
        <v>#DIV/0!</v>
      </c>
      <c r="FT54" s="50">
        <f t="shared" si="252"/>
        <v>0</v>
      </c>
    </row>
    <row r="55" spans="1:176">
      <c r="A55" s="274">
        <f>'調查資料(OUT)'!A61</f>
        <v>1230</v>
      </c>
      <c r="B55" s="50">
        <f t="shared" si="238"/>
        <v>0</v>
      </c>
      <c r="C55" s="50">
        <f>IFERROR('調查資料(OUT)'!$B$1*'調查資料(OUT)'!B61,0)+IFERROR('調查資料(OUT)'!$F$1*'調查資料(OUT)'!F61,0)+IFERROR('調查資料(OUT)'!$J$1*'調查資料(OUT)'!J61,0)</f>
        <v>0</v>
      </c>
      <c r="D55" s="50">
        <f>IFERROR('調查資料(OUT)'!$C$1*'調查資料(OUT)'!C61,0)+IFERROR('調查資料(OUT)'!$G$1*'調查資料(OUT)'!G61,0)+IFERROR('調查資料(OUT)'!$K$1*'調查資料(OUT)'!K61,0)</f>
        <v>0</v>
      </c>
      <c r="E55" s="50">
        <f>IFERROR('調查資料(OUT)'!$D$1*'調查資料(OUT)'!D61,0)+IFERROR('調查資料(OUT)'!$H$1*'調查資料(OUT)'!H61,0)+IFERROR('調查資料(OUT)'!$L$1*'調查資料(OUT)'!L61,0)</f>
        <v>0</v>
      </c>
      <c r="F55" s="252">
        <f>IFERROR('調查資料(OUT)'!$E$1*'調查資料(OUT)'!E61,0)+IFERROR('調查資料(OUT)'!$I$1*'調查資料(OUT)'!I61,0)+IFERROR('調查資料(OUT)'!$M$1*'調查資料(OUT)'!M61,0)</f>
        <v>0</v>
      </c>
      <c r="G55" s="50">
        <f t="shared" si="239"/>
        <v>0</v>
      </c>
      <c r="H55" s="50">
        <f>IFERROR('調查資料(OUT)'!$N$1*'調查資料(OUT)'!N61,0)+IFERROR('調查資料(OUT)'!$R$1*'調查資料(OUT)'!R61,0)+IFERROR('調查資料(OUT)'!$V$1*'調查資料(OUT)'!V61,0)</f>
        <v>0</v>
      </c>
      <c r="I55" s="50">
        <f>IFERROR('調查資料(OUT)'!$O$1*'調查資料(OUT)'!O61,0)+IFERROR('調查資料(OUT)'!$S$1*'調查資料(OUT)'!S61,0)+IFERROR('調查資料(OUT)'!$W$1*'調查資料(OUT)'!W61,0)</f>
        <v>0</v>
      </c>
      <c r="J55" s="50">
        <f>IFERROR('調查資料(OUT)'!$P$1*'調查資料(OUT)'!P61,0)+IFERROR('調查資料(OUT)'!$T$1*'調查資料(OUT)'!T61,0)+IFERROR('調查資料(OUT)'!$X$1*'調查資料(OUT)'!X61,0)</f>
        <v>0</v>
      </c>
      <c r="K55" s="252">
        <f>IFERROR('調查資料(OUT)'!$Q$1*'調查資料(OUT)'!Q61,0)+IFERROR('調查資料(OUT)'!$U$1*'調查資料(OUT)'!U61,0)+IFERROR('調查資料(OUT)'!$Y$1*'調查資料(OUT)'!Y61,0)</f>
        <v>0</v>
      </c>
      <c r="L55" s="50">
        <f t="shared" si="240"/>
        <v>0</v>
      </c>
      <c r="M55" s="50">
        <f>IFERROR('調查資料(OUT)'!$Z$1*'調查資料(OUT)'!Z61,0)+IFERROR('調查資料(OUT)'!$AD$1*'調查資料(OUT)'!AD61,0)+IFERROR('調查資料(OUT)'!$AH$1*'調查資料(OUT)'!AH61,0)</f>
        <v>0</v>
      </c>
      <c r="N55" s="50">
        <f>IFERROR('調查資料(OUT)'!$AA$1*'調查資料(OUT)'!AA61,0)+IFERROR('調查資料(OUT)'!$AE$1*'調查資料(OUT)'!AE61,0)+IFERROR('調查資料(OUT)'!$AI$1*'調查資料(OUT)'!AI61,0)</f>
        <v>0</v>
      </c>
      <c r="O55" s="50">
        <f>IFERROR('調查資料(OUT)'!$AB$1*'調查資料(OUT)'!AB61,0)+IFERROR('調查資料(OUT)'!$AF$1*'調查資料(OUT)'!AF61,0)+IFERROR('調查資料(OUT)'!$AJ$1*'調查資料(OUT)'!AJ61,0)</f>
        <v>0</v>
      </c>
      <c r="P55" s="252">
        <f>IFERROR('調查資料(OUT)'!$AC$1*'調查資料(OUT)'!AC61,0)+IFERROR('調查資料(OUT)'!$AG$1*'調查資料(OUT)'!AG61,0)+IFERROR('調查資料(OUT)'!$AK$1*'調查資料(OUT)'!AK61,0)</f>
        <v>0</v>
      </c>
      <c r="Q55" s="50">
        <f t="shared" si="241"/>
        <v>0</v>
      </c>
      <c r="R55" s="50">
        <f>IFERROR('調查資料(OUT)'!$AL$1*'調查資料(OUT)'!AL61,0)+IFERROR('調查資料(OUT)'!$AP$1*'調查資料(OUT)'!AP61,0)+IFERROR('調查資料(OUT)'!$AT$1*'調查資料(OUT)'!AT61,0)</f>
        <v>0</v>
      </c>
      <c r="S55" s="50">
        <f>IFERROR('調查資料(OUT)'!$AM$1*'調查資料(OUT)'!AM61,0)+IFERROR('調查資料(OUT)'!$AQ$1*'調查資料(OUT)'!AQ61,0)+IFERROR('調查資料(OUT)'!$AU$1*'調查資料(OUT)'!AU61,0)</f>
        <v>0</v>
      </c>
      <c r="T55" s="50">
        <f>IFERROR('調查資料(OUT)'!$AN$1*'調查資料(OUT)'!AN61,0)+IFERROR('調查資料(OUT)'!$AR$1*'調查資料(OUT)'!AR61,0)+IFERROR('調查資料(OUT)'!$AV$1*'調查資料(OUT)'!AV61,0)</f>
        <v>0</v>
      </c>
      <c r="U55" s="252">
        <f>IFERROR('調查資料(OUT)'!$AO$1*'調查資料(OUT)'!AO61,0)+IFERROR('調查資料(OUT)'!$AS$1*'調查資料(OUT)'!AS61,0)+IFERROR('調查資料(OUT)'!$AW$1*'調查資料(OUT)'!AW61,0)</f>
        <v>0</v>
      </c>
      <c r="V55" s="50">
        <f t="shared" si="242"/>
        <v>0</v>
      </c>
      <c r="W55" s="50">
        <f>IFERROR('調查資料(OUT)'!$AX$1*'調查資料(OUT)'!AX61,0)+IFERROR('調查資料(OUT)'!$BB$1*'調查資料(OUT)'!BB61,0)+IFERROR('調查資料(OUT)'!$BF$1*'調查資料(OUT)'!BF61,0)</f>
        <v>0</v>
      </c>
      <c r="X55" s="50">
        <f>IFERROR('調查資料(OUT)'!$AY$1*'調查資料(OUT)'!AY61,0)+IFERROR('調查資料(OUT)'!$BC$1*'調查資料(OUT)'!BC61,0)+IFERROR('調查資料(OUT)'!$BG$1*'調查資料(OUT)'!BG61,0)</f>
        <v>0</v>
      </c>
      <c r="Y55" s="50">
        <f>IFERROR('調查資料(OUT)'!$AZ$1*'調查資料(OUT)'!AZ61,0)+IFERROR('調查資料(OUT)'!$BD$1*'調查資料(OUT)'!BD61,0)+IFERROR('調查資料(OUT)'!$BH$1*'調查資料(OUT)'!BH61,0)</f>
        <v>0</v>
      </c>
      <c r="Z55" s="252">
        <f>IFERROR('調查資料(OUT)'!$BA$1*'調查資料(OUT)'!BA61,0)+IFERROR('調查資料(OUT)'!$BE$1*'調查資料(OUT)'!BE61,0)+IFERROR('調查資料(OUT)'!$BI$1*'調查資料(OUT)'!BI61,0)</f>
        <v>0</v>
      </c>
      <c r="AA55" s="253">
        <f t="shared" si="243"/>
        <v>0</v>
      </c>
      <c r="AC55" s="251">
        <f>'調查資料(OUT)'!A61</f>
        <v>1230</v>
      </c>
      <c r="AD55" s="254">
        <f t="shared" si="244"/>
        <v>1330</v>
      </c>
      <c r="AE55" s="50">
        <f t="shared" si="254"/>
        <v>0</v>
      </c>
      <c r="AG55" s="50">
        <f t="shared" ref="AG55:AG56" si="296">IF($AE55=$AF$41,MAX(AA55:AA58),0)</f>
        <v>0</v>
      </c>
      <c r="AH55" s="256" t="e">
        <f t="shared" ref="AH55:AH56" si="297">IF($AE55=AF$41,SUM(B55:B58)/(4*(MAX(B55:B58))),0)</f>
        <v>#DIV/0!</v>
      </c>
      <c r="AI55" s="256" t="e">
        <f t="shared" ref="AI55:AI56" si="298">IF($AE55=AF$41,SUM(G55:G58)/(4*(MAX(G55:G58))),0)</f>
        <v>#DIV/0!</v>
      </c>
      <c r="AJ55" s="256" t="e">
        <f t="shared" si="293"/>
        <v>#DIV/0!</v>
      </c>
      <c r="AK55" s="256" t="e">
        <f t="shared" si="294"/>
        <v>#DIV/0!</v>
      </c>
      <c r="AL55" s="256" t="e">
        <f t="shared" ref="AL55:AL56" si="299">IF($AE55=AF$41,SUM(V55:V58)/(4*(MAX(V55:V58))),0)</f>
        <v>#DIV/0!</v>
      </c>
      <c r="AN55" s="50">
        <f t="shared" ref="AN55:AN56" si="300">IF(AE55=AF$41,$AC55,"N")</f>
        <v>1230</v>
      </c>
      <c r="AO55" s="252">
        <f t="shared" si="295"/>
        <v>1330</v>
      </c>
      <c r="AP55" s="50">
        <f t="shared" si="245"/>
        <v>0</v>
      </c>
      <c r="AQ55" s="50">
        <f>IF($AN55="N","N",SUM('調查資料(OUT)'!B61:B64))</f>
        <v>0</v>
      </c>
      <c r="AR55" s="50">
        <f>IF($AN55="N","N",SUM('調查資料(OUT)'!F61:F64))</f>
        <v>0</v>
      </c>
      <c r="AS55" s="50">
        <f>IF($AN55="N","N",SUM('調查資料(OUT)'!J61:J64))</f>
        <v>0</v>
      </c>
      <c r="AT55" s="56" t="e">
        <f t="shared" si="169"/>
        <v>#DIV/0!</v>
      </c>
      <c r="AU55" s="50">
        <f t="shared" si="170"/>
        <v>0</v>
      </c>
      <c r="AV55" s="50">
        <f>IF($AN55="N","N",SUM('調查資料(OUT)'!C61:C64))</f>
        <v>0</v>
      </c>
      <c r="AW55" s="50">
        <f>IF($AN55="N","N",SUM('調查資料(OUT)'!G61:G64))</f>
        <v>0</v>
      </c>
      <c r="AX55" s="50">
        <f>IF($AN55="N","N",SUM('調查資料(OUT)'!K61:K64))</f>
        <v>0</v>
      </c>
      <c r="AY55" s="56" t="e">
        <f t="shared" si="171"/>
        <v>#DIV/0!</v>
      </c>
      <c r="AZ55" s="50">
        <f t="shared" si="172"/>
        <v>0</v>
      </c>
      <c r="BA55" s="50">
        <f>IF($AN55="N","N",SUM('調查資料(OUT)'!D61:D64))</f>
        <v>0</v>
      </c>
      <c r="BB55" s="50">
        <f>IF($AN55="N","N",SUM('調查資料(OUT)'!H61:H64))</f>
        <v>0</v>
      </c>
      <c r="BC55" s="50">
        <f>IF($AN55="N","N",SUM('調查資料(OUT)'!L61:L64))</f>
        <v>0</v>
      </c>
      <c r="BD55" s="56" t="e">
        <f t="shared" si="173"/>
        <v>#DIV/0!</v>
      </c>
      <c r="BE55" s="50">
        <f t="shared" si="174"/>
        <v>0</v>
      </c>
      <c r="BF55" s="50">
        <f>IF($AN55="N","N",SUM('調查資料(OUT)'!E61:E64))</f>
        <v>0</v>
      </c>
      <c r="BG55" s="50">
        <f>IF($AN55="N","N",SUM('調查資料(OUT)'!I61:I64))</f>
        <v>0</v>
      </c>
      <c r="BH55" s="50">
        <f>IF($AN55="N","N",SUM('調查資料(OUT)'!M61:M64))</f>
        <v>0</v>
      </c>
      <c r="BI55" s="56" t="e">
        <f t="shared" si="175"/>
        <v>#DIV/0!</v>
      </c>
      <c r="BJ55" s="50">
        <f t="shared" si="255"/>
        <v>0</v>
      </c>
      <c r="BK55" s="56" t="e">
        <f t="shared" si="256"/>
        <v>#DIV/0!</v>
      </c>
      <c r="BL55" s="50">
        <f t="shared" si="257"/>
        <v>0</v>
      </c>
      <c r="BM55" s="56" t="e">
        <f t="shared" si="258"/>
        <v>#DIV/0!</v>
      </c>
      <c r="BN55" s="50">
        <f t="shared" si="259"/>
        <v>0</v>
      </c>
      <c r="BO55" s="56" t="e">
        <f t="shared" si="260"/>
        <v>#DIV/0!</v>
      </c>
      <c r="BP55" s="50">
        <f t="shared" si="261"/>
        <v>0</v>
      </c>
      <c r="BQ55" s="50">
        <f t="shared" si="183"/>
        <v>0</v>
      </c>
      <c r="BR55" s="50">
        <f>IF($AN55="N","N",SUM('調查資料(OUT)'!N61:N64))</f>
        <v>0</v>
      </c>
      <c r="BS55" s="50">
        <f>IF($AN55="N","N",SUM('調查資料(OUT)'!R61:R64))</f>
        <v>0</v>
      </c>
      <c r="BT55" s="50">
        <f>IF($AN55="N","N",SUM('調查資料(OUT)'!V61:V64))</f>
        <v>0</v>
      </c>
      <c r="BU55" s="56" t="e">
        <f t="shared" si="184"/>
        <v>#DIV/0!</v>
      </c>
      <c r="BV55" s="50">
        <f t="shared" si="185"/>
        <v>0</v>
      </c>
      <c r="BW55" s="50">
        <f>IF($AN55="N","N",SUM('調查資料(OUT)'!O61:O64))</f>
        <v>0</v>
      </c>
      <c r="BX55" s="50">
        <f>IF($AN55="N","N",SUM('調查資料(OUT)'!S61:S64))</f>
        <v>0</v>
      </c>
      <c r="BY55" s="50">
        <f>IF($AN55="N","N",SUM('調查資料(OUT)'!W61:W64))</f>
        <v>0</v>
      </c>
      <c r="BZ55" s="56" t="e">
        <f t="shared" si="186"/>
        <v>#DIV/0!</v>
      </c>
      <c r="CA55" s="50">
        <f t="shared" si="187"/>
        <v>0</v>
      </c>
      <c r="CB55" s="50">
        <f>IF($AN55="N","N",SUM('調查資料(OUT)'!P61:P64))</f>
        <v>0</v>
      </c>
      <c r="CC55" s="50">
        <f>IF($AN55="N","N",SUM('調查資料(OUT)'!T61:T64))</f>
        <v>0</v>
      </c>
      <c r="CD55" s="50">
        <f>IF($AN55="N","N",SUM('調查資料(OUT)'!X61:X64))</f>
        <v>0</v>
      </c>
      <c r="CE55" s="56" t="e">
        <f t="shared" si="188"/>
        <v>#DIV/0!</v>
      </c>
      <c r="CF55" s="50">
        <f t="shared" si="189"/>
        <v>0</v>
      </c>
      <c r="CG55" s="50">
        <f>IF($AN55="N","N",SUM('調查資料(OUT)'!Q61:Q64))</f>
        <v>0</v>
      </c>
      <c r="CH55" s="50">
        <f>IF($AN55="N","N",SUM('調查資料(OUT)'!U61:U64))</f>
        <v>0</v>
      </c>
      <c r="CI55" s="50">
        <f>IF($AN55="N","N",SUM('調查資料(OUT)'!Y61:Y64))</f>
        <v>0</v>
      </c>
      <c r="CJ55" s="56" t="e">
        <f t="shared" si="190"/>
        <v>#DIV/0!</v>
      </c>
      <c r="CK55" s="50">
        <f t="shared" si="262"/>
        <v>0</v>
      </c>
      <c r="CL55" s="56" t="e">
        <f t="shared" si="263"/>
        <v>#DIV/0!</v>
      </c>
      <c r="CM55" s="50">
        <f t="shared" si="264"/>
        <v>0</v>
      </c>
      <c r="CN55" s="56" t="e">
        <f t="shared" si="265"/>
        <v>#DIV/0!</v>
      </c>
      <c r="CO55" s="50">
        <f t="shared" si="266"/>
        <v>0</v>
      </c>
      <c r="CP55" s="56" t="e">
        <f t="shared" si="267"/>
        <v>#DIV/0!</v>
      </c>
      <c r="CQ55" s="50">
        <f t="shared" si="268"/>
        <v>0</v>
      </c>
      <c r="CR55" s="50">
        <f t="shared" si="198"/>
        <v>0</v>
      </c>
      <c r="CS55" s="50">
        <f>IF($AN55="N","N",SUM('調查資料(OUT)'!Z61:Z64))</f>
        <v>0</v>
      </c>
      <c r="CT55" s="50">
        <f>IF($AN55="N","N",SUM('調查資料(OUT)'!AD61:AD64))</f>
        <v>0</v>
      </c>
      <c r="CU55" s="50">
        <f>IF($AN55="N","N",SUM('調查資料(OUT)'!AH61:AH64))</f>
        <v>0</v>
      </c>
      <c r="CV55" s="56" t="e">
        <f t="shared" si="199"/>
        <v>#DIV/0!</v>
      </c>
      <c r="CW55" s="50">
        <f t="shared" si="200"/>
        <v>0</v>
      </c>
      <c r="CX55" s="50">
        <f>IF($AN55="N","N",SUM('調查資料(OUT)'!AA61:AA64))</f>
        <v>0</v>
      </c>
      <c r="CY55" s="50">
        <f>IF($AN55="N","N",SUM('調查資料(OUT)'!AE61:AE64))</f>
        <v>0</v>
      </c>
      <c r="CZ55" s="50">
        <f>IF($AN55="N","N",SUM('調查資料(OUT)'!AI61:AI64))</f>
        <v>0</v>
      </c>
      <c r="DA55" s="56" t="e">
        <f t="shared" si="201"/>
        <v>#DIV/0!</v>
      </c>
      <c r="DB55" s="50">
        <f t="shared" si="202"/>
        <v>0</v>
      </c>
      <c r="DC55" s="50">
        <f>IF($AN55="N","N",SUM('調查資料(OUT)'!AB61:AB64))</f>
        <v>0</v>
      </c>
      <c r="DD55" s="50">
        <f>IF($AN55="N","N",SUM('調查資料(OUT)'!AF61:AF64))</f>
        <v>0</v>
      </c>
      <c r="DE55" s="50">
        <f>IF($AN55="N","N",SUM('調查資料(OUT)'!AJ61:AJ64))</f>
        <v>0</v>
      </c>
      <c r="DF55" s="56" t="e">
        <f t="shared" si="203"/>
        <v>#DIV/0!</v>
      </c>
      <c r="DG55" s="50">
        <f t="shared" si="204"/>
        <v>0</v>
      </c>
      <c r="DH55" s="50">
        <f>IF($AN55="N","N",SUM('調查資料(OUT)'!AC61:AC64))</f>
        <v>0</v>
      </c>
      <c r="DI55" s="50">
        <f>IF($AN55="N","N",SUM('調查資料(OUT)'!AG61:AG64))</f>
        <v>0</v>
      </c>
      <c r="DJ55" s="50">
        <f>IF($AN55="N","N",SUM('調查資料(OUT)'!AK61:AK64))</f>
        <v>0</v>
      </c>
      <c r="DK55" s="56" t="e">
        <f t="shared" si="205"/>
        <v>#DIV/0!</v>
      </c>
      <c r="DL55" s="50">
        <f t="shared" si="269"/>
        <v>0</v>
      </c>
      <c r="DM55" s="56" t="e">
        <f t="shared" si="270"/>
        <v>#DIV/0!</v>
      </c>
      <c r="DN55" s="50">
        <f t="shared" si="271"/>
        <v>0</v>
      </c>
      <c r="DO55" s="56" t="e">
        <f t="shared" si="272"/>
        <v>#DIV/0!</v>
      </c>
      <c r="DP55" s="50">
        <f t="shared" si="273"/>
        <v>0</v>
      </c>
      <c r="DQ55" s="56" t="e">
        <f t="shared" si="274"/>
        <v>#DIV/0!</v>
      </c>
      <c r="DR55" s="50">
        <f t="shared" si="275"/>
        <v>0</v>
      </c>
      <c r="DS55" s="50">
        <f t="shared" si="213"/>
        <v>0</v>
      </c>
      <c r="DT55" s="50">
        <f>IF($AN55="N","N",SUM('調查資料(OUT)'!AL61:AL64))</f>
        <v>0</v>
      </c>
      <c r="DU55" s="50">
        <f>IF($AN55="N","N",SUM('調查資料(OUT)'!AP61:AP64))</f>
        <v>0</v>
      </c>
      <c r="DV55" s="50">
        <f>IF($AN55="N","N",SUM('調查資料(OUT)'!AT61:AT64))</f>
        <v>0</v>
      </c>
      <c r="DW55" s="56" t="e">
        <f t="shared" si="214"/>
        <v>#DIV/0!</v>
      </c>
      <c r="DX55" s="50">
        <f t="shared" si="215"/>
        <v>0</v>
      </c>
      <c r="DY55" s="50">
        <f>IF($AN55="N","N",SUM('調查資料(OUT)'!AM61:AM64))</f>
        <v>0</v>
      </c>
      <c r="DZ55" s="50">
        <f>IF($AN55="N","N",SUM('調查資料(OUT)'!AQ61:AQ64))</f>
        <v>0</v>
      </c>
      <c r="EA55" s="50">
        <f>IF($AN55="N","N",SUM('調查資料(OUT)'!AU61:AU64))</f>
        <v>0</v>
      </c>
      <c r="EB55" s="56" t="e">
        <f t="shared" si="216"/>
        <v>#DIV/0!</v>
      </c>
      <c r="EC55" s="50">
        <f t="shared" si="217"/>
        <v>0</v>
      </c>
      <c r="ED55" s="50">
        <f>IF($AN55="N","N",SUM('調查資料(OUT)'!AN61:AN64))</f>
        <v>0</v>
      </c>
      <c r="EE55" s="50">
        <f>IF($AN55="N","N",SUM('調查資料(OUT)'!AR61:AR64))</f>
        <v>0</v>
      </c>
      <c r="EF55" s="50">
        <f>IF($AN55="N","N",SUM('調查資料(OUT)'!AV61:AV64))</f>
        <v>0</v>
      </c>
      <c r="EG55" s="56" t="e">
        <f t="shared" si="218"/>
        <v>#DIV/0!</v>
      </c>
      <c r="EH55" s="50">
        <f t="shared" si="219"/>
        <v>0</v>
      </c>
      <c r="EI55" s="50">
        <f>IF($AN55="N","N",SUM('調查資料(OUT)'!AO61:AO64))</f>
        <v>0</v>
      </c>
      <c r="EJ55" s="50">
        <f>IF($AN55="N","N",SUM('調查資料(OUT)'!AS61:AS64))</f>
        <v>0</v>
      </c>
      <c r="EK55" s="50">
        <f>IF($AN55="N","N",SUM('調查資料(OUT)'!AW61:AW64))</f>
        <v>0</v>
      </c>
      <c r="EL55" s="56" t="e">
        <f t="shared" si="220"/>
        <v>#DIV/0!</v>
      </c>
      <c r="EM55" s="50">
        <f t="shared" si="276"/>
        <v>0</v>
      </c>
      <c r="EN55" s="56" t="e">
        <f t="shared" si="277"/>
        <v>#DIV/0!</v>
      </c>
      <c r="EO55" s="50">
        <f t="shared" si="278"/>
        <v>0</v>
      </c>
      <c r="EP55" s="56" t="e">
        <f t="shared" si="279"/>
        <v>#DIV/0!</v>
      </c>
      <c r="EQ55" s="50">
        <f t="shared" si="280"/>
        <v>0</v>
      </c>
      <c r="ER55" s="56" t="e">
        <f t="shared" si="281"/>
        <v>#DIV/0!</v>
      </c>
      <c r="ES55" s="50">
        <f t="shared" si="282"/>
        <v>0</v>
      </c>
      <c r="ET55" s="50">
        <f t="shared" si="227"/>
        <v>0</v>
      </c>
      <c r="EU55" s="50">
        <f>IF($AN55="N","N",SUM('調查資料(OUT)'!AX61:AX64))</f>
        <v>0</v>
      </c>
      <c r="EV55" s="50">
        <f>IF($AN55="N","N",SUM('調查資料(OUT)'!BB61:BB64))</f>
        <v>0</v>
      </c>
      <c r="EW55" s="50">
        <f>IF($AN55="N","N",SUM('調查資料(OUT)'!BF61:BF64))</f>
        <v>0</v>
      </c>
      <c r="EX55" s="56" t="e">
        <f t="shared" si="228"/>
        <v>#DIV/0!</v>
      </c>
      <c r="EY55" s="50">
        <f t="shared" si="229"/>
        <v>0</v>
      </c>
      <c r="EZ55" s="50">
        <f>IF($AN55="N","N",SUM('調查資料(OUT)'!AY61:AY64))</f>
        <v>0</v>
      </c>
      <c r="FA55" s="50">
        <f>IF($AN55="N","N",SUM('調查資料(OUT)'!BC61:BC64))</f>
        <v>0</v>
      </c>
      <c r="FB55" s="50">
        <f>IF($AN55="N","N",SUM('調查資料(OUT)'!BG61:BG64))</f>
        <v>0</v>
      </c>
      <c r="FC55" s="56" t="e">
        <f t="shared" si="230"/>
        <v>#DIV/0!</v>
      </c>
      <c r="FD55" s="50">
        <f t="shared" si="231"/>
        <v>0</v>
      </c>
      <c r="FE55" s="50">
        <f>IF($AN55="N","N",SUM('調查資料(OUT)'!AZ61:AZ64))</f>
        <v>0</v>
      </c>
      <c r="FF55" s="50">
        <f>IF($AN55="N","N",SUM('調查資料(OUT)'!BD61:BD64))</f>
        <v>0</v>
      </c>
      <c r="FG55" s="50">
        <f>IF($AN55="N","N",SUM('調查資料(OUT)'!BH61:BH64))</f>
        <v>0</v>
      </c>
      <c r="FH55" s="56" t="e">
        <f t="shared" si="232"/>
        <v>#DIV/0!</v>
      </c>
      <c r="FI55" s="50">
        <f t="shared" si="233"/>
        <v>0</v>
      </c>
      <c r="FJ55" s="50">
        <f>IF($AN55="N","N",SUM('調查資料(OUT)'!BA61:BA64))</f>
        <v>0</v>
      </c>
      <c r="FK55" s="50">
        <f>IF($AN55="N","N",SUM('調查資料(OUT)'!BE61:BE64))</f>
        <v>0</v>
      </c>
      <c r="FL55" s="50">
        <f>IF($AN55="N","N",SUM('調查資料(OUT)'!BI61:BI64))</f>
        <v>0</v>
      </c>
      <c r="FM55" s="56" t="e">
        <f t="shared" si="234"/>
        <v>#DIV/0!</v>
      </c>
      <c r="FN55" s="50">
        <f t="shared" si="246"/>
        <v>0</v>
      </c>
      <c r="FO55" s="56" t="e">
        <f t="shared" si="247"/>
        <v>#DIV/0!</v>
      </c>
      <c r="FP55" s="50">
        <f t="shared" si="248"/>
        <v>0</v>
      </c>
      <c r="FQ55" s="56" t="e">
        <f t="shared" si="249"/>
        <v>#DIV/0!</v>
      </c>
      <c r="FR55" s="50">
        <f t="shared" si="250"/>
        <v>0</v>
      </c>
      <c r="FS55" s="56" t="e">
        <f t="shared" si="251"/>
        <v>#DIV/0!</v>
      </c>
      <c r="FT55" s="50">
        <f t="shared" si="252"/>
        <v>0</v>
      </c>
    </row>
    <row r="56" spans="1:176">
      <c r="A56" s="274">
        <f>'調查資料(OUT)'!A62</f>
        <v>1245</v>
      </c>
      <c r="B56" s="50">
        <f t="shared" si="238"/>
        <v>0</v>
      </c>
      <c r="C56" s="50">
        <f>IFERROR('調查資料(OUT)'!$B$1*'調查資料(OUT)'!B62,0)+IFERROR('調查資料(OUT)'!$F$1*'調查資料(OUT)'!F62,0)+IFERROR('調查資料(OUT)'!$J$1*'調查資料(OUT)'!J62,0)</f>
        <v>0</v>
      </c>
      <c r="D56" s="50">
        <f>IFERROR('調查資料(OUT)'!$C$1*'調查資料(OUT)'!C62,0)+IFERROR('調查資料(OUT)'!$G$1*'調查資料(OUT)'!G62,0)+IFERROR('調查資料(OUT)'!$K$1*'調查資料(OUT)'!K62,0)</f>
        <v>0</v>
      </c>
      <c r="E56" s="50">
        <f>IFERROR('調查資料(OUT)'!$D$1*'調查資料(OUT)'!D62,0)+IFERROR('調查資料(OUT)'!$H$1*'調查資料(OUT)'!H62,0)+IFERROR('調查資料(OUT)'!$L$1*'調查資料(OUT)'!L62,0)</f>
        <v>0</v>
      </c>
      <c r="F56" s="252">
        <f>IFERROR('調查資料(OUT)'!$E$1*'調查資料(OUT)'!E62,0)+IFERROR('調查資料(OUT)'!$I$1*'調查資料(OUT)'!I62,0)+IFERROR('調查資料(OUT)'!$M$1*'調查資料(OUT)'!M62,0)</f>
        <v>0</v>
      </c>
      <c r="G56" s="50">
        <f t="shared" si="239"/>
        <v>0</v>
      </c>
      <c r="H56" s="50">
        <f>IFERROR('調查資料(OUT)'!$N$1*'調查資料(OUT)'!N62,0)+IFERROR('調查資料(OUT)'!$R$1*'調查資料(OUT)'!R62,0)+IFERROR('調查資料(OUT)'!$V$1*'調查資料(OUT)'!V62,0)</f>
        <v>0</v>
      </c>
      <c r="I56" s="50">
        <f>IFERROR('調查資料(OUT)'!$O$1*'調查資料(OUT)'!O62,0)+IFERROR('調查資料(OUT)'!$S$1*'調查資料(OUT)'!S62,0)+IFERROR('調查資料(OUT)'!$W$1*'調查資料(OUT)'!W62,0)</f>
        <v>0</v>
      </c>
      <c r="J56" s="50">
        <f>IFERROR('調查資料(OUT)'!$P$1*'調查資料(OUT)'!P62,0)+IFERROR('調查資料(OUT)'!$T$1*'調查資料(OUT)'!T62,0)+IFERROR('調查資料(OUT)'!$X$1*'調查資料(OUT)'!X62,0)</f>
        <v>0</v>
      </c>
      <c r="K56" s="252">
        <f>IFERROR('調查資料(OUT)'!$Q$1*'調查資料(OUT)'!Q62,0)+IFERROR('調查資料(OUT)'!$U$1*'調查資料(OUT)'!U62,0)+IFERROR('調查資料(OUT)'!$Y$1*'調查資料(OUT)'!Y62,0)</f>
        <v>0</v>
      </c>
      <c r="L56" s="50">
        <f t="shared" si="240"/>
        <v>0</v>
      </c>
      <c r="M56" s="50">
        <f>IFERROR('調查資料(OUT)'!$Z$1*'調查資料(OUT)'!Z62,0)+IFERROR('調查資料(OUT)'!$AD$1*'調查資料(OUT)'!AD62,0)+IFERROR('調查資料(OUT)'!$AH$1*'調查資料(OUT)'!AH62,0)</f>
        <v>0</v>
      </c>
      <c r="N56" s="50">
        <f>IFERROR('調查資料(OUT)'!$AA$1*'調查資料(OUT)'!AA62,0)+IFERROR('調查資料(OUT)'!$AE$1*'調查資料(OUT)'!AE62,0)+IFERROR('調查資料(OUT)'!$AI$1*'調查資料(OUT)'!AI62,0)</f>
        <v>0</v>
      </c>
      <c r="O56" s="50">
        <f>IFERROR('調查資料(OUT)'!$AB$1*'調查資料(OUT)'!AB62,0)+IFERROR('調查資料(OUT)'!$AF$1*'調查資料(OUT)'!AF62,0)+IFERROR('調查資料(OUT)'!$AJ$1*'調查資料(OUT)'!AJ62,0)</f>
        <v>0</v>
      </c>
      <c r="P56" s="252">
        <f>IFERROR('調查資料(OUT)'!$AC$1*'調查資料(OUT)'!AC62,0)+IFERROR('調查資料(OUT)'!$AG$1*'調查資料(OUT)'!AG62,0)+IFERROR('調查資料(OUT)'!$AK$1*'調查資料(OUT)'!AK62,0)</f>
        <v>0</v>
      </c>
      <c r="Q56" s="50">
        <f t="shared" si="241"/>
        <v>0</v>
      </c>
      <c r="R56" s="50">
        <f>IFERROR('調查資料(OUT)'!$AL$1*'調查資料(OUT)'!AL62,0)+IFERROR('調查資料(OUT)'!$AP$1*'調查資料(OUT)'!AP62,0)+IFERROR('調查資料(OUT)'!$AT$1*'調查資料(OUT)'!AT62,0)</f>
        <v>0</v>
      </c>
      <c r="S56" s="50">
        <f>IFERROR('調查資料(OUT)'!$AM$1*'調查資料(OUT)'!AM62,0)+IFERROR('調查資料(OUT)'!$AQ$1*'調查資料(OUT)'!AQ62,0)+IFERROR('調查資料(OUT)'!$AU$1*'調查資料(OUT)'!AU62,0)</f>
        <v>0</v>
      </c>
      <c r="T56" s="50">
        <f>IFERROR('調查資料(OUT)'!$AN$1*'調查資料(OUT)'!AN62,0)+IFERROR('調查資料(OUT)'!$AR$1*'調查資料(OUT)'!AR62,0)+IFERROR('調查資料(OUT)'!$AV$1*'調查資料(OUT)'!AV62,0)</f>
        <v>0</v>
      </c>
      <c r="U56" s="252">
        <f>IFERROR('調查資料(OUT)'!$AO$1*'調查資料(OUT)'!AO62,0)+IFERROR('調查資料(OUT)'!$AS$1*'調查資料(OUT)'!AS62,0)+IFERROR('調查資料(OUT)'!$AW$1*'調查資料(OUT)'!AW62,0)</f>
        <v>0</v>
      </c>
      <c r="V56" s="50">
        <f t="shared" si="242"/>
        <v>0</v>
      </c>
      <c r="W56" s="50">
        <f>IFERROR('調查資料(OUT)'!$AX$1*'調查資料(OUT)'!AX62,0)+IFERROR('調查資料(OUT)'!$BB$1*'調查資料(OUT)'!BB62,0)+IFERROR('調查資料(OUT)'!$BF$1*'調查資料(OUT)'!BF62,0)</f>
        <v>0</v>
      </c>
      <c r="X56" s="50">
        <f>IFERROR('調查資料(OUT)'!$AY$1*'調查資料(OUT)'!AY62,0)+IFERROR('調查資料(OUT)'!$BC$1*'調查資料(OUT)'!BC62,0)+IFERROR('調查資料(OUT)'!$BG$1*'調查資料(OUT)'!BG62,0)</f>
        <v>0</v>
      </c>
      <c r="Y56" s="50">
        <f>IFERROR('調查資料(OUT)'!$AZ$1*'調查資料(OUT)'!AZ62,0)+IFERROR('調查資料(OUT)'!$BD$1*'調查資料(OUT)'!BD62,0)+IFERROR('調查資料(OUT)'!$BH$1*'調查資料(OUT)'!BH62,0)</f>
        <v>0</v>
      </c>
      <c r="Z56" s="252">
        <f>IFERROR('調查資料(OUT)'!$BA$1*'調查資料(OUT)'!BA62,0)+IFERROR('調查資料(OUT)'!$BE$1*'調查資料(OUT)'!BE62,0)+IFERROR('調查資料(OUT)'!$BI$1*'調查資料(OUT)'!BI62,0)</f>
        <v>0</v>
      </c>
      <c r="AA56" s="253">
        <f t="shared" si="243"/>
        <v>0</v>
      </c>
      <c r="AC56" s="251">
        <f>'調查資料(OUT)'!A62</f>
        <v>1245</v>
      </c>
      <c r="AD56" s="254">
        <f t="shared" si="244"/>
        <v>1345</v>
      </c>
      <c r="AE56" s="50">
        <f t="shared" si="254"/>
        <v>0</v>
      </c>
      <c r="AG56" s="50">
        <f t="shared" si="296"/>
        <v>0</v>
      </c>
      <c r="AH56" s="256" t="e">
        <f t="shared" si="297"/>
        <v>#DIV/0!</v>
      </c>
      <c r="AI56" s="256" t="e">
        <f t="shared" si="298"/>
        <v>#DIV/0!</v>
      </c>
      <c r="AJ56" s="256" t="e">
        <f t="shared" si="293"/>
        <v>#DIV/0!</v>
      </c>
      <c r="AK56" s="256" t="e">
        <f t="shared" si="294"/>
        <v>#DIV/0!</v>
      </c>
      <c r="AL56" s="256" t="e">
        <f t="shared" si="299"/>
        <v>#DIV/0!</v>
      </c>
      <c r="AN56" s="50">
        <f t="shared" si="300"/>
        <v>1245</v>
      </c>
      <c r="AO56" s="252">
        <f t="shared" si="295"/>
        <v>1345</v>
      </c>
      <c r="AP56" s="50">
        <f t="shared" si="245"/>
        <v>0</v>
      </c>
      <c r="AQ56" s="50">
        <f>IF($AN56="N","N",SUM('調查資料(OUT)'!B62:B65))</f>
        <v>0</v>
      </c>
      <c r="AR56" s="50">
        <f>IF($AN56="N","N",SUM('調查資料(OUT)'!F62:F65))</f>
        <v>0</v>
      </c>
      <c r="AS56" s="50">
        <f>IF($AN56="N","N",SUM('調查資料(OUT)'!J62:J65))</f>
        <v>0</v>
      </c>
      <c r="AT56" s="56" t="e">
        <f t="shared" si="169"/>
        <v>#DIV/0!</v>
      </c>
      <c r="AU56" s="50">
        <f t="shared" si="170"/>
        <v>0</v>
      </c>
      <c r="AV56" s="50">
        <f>IF($AN56="N","N",SUM('調查資料(OUT)'!C62:C65))</f>
        <v>0</v>
      </c>
      <c r="AW56" s="50">
        <f>IF($AN56="N","N",SUM('調查資料(OUT)'!G62:G65))</f>
        <v>0</v>
      </c>
      <c r="AX56" s="50">
        <f>IF($AN56="N","N",SUM('調查資料(OUT)'!K62:K65))</f>
        <v>0</v>
      </c>
      <c r="AY56" s="56" t="e">
        <f t="shared" si="171"/>
        <v>#DIV/0!</v>
      </c>
      <c r="AZ56" s="50">
        <f t="shared" si="172"/>
        <v>0</v>
      </c>
      <c r="BA56" s="50">
        <f>IF($AN56="N","N",SUM('調查資料(OUT)'!D62:D65))</f>
        <v>0</v>
      </c>
      <c r="BB56" s="50">
        <f>IF($AN56="N","N",SUM('調查資料(OUT)'!H62:H65))</f>
        <v>0</v>
      </c>
      <c r="BC56" s="50">
        <f>IF($AN56="N","N",SUM('調查資料(OUT)'!L62:L65))</f>
        <v>0</v>
      </c>
      <c r="BD56" s="56" t="e">
        <f t="shared" si="173"/>
        <v>#DIV/0!</v>
      </c>
      <c r="BE56" s="50">
        <f t="shared" si="174"/>
        <v>0</v>
      </c>
      <c r="BF56" s="50">
        <f>IF($AN56="N","N",SUM('調查資料(OUT)'!E62:E65))</f>
        <v>0</v>
      </c>
      <c r="BG56" s="50">
        <f>IF($AN56="N","N",SUM('調查資料(OUT)'!I62:I65))</f>
        <v>0</v>
      </c>
      <c r="BH56" s="50">
        <f>IF($AN56="N","N",SUM('調查資料(OUT)'!M62:M65))</f>
        <v>0</v>
      </c>
      <c r="BI56" s="56" t="e">
        <f t="shared" si="175"/>
        <v>#DIV/0!</v>
      </c>
      <c r="BJ56" s="50">
        <f t="shared" si="255"/>
        <v>0</v>
      </c>
      <c r="BK56" s="56" t="e">
        <f t="shared" si="256"/>
        <v>#DIV/0!</v>
      </c>
      <c r="BL56" s="50">
        <f t="shared" si="257"/>
        <v>0</v>
      </c>
      <c r="BM56" s="56" t="e">
        <f t="shared" si="258"/>
        <v>#DIV/0!</v>
      </c>
      <c r="BN56" s="50">
        <f t="shared" si="259"/>
        <v>0</v>
      </c>
      <c r="BO56" s="56" t="e">
        <f t="shared" si="260"/>
        <v>#DIV/0!</v>
      </c>
      <c r="BP56" s="50">
        <f t="shared" si="261"/>
        <v>0</v>
      </c>
      <c r="BQ56" s="50">
        <f t="shared" si="183"/>
        <v>0</v>
      </c>
      <c r="BR56" s="50">
        <f>IF($AN56="N","N",SUM('調查資料(OUT)'!N62:N65))</f>
        <v>0</v>
      </c>
      <c r="BS56" s="50">
        <f>IF($AN56="N","N",SUM('調查資料(OUT)'!R62:R65))</f>
        <v>0</v>
      </c>
      <c r="BT56" s="50">
        <f>IF($AN56="N","N",SUM('調查資料(OUT)'!V62:V65))</f>
        <v>0</v>
      </c>
      <c r="BU56" s="56" t="e">
        <f t="shared" si="184"/>
        <v>#DIV/0!</v>
      </c>
      <c r="BV56" s="50">
        <f t="shared" si="185"/>
        <v>0</v>
      </c>
      <c r="BW56" s="50">
        <f>IF($AN56="N","N",SUM('調查資料(OUT)'!O62:O65))</f>
        <v>0</v>
      </c>
      <c r="BX56" s="50">
        <f>IF($AN56="N","N",SUM('調查資料(OUT)'!S62:S65))</f>
        <v>0</v>
      </c>
      <c r="BY56" s="50">
        <f>IF($AN56="N","N",SUM('調查資料(OUT)'!W62:W65))</f>
        <v>0</v>
      </c>
      <c r="BZ56" s="56" t="e">
        <f t="shared" si="186"/>
        <v>#DIV/0!</v>
      </c>
      <c r="CA56" s="50">
        <f t="shared" si="187"/>
        <v>0</v>
      </c>
      <c r="CB56" s="50">
        <f>IF($AN56="N","N",SUM('調查資料(OUT)'!P62:P65))</f>
        <v>0</v>
      </c>
      <c r="CC56" s="50">
        <f>IF($AN56="N","N",SUM('調查資料(OUT)'!T62:T65))</f>
        <v>0</v>
      </c>
      <c r="CD56" s="50">
        <f>IF($AN56="N","N",SUM('調查資料(OUT)'!X62:X65))</f>
        <v>0</v>
      </c>
      <c r="CE56" s="56" t="e">
        <f t="shared" si="188"/>
        <v>#DIV/0!</v>
      </c>
      <c r="CF56" s="50">
        <f t="shared" si="189"/>
        <v>0</v>
      </c>
      <c r="CG56" s="50">
        <f>IF($AN56="N","N",SUM('調查資料(OUT)'!Q62:Q65))</f>
        <v>0</v>
      </c>
      <c r="CH56" s="50">
        <f>IF($AN56="N","N",SUM('調查資料(OUT)'!U62:U65))</f>
        <v>0</v>
      </c>
      <c r="CI56" s="50">
        <f>IF($AN56="N","N",SUM('調查資料(OUT)'!Y62:Y65))</f>
        <v>0</v>
      </c>
      <c r="CJ56" s="56" t="e">
        <f t="shared" si="190"/>
        <v>#DIV/0!</v>
      </c>
      <c r="CK56" s="50">
        <f t="shared" si="262"/>
        <v>0</v>
      </c>
      <c r="CL56" s="56" t="e">
        <f t="shared" si="263"/>
        <v>#DIV/0!</v>
      </c>
      <c r="CM56" s="50">
        <f t="shared" si="264"/>
        <v>0</v>
      </c>
      <c r="CN56" s="56" t="e">
        <f t="shared" si="265"/>
        <v>#DIV/0!</v>
      </c>
      <c r="CO56" s="50">
        <f t="shared" si="266"/>
        <v>0</v>
      </c>
      <c r="CP56" s="56" t="e">
        <f t="shared" si="267"/>
        <v>#DIV/0!</v>
      </c>
      <c r="CQ56" s="50">
        <f t="shared" si="268"/>
        <v>0</v>
      </c>
      <c r="CR56" s="50">
        <f t="shared" si="198"/>
        <v>0</v>
      </c>
      <c r="CS56" s="50">
        <f>IF($AN56="N","N",SUM('調查資料(OUT)'!Z62:Z65))</f>
        <v>0</v>
      </c>
      <c r="CT56" s="50">
        <f>IF($AN56="N","N",SUM('調查資料(OUT)'!AD62:AD65))</f>
        <v>0</v>
      </c>
      <c r="CU56" s="50">
        <f>IF($AN56="N","N",SUM('調查資料(OUT)'!AH62:AH65))</f>
        <v>0</v>
      </c>
      <c r="CV56" s="56" t="e">
        <f t="shared" si="199"/>
        <v>#DIV/0!</v>
      </c>
      <c r="CW56" s="50">
        <f t="shared" si="200"/>
        <v>0</v>
      </c>
      <c r="CX56" s="50">
        <f>IF($AN56="N","N",SUM('調查資料(OUT)'!AA62:AA65))</f>
        <v>0</v>
      </c>
      <c r="CY56" s="50">
        <f>IF($AN56="N","N",SUM('調查資料(OUT)'!AE62:AE65))</f>
        <v>0</v>
      </c>
      <c r="CZ56" s="50">
        <f>IF($AN56="N","N",SUM('調查資料(OUT)'!AI62:AI65))</f>
        <v>0</v>
      </c>
      <c r="DA56" s="56" t="e">
        <f t="shared" si="201"/>
        <v>#DIV/0!</v>
      </c>
      <c r="DB56" s="50">
        <f t="shared" si="202"/>
        <v>0</v>
      </c>
      <c r="DC56" s="50">
        <f>IF($AN56="N","N",SUM('調查資料(OUT)'!AB62:AB65))</f>
        <v>0</v>
      </c>
      <c r="DD56" s="50">
        <f>IF($AN56="N","N",SUM('調查資料(OUT)'!AF62:AF65))</f>
        <v>0</v>
      </c>
      <c r="DE56" s="50">
        <f>IF($AN56="N","N",SUM('調查資料(OUT)'!AJ62:AJ65))</f>
        <v>0</v>
      </c>
      <c r="DF56" s="56" t="e">
        <f t="shared" si="203"/>
        <v>#DIV/0!</v>
      </c>
      <c r="DG56" s="50">
        <f t="shared" si="204"/>
        <v>0</v>
      </c>
      <c r="DH56" s="50">
        <f>IF($AN56="N","N",SUM('調查資料(OUT)'!AC62:AC65))</f>
        <v>0</v>
      </c>
      <c r="DI56" s="50">
        <f>IF($AN56="N","N",SUM('調查資料(OUT)'!AG62:AG65))</f>
        <v>0</v>
      </c>
      <c r="DJ56" s="50">
        <f>IF($AN56="N","N",SUM('調查資料(OUT)'!AK62:AK65))</f>
        <v>0</v>
      </c>
      <c r="DK56" s="56" t="e">
        <f t="shared" si="205"/>
        <v>#DIV/0!</v>
      </c>
      <c r="DL56" s="50">
        <f t="shared" si="269"/>
        <v>0</v>
      </c>
      <c r="DM56" s="56" t="e">
        <f t="shared" si="270"/>
        <v>#DIV/0!</v>
      </c>
      <c r="DN56" s="50">
        <f t="shared" si="271"/>
        <v>0</v>
      </c>
      <c r="DO56" s="56" t="e">
        <f t="shared" si="272"/>
        <v>#DIV/0!</v>
      </c>
      <c r="DP56" s="50">
        <f t="shared" si="273"/>
        <v>0</v>
      </c>
      <c r="DQ56" s="56" t="e">
        <f t="shared" si="274"/>
        <v>#DIV/0!</v>
      </c>
      <c r="DR56" s="50">
        <f t="shared" si="275"/>
        <v>0</v>
      </c>
      <c r="DS56" s="50">
        <f t="shared" si="213"/>
        <v>0</v>
      </c>
      <c r="DT56" s="50">
        <f>IF($AN56="N","N",SUM('調查資料(OUT)'!AL62:AL65))</f>
        <v>0</v>
      </c>
      <c r="DU56" s="50">
        <f>IF($AN56="N","N",SUM('調查資料(OUT)'!AP62:AP65))</f>
        <v>0</v>
      </c>
      <c r="DV56" s="50">
        <f>IF($AN56="N","N",SUM('調查資料(OUT)'!AT62:AT65))</f>
        <v>0</v>
      </c>
      <c r="DW56" s="56" t="e">
        <f t="shared" si="214"/>
        <v>#DIV/0!</v>
      </c>
      <c r="DX56" s="50">
        <f t="shared" si="215"/>
        <v>0</v>
      </c>
      <c r="DY56" s="50">
        <f>IF($AN56="N","N",SUM('調查資料(OUT)'!AM62:AM65))</f>
        <v>0</v>
      </c>
      <c r="DZ56" s="50">
        <f>IF($AN56="N","N",SUM('調查資料(OUT)'!AQ62:AQ65))</f>
        <v>0</v>
      </c>
      <c r="EA56" s="50">
        <f>IF($AN56="N","N",SUM('調查資料(OUT)'!AU62:AU65))</f>
        <v>0</v>
      </c>
      <c r="EB56" s="56" t="e">
        <f t="shared" si="216"/>
        <v>#DIV/0!</v>
      </c>
      <c r="EC56" s="50">
        <f t="shared" si="217"/>
        <v>0</v>
      </c>
      <c r="ED56" s="50">
        <f>IF($AN56="N","N",SUM('調查資料(OUT)'!AN62:AN65))</f>
        <v>0</v>
      </c>
      <c r="EE56" s="50">
        <f>IF($AN56="N","N",SUM('調查資料(OUT)'!AR62:AR65))</f>
        <v>0</v>
      </c>
      <c r="EF56" s="50">
        <f>IF($AN56="N","N",SUM('調查資料(OUT)'!AV62:AV65))</f>
        <v>0</v>
      </c>
      <c r="EG56" s="56" t="e">
        <f t="shared" si="218"/>
        <v>#DIV/0!</v>
      </c>
      <c r="EH56" s="50">
        <f t="shared" si="219"/>
        <v>0</v>
      </c>
      <c r="EI56" s="50">
        <f>IF($AN56="N","N",SUM('調查資料(OUT)'!AO62:AO65))</f>
        <v>0</v>
      </c>
      <c r="EJ56" s="50">
        <f>IF($AN56="N","N",SUM('調查資料(OUT)'!AS62:AS65))</f>
        <v>0</v>
      </c>
      <c r="EK56" s="50">
        <f>IF($AN56="N","N",SUM('調查資料(OUT)'!AW62:AW65))</f>
        <v>0</v>
      </c>
      <c r="EL56" s="56" t="e">
        <f t="shared" si="220"/>
        <v>#DIV/0!</v>
      </c>
      <c r="EM56" s="50">
        <f t="shared" si="276"/>
        <v>0</v>
      </c>
      <c r="EN56" s="56" t="e">
        <f t="shared" si="277"/>
        <v>#DIV/0!</v>
      </c>
      <c r="EO56" s="50">
        <f t="shared" si="278"/>
        <v>0</v>
      </c>
      <c r="EP56" s="56" t="e">
        <f t="shared" si="279"/>
        <v>#DIV/0!</v>
      </c>
      <c r="EQ56" s="50">
        <f t="shared" si="280"/>
        <v>0</v>
      </c>
      <c r="ER56" s="56" t="e">
        <f t="shared" si="281"/>
        <v>#DIV/0!</v>
      </c>
      <c r="ES56" s="50">
        <f t="shared" si="282"/>
        <v>0</v>
      </c>
      <c r="ET56" s="50">
        <f t="shared" si="227"/>
        <v>0</v>
      </c>
      <c r="EU56" s="50">
        <f>IF($AN56="N","N",SUM('調查資料(OUT)'!AX62:AX65))</f>
        <v>0</v>
      </c>
      <c r="EV56" s="50">
        <f>IF($AN56="N","N",SUM('調查資料(OUT)'!BB62:BB65))</f>
        <v>0</v>
      </c>
      <c r="EW56" s="50">
        <f>IF($AN56="N","N",SUM('調查資料(OUT)'!BF62:BF65))</f>
        <v>0</v>
      </c>
      <c r="EX56" s="56" t="e">
        <f t="shared" si="228"/>
        <v>#DIV/0!</v>
      </c>
      <c r="EY56" s="50">
        <f t="shared" si="229"/>
        <v>0</v>
      </c>
      <c r="EZ56" s="50">
        <f>IF($AN56="N","N",SUM('調查資料(OUT)'!AY62:AY65))</f>
        <v>0</v>
      </c>
      <c r="FA56" s="50">
        <f>IF($AN56="N","N",SUM('調查資料(OUT)'!BC62:BC65))</f>
        <v>0</v>
      </c>
      <c r="FB56" s="50">
        <f>IF($AN56="N","N",SUM('調查資料(OUT)'!BG62:BG65))</f>
        <v>0</v>
      </c>
      <c r="FC56" s="56" t="e">
        <f t="shared" si="230"/>
        <v>#DIV/0!</v>
      </c>
      <c r="FD56" s="50">
        <f t="shared" si="231"/>
        <v>0</v>
      </c>
      <c r="FE56" s="50">
        <f>IF($AN56="N","N",SUM('調查資料(OUT)'!AZ62:AZ65))</f>
        <v>0</v>
      </c>
      <c r="FF56" s="50">
        <f>IF($AN56="N","N",SUM('調查資料(OUT)'!BD62:BD65))</f>
        <v>0</v>
      </c>
      <c r="FG56" s="50">
        <f>IF($AN56="N","N",SUM('調查資料(OUT)'!BH62:BH65))</f>
        <v>0</v>
      </c>
      <c r="FH56" s="56" t="e">
        <f t="shared" si="232"/>
        <v>#DIV/0!</v>
      </c>
      <c r="FI56" s="50">
        <f t="shared" si="233"/>
        <v>0</v>
      </c>
      <c r="FJ56" s="50">
        <f>IF($AN56="N","N",SUM('調查資料(OUT)'!BA62:BA65))</f>
        <v>0</v>
      </c>
      <c r="FK56" s="50">
        <f>IF($AN56="N","N",SUM('調查資料(OUT)'!BE62:BE65))</f>
        <v>0</v>
      </c>
      <c r="FL56" s="50">
        <f>IF($AN56="N","N",SUM('調查資料(OUT)'!BI62:BI65))</f>
        <v>0</v>
      </c>
      <c r="FM56" s="56" t="e">
        <f t="shared" si="234"/>
        <v>#DIV/0!</v>
      </c>
      <c r="FN56" s="50">
        <f t="shared" si="246"/>
        <v>0</v>
      </c>
      <c r="FO56" s="56" t="e">
        <f t="shared" si="247"/>
        <v>#DIV/0!</v>
      </c>
      <c r="FP56" s="50">
        <f t="shared" si="248"/>
        <v>0</v>
      </c>
      <c r="FQ56" s="56" t="e">
        <f t="shared" si="249"/>
        <v>#DIV/0!</v>
      </c>
      <c r="FR56" s="50">
        <f t="shared" si="250"/>
        <v>0</v>
      </c>
      <c r="FS56" s="56" t="e">
        <f t="shared" si="251"/>
        <v>#DIV/0!</v>
      </c>
      <c r="FT56" s="50">
        <f t="shared" si="252"/>
        <v>0</v>
      </c>
    </row>
    <row r="57" spans="1:176">
      <c r="A57" s="318">
        <f>'調查資料(OUT)'!A63</f>
        <v>1300</v>
      </c>
      <c r="B57" s="319">
        <f t="shared" si="238"/>
        <v>0</v>
      </c>
      <c r="C57" s="319">
        <f>IFERROR('調查資料(OUT)'!$B$1*'調查資料(OUT)'!B63,0)+IFERROR('調查資料(OUT)'!$F$1*'調查資料(OUT)'!F63,0)+IFERROR('調查資料(OUT)'!$J$1*'調查資料(OUT)'!J63,0)</f>
        <v>0</v>
      </c>
      <c r="D57" s="319">
        <f>IFERROR('調查資料(OUT)'!$C$1*'調查資料(OUT)'!C63,0)+IFERROR('調查資料(OUT)'!$G$1*'調查資料(OUT)'!G63,0)+IFERROR('調查資料(OUT)'!$K$1*'調查資料(OUT)'!K63,0)</f>
        <v>0</v>
      </c>
      <c r="E57" s="319">
        <f>IFERROR('調查資料(OUT)'!$D$1*'調查資料(OUT)'!D63,0)+IFERROR('調查資料(OUT)'!$H$1*'調查資料(OUT)'!H63,0)+IFERROR('調查資料(OUT)'!$L$1*'調查資料(OUT)'!L63,0)</f>
        <v>0</v>
      </c>
      <c r="F57" s="320">
        <f>IFERROR('調查資料(OUT)'!$E$1*'調查資料(OUT)'!E63,0)+IFERROR('調查資料(OUT)'!$I$1*'調查資料(OUT)'!I63,0)+IFERROR('調查資料(OUT)'!$M$1*'調查資料(OUT)'!M63,0)</f>
        <v>0</v>
      </c>
      <c r="G57" s="319">
        <f t="shared" si="239"/>
        <v>0</v>
      </c>
      <c r="H57" s="319">
        <f>IFERROR('調查資料(OUT)'!$N$1*'調查資料(OUT)'!N63,0)+IFERROR('調查資料(OUT)'!$R$1*'調查資料(OUT)'!R63,0)+IFERROR('調查資料(OUT)'!$V$1*'調查資料(OUT)'!V63,0)</f>
        <v>0</v>
      </c>
      <c r="I57" s="319">
        <f>IFERROR('調查資料(OUT)'!$O$1*'調查資料(OUT)'!O63,0)+IFERROR('調查資料(OUT)'!$S$1*'調查資料(OUT)'!S63,0)+IFERROR('調查資料(OUT)'!$W$1*'調查資料(OUT)'!W63,0)</f>
        <v>0</v>
      </c>
      <c r="J57" s="319">
        <f>IFERROR('調查資料(OUT)'!$P$1*'調查資料(OUT)'!P63,0)+IFERROR('調查資料(OUT)'!$T$1*'調查資料(OUT)'!T63,0)+IFERROR('調查資料(OUT)'!$X$1*'調查資料(OUT)'!X63,0)</f>
        <v>0</v>
      </c>
      <c r="K57" s="320">
        <f>IFERROR('調查資料(OUT)'!$Q$1*'調查資料(OUT)'!Q63,0)+IFERROR('調查資料(OUT)'!$U$1*'調查資料(OUT)'!U63,0)+IFERROR('調查資料(OUT)'!$Y$1*'調查資料(OUT)'!Y63,0)</f>
        <v>0</v>
      </c>
      <c r="L57" s="319">
        <f t="shared" si="240"/>
        <v>0</v>
      </c>
      <c r="M57" s="319">
        <f>IFERROR('調查資料(OUT)'!$Z$1*'調查資料(OUT)'!Z63,0)+IFERROR('調查資料(OUT)'!$AD$1*'調查資料(OUT)'!AD63,0)+IFERROR('調查資料(OUT)'!$AH$1*'調查資料(OUT)'!AH63,0)</f>
        <v>0</v>
      </c>
      <c r="N57" s="319">
        <f>IFERROR('調查資料(OUT)'!$AA$1*'調查資料(OUT)'!AA63,0)+IFERROR('調查資料(OUT)'!$AE$1*'調查資料(OUT)'!AE63,0)+IFERROR('調查資料(OUT)'!$AI$1*'調查資料(OUT)'!AI63,0)</f>
        <v>0</v>
      </c>
      <c r="O57" s="319">
        <f>IFERROR('調查資料(OUT)'!$AB$1*'調查資料(OUT)'!AB63,0)+IFERROR('調查資料(OUT)'!$AF$1*'調查資料(OUT)'!AF63,0)+IFERROR('調查資料(OUT)'!$AJ$1*'調查資料(OUT)'!AJ63,0)</f>
        <v>0</v>
      </c>
      <c r="P57" s="320">
        <f>IFERROR('調查資料(OUT)'!$AC$1*'調查資料(OUT)'!AC63,0)+IFERROR('調查資料(OUT)'!$AG$1*'調查資料(OUT)'!AG63,0)+IFERROR('調查資料(OUT)'!$AK$1*'調查資料(OUT)'!AK63,0)</f>
        <v>0</v>
      </c>
      <c r="Q57" s="319">
        <f t="shared" si="241"/>
        <v>0</v>
      </c>
      <c r="R57" s="319">
        <f>IFERROR('調查資料(OUT)'!$AL$1*'調查資料(OUT)'!AL63,0)+IFERROR('調查資料(OUT)'!$AP$1*'調查資料(OUT)'!AP63,0)+IFERROR('調查資料(OUT)'!$AT$1*'調查資料(OUT)'!AT63,0)</f>
        <v>0</v>
      </c>
      <c r="S57" s="319">
        <f>IFERROR('調查資料(OUT)'!$AM$1*'調查資料(OUT)'!AM63,0)+IFERROR('調查資料(OUT)'!$AQ$1*'調查資料(OUT)'!AQ63,0)+IFERROR('調查資料(OUT)'!$AU$1*'調查資料(OUT)'!AU63,0)</f>
        <v>0</v>
      </c>
      <c r="T57" s="319">
        <f>IFERROR('調查資料(OUT)'!$AN$1*'調查資料(OUT)'!AN63,0)+IFERROR('調查資料(OUT)'!$AR$1*'調查資料(OUT)'!AR63,0)+IFERROR('調查資料(OUT)'!$AV$1*'調查資料(OUT)'!AV63,0)</f>
        <v>0</v>
      </c>
      <c r="U57" s="320">
        <f>IFERROR('調查資料(OUT)'!$AO$1*'調查資料(OUT)'!AO63,0)+IFERROR('調查資料(OUT)'!$AS$1*'調查資料(OUT)'!AS63,0)+IFERROR('調查資料(OUT)'!$AW$1*'調查資料(OUT)'!AW63,0)</f>
        <v>0</v>
      </c>
      <c r="V57" s="319">
        <f t="shared" si="242"/>
        <v>0</v>
      </c>
      <c r="W57" s="319">
        <f>IFERROR('調查資料(OUT)'!$AX$1*'調查資料(OUT)'!AX63,0)+IFERROR('調查資料(OUT)'!$BB$1*'調查資料(OUT)'!BB63,0)+IFERROR('調查資料(OUT)'!$BF$1*'調查資料(OUT)'!BF63,0)</f>
        <v>0</v>
      </c>
      <c r="X57" s="319">
        <f>IFERROR('調查資料(OUT)'!$AY$1*'調查資料(OUT)'!AY63,0)+IFERROR('調查資料(OUT)'!$BC$1*'調查資料(OUT)'!BC63,0)+IFERROR('調查資料(OUT)'!$BG$1*'調查資料(OUT)'!BG63,0)</f>
        <v>0</v>
      </c>
      <c r="Y57" s="319">
        <f>IFERROR('調查資料(OUT)'!$AZ$1*'調查資料(OUT)'!AZ63,0)+IFERROR('調查資料(OUT)'!$BD$1*'調查資料(OUT)'!BD63,0)+IFERROR('調查資料(OUT)'!$BH$1*'調查資料(OUT)'!BH63,0)</f>
        <v>0</v>
      </c>
      <c r="Z57" s="320">
        <f>IFERROR('調查資料(OUT)'!$BA$1*'調查資料(OUT)'!BA63,0)+IFERROR('調查資料(OUT)'!$BE$1*'調查資料(OUT)'!BE63,0)+IFERROR('調查資料(OUT)'!$BI$1*'調查資料(OUT)'!BI63,0)</f>
        <v>0</v>
      </c>
      <c r="AA57" s="321">
        <f t="shared" si="243"/>
        <v>0</v>
      </c>
      <c r="AC57" s="358">
        <f>'調查資料(OUT)'!A63</f>
        <v>1300</v>
      </c>
      <c r="AD57" s="359">
        <f t="shared" si="244"/>
        <v>1400</v>
      </c>
      <c r="AE57" s="319">
        <f>SUM(AA57:AA60)</f>
        <v>0</v>
      </c>
      <c r="AF57" s="360">
        <f>MAX(AE57:AE65)</f>
        <v>0</v>
      </c>
      <c r="AG57" s="319">
        <f>IF($AE57=$AF$57,MAX(AA57:AA60),0)</f>
        <v>0</v>
      </c>
      <c r="AH57" s="361" t="e">
        <f>IF($AE57=AF$57,SUM(B57:B60)/(4*(MAX(B57:B60))),0)</f>
        <v>#DIV/0!</v>
      </c>
      <c r="AI57" s="361" t="e">
        <f>IF($AE57=AF$57,SUM(G57:G60)/(4*(MAX(G57:G60))),0)</f>
        <v>#DIV/0!</v>
      </c>
      <c r="AJ57" s="361" t="e">
        <f>IF($AE57=AF$57,SUM(L57:L60)/(4*(MAX(L57:L60))),0)</f>
        <v>#DIV/0!</v>
      </c>
      <c r="AK57" s="361" t="e">
        <f>IF($AE57=AF$57,SUM(Q57:Q60)/(4*(MAX(Q57:Q60))),0)</f>
        <v>#DIV/0!</v>
      </c>
      <c r="AL57" s="361" t="e">
        <f>IF($AE57=AF$57,SUM(V57:V60)/(4*(MAX(V57:V60))),0)</f>
        <v>#DIV/0!</v>
      </c>
      <c r="AM57" s="377" t="e">
        <f>$AF$57/(4*MAX(AG57:AG65))</f>
        <v>#DIV/0!</v>
      </c>
      <c r="AN57" s="319">
        <f>IF(AE57=AF$57,$AC57,"N")</f>
        <v>1300</v>
      </c>
      <c r="AO57" s="320">
        <f>IF(AE57=AF$57,$AD57,"N")</f>
        <v>1400</v>
      </c>
      <c r="AP57" s="50">
        <f t="shared" si="245"/>
        <v>0</v>
      </c>
      <c r="AQ57" s="50">
        <f>IF($AN57="N","N",SUM('調查資料(OUT)'!B63:B66))</f>
        <v>0</v>
      </c>
      <c r="AR57" s="50">
        <f>IF($AN57="N","N",SUM('調查資料(OUT)'!F63:F66))</f>
        <v>0</v>
      </c>
      <c r="AS57" s="50">
        <f>IF($AN57="N","N",SUM('調查資料(OUT)'!J63:J66))</f>
        <v>0</v>
      </c>
      <c r="AT57" s="56" t="e">
        <f t="shared" si="169"/>
        <v>#DIV/0!</v>
      </c>
      <c r="AU57" s="50">
        <f t="shared" si="170"/>
        <v>0</v>
      </c>
      <c r="AV57" s="50">
        <f>IF($AN57="N","N",SUM('調查資料(OUT)'!C63:C66))</f>
        <v>0</v>
      </c>
      <c r="AW57" s="50">
        <f>IF($AN57="N","N",SUM('調查資料(OUT)'!G63:G66))</f>
        <v>0</v>
      </c>
      <c r="AX57" s="50">
        <f>IF($AN57="N","N",SUM('調查資料(OUT)'!K63:K66))</f>
        <v>0</v>
      </c>
      <c r="AY57" s="56" t="e">
        <f t="shared" si="171"/>
        <v>#DIV/0!</v>
      </c>
      <c r="AZ57" s="50">
        <f t="shared" si="172"/>
        <v>0</v>
      </c>
      <c r="BA57" s="50">
        <f>IF($AN57="N","N",SUM('調查資料(OUT)'!D63:D66))</f>
        <v>0</v>
      </c>
      <c r="BB57" s="50">
        <f>IF($AN57="N","N",SUM('調查資料(OUT)'!H63:H66))</f>
        <v>0</v>
      </c>
      <c r="BC57" s="50">
        <f>IF($AN57="N","N",SUM('調查資料(OUT)'!L63:L66))</f>
        <v>0</v>
      </c>
      <c r="BD57" s="56" t="e">
        <f t="shared" si="173"/>
        <v>#DIV/0!</v>
      </c>
      <c r="BE57" s="50">
        <f t="shared" si="174"/>
        <v>0</v>
      </c>
      <c r="BF57" s="50">
        <f>IF($AN57="N","N",SUM('調查資料(OUT)'!E63:E66))</f>
        <v>0</v>
      </c>
      <c r="BG57" s="50">
        <f>IF($AN57="N","N",SUM('調查資料(OUT)'!I63:I66))</f>
        <v>0</v>
      </c>
      <c r="BH57" s="50">
        <f>IF($AN57="N","N",SUM('調查資料(OUT)'!M63:M66))</f>
        <v>0</v>
      </c>
      <c r="BI57" s="56" t="e">
        <f t="shared" si="175"/>
        <v>#DIV/0!</v>
      </c>
      <c r="BJ57" s="50">
        <f t="shared" si="255"/>
        <v>0</v>
      </c>
      <c r="BK57" s="56" t="e">
        <f t="shared" si="256"/>
        <v>#DIV/0!</v>
      </c>
      <c r="BL57" s="50">
        <f t="shared" si="257"/>
        <v>0</v>
      </c>
      <c r="BM57" s="56" t="e">
        <f t="shared" si="258"/>
        <v>#DIV/0!</v>
      </c>
      <c r="BN57" s="50">
        <f t="shared" si="259"/>
        <v>0</v>
      </c>
      <c r="BO57" s="56" t="e">
        <f t="shared" si="260"/>
        <v>#DIV/0!</v>
      </c>
      <c r="BP57" s="50">
        <f t="shared" si="261"/>
        <v>0</v>
      </c>
      <c r="BQ57" s="50">
        <f t="shared" si="183"/>
        <v>0</v>
      </c>
      <c r="BR57" s="50">
        <f>IF($AN57="N","N",SUM('調查資料(OUT)'!N63:N66))</f>
        <v>0</v>
      </c>
      <c r="BS57" s="50">
        <f>IF($AN57="N","N",SUM('調查資料(OUT)'!R63:R66))</f>
        <v>0</v>
      </c>
      <c r="BT57" s="50">
        <f>IF($AN57="N","N",SUM('調查資料(OUT)'!V63:V66))</f>
        <v>0</v>
      </c>
      <c r="BU57" s="56" t="e">
        <f t="shared" si="184"/>
        <v>#DIV/0!</v>
      </c>
      <c r="BV57" s="50">
        <f t="shared" si="185"/>
        <v>0</v>
      </c>
      <c r="BW57" s="50">
        <f>IF($AN57="N","N",SUM('調查資料(OUT)'!O63:O66))</f>
        <v>0</v>
      </c>
      <c r="BX57" s="50">
        <f>IF($AN57="N","N",SUM('調查資料(OUT)'!S63:S66))</f>
        <v>0</v>
      </c>
      <c r="BY57" s="50">
        <f>IF($AN57="N","N",SUM('調查資料(OUT)'!W63:W66))</f>
        <v>0</v>
      </c>
      <c r="BZ57" s="56" t="e">
        <f t="shared" si="186"/>
        <v>#DIV/0!</v>
      </c>
      <c r="CA57" s="50">
        <f t="shared" si="187"/>
        <v>0</v>
      </c>
      <c r="CB57" s="50">
        <f>IF($AN57="N","N",SUM('調查資料(OUT)'!P63:P66))</f>
        <v>0</v>
      </c>
      <c r="CC57" s="50">
        <f>IF($AN57="N","N",SUM('調查資料(OUT)'!T63:T66))</f>
        <v>0</v>
      </c>
      <c r="CD57" s="50">
        <f>IF($AN57="N","N",SUM('調查資料(OUT)'!X63:X66))</f>
        <v>0</v>
      </c>
      <c r="CE57" s="56" t="e">
        <f t="shared" si="188"/>
        <v>#DIV/0!</v>
      </c>
      <c r="CF57" s="50">
        <f t="shared" si="189"/>
        <v>0</v>
      </c>
      <c r="CG57" s="50">
        <f>IF($AN57="N","N",SUM('調查資料(OUT)'!Q63:Q66))</f>
        <v>0</v>
      </c>
      <c r="CH57" s="50">
        <f>IF($AN57="N","N",SUM('調查資料(OUT)'!U63:U66))</f>
        <v>0</v>
      </c>
      <c r="CI57" s="50">
        <f>IF($AN57="N","N",SUM('調查資料(OUT)'!Y63:Y66))</f>
        <v>0</v>
      </c>
      <c r="CJ57" s="56" t="e">
        <f t="shared" si="190"/>
        <v>#DIV/0!</v>
      </c>
      <c r="CK57" s="50">
        <f t="shared" si="262"/>
        <v>0</v>
      </c>
      <c r="CL57" s="56" t="e">
        <f t="shared" si="263"/>
        <v>#DIV/0!</v>
      </c>
      <c r="CM57" s="50">
        <f t="shared" si="264"/>
        <v>0</v>
      </c>
      <c r="CN57" s="56" t="e">
        <f t="shared" si="265"/>
        <v>#DIV/0!</v>
      </c>
      <c r="CO57" s="50">
        <f t="shared" si="266"/>
        <v>0</v>
      </c>
      <c r="CP57" s="56" t="e">
        <f t="shared" si="267"/>
        <v>#DIV/0!</v>
      </c>
      <c r="CQ57" s="50">
        <f t="shared" si="268"/>
        <v>0</v>
      </c>
      <c r="CR57" s="50">
        <f t="shared" si="198"/>
        <v>0</v>
      </c>
      <c r="CS57" s="50">
        <f>IF($AN57="N","N",SUM('調查資料(OUT)'!Z63:Z66))</f>
        <v>0</v>
      </c>
      <c r="CT57" s="50">
        <f>IF($AN57="N","N",SUM('調查資料(OUT)'!AD63:AD66))</f>
        <v>0</v>
      </c>
      <c r="CU57" s="50">
        <f>IF($AN57="N","N",SUM('調查資料(OUT)'!AH63:AH66))</f>
        <v>0</v>
      </c>
      <c r="CV57" s="56" t="e">
        <f t="shared" si="199"/>
        <v>#DIV/0!</v>
      </c>
      <c r="CW57" s="50">
        <f t="shared" si="200"/>
        <v>0</v>
      </c>
      <c r="CX57" s="50">
        <f>IF($AN57="N","N",SUM('調查資料(OUT)'!AA63:AA66))</f>
        <v>0</v>
      </c>
      <c r="CY57" s="50">
        <f>IF($AN57="N","N",SUM('調查資料(OUT)'!AE63:AE66))</f>
        <v>0</v>
      </c>
      <c r="CZ57" s="50">
        <f>IF($AN57="N","N",SUM('調查資料(OUT)'!AI63:AI66))</f>
        <v>0</v>
      </c>
      <c r="DA57" s="56" t="e">
        <f t="shared" si="201"/>
        <v>#DIV/0!</v>
      </c>
      <c r="DB57" s="50">
        <f t="shared" si="202"/>
        <v>0</v>
      </c>
      <c r="DC57" s="50">
        <f>IF($AN57="N","N",SUM('調查資料(OUT)'!AB63:AB66))</f>
        <v>0</v>
      </c>
      <c r="DD57" s="50">
        <f>IF($AN57="N","N",SUM('調查資料(OUT)'!AF63:AF66))</f>
        <v>0</v>
      </c>
      <c r="DE57" s="50">
        <f>IF($AN57="N","N",SUM('調查資料(OUT)'!AJ63:AJ66))</f>
        <v>0</v>
      </c>
      <c r="DF57" s="56" t="e">
        <f t="shared" si="203"/>
        <v>#DIV/0!</v>
      </c>
      <c r="DG57" s="50">
        <f t="shared" si="204"/>
        <v>0</v>
      </c>
      <c r="DH57" s="50">
        <f>IF($AN57="N","N",SUM('調查資料(OUT)'!AC63:AC66))</f>
        <v>0</v>
      </c>
      <c r="DI57" s="50">
        <f>IF($AN57="N","N",SUM('調查資料(OUT)'!AG63:AG66))</f>
        <v>0</v>
      </c>
      <c r="DJ57" s="50">
        <f>IF($AN57="N","N",SUM('調查資料(OUT)'!AK63:AK66))</f>
        <v>0</v>
      </c>
      <c r="DK57" s="56" t="e">
        <f t="shared" si="205"/>
        <v>#DIV/0!</v>
      </c>
      <c r="DL57" s="50">
        <f t="shared" si="269"/>
        <v>0</v>
      </c>
      <c r="DM57" s="56" t="e">
        <f t="shared" si="270"/>
        <v>#DIV/0!</v>
      </c>
      <c r="DN57" s="50">
        <f t="shared" si="271"/>
        <v>0</v>
      </c>
      <c r="DO57" s="56" t="e">
        <f t="shared" si="272"/>
        <v>#DIV/0!</v>
      </c>
      <c r="DP57" s="50">
        <f t="shared" si="273"/>
        <v>0</v>
      </c>
      <c r="DQ57" s="56" t="e">
        <f t="shared" si="274"/>
        <v>#DIV/0!</v>
      </c>
      <c r="DR57" s="50">
        <f t="shared" si="275"/>
        <v>0</v>
      </c>
      <c r="DS57" s="50">
        <f t="shared" si="213"/>
        <v>0</v>
      </c>
      <c r="DT57" s="50">
        <f>IF($AN57="N","N",SUM('調查資料(OUT)'!AL63:AL66))</f>
        <v>0</v>
      </c>
      <c r="DU57" s="50">
        <f>IF($AN57="N","N",SUM('調查資料(OUT)'!AP63:AP66))</f>
        <v>0</v>
      </c>
      <c r="DV57" s="50">
        <f>IF($AN57="N","N",SUM('調查資料(OUT)'!AT63:AT66))</f>
        <v>0</v>
      </c>
      <c r="DW57" s="56" t="e">
        <f t="shared" si="214"/>
        <v>#DIV/0!</v>
      </c>
      <c r="DX57" s="50">
        <f t="shared" si="215"/>
        <v>0</v>
      </c>
      <c r="DY57" s="50">
        <f>IF($AN57="N","N",SUM('調查資料(OUT)'!AM63:AM66))</f>
        <v>0</v>
      </c>
      <c r="DZ57" s="50">
        <f>IF($AN57="N","N",SUM('調查資料(OUT)'!AQ63:AQ66))</f>
        <v>0</v>
      </c>
      <c r="EA57" s="50">
        <f>IF($AN57="N","N",SUM('調查資料(OUT)'!AU63:AU66))</f>
        <v>0</v>
      </c>
      <c r="EB57" s="56" t="e">
        <f t="shared" si="216"/>
        <v>#DIV/0!</v>
      </c>
      <c r="EC57" s="50">
        <f t="shared" si="217"/>
        <v>0</v>
      </c>
      <c r="ED57" s="50">
        <f>IF($AN57="N","N",SUM('調查資料(OUT)'!AN63:AN66))</f>
        <v>0</v>
      </c>
      <c r="EE57" s="50">
        <f>IF($AN57="N","N",SUM('調查資料(OUT)'!AR63:AR66))</f>
        <v>0</v>
      </c>
      <c r="EF57" s="50">
        <f>IF($AN57="N","N",SUM('調查資料(OUT)'!AV63:AV66))</f>
        <v>0</v>
      </c>
      <c r="EG57" s="56" t="e">
        <f t="shared" si="218"/>
        <v>#DIV/0!</v>
      </c>
      <c r="EH57" s="50">
        <f t="shared" si="219"/>
        <v>0</v>
      </c>
      <c r="EI57" s="50">
        <f>IF($AN57="N","N",SUM('調查資料(OUT)'!AO63:AO66))</f>
        <v>0</v>
      </c>
      <c r="EJ57" s="50">
        <f>IF($AN57="N","N",SUM('調查資料(OUT)'!AS63:AS66))</f>
        <v>0</v>
      </c>
      <c r="EK57" s="50">
        <f>IF($AN57="N","N",SUM('調查資料(OUT)'!AW63:AW66))</f>
        <v>0</v>
      </c>
      <c r="EL57" s="56" t="e">
        <f t="shared" si="220"/>
        <v>#DIV/0!</v>
      </c>
      <c r="EM57" s="50">
        <f t="shared" si="276"/>
        <v>0</v>
      </c>
      <c r="EN57" s="56" t="e">
        <f t="shared" si="277"/>
        <v>#DIV/0!</v>
      </c>
      <c r="EO57" s="50">
        <f t="shared" si="278"/>
        <v>0</v>
      </c>
      <c r="EP57" s="56" t="e">
        <f t="shared" si="279"/>
        <v>#DIV/0!</v>
      </c>
      <c r="EQ57" s="50">
        <f t="shared" si="280"/>
        <v>0</v>
      </c>
      <c r="ER57" s="56" t="e">
        <f t="shared" si="281"/>
        <v>#DIV/0!</v>
      </c>
      <c r="ES57" s="50">
        <f t="shared" si="282"/>
        <v>0</v>
      </c>
      <c r="ET57" s="50">
        <f t="shared" si="227"/>
        <v>0</v>
      </c>
      <c r="EU57" s="50">
        <f>IF($AN57="N","N",SUM('調查資料(OUT)'!AX63:AX66))</f>
        <v>0</v>
      </c>
      <c r="EV57" s="50">
        <f>IF($AN57="N","N",SUM('調查資料(OUT)'!BB63:BB66))</f>
        <v>0</v>
      </c>
      <c r="EW57" s="50">
        <f>IF($AN57="N","N",SUM('調查資料(OUT)'!BF63:BF66))</f>
        <v>0</v>
      </c>
      <c r="EX57" s="56" t="e">
        <f t="shared" si="228"/>
        <v>#DIV/0!</v>
      </c>
      <c r="EY57" s="50">
        <f t="shared" si="229"/>
        <v>0</v>
      </c>
      <c r="EZ57" s="50">
        <f>IF($AN57="N","N",SUM('調查資料(OUT)'!AY63:AY66))</f>
        <v>0</v>
      </c>
      <c r="FA57" s="50">
        <f>IF($AN57="N","N",SUM('調查資料(OUT)'!BC63:BC66))</f>
        <v>0</v>
      </c>
      <c r="FB57" s="50">
        <f>IF($AN57="N","N",SUM('調查資料(OUT)'!BG63:BG66))</f>
        <v>0</v>
      </c>
      <c r="FC57" s="56" t="e">
        <f t="shared" si="230"/>
        <v>#DIV/0!</v>
      </c>
      <c r="FD57" s="50">
        <f t="shared" si="231"/>
        <v>0</v>
      </c>
      <c r="FE57" s="50">
        <f>IF($AN57="N","N",SUM('調查資料(OUT)'!AZ63:AZ66))</f>
        <v>0</v>
      </c>
      <c r="FF57" s="50">
        <f>IF($AN57="N","N",SUM('調查資料(OUT)'!BD63:BD66))</f>
        <v>0</v>
      </c>
      <c r="FG57" s="50">
        <f>IF($AN57="N","N",SUM('調查資料(OUT)'!BH63:BH66))</f>
        <v>0</v>
      </c>
      <c r="FH57" s="56" t="e">
        <f t="shared" si="232"/>
        <v>#DIV/0!</v>
      </c>
      <c r="FI57" s="50">
        <f t="shared" si="233"/>
        <v>0</v>
      </c>
      <c r="FJ57" s="50">
        <f>IF($AN57="N","N",SUM('調查資料(OUT)'!BA63:BA66))</f>
        <v>0</v>
      </c>
      <c r="FK57" s="50">
        <f>IF($AN57="N","N",SUM('調查資料(OUT)'!BE63:BE66))</f>
        <v>0</v>
      </c>
      <c r="FL57" s="50">
        <f>IF($AN57="N","N",SUM('調查資料(OUT)'!BI63:BI66))</f>
        <v>0</v>
      </c>
      <c r="FM57" s="56" t="e">
        <f t="shared" si="234"/>
        <v>#DIV/0!</v>
      </c>
      <c r="FN57" s="50">
        <f t="shared" si="246"/>
        <v>0</v>
      </c>
      <c r="FO57" s="56" t="e">
        <f t="shared" si="247"/>
        <v>#DIV/0!</v>
      </c>
      <c r="FP57" s="50">
        <f t="shared" si="248"/>
        <v>0</v>
      </c>
      <c r="FQ57" s="56" t="e">
        <f t="shared" si="249"/>
        <v>#DIV/0!</v>
      </c>
      <c r="FR57" s="50">
        <f t="shared" si="250"/>
        <v>0</v>
      </c>
      <c r="FS57" s="56" t="e">
        <f t="shared" si="251"/>
        <v>#DIV/0!</v>
      </c>
      <c r="FT57" s="50">
        <f t="shared" si="252"/>
        <v>0</v>
      </c>
    </row>
    <row r="58" spans="1:176">
      <c r="A58" s="318">
        <f>'調查資料(OUT)'!A64</f>
        <v>1315</v>
      </c>
      <c r="B58" s="319">
        <f t="shared" si="238"/>
        <v>0</v>
      </c>
      <c r="C58" s="319">
        <f>IFERROR('調查資料(OUT)'!$B$1*'調查資料(OUT)'!B64,0)+IFERROR('調查資料(OUT)'!$F$1*'調查資料(OUT)'!F64,0)+IFERROR('調查資料(OUT)'!$J$1*'調查資料(OUT)'!J64,0)</f>
        <v>0</v>
      </c>
      <c r="D58" s="319">
        <f>IFERROR('調查資料(OUT)'!$C$1*'調查資料(OUT)'!C64,0)+IFERROR('調查資料(OUT)'!$G$1*'調查資料(OUT)'!G64,0)+IFERROR('調查資料(OUT)'!$K$1*'調查資料(OUT)'!K64,0)</f>
        <v>0</v>
      </c>
      <c r="E58" s="319">
        <f>IFERROR('調查資料(OUT)'!$D$1*'調查資料(OUT)'!D64,0)+IFERROR('調查資料(OUT)'!$H$1*'調查資料(OUT)'!H64,0)+IFERROR('調查資料(OUT)'!$L$1*'調查資料(OUT)'!L64,0)</f>
        <v>0</v>
      </c>
      <c r="F58" s="320">
        <f>IFERROR('調查資料(OUT)'!$E$1*'調查資料(OUT)'!E64,0)+IFERROR('調查資料(OUT)'!$I$1*'調查資料(OUT)'!I64,0)+IFERROR('調查資料(OUT)'!$M$1*'調查資料(OUT)'!M64,0)</f>
        <v>0</v>
      </c>
      <c r="G58" s="319">
        <f t="shared" si="239"/>
        <v>0</v>
      </c>
      <c r="H58" s="319">
        <f>IFERROR('調查資料(OUT)'!$N$1*'調查資料(OUT)'!N64,0)+IFERROR('調查資料(OUT)'!$R$1*'調查資料(OUT)'!R64,0)+IFERROR('調查資料(OUT)'!$V$1*'調查資料(OUT)'!V64,0)</f>
        <v>0</v>
      </c>
      <c r="I58" s="319">
        <f>IFERROR('調查資料(OUT)'!$O$1*'調查資料(OUT)'!O64,0)+IFERROR('調查資料(OUT)'!$S$1*'調查資料(OUT)'!S64,0)+IFERROR('調查資料(OUT)'!$W$1*'調查資料(OUT)'!W64,0)</f>
        <v>0</v>
      </c>
      <c r="J58" s="319">
        <f>IFERROR('調查資料(OUT)'!$P$1*'調查資料(OUT)'!P64,0)+IFERROR('調查資料(OUT)'!$T$1*'調查資料(OUT)'!T64,0)+IFERROR('調查資料(OUT)'!$X$1*'調查資料(OUT)'!X64,0)</f>
        <v>0</v>
      </c>
      <c r="K58" s="320">
        <f>IFERROR('調查資料(OUT)'!$Q$1*'調查資料(OUT)'!Q64,0)+IFERROR('調查資料(OUT)'!$U$1*'調查資料(OUT)'!U64,0)+IFERROR('調查資料(OUT)'!$Y$1*'調查資料(OUT)'!Y64,0)</f>
        <v>0</v>
      </c>
      <c r="L58" s="319">
        <f t="shared" si="240"/>
        <v>0</v>
      </c>
      <c r="M58" s="319">
        <f>IFERROR('調查資料(OUT)'!$Z$1*'調查資料(OUT)'!Z64,0)+IFERROR('調查資料(OUT)'!$AD$1*'調查資料(OUT)'!AD64,0)+IFERROR('調查資料(OUT)'!$AH$1*'調查資料(OUT)'!AH64,0)</f>
        <v>0</v>
      </c>
      <c r="N58" s="319">
        <f>IFERROR('調查資料(OUT)'!$AA$1*'調查資料(OUT)'!AA64,0)+IFERROR('調查資料(OUT)'!$AE$1*'調查資料(OUT)'!AE64,0)+IFERROR('調查資料(OUT)'!$AI$1*'調查資料(OUT)'!AI64,0)</f>
        <v>0</v>
      </c>
      <c r="O58" s="319">
        <f>IFERROR('調查資料(OUT)'!$AB$1*'調查資料(OUT)'!AB64,0)+IFERROR('調查資料(OUT)'!$AF$1*'調查資料(OUT)'!AF64,0)+IFERROR('調查資料(OUT)'!$AJ$1*'調查資料(OUT)'!AJ64,0)</f>
        <v>0</v>
      </c>
      <c r="P58" s="320">
        <f>IFERROR('調查資料(OUT)'!$AC$1*'調查資料(OUT)'!AC64,0)+IFERROR('調查資料(OUT)'!$AG$1*'調查資料(OUT)'!AG64,0)+IFERROR('調查資料(OUT)'!$AK$1*'調查資料(OUT)'!AK64,0)</f>
        <v>0</v>
      </c>
      <c r="Q58" s="319">
        <f t="shared" si="241"/>
        <v>0</v>
      </c>
      <c r="R58" s="319">
        <f>IFERROR('調查資料(OUT)'!$AL$1*'調查資料(OUT)'!AL64,0)+IFERROR('調查資料(OUT)'!$AP$1*'調查資料(OUT)'!AP64,0)+IFERROR('調查資料(OUT)'!$AT$1*'調查資料(OUT)'!AT64,0)</f>
        <v>0</v>
      </c>
      <c r="S58" s="319">
        <f>IFERROR('調查資料(OUT)'!$AM$1*'調查資料(OUT)'!AM64,0)+IFERROR('調查資料(OUT)'!$AQ$1*'調查資料(OUT)'!AQ64,0)+IFERROR('調查資料(OUT)'!$AU$1*'調查資料(OUT)'!AU64,0)</f>
        <v>0</v>
      </c>
      <c r="T58" s="319">
        <f>IFERROR('調查資料(OUT)'!$AN$1*'調查資料(OUT)'!AN64,0)+IFERROR('調查資料(OUT)'!$AR$1*'調查資料(OUT)'!AR64,0)+IFERROR('調查資料(OUT)'!$AV$1*'調查資料(OUT)'!AV64,0)</f>
        <v>0</v>
      </c>
      <c r="U58" s="320">
        <f>IFERROR('調查資料(OUT)'!$AO$1*'調查資料(OUT)'!AO64,0)+IFERROR('調查資料(OUT)'!$AS$1*'調查資料(OUT)'!AS64,0)+IFERROR('調查資料(OUT)'!$AW$1*'調查資料(OUT)'!AW64,0)</f>
        <v>0</v>
      </c>
      <c r="V58" s="319">
        <f t="shared" si="242"/>
        <v>0</v>
      </c>
      <c r="W58" s="319">
        <f>IFERROR('調查資料(OUT)'!$AX$1*'調查資料(OUT)'!AX64,0)+IFERROR('調查資料(OUT)'!$BB$1*'調查資料(OUT)'!BB64,0)+IFERROR('調查資料(OUT)'!$BF$1*'調查資料(OUT)'!BF64,0)</f>
        <v>0</v>
      </c>
      <c r="X58" s="319">
        <f>IFERROR('調查資料(OUT)'!$AY$1*'調查資料(OUT)'!AY64,0)+IFERROR('調查資料(OUT)'!$BC$1*'調查資料(OUT)'!BC64,0)+IFERROR('調查資料(OUT)'!$BG$1*'調查資料(OUT)'!BG64,0)</f>
        <v>0</v>
      </c>
      <c r="Y58" s="319">
        <f>IFERROR('調查資料(OUT)'!$AZ$1*'調查資料(OUT)'!AZ64,0)+IFERROR('調查資料(OUT)'!$BD$1*'調查資料(OUT)'!BD64,0)+IFERROR('調查資料(OUT)'!$BH$1*'調查資料(OUT)'!BH64,0)</f>
        <v>0</v>
      </c>
      <c r="Z58" s="320">
        <f>IFERROR('調查資料(OUT)'!$BA$1*'調查資料(OUT)'!BA64,0)+IFERROR('調查資料(OUT)'!$BE$1*'調查資料(OUT)'!BE64,0)+IFERROR('調查資料(OUT)'!$BI$1*'調查資料(OUT)'!BI64,0)</f>
        <v>0</v>
      </c>
      <c r="AA58" s="321">
        <f t="shared" si="243"/>
        <v>0</v>
      </c>
      <c r="AC58" s="358">
        <f>'調查資料(OUT)'!A64</f>
        <v>1315</v>
      </c>
      <c r="AD58" s="359">
        <f t="shared" si="244"/>
        <v>1415</v>
      </c>
      <c r="AE58" s="319">
        <f>SUM(AA58:AA61)</f>
        <v>0</v>
      </c>
      <c r="AF58" s="319"/>
      <c r="AG58" s="319">
        <f t="shared" ref="AG58:AG65" si="301">IF($AE58=$AF$57,MAX(AA58:AA61),0)</f>
        <v>0</v>
      </c>
      <c r="AH58" s="361" t="e">
        <f>IF($AE58=AF$57,SUM(B58:B61)/(4*(MAX(B58:B61))),0)</f>
        <v>#DIV/0!</v>
      </c>
      <c r="AI58" s="361" t="e">
        <f>IF($AE58=AF$57,SUM(G58:G61)/(4*(MAX(G58:G61))),0)</f>
        <v>#DIV/0!</v>
      </c>
      <c r="AJ58" s="361" t="e">
        <f t="shared" ref="AJ58:AJ65" si="302">IF($AE58=AF$57,SUM(L58:L61)/(4*(MAX(L58:L61))),0)</f>
        <v>#DIV/0!</v>
      </c>
      <c r="AK58" s="361" t="e">
        <f t="shared" ref="AK58:AK65" si="303">IF($AE58=AF$57,SUM(Q58:Q61)/(4*(MAX(Q58:Q61))),0)</f>
        <v>#DIV/0!</v>
      </c>
      <c r="AL58" s="361" t="e">
        <f>IF($AE58=AF$57,SUM(V58:V61)/(4*(MAX(V58:V61))),0)</f>
        <v>#DIV/0!</v>
      </c>
      <c r="AM58" s="362"/>
      <c r="AN58" s="319">
        <f t="shared" ref="AN58:AN64" si="304">IF(AE58=AF$57,$AC58,"N")</f>
        <v>1315</v>
      </c>
      <c r="AO58" s="320">
        <f t="shared" ref="AO58:AO64" si="305">IF(AE58=AF$57,$AD58,"N")</f>
        <v>1415</v>
      </c>
      <c r="AP58" s="50">
        <f t="shared" si="245"/>
        <v>0</v>
      </c>
      <c r="AQ58" s="50">
        <f>IF($AN58="N","N",SUM('調查資料(OUT)'!B64:B67))</f>
        <v>0</v>
      </c>
      <c r="AR58" s="50">
        <f>IF($AN58="N","N",SUM('調查資料(OUT)'!F64:F67))</f>
        <v>0</v>
      </c>
      <c r="AS58" s="50">
        <f>IF($AN58="N","N",SUM('調查資料(OUT)'!J64:J67))</f>
        <v>0</v>
      </c>
      <c r="AT58" s="56" t="e">
        <f t="shared" si="169"/>
        <v>#DIV/0!</v>
      </c>
      <c r="AU58" s="50">
        <f t="shared" si="170"/>
        <v>0</v>
      </c>
      <c r="AV58" s="50">
        <f>IF($AN58="N","N",SUM('調查資料(OUT)'!C64:C67))</f>
        <v>0</v>
      </c>
      <c r="AW58" s="50">
        <f>IF($AN58="N","N",SUM('調查資料(OUT)'!G64:G67))</f>
        <v>0</v>
      </c>
      <c r="AX58" s="50">
        <f>IF($AN58="N","N",SUM('調查資料(OUT)'!K64:K67))</f>
        <v>0</v>
      </c>
      <c r="AY58" s="56" t="e">
        <f t="shared" si="171"/>
        <v>#DIV/0!</v>
      </c>
      <c r="AZ58" s="50">
        <f t="shared" si="172"/>
        <v>0</v>
      </c>
      <c r="BA58" s="50">
        <f>IF($AN58="N","N",SUM('調查資料(OUT)'!D64:D67))</f>
        <v>0</v>
      </c>
      <c r="BB58" s="50">
        <f>IF($AN58="N","N",SUM('調查資料(OUT)'!H64:H67))</f>
        <v>0</v>
      </c>
      <c r="BC58" s="50">
        <f>IF($AN58="N","N",SUM('調查資料(OUT)'!L64:L67))</f>
        <v>0</v>
      </c>
      <c r="BD58" s="56" t="e">
        <f t="shared" si="173"/>
        <v>#DIV/0!</v>
      </c>
      <c r="BE58" s="50">
        <f t="shared" si="174"/>
        <v>0</v>
      </c>
      <c r="BF58" s="50">
        <f>IF($AN58="N","N",SUM('調查資料(OUT)'!E64:E67))</f>
        <v>0</v>
      </c>
      <c r="BG58" s="50">
        <f>IF($AN58="N","N",SUM('調查資料(OUT)'!I64:I67))</f>
        <v>0</v>
      </c>
      <c r="BH58" s="50">
        <f>IF($AN58="N","N",SUM('調查資料(OUT)'!M64:M67))</f>
        <v>0</v>
      </c>
      <c r="BI58" s="56" t="e">
        <f t="shared" si="175"/>
        <v>#DIV/0!</v>
      </c>
      <c r="BJ58" s="50">
        <f t="shared" si="255"/>
        <v>0</v>
      </c>
      <c r="BK58" s="56" t="e">
        <f t="shared" si="256"/>
        <v>#DIV/0!</v>
      </c>
      <c r="BL58" s="50">
        <f t="shared" si="257"/>
        <v>0</v>
      </c>
      <c r="BM58" s="56" t="e">
        <f t="shared" si="258"/>
        <v>#DIV/0!</v>
      </c>
      <c r="BN58" s="50">
        <f t="shared" si="259"/>
        <v>0</v>
      </c>
      <c r="BO58" s="56" t="e">
        <f t="shared" si="260"/>
        <v>#DIV/0!</v>
      </c>
      <c r="BP58" s="50">
        <f t="shared" si="261"/>
        <v>0</v>
      </c>
      <c r="BQ58" s="50">
        <f t="shared" si="183"/>
        <v>0</v>
      </c>
      <c r="BR58" s="50">
        <f>IF($AN58="N","N",SUM('調查資料(OUT)'!N64:N67))</f>
        <v>0</v>
      </c>
      <c r="BS58" s="50">
        <f>IF($AN58="N","N",SUM('調查資料(OUT)'!R64:R67))</f>
        <v>0</v>
      </c>
      <c r="BT58" s="50">
        <f>IF($AN58="N","N",SUM('調查資料(OUT)'!V64:V67))</f>
        <v>0</v>
      </c>
      <c r="BU58" s="56" t="e">
        <f t="shared" si="184"/>
        <v>#DIV/0!</v>
      </c>
      <c r="BV58" s="50">
        <f t="shared" si="185"/>
        <v>0</v>
      </c>
      <c r="BW58" s="50">
        <f>IF($AN58="N","N",SUM('調查資料(OUT)'!O64:O67))</f>
        <v>0</v>
      </c>
      <c r="BX58" s="50">
        <f>IF($AN58="N","N",SUM('調查資料(OUT)'!S64:S67))</f>
        <v>0</v>
      </c>
      <c r="BY58" s="50">
        <f>IF($AN58="N","N",SUM('調查資料(OUT)'!W64:W67))</f>
        <v>0</v>
      </c>
      <c r="BZ58" s="56" t="e">
        <f t="shared" si="186"/>
        <v>#DIV/0!</v>
      </c>
      <c r="CA58" s="50">
        <f t="shared" si="187"/>
        <v>0</v>
      </c>
      <c r="CB58" s="50">
        <f>IF($AN58="N","N",SUM('調查資料(OUT)'!P64:P67))</f>
        <v>0</v>
      </c>
      <c r="CC58" s="50">
        <f>IF($AN58="N","N",SUM('調查資料(OUT)'!T64:T67))</f>
        <v>0</v>
      </c>
      <c r="CD58" s="50">
        <f>IF($AN58="N","N",SUM('調查資料(OUT)'!X64:X67))</f>
        <v>0</v>
      </c>
      <c r="CE58" s="56" t="e">
        <f t="shared" si="188"/>
        <v>#DIV/0!</v>
      </c>
      <c r="CF58" s="50">
        <f t="shared" si="189"/>
        <v>0</v>
      </c>
      <c r="CG58" s="50">
        <f>IF($AN58="N","N",SUM('調查資料(OUT)'!Q64:Q67))</f>
        <v>0</v>
      </c>
      <c r="CH58" s="50">
        <f>IF($AN58="N","N",SUM('調查資料(OUT)'!U64:U67))</f>
        <v>0</v>
      </c>
      <c r="CI58" s="50">
        <f>IF($AN58="N","N",SUM('調查資料(OUT)'!Y64:Y67))</f>
        <v>0</v>
      </c>
      <c r="CJ58" s="56" t="e">
        <f t="shared" si="190"/>
        <v>#DIV/0!</v>
      </c>
      <c r="CK58" s="50">
        <f t="shared" si="262"/>
        <v>0</v>
      </c>
      <c r="CL58" s="56" t="e">
        <f t="shared" si="263"/>
        <v>#DIV/0!</v>
      </c>
      <c r="CM58" s="50">
        <f t="shared" si="264"/>
        <v>0</v>
      </c>
      <c r="CN58" s="56" t="e">
        <f t="shared" si="265"/>
        <v>#DIV/0!</v>
      </c>
      <c r="CO58" s="50">
        <f t="shared" si="266"/>
        <v>0</v>
      </c>
      <c r="CP58" s="56" t="e">
        <f t="shared" si="267"/>
        <v>#DIV/0!</v>
      </c>
      <c r="CQ58" s="50">
        <f t="shared" si="268"/>
        <v>0</v>
      </c>
      <c r="CR58" s="50">
        <f t="shared" si="198"/>
        <v>0</v>
      </c>
      <c r="CS58" s="50">
        <f>IF($AN58="N","N",SUM('調查資料(OUT)'!Z64:Z67))</f>
        <v>0</v>
      </c>
      <c r="CT58" s="50">
        <f>IF($AN58="N","N",SUM('調查資料(OUT)'!AD64:AD67))</f>
        <v>0</v>
      </c>
      <c r="CU58" s="50">
        <f>IF($AN58="N","N",SUM('調查資料(OUT)'!AH64:AH67))</f>
        <v>0</v>
      </c>
      <c r="CV58" s="56" t="e">
        <f t="shared" si="199"/>
        <v>#DIV/0!</v>
      </c>
      <c r="CW58" s="50">
        <f t="shared" si="200"/>
        <v>0</v>
      </c>
      <c r="CX58" s="50">
        <f>IF($AN58="N","N",SUM('調查資料(OUT)'!AA64:AA67))</f>
        <v>0</v>
      </c>
      <c r="CY58" s="50">
        <f>IF($AN58="N","N",SUM('調查資料(OUT)'!AE64:AE67))</f>
        <v>0</v>
      </c>
      <c r="CZ58" s="50">
        <f>IF($AN58="N","N",SUM('調查資料(OUT)'!AI64:AI67))</f>
        <v>0</v>
      </c>
      <c r="DA58" s="56" t="e">
        <f t="shared" si="201"/>
        <v>#DIV/0!</v>
      </c>
      <c r="DB58" s="50">
        <f t="shared" si="202"/>
        <v>0</v>
      </c>
      <c r="DC58" s="50">
        <f>IF($AN58="N","N",SUM('調查資料(OUT)'!AB64:AB67))</f>
        <v>0</v>
      </c>
      <c r="DD58" s="50">
        <f>IF($AN58="N","N",SUM('調查資料(OUT)'!AF64:AF67))</f>
        <v>0</v>
      </c>
      <c r="DE58" s="50">
        <f>IF($AN58="N","N",SUM('調查資料(OUT)'!AJ64:AJ67))</f>
        <v>0</v>
      </c>
      <c r="DF58" s="56" t="e">
        <f t="shared" si="203"/>
        <v>#DIV/0!</v>
      </c>
      <c r="DG58" s="50">
        <f t="shared" si="204"/>
        <v>0</v>
      </c>
      <c r="DH58" s="50">
        <f>IF($AN58="N","N",SUM('調查資料(OUT)'!AC64:AC67))</f>
        <v>0</v>
      </c>
      <c r="DI58" s="50">
        <f>IF($AN58="N","N",SUM('調查資料(OUT)'!AG64:AG67))</f>
        <v>0</v>
      </c>
      <c r="DJ58" s="50">
        <f>IF($AN58="N","N",SUM('調查資料(OUT)'!AK64:AK67))</f>
        <v>0</v>
      </c>
      <c r="DK58" s="56" t="e">
        <f t="shared" si="205"/>
        <v>#DIV/0!</v>
      </c>
      <c r="DL58" s="50">
        <f t="shared" si="269"/>
        <v>0</v>
      </c>
      <c r="DM58" s="56" t="e">
        <f t="shared" si="270"/>
        <v>#DIV/0!</v>
      </c>
      <c r="DN58" s="50">
        <f t="shared" si="271"/>
        <v>0</v>
      </c>
      <c r="DO58" s="56" t="e">
        <f t="shared" si="272"/>
        <v>#DIV/0!</v>
      </c>
      <c r="DP58" s="50">
        <f t="shared" si="273"/>
        <v>0</v>
      </c>
      <c r="DQ58" s="56" t="e">
        <f t="shared" si="274"/>
        <v>#DIV/0!</v>
      </c>
      <c r="DR58" s="50">
        <f t="shared" si="275"/>
        <v>0</v>
      </c>
      <c r="DS58" s="50">
        <f t="shared" si="213"/>
        <v>0</v>
      </c>
      <c r="DT58" s="50">
        <f>IF($AN58="N","N",SUM('調查資料(OUT)'!AL64:AL67))</f>
        <v>0</v>
      </c>
      <c r="DU58" s="50">
        <f>IF($AN58="N","N",SUM('調查資料(OUT)'!AP64:AP67))</f>
        <v>0</v>
      </c>
      <c r="DV58" s="50">
        <f>IF($AN58="N","N",SUM('調查資料(OUT)'!AT64:AT67))</f>
        <v>0</v>
      </c>
      <c r="DW58" s="56" t="e">
        <f t="shared" si="214"/>
        <v>#DIV/0!</v>
      </c>
      <c r="DX58" s="50">
        <f t="shared" si="215"/>
        <v>0</v>
      </c>
      <c r="DY58" s="50">
        <f>IF($AN58="N","N",SUM('調查資料(OUT)'!AM64:AM67))</f>
        <v>0</v>
      </c>
      <c r="DZ58" s="50">
        <f>IF($AN58="N","N",SUM('調查資料(OUT)'!AQ64:AQ67))</f>
        <v>0</v>
      </c>
      <c r="EA58" s="50">
        <f>IF($AN58="N","N",SUM('調查資料(OUT)'!AU64:AU67))</f>
        <v>0</v>
      </c>
      <c r="EB58" s="56" t="e">
        <f t="shared" si="216"/>
        <v>#DIV/0!</v>
      </c>
      <c r="EC58" s="50">
        <f t="shared" si="217"/>
        <v>0</v>
      </c>
      <c r="ED58" s="50">
        <f>IF($AN58="N","N",SUM('調查資料(OUT)'!AN64:AN67))</f>
        <v>0</v>
      </c>
      <c r="EE58" s="50">
        <f>IF($AN58="N","N",SUM('調查資料(OUT)'!AR64:AR67))</f>
        <v>0</v>
      </c>
      <c r="EF58" s="50">
        <f>IF($AN58="N","N",SUM('調查資料(OUT)'!AV64:AV67))</f>
        <v>0</v>
      </c>
      <c r="EG58" s="56" t="e">
        <f t="shared" si="218"/>
        <v>#DIV/0!</v>
      </c>
      <c r="EH58" s="50">
        <f t="shared" si="219"/>
        <v>0</v>
      </c>
      <c r="EI58" s="50">
        <f>IF($AN58="N","N",SUM('調查資料(OUT)'!AO64:AO67))</f>
        <v>0</v>
      </c>
      <c r="EJ58" s="50">
        <f>IF($AN58="N","N",SUM('調查資料(OUT)'!AS64:AS67))</f>
        <v>0</v>
      </c>
      <c r="EK58" s="50">
        <f>IF($AN58="N","N",SUM('調查資料(OUT)'!AW64:AW67))</f>
        <v>0</v>
      </c>
      <c r="EL58" s="56" t="e">
        <f t="shared" si="220"/>
        <v>#DIV/0!</v>
      </c>
      <c r="EM58" s="50">
        <f t="shared" si="276"/>
        <v>0</v>
      </c>
      <c r="EN58" s="56" t="e">
        <f t="shared" si="277"/>
        <v>#DIV/0!</v>
      </c>
      <c r="EO58" s="50">
        <f t="shared" si="278"/>
        <v>0</v>
      </c>
      <c r="EP58" s="56" t="e">
        <f t="shared" si="279"/>
        <v>#DIV/0!</v>
      </c>
      <c r="EQ58" s="50">
        <f t="shared" si="280"/>
        <v>0</v>
      </c>
      <c r="ER58" s="56" t="e">
        <f t="shared" si="281"/>
        <v>#DIV/0!</v>
      </c>
      <c r="ES58" s="50">
        <f t="shared" si="282"/>
        <v>0</v>
      </c>
      <c r="ET58" s="50">
        <f t="shared" si="227"/>
        <v>0</v>
      </c>
      <c r="EU58" s="50">
        <f>IF($AN58="N","N",SUM('調查資料(OUT)'!AX64:AX67))</f>
        <v>0</v>
      </c>
      <c r="EV58" s="50">
        <f>IF($AN58="N","N",SUM('調查資料(OUT)'!BB64:BB67))</f>
        <v>0</v>
      </c>
      <c r="EW58" s="50">
        <f>IF($AN58="N","N",SUM('調查資料(OUT)'!BF64:BF67))</f>
        <v>0</v>
      </c>
      <c r="EX58" s="56" t="e">
        <f t="shared" si="228"/>
        <v>#DIV/0!</v>
      </c>
      <c r="EY58" s="50">
        <f t="shared" si="229"/>
        <v>0</v>
      </c>
      <c r="EZ58" s="50">
        <f>IF($AN58="N","N",SUM('調查資料(OUT)'!AY64:AY67))</f>
        <v>0</v>
      </c>
      <c r="FA58" s="50">
        <f>IF($AN58="N","N",SUM('調查資料(OUT)'!BC64:BC67))</f>
        <v>0</v>
      </c>
      <c r="FB58" s="50">
        <f>IF($AN58="N","N",SUM('調查資料(OUT)'!BG64:BG67))</f>
        <v>0</v>
      </c>
      <c r="FC58" s="56" t="e">
        <f t="shared" si="230"/>
        <v>#DIV/0!</v>
      </c>
      <c r="FD58" s="50">
        <f t="shared" si="231"/>
        <v>0</v>
      </c>
      <c r="FE58" s="50">
        <f>IF($AN58="N","N",SUM('調查資料(OUT)'!AZ64:AZ67))</f>
        <v>0</v>
      </c>
      <c r="FF58" s="50">
        <f>IF($AN58="N","N",SUM('調查資料(OUT)'!BD64:BD67))</f>
        <v>0</v>
      </c>
      <c r="FG58" s="50">
        <f>IF($AN58="N","N",SUM('調查資料(OUT)'!BH64:BH67))</f>
        <v>0</v>
      </c>
      <c r="FH58" s="56" t="e">
        <f t="shared" si="232"/>
        <v>#DIV/0!</v>
      </c>
      <c r="FI58" s="50">
        <f t="shared" si="233"/>
        <v>0</v>
      </c>
      <c r="FJ58" s="50">
        <f>IF($AN58="N","N",SUM('調查資料(OUT)'!BA64:BA67))</f>
        <v>0</v>
      </c>
      <c r="FK58" s="50">
        <f>IF($AN58="N","N",SUM('調查資料(OUT)'!BE64:BE67))</f>
        <v>0</v>
      </c>
      <c r="FL58" s="50">
        <f>IF($AN58="N","N",SUM('調查資料(OUT)'!BI64:BI67))</f>
        <v>0</v>
      </c>
      <c r="FM58" s="56" t="e">
        <f t="shared" si="234"/>
        <v>#DIV/0!</v>
      </c>
      <c r="FN58" s="50">
        <f t="shared" si="246"/>
        <v>0</v>
      </c>
      <c r="FO58" s="56" t="e">
        <f t="shared" si="247"/>
        <v>#DIV/0!</v>
      </c>
      <c r="FP58" s="50">
        <f t="shared" si="248"/>
        <v>0</v>
      </c>
      <c r="FQ58" s="56" t="e">
        <f t="shared" si="249"/>
        <v>#DIV/0!</v>
      </c>
      <c r="FR58" s="50">
        <f t="shared" si="250"/>
        <v>0</v>
      </c>
      <c r="FS58" s="56" t="e">
        <f t="shared" si="251"/>
        <v>#DIV/0!</v>
      </c>
      <c r="FT58" s="50">
        <f t="shared" si="252"/>
        <v>0</v>
      </c>
    </row>
    <row r="59" spans="1:176">
      <c r="A59" s="318">
        <f>'調查資料(OUT)'!A65</f>
        <v>1330</v>
      </c>
      <c r="B59" s="319">
        <f t="shared" si="238"/>
        <v>0</v>
      </c>
      <c r="C59" s="319">
        <f>IFERROR('調查資料(OUT)'!$B$1*'調查資料(OUT)'!B65,0)+IFERROR('調查資料(OUT)'!$F$1*'調查資料(OUT)'!F65,0)+IFERROR('調查資料(OUT)'!$J$1*'調查資料(OUT)'!J65,0)</f>
        <v>0</v>
      </c>
      <c r="D59" s="319">
        <f>IFERROR('調查資料(OUT)'!$C$1*'調查資料(OUT)'!C65,0)+IFERROR('調查資料(OUT)'!$G$1*'調查資料(OUT)'!G65,0)+IFERROR('調查資料(OUT)'!$K$1*'調查資料(OUT)'!K65,0)</f>
        <v>0</v>
      </c>
      <c r="E59" s="319">
        <f>IFERROR('調查資料(OUT)'!$D$1*'調查資料(OUT)'!D65,0)+IFERROR('調查資料(OUT)'!$H$1*'調查資料(OUT)'!H65,0)+IFERROR('調查資料(OUT)'!$L$1*'調查資料(OUT)'!L65,0)</f>
        <v>0</v>
      </c>
      <c r="F59" s="320">
        <f>IFERROR('調查資料(OUT)'!$E$1*'調查資料(OUT)'!E65,0)+IFERROR('調查資料(OUT)'!$I$1*'調查資料(OUT)'!I65,0)+IFERROR('調查資料(OUT)'!$M$1*'調查資料(OUT)'!M65,0)</f>
        <v>0</v>
      </c>
      <c r="G59" s="319">
        <f t="shared" si="239"/>
        <v>0</v>
      </c>
      <c r="H59" s="319">
        <f>IFERROR('調查資料(OUT)'!$N$1*'調查資料(OUT)'!N65,0)+IFERROR('調查資料(OUT)'!$R$1*'調查資料(OUT)'!R65,0)+IFERROR('調查資料(OUT)'!$V$1*'調查資料(OUT)'!V65,0)</f>
        <v>0</v>
      </c>
      <c r="I59" s="319">
        <f>IFERROR('調查資料(OUT)'!$O$1*'調查資料(OUT)'!O65,0)+IFERROR('調查資料(OUT)'!$S$1*'調查資料(OUT)'!S65,0)+IFERROR('調查資料(OUT)'!$W$1*'調查資料(OUT)'!W65,0)</f>
        <v>0</v>
      </c>
      <c r="J59" s="319">
        <f>IFERROR('調查資料(OUT)'!$P$1*'調查資料(OUT)'!P65,0)+IFERROR('調查資料(OUT)'!$T$1*'調查資料(OUT)'!T65,0)+IFERROR('調查資料(OUT)'!$X$1*'調查資料(OUT)'!X65,0)</f>
        <v>0</v>
      </c>
      <c r="K59" s="320">
        <f>IFERROR('調查資料(OUT)'!$Q$1*'調查資料(OUT)'!Q65,0)+IFERROR('調查資料(OUT)'!$U$1*'調查資料(OUT)'!U65,0)+IFERROR('調查資料(OUT)'!$Y$1*'調查資料(OUT)'!Y65,0)</f>
        <v>0</v>
      </c>
      <c r="L59" s="319">
        <f t="shared" si="240"/>
        <v>0</v>
      </c>
      <c r="M59" s="319">
        <f>IFERROR('調查資料(OUT)'!$Z$1*'調查資料(OUT)'!Z65,0)+IFERROR('調查資料(OUT)'!$AD$1*'調查資料(OUT)'!AD65,0)+IFERROR('調查資料(OUT)'!$AH$1*'調查資料(OUT)'!AH65,0)</f>
        <v>0</v>
      </c>
      <c r="N59" s="319">
        <f>IFERROR('調查資料(OUT)'!$AA$1*'調查資料(OUT)'!AA65,0)+IFERROR('調查資料(OUT)'!$AE$1*'調查資料(OUT)'!AE65,0)+IFERROR('調查資料(OUT)'!$AI$1*'調查資料(OUT)'!AI65,0)</f>
        <v>0</v>
      </c>
      <c r="O59" s="319">
        <f>IFERROR('調查資料(OUT)'!$AB$1*'調查資料(OUT)'!AB65,0)+IFERROR('調查資料(OUT)'!$AF$1*'調查資料(OUT)'!AF65,0)+IFERROR('調查資料(OUT)'!$AJ$1*'調查資料(OUT)'!AJ65,0)</f>
        <v>0</v>
      </c>
      <c r="P59" s="320">
        <f>IFERROR('調查資料(OUT)'!$AC$1*'調查資料(OUT)'!AC65,0)+IFERROR('調查資料(OUT)'!$AG$1*'調查資料(OUT)'!AG65,0)+IFERROR('調查資料(OUT)'!$AK$1*'調查資料(OUT)'!AK65,0)</f>
        <v>0</v>
      </c>
      <c r="Q59" s="319">
        <f t="shared" si="241"/>
        <v>0</v>
      </c>
      <c r="R59" s="319">
        <f>IFERROR('調查資料(OUT)'!$AL$1*'調查資料(OUT)'!AL65,0)+IFERROR('調查資料(OUT)'!$AP$1*'調查資料(OUT)'!AP65,0)+IFERROR('調查資料(OUT)'!$AT$1*'調查資料(OUT)'!AT65,0)</f>
        <v>0</v>
      </c>
      <c r="S59" s="319">
        <f>IFERROR('調查資料(OUT)'!$AM$1*'調查資料(OUT)'!AM65,0)+IFERROR('調查資料(OUT)'!$AQ$1*'調查資料(OUT)'!AQ65,0)+IFERROR('調查資料(OUT)'!$AU$1*'調查資料(OUT)'!AU65,0)</f>
        <v>0</v>
      </c>
      <c r="T59" s="319">
        <f>IFERROR('調查資料(OUT)'!$AN$1*'調查資料(OUT)'!AN65,0)+IFERROR('調查資料(OUT)'!$AR$1*'調查資料(OUT)'!AR65,0)+IFERROR('調查資料(OUT)'!$AV$1*'調查資料(OUT)'!AV65,0)</f>
        <v>0</v>
      </c>
      <c r="U59" s="320">
        <f>IFERROR('調查資料(OUT)'!$AO$1*'調查資料(OUT)'!AO65,0)+IFERROR('調查資料(OUT)'!$AS$1*'調查資料(OUT)'!AS65,0)+IFERROR('調查資料(OUT)'!$AW$1*'調查資料(OUT)'!AW65,0)</f>
        <v>0</v>
      </c>
      <c r="V59" s="319">
        <f t="shared" si="242"/>
        <v>0</v>
      </c>
      <c r="W59" s="319">
        <f>IFERROR('調查資料(OUT)'!$AX$1*'調查資料(OUT)'!AX65,0)+IFERROR('調查資料(OUT)'!$BB$1*'調查資料(OUT)'!BB65,0)+IFERROR('調查資料(OUT)'!$BF$1*'調查資料(OUT)'!BF65,0)</f>
        <v>0</v>
      </c>
      <c r="X59" s="319">
        <f>IFERROR('調查資料(OUT)'!$AY$1*'調查資料(OUT)'!AY65,0)+IFERROR('調查資料(OUT)'!$BC$1*'調查資料(OUT)'!BC65,0)+IFERROR('調查資料(OUT)'!$BG$1*'調查資料(OUT)'!BG65,0)</f>
        <v>0</v>
      </c>
      <c r="Y59" s="319">
        <f>IFERROR('調查資料(OUT)'!$AZ$1*'調查資料(OUT)'!AZ65,0)+IFERROR('調查資料(OUT)'!$BD$1*'調查資料(OUT)'!BD65,0)+IFERROR('調查資料(OUT)'!$BH$1*'調查資料(OUT)'!BH65,0)</f>
        <v>0</v>
      </c>
      <c r="Z59" s="320">
        <f>IFERROR('調查資料(OUT)'!$BA$1*'調查資料(OUT)'!BA65,0)+IFERROR('調查資料(OUT)'!$BE$1*'調查資料(OUT)'!BE65,0)+IFERROR('調查資料(OUT)'!$BI$1*'調查資料(OUT)'!BI65,0)</f>
        <v>0</v>
      </c>
      <c r="AA59" s="321">
        <f t="shared" si="243"/>
        <v>0</v>
      </c>
      <c r="AC59" s="358">
        <f>'調查資料(OUT)'!A65</f>
        <v>1330</v>
      </c>
      <c r="AD59" s="359">
        <f t="shared" si="244"/>
        <v>1430</v>
      </c>
      <c r="AE59" s="319">
        <f>SUM(AA59:AA62)</f>
        <v>0</v>
      </c>
      <c r="AF59" s="319"/>
      <c r="AG59" s="319">
        <f t="shared" si="301"/>
        <v>0</v>
      </c>
      <c r="AH59" s="361" t="e">
        <f t="shared" ref="AH59:AH65" si="306">IF($AE59=AF$57,SUM(B59:B62)/(4*(MAX(B59:B62))),0)</f>
        <v>#DIV/0!</v>
      </c>
      <c r="AI59" s="361" t="e">
        <f t="shared" ref="AI59:AI65" si="307">IF($AE59=AF$57,SUM(G59:G62)/(4*(MAX(G59:G62))),0)</f>
        <v>#DIV/0!</v>
      </c>
      <c r="AJ59" s="361" t="e">
        <f t="shared" si="302"/>
        <v>#DIV/0!</v>
      </c>
      <c r="AK59" s="361" t="e">
        <f t="shared" si="303"/>
        <v>#DIV/0!</v>
      </c>
      <c r="AL59" s="361" t="e">
        <f t="shared" ref="AL59:AL64" si="308">IF($AE59=AF$57,SUM(V59:V62)/(4*(MAX(V59:V62))),0)</f>
        <v>#DIV/0!</v>
      </c>
      <c r="AM59" s="362"/>
      <c r="AN59" s="319">
        <f t="shared" si="304"/>
        <v>1330</v>
      </c>
      <c r="AO59" s="320">
        <f t="shared" si="305"/>
        <v>1430</v>
      </c>
      <c r="AP59" s="50">
        <f t="shared" si="245"/>
        <v>0</v>
      </c>
      <c r="AQ59" s="50">
        <f>IF($AN59="N","N",SUM('調查資料(OUT)'!B65:B68))</f>
        <v>0</v>
      </c>
      <c r="AR59" s="50">
        <f>IF($AN59="N","N",SUM('調查資料(OUT)'!F65:F68))</f>
        <v>0</v>
      </c>
      <c r="AS59" s="50">
        <f>IF($AN59="N","N",SUM('調查資料(OUT)'!J65:J68))</f>
        <v>0</v>
      </c>
      <c r="AT59" s="56" t="e">
        <f t="shared" si="169"/>
        <v>#DIV/0!</v>
      </c>
      <c r="AU59" s="50">
        <f t="shared" si="170"/>
        <v>0</v>
      </c>
      <c r="AV59" s="50">
        <f>IF($AN59="N","N",SUM('調查資料(OUT)'!C65:C68))</f>
        <v>0</v>
      </c>
      <c r="AW59" s="50">
        <f>IF($AN59="N","N",SUM('調查資料(OUT)'!G65:G68))</f>
        <v>0</v>
      </c>
      <c r="AX59" s="50">
        <f>IF($AN59="N","N",SUM('調查資料(OUT)'!K65:K68))</f>
        <v>0</v>
      </c>
      <c r="AY59" s="56" t="e">
        <f t="shared" si="171"/>
        <v>#DIV/0!</v>
      </c>
      <c r="AZ59" s="50">
        <f t="shared" si="172"/>
        <v>0</v>
      </c>
      <c r="BA59" s="50">
        <f>IF($AN59="N","N",SUM('調查資料(OUT)'!D65:D68))</f>
        <v>0</v>
      </c>
      <c r="BB59" s="50">
        <f>IF($AN59="N","N",SUM('調查資料(OUT)'!H65:H68))</f>
        <v>0</v>
      </c>
      <c r="BC59" s="50">
        <f>IF($AN59="N","N",SUM('調查資料(OUT)'!L65:L68))</f>
        <v>0</v>
      </c>
      <c r="BD59" s="56" t="e">
        <f t="shared" si="173"/>
        <v>#DIV/0!</v>
      </c>
      <c r="BE59" s="50">
        <f t="shared" si="174"/>
        <v>0</v>
      </c>
      <c r="BF59" s="50">
        <f>IF($AN59="N","N",SUM('調查資料(OUT)'!E65:E68))</f>
        <v>0</v>
      </c>
      <c r="BG59" s="50">
        <f>IF($AN59="N","N",SUM('調查資料(OUT)'!I65:I68))</f>
        <v>0</v>
      </c>
      <c r="BH59" s="50">
        <f>IF($AN59="N","N",SUM('調查資料(OUT)'!M65:M68))</f>
        <v>0</v>
      </c>
      <c r="BI59" s="56" t="e">
        <f t="shared" si="175"/>
        <v>#DIV/0!</v>
      </c>
      <c r="BJ59" s="50">
        <f t="shared" si="255"/>
        <v>0</v>
      </c>
      <c r="BK59" s="56" t="e">
        <f t="shared" si="256"/>
        <v>#DIV/0!</v>
      </c>
      <c r="BL59" s="50">
        <f t="shared" si="257"/>
        <v>0</v>
      </c>
      <c r="BM59" s="56" t="e">
        <f t="shared" si="258"/>
        <v>#DIV/0!</v>
      </c>
      <c r="BN59" s="50">
        <f t="shared" si="259"/>
        <v>0</v>
      </c>
      <c r="BO59" s="56" t="e">
        <f t="shared" si="260"/>
        <v>#DIV/0!</v>
      </c>
      <c r="BP59" s="50">
        <f t="shared" si="261"/>
        <v>0</v>
      </c>
      <c r="BQ59" s="50">
        <f t="shared" si="183"/>
        <v>0</v>
      </c>
      <c r="BR59" s="50">
        <f>IF($AN59="N","N",SUM('調查資料(OUT)'!N65:N68))</f>
        <v>0</v>
      </c>
      <c r="BS59" s="50">
        <f>IF($AN59="N","N",SUM('調查資料(OUT)'!R65:R68))</f>
        <v>0</v>
      </c>
      <c r="BT59" s="50">
        <f>IF($AN59="N","N",SUM('調查資料(OUT)'!V65:V68))</f>
        <v>0</v>
      </c>
      <c r="BU59" s="56" t="e">
        <f t="shared" si="184"/>
        <v>#DIV/0!</v>
      </c>
      <c r="BV59" s="50">
        <f t="shared" si="185"/>
        <v>0</v>
      </c>
      <c r="BW59" s="50">
        <f>IF($AN59="N","N",SUM('調查資料(OUT)'!O65:O68))</f>
        <v>0</v>
      </c>
      <c r="BX59" s="50">
        <f>IF($AN59="N","N",SUM('調查資料(OUT)'!S65:S68))</f>
        <v>0</v>
      </c>
      <c r="BY59" s="50">
        <f>IF($AN59="N","N",SUM('調查資料(OUT)'!W65:W68))</f>
        <v>0</v>
      </c>
      <c r="BZ59" s="56" t="e">
        <f t="shared" si="186"/>
        <v>#DIV/0!</v>
      </c>
      <c r="CA59" s="50">
        <f t="shared" si="187"/>
        <v>0</v>
      </c>
      <c r="CB59" s="50">
        <f>IF($AN59="N","N",SUM('調查資料(OUT)'!P65:P68))</f>
        <v>0</v>
      </c>
      <c r="CC59" s="50">
        <f>IF($AN59="N","N",SUM('調查資料(OUT)'!T65:T68))</f>
        <v>0</v>
      </c>
      <c r="CD59" s="50">
        <f>IF($AN59="N","N",SUM('調查資料(OUT)'!X65:X68))</f>
        <v>0</v>
      </c>
      <c r="CE59" s="56" t="e">
        <f t="shared" si="188"/>
        <v>#DIV/0!</v>
      </c>
      <c r="CF59" s="50">
        <f t="shared" si="189"/>
        <v>0</v>
      </c>
      <c r="CG59" s="50">
        <f>IF($AN59="N","N",SUM('調查資料(OUT)'!Q65:Q68))</f>
        <v>0</v>
      </c>
      <c r="CH59" s="50">
        <f>IF($AN59="N","N",SUM('調查資料(OUT)'!U65:U68))</f>
        <v>0</v>
      </c>
      <c r="CI59" s="50">
        <f>IF($AN59="N","N",SUM('調查資料(OUT)'!Y65:Y68))</f>
        <v>0</v>
      </c>
      <c r="CJ59" s="56" t="e">
        <f t="shared" si="190"/>
        <v>#DIV/0!</v>
      </c>
      <c r="CK59" s="50">
        <f t="shared" si="262"/>
        <v>0</v>
      </c>
      <c r="CL59" s="56" t="e">
        <f t="shared" si="263"/>
        <v>#DIV/0!</v>
      </c>
      <c r="CM59" s="50">
        <f t="shared" si="264"/>
        <v>0</v>
      </c>
      <c r="CN59" s="56" t="e">
        <f t="shared" si="265"/>
        <v>#DIV/0!</v>
      </c>
      <c r="CO59" s="50">
        <f t="shared" si="266"/>
        <v>0</v>
      </c>
      <c r="CP59" s="56" t="e">
        <f t="shared" si="267"/>
        <v>#DIV/0!</v>
      </c>
      <c r="CQ59" s="50">
        <f t="shared" si="268"/>
        <v>0</v>
      </c>
      <c r="CR59" s="50">
        <f t="shared" si="198"/>
        <v>0</v>
      </c>
      <c r="CS59" s="50">
        <f>IF($AN59="N","N",SUM('調查資料(OUT)'!Z65:Z68))</f>
        <v>0</v>
      </c>
      <c r="CT59" s="50">
        <f>IF($AN59="N","N",SUM('調查資料(OUT)'!AD65:AD68))</f>
        <v>0</v>
      </c>
      <c r="CU59" s="50">
        <f>IF($AN59="N","N",SUM('調查資料(OUT)'!AH65:AH68))</f>
        <v>0</v>
      </c>
      <c r="CV59" s="56" t="e">
        <f t="shared" si="199"/>
        <v>#DIV/0!</v>
      </c>
      <c r="CW59" s="50">
        <f t="shared" si="200"/>
        <v>0</v>
      </c>
      <c r="CX59" s="50">
        <f>IF($AN59="N","N",SUM('調查資料(OUT)'!AA65:AA68))</f>
        <v>0</v>
      </c>
      <c r="CY59" s="50">
        <f>IF($AN59="N","N",SUM('調查資料(OUT)'!AE65:AE68))</f>
        <v>0</v>
      </c>
      <c r="CZ59" s="50">
        <f>IF($AN59="N","N",SUM('調查資料(OUT)'!AI65:AI68))</f>
        <v>0</v>
      </c>
      <c r="DA59" s="56" t="e">
        <f t="shared" si="201"/>
        <v>#DIV/0!</v>
      </c>
      <c r="DB59" s="50">
        <f t="shared" si="202"/>
        <v>0</v>
      </c>
      <c r="DC59" s="50">
        <f>IF($AN59="N","N",SUM('調查資料(OUT)'!AB65:AB68))</f>
        <v>0</v>
      </c>
      <c r="DD59" s="50">
        <f>IF($AN59="N","N",SUM('調查資料(OUT)'!AF65:AF68))</f>
        <v>0</v>
      </c>
      <c r="DE59" s="50">
        <f>IF($AN59="N","N",SUM('調查資料(OUT)'!AJ65:AJ68))</f>
        <v>0</v>
      </c>
      <c r="DF59" s="56" t="e">
        <f t="shared" si="203"/>
        <v>#DIV/0!</v>
      </c>
      <c r="DG59" s="50">
        <f t="shared" si="204"/>
        <v>0</v>
      </c>
      <c r="DH59" s="50">
        <f>IF($AN59="N","N",SUM('調查資料(OUT)'!AC65:AC68))</f>
        <v>0</v>
      </c>
      <c r="DI59" s="50">
        <f>IF($AN59="N","N",SUM('調查資料(OUT)'!AG65:AG68))</f>
        <v>0</v>
      </c>
      <c r="DJ59" s="50">
        <f>IF($AN59="N","N",SUM('調查資料(OUT)'!AK65:AK68))</f>
        <v>0</v>
      </c>
      <c r="DK59" s="56" t="e">
        <f t="shared" si="205"/>
        <v>#DIV/0!</v>
      </c>
      <c r="DL59" s="50">
        <f t="shared" si="269"/>
        <v>0</v>
      </c>
      <c r="DM59" s="56" t="e">
        <f t="shared" si="270"/>
        <v>#DIV/0!</v>
      </c>
      <c r="DN59" s="50">
        <f t="shared" si="271"/>
        <v>0</v>
      </c>
      <c r="DO59" s="56" t="e">
        <f t="shared" si="272"/>
        <v>#DIV/0!</v>
      </c>
      <c r="DP59" s="50">
        <f t="shared" si="273"/>
        <v>0</v>
      </c>
      <c r="DQ59" s="56" t="e">
        <f t="shared" si="274"/>
        <v>#DIV/0!</v>
      </c>
      <c r="DR59" s="50">
        <f t="shared" si="275"/>
        <v>0</v>
      </c>
      <c r="DS59" s="50">
        <f t="shared" si="213"/>
        <v>0</v>
      </c>
      <c r="DT59" s="50">
        <f>IF($AN59="N","N",SUM('調查資料(OUT)'!AL65:AL68))</f>
        <v>0</v>
      </c>
      <c r="DU59" s="50">
        <f>IF($AN59="N","N",SUM('調查資料(OUT)'!AP65:AP68))</f>
        <v>0</v>
      </c>
      <c r="DV59" s="50">
        <f>IF($AN59="N","N",SUM('調查資料(OUT)'!AT65:AT68))</f>
        <v>0</v>
      </c>
      <c r="DW59" s="56" t="e">
        <f t="shared" si="214"/>
        <v>#DIV/0!</v>
      </c>
      <c r="DX59" s="50">
        <f t="shared" si="215"/>
        <v>0</v>
      </c>
      <c r="DY59" s="50">
        <f>IF($AN59="N","N",SUM('調查資料(OUT)'!AM65:AM68))</f>
        <v>0</v>
      </c>
      <c r="DZ59" s="50">
        <f>IF($AN59="N","N",SUM('調查資料(OUT)'!AQ65:AQ68))</f>
        <v>0</v>
      </c>
      <c r="EA59" s="50">
        <f>IF($AN59="N","N",SUM('調查資料(OUT)'!AU65:AU68))</f>
        <v>0</v>
      </c>
      <c r="EB59" s="56" t="e">
        <f t="shared" si="216"/>
        <v>#DIV/0!</v>
      </c>
      <c r="EC59" s="50">
        <f t="shared" si="217"/>
        <v>0</v>
      </c>
      <c r="ED59" s="50">
        <f>IF($AN59="N","N",SUM('調查資料(OUT)'!AN65:AN68))</f>
        <v>0</v>
      </c>
      <c r="EE59" s="50">
        <f>IF($AN59="N","N",SUM('調查資料(OUT)'!AR65:AR68))</f>
        <v>0</v>
      </c>
      <c r="EF59" s="50">
        <f>IF($AN59="N","N",SUM('調查資料(OUT)'!AV65:AV68))</f>
        <v>0</v>
      </c>
      <c r="EG59" s="56" t="e">
        <f t="shared" si="218"/>
        <v>#DIV/0!</v>
      </c>
      <c r="EH59" s="50">
        <f t="shared" si="219"/>
        <v>0</v>
      </c>
      <c r="EI59" s="50">
        <f>IF($AN59="N","N",SUM('調查資料(OUT)'!AO65:AO68))</f>
        <v>0</v>
      </c>
      <c r="EJ59" s="50">
        <f>IF($AN59="N","N",SUM('調查資料(OUT)'!AS65:AS68))</f>
        <v>0</v>
      </c>
      <c r="EK59" s="50">
        <f>IF($AN59="N","N",SUM('調查資料(OUT)'!AW65:AW68))</f>
        <v>0</v>
      </c>
      <c r="EL59" s="56" t="e">
        <f t="shared" si="220"/>
        <v>#DIV/0!</v>
      </c>
      <c r="EM59" s="50">
        <f t="shared" si="276"/>
        <v>0</v>
      </c>
      <c r="EN59" s="56" t="e">
        <f t="shared" si="277"/>
        <v>#DIV/0!</v>
      </c>
      <c r="EO59" s="50">
        <f t="shared" si="278"/>
        <v>0</v>
      </c>
      <c r="EP59" s="56" t="e">
        <f t="shared" si="279"/>
        <v>#DIV/0!</v>
      </c>
      <c r="EQ59" s="50">
        <f t="shared" si="280"/>
        <v>0</v>
      </c>
      <c r="ER59" s="56" t="e">
        <f t="shared" si="281"/>
        <v>#DIV/0!</v>
      </c>
      <c r="ES59" s="50">
        <f t="shared" si="282"/>
        <v>0</v>
      </c>
      <c r="ET59" s="50">
        <f t="shared" si="227"/>
        <v>0</v>
      </c>
      <c r="EU59" s="50">
        <f>IF($AN59="N","N",SUM('調查資料(OUT)'!AX65:AX68))</f>
        <v>0</v>
      </c>
      <c r="EV59" s="50">
        <f>IF($AN59="N","N",SUM('調查資料(OUT)'!BB65:BB68))</f>
        <v>0</v>
      </c>
      <c r="EW59" s="50">
        <f>IF($AN59="N","N",SUM('調查資料(OUT)'!BF65:BF68))</f>
        <v>0</v>
      </c>
      <c r="EX59" s="56" t="e">
        <f t="shared" si="228"/>
        <v>#DIV/0!</v>
      </c>
      <c r="EY59" s="50">
        <f t="shared" si="229"/>
        <v>0</v>
      </c>
      <c r="EZ59" s="50">
        <f>IF($AN59="N","N",SUM('調查資料(OUT)'!AY65:AY68))</f>
        <v>0</v>
      </c>
      <c r="FA59" s="50">
        <f>IF($AN59="N","N",SUM('調查資料(OUT)'!BC65:BC68))</f>
        <v>0</v>
      </c>
      <c r="FB59" s="50">
        <f>IF($AN59="N","N",SUM('調查資料(OUT)'!BG65:BG68))</f>
        <v>0</v>
      </c>
      <c r="FC59" s="56" t="e">
        <f t="shared" si="230"/>
        <v>#DIV/0!</v>
      </c>
      <c r="FD59" s="50">
        <f t="shared" si="231"/>
        <v>0</v>
      </c>
      <c r="FE59" s="50">
        <f>IF($AN59="N","N",SUM('調查資料(OUT)'!AZ65:AZ68))</f>
        <v>0</v>
      </c>
      <c r="FF59" s="50">
        <f>IF($AN59="N","N",SUM('調查資料(OUT)'!BD65:BD68))</f>
        <v>0</v>
      </c>
      <c r="FG59" s="50">
        <f>IF($AN59="N","N",SUM('調查資料(OUT)'!BH65:BH68))</f>
        <v>0</v>
      </c>
      <c r="FH59" s="56" t="e">
        <f t="shared" si="232"/>
        <v>#DIV/0!</v>
      </c>
      <c r="FI59" s="50">
        <f t="shared" si="233"/>
        <v>0</v>
      </c>
      <c r="FJ59" s="50">
        <f>IF($AN59="N","N",SUM('調查資料(OUT)'!BA65:BA68))</f>
        <v>0</v>
      </c>
      <c r="FK59" s="50">
        <f>IF($AN59="N","N",SUM('調查資料(OUT)'!BE65:BE68))</f>
        <v>0</v>
      </c>
      <c r="FL59" s="50">
        <f>IF($AN59="N","N",SUM('調查資料(OUT)'!BI65:BI68))</f>
        <v>0</v>
      </c>
      <c r="FM59" s="56" t="e">
        <f t="shared" si="234"/>
        <v>#DIV/0!</v>
      </c>
      <c r="FN59" s="50">
        <f t="shared" si="246"/>
        <v>0</v>
      </c>
      <c r="FO59" s="56" t="e">
        <f t="shared" si="247"/>
        <v>#DIV/0!</v>
      </c>
      <c r="FP59" s="50">
        <f t="shared" si="248"/>
        <v>0</v>
      </c>
      <c r="FQ59" s="56" t="e">
        <f t="shared" si="249"/>
        <v>#DIV/0!</v>
      </c>
      <c r="FR59" s="50">
        <f t="shared" si="250"/>
        <v>0</v>
      </c>
      <c r="FS59" s="56" t="e">
        <f t="shared" si="251"/>
        <v>#DIV/0!</v>
      </c>
      <c r="FT59" s="50">
        <f t="shared" si="252"/>
        <v>0</v>
      </c>
    </row>
    <row r="60" spans="1:176">
      <c r="A60" s="318">
        <f>'調查資料(OUT)'!A66</f>
        <v>1345</v>
      </c>
      <c r="B60" s="319">
        <f t="shared" si="238"/>
        <v>0</v>
      </c>
      <c r="C60" s="319">
        <f>IFERROR('調查資料(OUT)'!$B$1*'調查資料(OUT)'!B66,0)+IFERROR('調查資料(OUT)'!$F$1*'調查資料(OUT)'!F66,0)+IFERROR('調查資料(OUT)'!$J$1*'調查資料(OUT)'!J66,0)</f>
        <v>0</v>
      </c>
      <c r="D60" s="319">
        <f>IFERROR('調查資料(OUT)'!$C$1*'調查資料(OUT)'!C66,0)+IFERROR('調查資料(OUT)'!$G$1*'調查資料(OUT)'!G66,0)+IFERROR('調查資料(OUT)'!$K$1*'調查資料(OUT)'!K66,0)</f>
        <v>0</v>
      </c>
      <c r="E60" s="319">
        <f>IFERROR('調查資料(OUT)'!$D$1*'調查資料(OUT)'!D66,0)+IFERROR('調查資料(OUT)'!$H$1*'調查資料(OUT)'!H66,0)+IFERROR('調查資料(OUT)'!$L$1*'調查資料(OUT)'!L66,0)</f>
        <v>0</v>
      </c>
      <c r="F60" s="320">
        <f>IFERROR('調查資料(OUT)'!$E$1*'調查資料(OUT)'!E66,0)+IFERROR('調查資料(OUT)'!$I$1*'調查資料(OUT)'!I66,0)+IFERROR('調查資料(OUT)'!$M$1*'調查資料(OUT)'!M66,0)</f>
        <v>0</v>
      </c>
      <c r="G60" s="319">
        <f t="shared" si="239"/>
        <v>0</v>
      </c>
      <c r="H60" s="319">
        <f>IFERROR('調查資料(OUT)'!$N$1*'調查資料(OUT)'!N66,0)+IFERROR('調查資料(OUT)'!$R$1*'調查資料(OUT)'!R66,0)+IFERROR('調查資料(OUT)'!$V$1*'調查資料(OUT)'!V66,0)</f>
        <v>0</v>
      </c>
      <c r="I60" s="319">
        <f>IFERROR('調查資料(OUT)'!$O$1*'調查資料(OUT)'!O66,0)+IFERROR('調查資料(OUT)'!$S$1*'調查資料(OUT)'!S66,0)+IFERROR('調查資料(OUT)'!$W$1*'調查資料(OUT)'!W66,0)</f>
        <v>0</v>
      </c>
      <c r="J60" s="319">
        <f>IFERROR('調查資料(OUT)'!$P$1*'調查資料(OUT)'!P66,0)+IFERROR('調查資料(OUT)'!$T$1*'調查資料(OUT)'!T66,0)+IFERROR('調查資料(OUT)'!$X$1*'調查資料(OUT)'!X66,0)</f>
        <v>0</v>
      </c>
      <c r="K60" s="320">
        <f>IFERROR('調查資料(OUT)'!$Q$1*'調查資料(OUT)'!Q66,0)+IFERROR('調查資料(OUT)'!$U$1*'調查資料(OUT)'!U66,0)+IFERROR('調查資料(OUT)'!$Y$1*'調查資料(OUT)'!Y66,0)</f>
        <v>0</v>
      </c>
      <c r="L60" s="319">
        <f t="shared" si="240"/>
        <v>0</v>
      </c>
      <c r="M60" s="319">
        <f>IFERROR('調查資料(OUT)'!$Z$1*'調查資料(OUT)'!Z66,0)+IFERROR('調查資料(OUT)'!$AD$1*'調查資料(OUT)'!AD66,0)+IFERROR('調查資料(OUT)'!$AH$1*'調查資料(OUT)'!AH66,0)</f>
        <v>0</v>
      </c>
      <c r="N60" s="319">
        <f>IFERROR('調查資料(OUT)'!$AA$1*'調查資料(OUT)'!AA66,0)+IFERROR('調查資料(OUT)'!$AE$1*'調查資料(OUT)'!AE66,0)+IFERROR('調查資料(OUT)'!$AI$1*'調查資料(OUT)'!AI66,0)</f>
        <v>0</v>
      </c>
      <c r="O60" s="319">
        <f>IFERROR('調查資料(OUT)'!$AB$1*'調查資料(OUT)'!AB66,0)+IFERROR('調查資料(OUT)'!$AF$1*'調查資料(OUT)'!AF66,0)+IFERROR('調查資料(OUT)'!$AJ$1*'調查資料(OUT)'!AJ66,0)</f>
        <v>0</v>
      </c>
      <c r="P60" s="320">
        <f>IFERROR('調查資料(OUT)'!$AC$1*'調查資料(OUT)'!AC66,0)+IFERROR('調查資料(OUT)'!$AG$1*'調查資料(OUT)'!AG66,0)+IFERROR('調查資料(OUT)'!$AK$1*'調查資料(OUT)'!AK66,0)</f>
        <v>0</v>
      </c>
      <c r="Q60" s="319">
        <f t="shared" si="241"/>
        <v>0</v>
      </c>
      <c r="R60" s="319">
        <f>IFERROR('調查資料(OUT)'!$AL$1*'調查資料(OUT)'!AL66,0)+IFERROR('調查資料(OUT)'!$AP$1*'調查資料(OUT)'!AP66,0)+IFERROR('調查資料(OUT)'!$AT$1*'調查資料(OUT)'!AT66,0)</f>
        <v>0</v>
      </c>
      <c r="S60" s="319">
        <f>IFERROR('調查資料(OUT)'!$AM$1*'調查資料(OUT)'!AM66,0)+IFERROR('調查資料(OUT)'!$AQ$1*'調查資料(OUT)'!AQ66,0)+IFERROR('調查資料(OUT)'!$AU$1*'調查資料(OUT)'!AU66,0)</f>
        <v>0</v>
      </c>
      <c r="T60" s="319">
        <f>IFERROR('調查資料(OUT)'!$AN$1*'調查資料(OUT)'!AN66,0)+IFERROR('調查資料(OUT)'!$AR$1*'調查資料(OUT)'!AR66,0)+IFERROR('調查資料(OUT)'!$AV$1*'調查資料(OUT)'!AV66,0)</f>
        <v>0</v>
      </c>
      <c r="U60" s="320">
        <f>IFERROR('調查資料(OUT)'!$AO$1*'調查資料(OUT)'!AO66,0)+IFERROR('調查資料(OUT)'!$AS$1*'調查資料(OUT)'!AS66,0)+IFERROR('調查資料(OUT)'!$AW$1*'調查資料(OUT)'!AW66,0)</f>
        <v>0</v>
      </c>
      <c r="V60" s="319">
        <f t="shared" si="242"/>
        <v>0</v>
      </c>
      <c r="W60" s="319">
        <f>IFERROR('調查資料(OUT)'!$AX$1*'調查資料(OUT)'!AX66,0)+IFERROR('調查資料(OUT)'!$BB$1*'調查資料(OUT)'!BB66,0)+IFERROR('調查資料(OUT)'!$BF$1*'調查資料(OUT)'!BF66,0)</f>
        <v>0</v>
      </c>
      <c r="X60" s="319">
        <f>IFERROR('調查資料(OUT)'!$AY$1*'調查資料(OUT)'!AY66,0)+IFERROR('調查資料(OUT)'!$BC$1*'調查資料(OUT)'!BC66,0)+IFERROR('調查資料(OUT)'!$BG$1*'調查資料(OUT)'!BG66,0)</f>
        <v>0</v>
      </c>
      <c r="Y60" s="319">
        <f>IFERROR('調查資料(OUT)'!$AZ$1*'調查資料(OUT)'!AZ66,0)+IFERROR('調查資料(OUT)'!$BD$1*'調查資料(OUT)'!BD66,0)+IFERROR('調查資料(OUT)'!$BH$1*'調查資料(OUT)'!BH66,0)</f>
        <v>0</v>
      </c>
      <c r="Z60" s="320">
        <f>IFERROR('調查資料(OUT)'!$BA$1*'調查資料(OUT)'!BA66,0)+IFERROR('調查資料(OUT)'!$BE$1*'調查資料(OUT)'!BE66,0)+IFERROR('調查資料(OUT)'!$BI$1*'調查資料(OUT)'!BI66,0)</f>
        <v>0</v>
      </c>
      <c r="AA60" s="321">
        <f t="shared" si="243"/>
        <v>0</v>
      </c>
      <c r="AC60" s="358">
        <f>'調查資料(OUT)'!A66</f>
        <v>1345</v>
      </c>
      <c r="AD60" s="359">
        <f t="shared" si="244"/>
        <v>1445</v>
      </c>
      <c r="AE60" s="319">
        <f t="shared" si="254"/>
        <v>0</v>
      </c>
      <c r="AF60" s="319"/>
      <c r="AG60" s="319">
        <f t="shared" si="301"/>
        <v>0</v>
      </c>
      <c r="AH60" s="361" t="e">
        <f t="shared" si="306"/>
        <v>#DIV/0!</v>
      </c>
      <c r="AI60" s="361" t="e">
        <f t="shared" si="307"/>
        <v>#DIV/0!</v>
      </c>
      <c r="AJ60" s="361" t="e">
        <f t="shared" si="302"/>
        <v>#DIV/0!</v>
      </c>
      <c r="AK60" s="361" t="e">
        <f t="shared" si="303"/>
        <v>#DIV/0!</v>
      </c>
      <c r="AL60" s="361" t="e">
        <f t="shared" si="308"/>
        <v>#DIV/0!</v>
      </c>
      <c r="AM60" s="362"/>
      <c r="AN60" s="319">
        <f t="shared" si="304"/>
        <v>1345</v>
      </c>
      <c r="AO60" s="320">
        <f t="shared" si="305"/>
        <v>1445</v>
      </c>
      <c r="AP60" s="50">
        <f t="shared" si="245"/>
        <v>0</v>
      </c>
      <c r="AQ60" s="50">
        <f>IF($AN60="N","N",SUM('調查資料(OUT)'!B66:B69))</f>
        <v>0</v>
      </c>
      <c r="AR60" s="50">
        <f>IF($AN60="N","N",SUM('調查資料(OUT)'!F66:F69))</f>
        <v>0</v>
      </c>
      <c r="AS60" s="50">
        <f>IF($AN60="N","N",SUM('調查資料(OUT)'!J66:J69))</f>
        <v>0</v>
      </c>
      <c r="AT60" s="56" t="e">
        <f t="shared" si="169"/>
        <v>#DIV/0!</v>
      </c>
      <c r="AU60" s="50">
        <f t="shared" si="170"/>
        <v>0</v>
      </c>
      <c r="AV60" s="50">
        <f>IF($AN60="N","N",SUM('調查資料(OUT)'!C66:C69))</f>
        <v>0</v>
      </c>
      <c r="AW60" s="50">
        <f>IF($AN60="N","N",SUM('調查資料(OUT)'!G66:G69))</f>
        <v>0</v>
      </c>
      <c r="AX60" s="50">
        <f>IF($AN60="N","N",SUM('調查資料(OUT)'!K66:K69))</f>
        <v>0</v>
      </c>
      <c r="AY60" s="56" t="e">
        <f t="shared" si="171"/>
        <v>#DIV/0!</v>
      </c>
      <c r="AZ60" s="50">
        <f t="shared" si="172"/>
        <v>0</v>
      </c>
      <c r="BA60" s="50">
        <f>IF($AN60="N","N",SUM('調查資料(OUT)'!D66:D69))</f>
        <v>0</v>
      </c>
      <c r="BB60" s="50">
        <f>IF($AN60="N","N",SUM('調查資料(OUT)'!H66:H69))</f>
        <v>0</v>
      </c>
      <c r="BC60" s="50">
        <f>IF($AN60="N","N",SUM('調查資料(OUT)'!L66:L69))</f>
        <v>0</v>
      </c>
      <c r="BD60" s="56" t="e">
        <f t="shared" si="173"/>
        <v>#DIV/0!</v>
      </c>
      <c r="BE60" s="50">
        <f t="shared" si="174"/>
        <v>0</v>
      </c>
      <c r="BF60" s="50">
        <f>IF($AN60="N","N",SUM('調查資料(OUT)'!E66:E69))</f>
        <v>0</v>
      </c>
      <c r="BG60" s="50">
        <f>IF($AN60="N","N",SUM('調查資料(OUT)'!I66:I69))</f>
        <v>0</v>
      </c>
      <c r="BH60" s="50">
        <f>IF($AN60="N","N",SUM('調查資料(OUT)'!M66:M69))</f>
        <v>0</v>
      </c>
      <c r="BI60" s="56" t="e">
        <f t="shared" si="175"/>
        <v>#DIV/0!</v>
      </c>
      <c r="BJ60" s="50">
        <f t="shared" si="255"/>
        <v>0</v>
      </c>
      <c r="BK60" s="56" t="e">
        <f t="shared" si="256"/>
        <v>#DIV/0!</v>
      </c>
      <c r="BL60" s="50">
        <f t="shared" si="257"/>
        <v>0</v>
      </c>
      <c r="BM60" s="56" t="e">
        <f t="shared" si="258"/>
        <v>#DIV/0!</v>
      </c>
      <c r="BN60" s="50">
        <f t="shared" si="259"/>
        <v>0</v>
      </c>
      <c r="BO60" s="56" t="e">
        <f t="shared" si="260"/>
        <v>#DIV/0!</v>
      </c>
      <c r="BP60" s="50">
        <f t="shared" si="261"/>
        <v>0</v>
      </c>
      <c r="BQ60" s="50">
        <f t="shared" si="183"/>
        <v>0</v>
      </c>
      <c r="BR60" s="50">
        <f>IF($AN60="N","N",SUM('調查資料(OUT)'!N66:N69))</f>
        <v>0</v>
      </c>
      <c r="BS60" s="50">
        <f>IF($AN60="N","N",SUM('調查資料(OUT)'!R66:R69))</f>
        <v>0</v>
      </c>
      <c r="BT60" s="50">
        <f>IF($AN60="N","N",SUM('調查資料(OUT)'!V66:V69))</f>
        <v>0</v>
      </c>
      <c r="BU60" s="56" t="e">
        <f t="shared" si="184"/>
        <v>#DIV/0!</v>
      </c>
      <c r="BV60" s="50">
        <f t="shared" si="185"/>
        <v>0</v>
      </c>
      <c r="BW60" s="50">
        <f>IF($AN60="N","N",SUM('調查資料(OUT)'!O66:O69))</f>
        <v>0</v>
      </c>
      <c r="BX60" s="50">
        <f>IF($AN60="N","N",SUM('調查資料(OUT)'!S66:S69))</f>
        <v>0</v>
      </c>
      <c r="BY60" s="50">
        <f>IF($AN60="N","N",SUM('調查資料(OUT)'!W66:W69))</f>
        <v>0</v>
      </c>
      <c r="BZ60" s="56" t="e">
        <f t="shared" si="186"/>
        <v>#DIV/0!</v>
      </c>
      <c r="CA60" s="50">
        <f t="shared" si="187"/>
        <v>0</v>
      </c>
      <c r="CB60" s="50">
        <f>IF($AN60="N","N",SUM('調查資料(OUT)'!P66:P69))</f>
        <v>0</v>
      </c>
      <c r="CC60" s="50">
        <f>IF($AN60="N","N",SUM('調查資料(OUT)'!T66:T69))</f>
        <v>0</v>
      </c>
      <c r="CD60" s="50">
        <f>IF($AN60="N","N",SUM('調查資料(OUT)'!X66:X69))</f>
        <v>0</v>
      </c>
      <c r="CE60" s="56" t="e">
        <f t="shared" si="188"/>
        <v>#DIV/0!</v>
      </c>
      <c r="CF60" s="50">
        <f t="shared" si="189"/>
        <v>0</v>
      </c>
      <c r="CG60" s="50">
        <f>IF($AN60="N","N",SUM('調查資料(OUT)'!Q66:Q69))</f>
        <v>0</v>
      </c>
      <c r="CH60" s="50">
        <f>IF($AN60="N","N",SUM('調查資料(OUT)'!U66:U69))</f>
        <v>0</v>
      </c>
      <c r="CI60" s="50">
        <f>IF($AN60="N","N",SUM('調查資料(OUT)'!Y66:Y69))</f>
        <v>0</v>
      </c>
      <c r="CJ60" s="56" t="e">
        <f t="shared" si="190"/>
        <v>#DIV/0!</v>
      </c>
      <c r="CK60" s="50">
        <f t="shared" si="262"/>
        <v>0</v>
      </c>
      <c r="CL60" s="56" t="e">
        <f t="shared" si="263"/>
        <v>#DIV/0!</v>
      </c>
      <c r="CM60" s="50">
        <f t="shared" si="264"/>
        <v>0</v>
      </c>
      <c r="CN60" s="56" t="e">
        <f t="shared" si="265"/>
        <v>#DIV/0!</v>
      </c>
      <c r="CO60" s="50">
        <f t="shared" si="266"/>
        <v>0</v>
      </c>
      <c r="CP60" s="56" t="e">
        <f t="shared" si="267"/>
        <v>#DIV/0!</v>
      </c>
      <c r="CQ60" s="50">
        <f t="shared" si="268"/>
        <v>0</v>
      </c>
      <c r="CR60" s="50">
        <f t="shared" si="198"/>
        <v>0</v>
      </c>
      <c r="CS60" s="50">
        <f>IF($AN60="N","N",SUM('調查資料(OUT)'!Z66:Z69))</f>
        <v>0</v>
      </c>
      <c r="CT60" s="50">
        <f>IF($AN60="N","N",SUM('調查資料(OUT)'!AD66:AD69))</f>
        <v>0</v>
      </c>
      <c r="CU60" s="50">
        <f>IF($AN60="N","N",SUM('調查資料(OUT)'!AH66:AH69))</f>
        <v>0</v>
      </c>
      <c r="CV60" s="56" t="e">
        <f t="shared" si="199"/>
        <v>#DIV/0!</v>
      </c>
      <c r="CW60" s="50">
        <f t="shared" si="200"/>
        <v>0</v>
      </c>
      <c r="CX60" s="50">
        <f>IF($AN60="N","N",SUM('調查資料(OUT)'!AA66:AA69))</f>
        <v>0</v>
      </c>
      <c r="CY60" s="50">
        <f>IF($AN60="N","N",SUM('調查資料(OUT)'!AE66:AE69))</f>
        <v>0</v>
      </c>
      <c r="CZ60" s="50">
        <f>IF($AN60="N","N",SUM('調查資料(OUT)'!AI66:AI69))</f>
        <v>0</v>
      </c>
      <c r="DA60" s="56" t="e">
        <f t="shared" si="201"/>
        <v>#DIV/0!</v>
      </c>
      <c r="DB60" s="50">
        <f t="shared" si="202"/>
        <v>0</v>
      </c>
      <c r="DC60" s="50">
        <f>IF($AN60="N","N",SUM('調查資料(OUT)'!AB66:AB69))</f>
        <v>0</v>
      </c>
      <c r="DD60" s="50">
        <f>IF($AN60="N","N",SUM('調查資料(OUT)'!AF66:AF69))</f>
        <v>0</v>
      </c>
      <c r="DE60" s="50">
        <f>IF($AN60="N","N",SUM('調查資料(OUT)'!AJ66:AJ69))</f>
        <v>0</v>
      </c>
      <c r="DF60" s="56" t="e">
        <f t="shared" si="203"/>
        <v>#DIV/0!</v>
      </c>
      <c r="DG60" s="50">
        <f t="shared" si="204"/>
        <v>0</v>
      </c>
      <c r="DH60" s="50">
        <f>IF($AN60="N","N",SUM('調查資料(OUT)'!AC66:AC69))</f>
        <v>0</v>
      </c>
      <c r="DI60" s="50">
        <f>IF($AN60="N","N",SUM('調查資料(OUT)'!AG66:AG69))</f>
        <v>0</v>
      </c>
      <c r="DJ60" s="50">
        <f>IF($AN60="N","N",SUM('調查資料(OUT)'!AK66:AK69))</f>
        <v>0</v>
      </c>
      <c r="DK60" s="56" t="e">
        <f t="shared" si="205"/>
        <v>#DIV/0!</v>
      </c>
      <c r="DL60" s="50">
        <f t="shared" si="269"/>
        <v>0</v>
      </c>
      <c r="DM60" s="56" t="e">
        <f t="shared" si="270"/>
        <v>#DIV/0!</v>
      </c>
      <c r="DN60" s="50">
        <f t="shared" si="271"/>
        <v>0</v>
      </c>
      <c r="DO60" s="56" t="e">
        <f t="shared" si="272"/>
        <v>#DIV/0!</v>
      </c>
      <c r="DP60" s="50">
        <f t="shared" si="273"/>
        <v>0</v>
      </c>
      <c r="DQ60" s="56" t="e">
        <f t="shared" si="274"/>
        <v>#DIV/0!</v>
      </c>
      <c r="DR60" s="50">
        <f t="shared" si="275"/>
        <v>0</v>
      </c>
      <c r="DS60" s="50">
        <f t="shared" si="213"/>
        <v>0</v>
      </c>
      <c r="DT60" s="50">
        <f>IF($AN60="N","N",SUM('調查資料(OUT)'!AL66:AL69))</f>
        <v>0</v>
      </c>
      <c r="DU60" s="50">
        <f>IF($AN60="N","N",SUM('調查資料(OUT)'!AP66:AP69))</f>
        <v>0</v>
      </c>
      <c r="DV60" s="50">
        <f>IF($AN60="N","N",SUM('調查資料(OUT)'!AT66:AT69))</f>
        <v>0</v>
      </c>
      <c r="DW60" s="56" t="e">
        <f t="shared" si="214"/>
        <v>#DIV/0!</v>
      </c>
      <c r="DX60" s="50">
        <f t="shared" si="215"/>
        <v>0</v>
      </c>
      <c r="DY60" s="50">
        <f>IF($AN60="N","N",SUM('調查資料(OUT)'!AM66:AM69))</f>
        <v>0</v>
      </c>
      <c r="DZ60" s="50">
        <f>IF($AN60="N","N",SUM('調查資料(OUT)'!AQ66:AQ69))</f>
        <v>0</v>
      </c>
      <c r="EA60" s="50">
        <f>IF($AN60="N","N",SUM('調查資料(OUT)'!AU66:AU69))</f>
        <v>0</v>
      </c>
      <c r="EB60" s="56" t="e">
        <f t="shared" si="216"/>
        <v>#DIV/0!</v>
      </c>
      <c r="EC60" s="50">
        <f t="shared" si="217"/>
        <v>0</v>
      </c>
      <c r="ED60" s="50">
        <f>IF($AN60="N","N",SUM('調查資料(OUT)'!AN66:AN69))</f>
        <v>0</v>
      </c>
      <c r="EE60" s="50">
        <f>IF($AN60="N","N",SUM('調查資料(OUT)'!AR66:AR69))</f>
        <v>0</v>
      </c>
      <c r="EF60" s="50">
        <f>IF($AN60="N","N",SUM('調查資料(OUT)'!AV66:AV69))</f>
        <v>0</v>
      </c>
      <c r="EG60" s="56" t="e">
        <f t="shared" si="218"/>
        <v>#DIV/0!</v>
      </c>
      <c r="EH60" s="50">
        <f t="shared" si="219"/>
        <v>0</v>
      </c>
      <c r="EI60" s="50">
        <f>IF($AN60="N","N",SUM('調查資料(OUT)'!AO66:AO69))</f>
        <v>0</v>
      </c>
      <c r="EJ60" s="50">
        <f>IF($AN60="N","N",SUM('調查資料(OUT)'!AS66:AS69))</f>
        <v>0</v>
      </c>
      <c r="EK60" s="50">
        <f>IF($AN60="N","N",SUM('調查資料(OUT)'!AW66:AW69))</f>
        <v>0</v>
      </c>
      <c r="EL60" s="56" t="e">
        <f t="shared" si="220"/>
        <v>#DIV/0!</v>
      </c>
      <c r="EM60" s="50">
        <f t="shared" si="276"/>
        <v>0</v>
      </c>
      <c r="EN60" s="56" t="e">
        <f t="shared" si="277"/>
        <v>#DIV/0!</v>
      </c>
      <c r="EO60" s="50">
        <f t="shared" si="278"/>
        <v>0</v>
      </c>
      <c r="EP60" s="56" t="e">
        <f t="shared" si="279"/>
        <v>#DIV/0!</v>
      </c>
      <c r="EQ60" s="50">
        <f t="shared" si="280"/>
        <v>0</v>
      </c>
      <c r="ER60" s="56" t="e">
        <f t="shared" si="281"/>
        <v>#DIV/0!</v>
      </c>
      <c r="ES60" s="50">
        <f t="shared" si="282"/>
        <v>0</v>
      </c>
      <c r="ET60" s="50">
        <f t="shared" si="227"/>
        <v>0</v>
      </c>
      <c r="EU60" s="50">
        <f>IF($AN60="N","N",SUM('調查資料(OUT)'!AX66:AX69))</f>
        <v>0</v>
      </c>
      <c r="EV60" s="50">
        <f>IF($AN60="N","N",SUM('調查資料(OUT)'!BB66:BB69))</f>
        <v>0</v>
      </c>
      <c r="EW60" s="50">
        <f>IF($AN60="N","N",SUM('調查資料(OUT)'!BF66:BF69))</f>
        <v>0</v>
      </c>
      <c r="EX60" s="56" t="e">
        <f t="shared" si="228"/>
        <v>#DIV/0!</v>
      </c>
      <c r="EY60" s="50">
        <f t="shared" si="229"/>
        <v>0</v>
      </c>
      <c r="EZ60" s="50">
        <f>IF($AN60="N","N",SUM('調查資料(OUT)'!AY66:AY69))</f>
        <v>0</v>
      </c>
      <c r="FA60" s="50">
        <f>IF($AN60="N","N",SUM('調查資料(OUT)'!BC66:BC69))</f>
        <v>0</v>
      </c>
      <c r="FB60" s="50">
        <f>IF($AN60="N","N",SUM('調查資料(OUT)'!BG66:BG69))</f>
        <v>0</v>
      </c>
      <c r="FC60" s="56" t="e">
        <f t="shared" si="230"/>
        <v>#DIV/0!</v>
      </c>
      <c r="FD60" s="50">
        <f t="shared" si="231"/>
        <v>0</v>
      </c>
      <c r="FE60" s="50">
        <f>IF($AN60="N","N",SUM('調查資料(OUT)'!AZ66:AZ69))</f>
        <v>0</v>
      </c>
      <c r="FF60" s="50">
        <f>IF($AN60="N","N",SUM('調查資料(OUT)'!BD66:BD69))</f>
        <v>0</v>
      </c>
      <c r="FG60" s="50">
        <f>IF($AN60="N","N",SUM('調查資料(OUT)'!BH66:BH69))</f>
        <v>0</v>
      </c>
      <c r="FH60" s="56" t="e">
        <f t="shared" si="232"/>
        <v>#DIV/0!</v>
      </c>
      <c r="FI60" s="50">
        <f t="shared" si="233"/>
        <v>0</v>
      </c>
      <c r="FJ60" s="50">
        <f>IF($AN60="N","N",SUM('調查資料(OUT)'!BA66:BA69))</f>
        <v>0</v>
      </c>
      <c r="FK60" s="50">
        <f>IF($AN60="N","N",SUM('調查資料(OUT)'!BE66:BE69))</f>
        <v>0</v>
      </c>
      <c r="FL60" s="50">
        <f>IF($AN60="N","N",SUM('調查資料(OUT)'!BI66:BI69))</f>
        <v>0</v>
      </c>
      <c r="FM60" s="56" t="e">
        <f t="shared" si="234"/>
        <v>#DIV/0!</v>
      </c>
      <c r="FN60" s="50">
        <f t="shared" si="246"/>
        <v>0</v>
      </c>
      <c r="FO60" s="56" t="e">
        <f t="shared" si="247"/>
        <v>#DIV/0!</v>
      </c>
      <c r="FP60" s="50">
        <f t="shared" si="248"/>
        <v>0</v>
      </c>
      <c r="FQ60" s="56" t="e">
        <f t="shared" si="249"/>
        <v>#DIV/0!</v>
      </c>
      <c r="FR60" s="50">
        <f t="shared" si="250"/>
        <v>0</v>
      </c>
      <c r="FS60" s="56" t="e">
        <f t="shared" si="251"/>
        <v>#DIV/0!</v>
      </c>
      <c r="FT60" s="50">
        <f t="shared" si="252"/>
        <v>0</v>
      </c>
    </row>
    <row r="61" spans="1:176">
      <c r="A61" s="318">
        <f>'調查資料(OUT)'!A67</f>
        <v>1400</v>
      </c>
      <c r="B61" s="319">
        <f t="shared" si="238"/>
        <v>0</v>
      </c>
      <c r="C61" s="319">
        <f>IFERROR('調查資料(OUT)'!$B$1*'調查資料(OUT)'!B67,0)+IFERROR('調查資料(OUT)'!$F$1*'調查資料(OUT)'!F67,0)+IFERROR('調查資料(OUT)'!$J$1*'調查資料(OUT)'!J67,0)</f>
        <v>0</v>
      </c>
      <c r="D61" s="319">
        <f>IFERROR('調查資料(OUT)'!$C$1*'調查資料(OUT)'!C67,0)+IFERROR('調查資料(OUT)'!$G$1*'調查資料(OUT)'!G67,0)+IFERROR('調查資料(OUT)'!$K$1*'調查資料(OUT)'!K67,0)</f>
        <v>0</v>
      </c>
      <c r="E61" s="319">
        <f>IFERROR('調查資料(OUT)'!$D$1*'調查資料(OUT)'!D67,0)+IFERROR('調查資料(OUT)'!$H$1*'調查資料(OUT)'!H67,0)+IFERROR('調查資料(OUT)'!$L$1*'調查資料(OUT)'!L67,0)</f>
        <v>0</v>
      </c>
      <c r="F61" s="320">
        <f>IFERROR('調查資料(OUT)'!$E$1*'調查資料(OUT)'!E67,0)+IFERROR('調查資料(OUT)'!$I$1*'調查資料(OUT)'!I67,0)+IFERROR('調查資料(OUT)'!$M$1*'調查資料(OUT)'!M67,0)</f>
        <v>0</v>
      </c>
      <c r="G61" s="319">
        <f t="shared" si="239"/>
        <v>0</v>
      </c>
      <c r="H61" s="319">
        <f>IFERROR('調查資料(OUT)'!$N$1*'調查資料(OUT)'!N67,0)+IFERROR('調查資料(OUT)'!$R$1*'調查資料(OUT)'!R67,0)+IFERROR('調查資料(OUT)'!$V$1*'調查資料(OUT)'!V67,0)</f>
        <v>0</v>
      </c>
      <c r="I61" s="319">
        <f>IFERROR('調查資料(OUT)'!$O$1*'調查資料(OUT)'!O67,0)+IFERROR('調查資料(OUT)'!$S$1*'調查資料(OUT)'!S67,0)+IFERROR('調查資料(OUT)'!$W$1*'調查資料(OUT)'!W67,0)</f>
        <v>0</v>
      </c>
      <c r="J61" s="319">
        <f>IFERROR('調查資料(OUT)'!$P$1*'調查資料(OUT)'!P67,0)+IFERROR('調查資料(OUT)'!$T$1*'調查資料(OUT)'!T67,0)+IFERROR('調查資料(OUT)'!$X$1*'調查資料(OUT)'!X67,0)</f>
        <v>0</v>
      </c>
      <c r="K61" s="320">
        <f>IFERROR('調查資料(OUT)'!$Q$1*'調查資料(OUT)'!Q67,0)+IFERROR('調查資料(OUT)'!$U$1*'調查資料(OUT)'!U67,0)+IFERROR('調查資料(OUT)'!$Y$1*'調查資料(OUT)'!Y67,0)</f>
        <v>0</v>
      </c>
      <c r="L61" s="319">
        <f t="shared" si="240"/>
        <v>0</v>
      </c>
      <c r="M61" s="319">
        <f>IFERROR('調查資料(OUT)'!$Z$1*'調查資料(OUT)'!Z67,0)+IFERROR('調查資料(OUT)'!$AD$1*'調查資料(OUT)'!AD67,0)+IFERROR('調查資料(OUT)'!$AH$1*'調查資料(OUT)'!AH67,0)</f>
        <v>0</v>
      </c>
      <c r="N61" s="319">
        <f>IFERROR('調查資料(OUT)'!$AA$1*'調查資料(OUT)'!AA67,0)+IFERROR('調查資料(OUT)'!$AE$1*'調查資料(OUT)'!AE67,0)+IFERROR('調查資料(OUT)'!$AI$1*'調查資料(OUT)'!AI67,0)</f>
        <v>0</v>
      </c>
      <c r="O61" s="319">
        <f>IFERROR('調查資料(OUT)'!$AB$1*'調查資料(OUT)'!AB67,0)+IFERROR('調查資料(OUT)'!$AF$1*'調查資料(OUT)'!AF67,0)+IFERROR('調查資料(OUT)'!$AJ$1*'調查資料(OUT)'!AJ67,0)</f>
        <v>0</v>
      </c>
      <c r="P61" s="320">
        <f>IFERROR('調查資料(OUT)'!$AC$1*'調查資料(OUT)'!AC67,0)+IFERROR('調查資料(OUT)'!$AG$1*'調查資料(OUT)'!AG67,0)+IFERROR('調查資料(OUT)'!$AK$1*'調查資料(OUT)'!AK67,0)</f>
        <v>0</v>
      </c>
      <c r="Q61" s="319">
        <f t="shared" si="241"/>
        <v>0</v>
      </c>
      <c r="R61" s="319">
        <f>IFERROR('調查資料(OUT)'!$AL$1*'調查資料(OUT)'!AL67,0)+IFERROR('調查資料(OUT)'!$AP$1*'調查資料(OUT)'!AP67,0)+IFERROR('調查資料(OUT)'!$AT$1*'調查資料(OUT)'!AT67,0)</f>
        <v>0</v>
      </c>
      <c r="S61" s="319">
        <f>IFERROR('調查資料(OUT)'!$AM$1*'調查資料(OUT)'!AM67,0)+IFERROR('調查資料(OUT)'!$AQ$1*'調查資料(OUT)'!AQ67,0)+IFERROR('調查資料(OUT)'!$AU$1*'調查資料(OUT)'!AU67,0)</f>
        <v>0</v>
      </c>
      <c r="T61" s="319">
        <f>IFERROR('調查資料(OUT)'!$AN$1*'調查資料(OUT)'!AN67,0)+IFERROR('調查資料(OUT)'!$AR$1*'調查資料(OUT)'!AR67,0)+IFERROR('調查資料(OUT)'!$AV$1*'調查資料(OUT)'!AV67,0)</f>
        <v>0</v>
      </c>
      <c r="U61" s="320">
        <f>IFERROR('調查資料(OUT)'!$AO$1*'調查資料(OUT)'!AO67,0)+IFERROR('調查資料(OUT)'!$AS$1*'調查資料(OUT)'!AS67,0)+IFERROR('調查資料(OUT)'!$AW$1*'調查資料(OUT)'!AW67,0)</f>
        <v>0</v>
      </c>
      <c r="V61" s="319">
        <f t="shared" si="242"/>
        <v>0</v>
      </c>
      <c r="W61" s="319">
        <f>IFERROR('調查資料(OUT)'!$AX$1*'調查資料(OUT)'!AX67,0)+IFERROR('調查資料(OUT)'!$BB$1*'調查資料(OUT)'!BB67,0)+IFERROR('調查資料(OUT)'!$BF$1*'調查資料(OUT)'!BF67,0)</f>
        <v>0</v>
      </c>
      <c r="X61" s="319">
        <f>IFERROR('調查資料(OUT)'!$AY$1*'調查資料(OUT)'!AY67,0)+IFERROR('調查資料(OUT)'!$BC$1*'調查資料(OUT)'!BC67,0)+IFERROR('調查資料(OUT)'!$BG$1*'調查資料(OUT)'!BG67,0)</f>
        <v>0</v>
      </c>
      <c r="Y61" s="319">
        <f>IFERROR('調查資料(OUT)'!$AZ$1*'調查資料(OUT)'!AZ67,0)+IFERROR('調查資料(OUT)'!$BD$1*'調查資料(OUT)'!BD67,0)+IFERROR('調查資料(OUT)'!$BH$1*'調查資料(OUT)'!BH67,0)</f>
        <v>0</v>
      </c>
      <c r="Z61" s="320">
        <f>IFERROR('調查資料(OUT)'!$BA$1*'調查資料(OUT)'!BA67,0)+IFERROR('調查資料(OUT)'!$BE$1*'調查資料(OUT)'!BE67,0)+IFERROR('調查資料(OUT)'!$BI$1*'調查資料(OUT)'!BI67,0)</f>
        <v>0</v>
      </c>
      <c r="AA61" s="321">
        <f t="shared" si="243"/>
        <v>0</v>
      </c>
      <c r="AC61" s="358">
        <f>'調查資料(OUT)'!A67</f>
        <v>1400</v>
      </c>
      <c r="AD61" s="359">
        <f t="shared" si="244"/>
        <v>1500</v>
      </c>
      <c r="AE61" s="319">
        <f t="shared" si="254"/>
        <v>0</v>
      </c>
      <c r="AF61" s="319"/>
      <c r="AG61" s="319">
        <f t="shared" si="301"/>
        <v>0</v>
      </c>
      <c r="AH61" s="361" t="e">
        <f t="shared" si="306"/>
        <v>#DIV/0!</v>
      </c>
      <c r="AI61" s="361" t="e">
        <f t="shared" si="307"/>
        <v>#DIV/0!</v>
      </c>
      <c r="AJ61" s="361" t="e">
        <f t="shared" si="302"/>
        <v>#DIV/0!</v>
      </c>
      <c r="AK61" s="361" t="e">
        <f t="shared" si="303"/>
        <v>#DIV/0!</v>
      </c>
      <c r="AL61" s="361" t="e">
        <f t="shared" si="308"/>
        <v>#DIV/0!</v>
      </c>
      <c r="AM61" s="362"/>
      <c r="AN61" s="319">
        <f t="shared" si="304"/>
        <v>1400</v>
      </c>
      <c r="AO61" s="320">
        <f t="shared" si="305"/>
        <v>1500</v>
      </c>
      <c r="AP61" s="50">
        <f t="shared" si="245"/>
        <v>0</v>
      </c>
      <c r="AQ61" s="50">
        <f>IF($AN61="N","N",SUM('調查資料(OUT)'!B67:B70))</f>
        <v>0</v>
      </c>
      <c r="AR61" s="50">
        <f>IF($AN61="N","N",SUM('調查資料(OUT)'!F67:F70))</f>
        <v>0</v>
      </c>
      <c r="AS61" s="50">
        <f>IF($AN61="N","N",SUM('調查資料(OUT)'!J67:J70))</f>
        <v>0</v>
      </c>
      <c r="AT61" s="56" t="e">
        <f t="shared" ref="AT61:AT92" si="309">IF($AN61="N","N",(AP61/$BP61)*100)</f>
        <v>#DIV/0!</v>
      </c>
      <c r="AU61" s="50">
        <f t="shared" ref="AU61:AU92" si="310">IF($AN61="N","N",SUM(D61:D64))</f>
        <v>0</v>
      </c>
      <c r="AV61" s="50">
        <f>IF($AN61="N","N",SUM('調查資料(OUT)'!C67:C70))</f>
        <v>0</v>
      </c>
      <c r="AW61" s="50">
        <f>IF($AN61="N","N",SUM('調查資料(OUT)'!G67:G70))</f>
        <v>0</v>
      </c>
      <c r="AX61" s="50">
        <f>IF($AN61="N","N",SUM('調查資料(OUT)'!K67:K70))</f>
        <v>0</v>
      </c>
      <c r="AY61" s="56" t="e">
        <f t="shared" ref="AY61:AY92" si="311">IF($AN61="N","N",(AU61/$BP61)*100)</f>
        <v>#DIV/0!</v>
      </c>
      <c r="AZ61" s="50">
        <f t="shared" ref="AZ61:AZ92" si="312">IF($AN61="N","N",SUM(E61:E64))</f>
        <v>0</v>
      </c>
      <c r="BA61" s="50">
        <f>IF($AN61="N","N",SUM('調查資料(OUT)'!D67:D70))</f>
        <v>0</v>
      </c>
      <c r="BB61" s="50">
        <f>IF($AN61="N","N",SUM('調查資料(OUT)'!H67:H70))</f>
        <v>0</v>
      </c>
      <c r="BC61" s="50">
        <f>IF($AN61="N","N",SUM('調查資料(OUT)'!L67:L70))</f>
        <v>0</v>
      </c>
      <c r="BD61" s="56" t="e">
        <f t="shared" ref="BD61:BD92" si="313">IF($AN61="N","N",(AZ61/$BP61)*100)</f>
        <v>#DIV/0!</v>
      </c>
      <c r="BE61" s="50">
        <f t="shared" ref="BE61:BE92" si="314">IF($AN61="N","N",SUM(F61:F64))</f>
        <v>0</v>
      </c>
      <c r="BF61" s="50">
        <f>IF($AN61="N","N",SUM('調查資料(OUT)'!E67:E70))</f>
        <v>0</v>
      </c>
      <c r="BG61" s="50">
        <f>IF($AN61="N","N",SUM('調查資料(OUT)'!I67:I70))</f>
        <v>0</v>
      </c>
      <c r="BH61" s="50">
        <f>IF($AN61="N","N",SUM('調查資料(OUT)'!M67:M70))</f>
        <v>0</v>
      </c>
      <c r="BI61" s="56" t="e">
        <f t="shared" ref="BI61:BI92" si="315">IF($AN61="N","N",(BE61/$BP61)*100)</f>
        <v>#DIV/0!</v>
      </c>
      <c r="BJ61" s="50">
        <f t="shared" si="255"/>
        <v>0</v>
      </c>
      <c r="BK61" s="56" t="e">
        <f t="shared" si="256"/>
        <v>#DIV/0!</v>
      </c>
      <c r="BL61" s="50">
        <f t="shared" si="257"/>
        <v>0</v>
      </c>
      <c r="BM61" s="56" t="e">
        <f t="shared" si="258"/>
        <v>#DIV/0!</v>
      </c>
      <c r="BN61" s="50">
        <f t="shared" si="259"/>
        <v>0</v>
      </c>
      <c r="BO61" s="56" t="e">
        <f t="shared" si="260"/>
        <v>#DIV/0!</v>
      </c>
      <c r="BP61" s="50">
        <f t="shared" si="261"/>
        <v>0</v>
      </c>
      <c r="BQ61" s="50">
        <f t="shared" ref="BQ61:BQ92" si="316">IF($AN61="N","N",SUM(H61:H64))</f>
        <v>0</v>
      </c>
      <c r="BR61" s="50">
        <f>IF($AN61="N","N",SUM('調查資料(OUT)'!N67:N70))</f>
        <v>0</v>
      </c>
      <c r="BS61" s="50">
        <f>IF($AN61="N","N",SUM('調查資料(OUT)'!R67:R70))</f>
        <v>0</v>
      </c>
      <c r="BT61" s="50">
        <f>IF($AN61="N","N",SUM('調查資料(OUT)'!V67:V70))</f>
        <v>0</v>
      </c>
      <c r="BU61" s="56" t="e">
        <f t="shared" ref="BU61:BU92" si="317">IF($AN61="N","N",(BQ61/CQ61)*100)</f>
        <v>#DIV/0!</v>
      </c>
      <c r="BV61" s="50">
        <f t="shared" ref="BV61:BV92" si="318">IF($AN61="N","N",SUM(I61:I64))</f>
        <v>0</v>
      </c>
      <c r="BW61" s="50">
        <f>IF($AN61="N","N",SUM('調查資料(OUT)'!O67:O70))</f>
        <v>0</v>
      </c>
      <c r="BX61" s="50">
        <f>IF($AN61="N","N",SUM('調查資料(OUT)'!S67:S70))</f>
        <v>0</v>
      </c>
      <c r="BY61" s="50">
        <f>IF($AN61="N","N",SUM('調查資料(OUT)'!W67:W70))</f>
        <v>0</v>
      </c>
      <c r="BZ61" s="56" t="e">
        <f t="shared" ref="BZ61:BZ92" si="319">IF($AN61="N","N",(BV61/$CQ61)*100)</f>
        <v>#DIV/0!</v>
      </c>
      <c r="CA61" s="50">
        <f t="shared" ref="CA61:CA92" si="320">IF($AN61="N","N",SUM(J61:J64))</f>
        <v>0</v>
      </c>
      <c r="CB61" s="50">
        <f>IF($AN61="N","N",SUM('調查資料(OUT)'!P67:P70))</f>
        <v>0</v>
      </c>
      <c r="CC61" s="50">
        <f>IF($AN61="N","N",SUM('調查資料(OUT)'!T67:T70))</f>
        <v>0</v>
      </c>
      <c r="CD61" s="50">
        <f>IF($AN61="N","N",SUM('調查資料(OUT)'!X67:X70))</f>
        <v>0</v>
      </c>
      <c r="CE61" s="56" t="e">
        <f t="shared" ref="CE61:CE92" si="321">IF($AN61="N","N",(CA61/$CQ61)*100)</f>
        <v>#DIV/0!</v>
      </c>
      <c r="CF61" s="50">
        <f t="shared" ref="CF61:CF92" si="322">IF($AN61="N","N",SUM(K61:K64))</f>
        <v>0</v>
      </c>
      <c r="CG61" s="50">
        <f>IF($AN61="N","N",SUM('調查資料(OUT)'!Q67:Q70))</f>
        <v>0</v>
      </c>
      <c r="CH61" s="50">
        <f>IF($AN61="N","N",SUM('調查資料(OUT)'!U67:U70))</f>
        <v>0</v>
      </c>
      <c r="CI61" s="50">
        <f>IF($AN61="N","N",SUM('調查資料(OUT)'!Y67:Y70))</f>
        <v>0</v>
      </c>
      <c r="CJ61" s="56" t="e">
        <f t="shared" ref="CJ61:CJ92" si="323">IF($AN61="N","N",(CF61/CQ61)*100)</f>
        <v>#DIV/0!</v>
      </c>
      <c r="CK61" s="50">
        <f t="shared" si="262"/>
        <v>0</v>
      </c>
      <c r="CL61" s="56" t="e">
        <f t="shared" si="263"/>
        <v>#DIV/0!</v>
      </c>
      <c r="CM61" s="50">
        <f t="shared" si="264"/>
        <v>0</v>
      </c>
      <c r="CN61" s="56" t="e">
        <f t="shared" si="265"/>
        <v>#DIV/0!</v>
      </c>
      <c r="CO61" s="50">
        <f t="shared" si="266"/>
        <v>0</v>
      </c>
      <c r="CP61" s="56" t="e">
        <f t="shared" si="267"/>
        <v>#DIV/0!</v>
      </c>
      <c r="CQ61" s="50">
        <f t="shared" si="268"/>
        <v>0</v>
      </c>
      <c r="CR61" s="50">
        <f t="shared" ref="CR61:CR92" si="324">IF($AN61="N","N",SUM(M61:M64))</f>
        <v>0</v>
      </c>
      <c r="CS61" s="50">
        <f>IF($AN61="N","N",SUM('調查資料(OUT)'!Z67:Z70))</f>
        <v>0</v>
      </c>
      <c r="CT61" s="50">
        <f>IF($AN61="N","N",SUM('調查資料(OUT)'!AD67:AD70))</f>
        <v>0</v>
      </c>
      <c r="CU61" s="50">
        <f>IF($AN61="N","N",SUM('調查資料(OUT)'!AH67:AH70))</f>
        <v>0</v>
      </c>
      <c r="CV61" s="56" t="e">
        <f t="shared" ref="CV61:CV92" si="325">IF($AN61="N","N",(CR61/DR61)*100)</f>
        <v>#DIV/0!</v>
      </c>
      <c r="CW61" s="50">
        <f t="shared" ref="CW61:CW92" si="326">IF($AN61="N","N",SUM(N61:N64))</f>
        <v>0</v>
      </c>
      <c r="CX61" s="50">
        <f>IF($AN61="N","N",SUM('調查資料(OUT)'!AA67:AA70))</f>
        <v>0</v>
      </c>
      <c r="CY61" s="50">
        <f>IF($AN61="N","N",SUM('調查資料(OUT)'!AE67:AE70))</f>
        <v>0</v>
      </c>
      <c r="CZ61" s="50">
        <f>IF($AN61="N","N",SUM('調查資料(OUT)'!AI67:AI70))</f>
        <v>0</v>
      </c>
      <c r="DA61" s="56" t="e">
        <f t="shared" ref="DA61:DA92" si="327">IF($AN61="N","N",(CW61/$DR61)*100)</f>
        <v>#DIV/0!</v>
      </c>
      <c r="DB61" s="50">
        <f t="shared" ref="DB61:DB92" si="328">IF($AN61="N","N",SUM(O61:O64))</f>
        <v>0</v>
      </c>
      <c r="DC61" s="50">
        <f>IF($AN61="N","N",SUM('調查資料(OUT)'!AB67:AB70))</f>
        <v>0</v>
      </c>
      <c r="DD61" s="50">
        <f>IF($AN61="N","N",SUM('調查資料(OUT)'!AF67:AF70))</f>
        <v>0</v>
      </c>
      <c r="DE61" s="50">
        <f>IF($AN61="N","N",SUM('調查資料(OUT)'!AJ67:AJ70))</f>
        <v>0</v>
      </c>
      <c r="DF61" s="56" t="e">
        <f t="shared" ref="DF61:DF92" si="329">IF($AN61="N","N",(DB61/$DR61)*100)</f>
        <v>#DIV/0!</v>
      </c>
      <c r="DG61" s="50">
        <f t="shared" ref="DG61:DG92" si="330">IF($AN61="N","N",SUM(P61:P64))</f>
        <v>0</v>
      </c>
      <c r="DH61" s="50">
        <f>IF($AN61="N","N",SUM('調查資料(OUT)'!AC67:AC70))</f>
        <v>0</v>
      </c>
      <c r="DI61" s="50">
        <f>IF($AN61="N","N",SUM('調查資料(OUT)'!AG67:AG70))</f>
        <v>0</v>
      </c>
      <c r="DJ61" s="50">
        <f>IF($AN61="N","N",SUM('調查資料(OUT)'!AK67:AK70))</f>
        <v>0</v>
      </c>
      <c r="DK61" s="56" t="e">
        <f t="shared" ref="DK61:DK92" si="331">IF($AN61="N","N",(DG61/DR61)*100)</f>
        <v>#DIV/0!</v>
      </c>
      <c r="DL61" s="50">
        <f t="shared" si="269"/>
        <v>0</v>
      </c>
      <c r="DM61" s="56" t="e">
        <f t="shared" si="270"/>
        <v>#DIV/0!</v>
      </c>
      <c r="DN61" s="50">
        <f t="shared" si="271"/>
        <v>0</v>
      </c>
      <c r="DO61" s="56" t="e">
        <f t="shared" si="272"/>
        <v>#DIV/0!</v>
      </c>
      <c r="DP61" s="50">
        <f t="shared" si="273"/>
        <v>0</v>
      </c>
      <c r="DQ61" s="56" t="e">
        <f t="shared" si="274"/>
        <v>#DIV/0!</v>
      </c>
      <c r="DR61" s="50">
        <f t="shared" si="275"/>
        <v>0</v>
      </c>
      <c r="DS61" s="50">
        <f t="shared" ref="DS61:DS92" si="332">IF($AN61="N","N",SUM(R61:R64))</f>
        <v>0</v>
      </c>
      <c r="DT61" s="50">
        <f>IF($AN61="N","N",SUM('調查資料(OUT)'!AL67:AL70))</f>
        <v>0</v>
      </c>
      <c r="DU61" s="50">
        <f>IF($AN61="N","N",SUM('調查資料(OUT)'!AP67:AP70))</f>
        <v>0</v>
      </c>
      <c r="DV61" s="50">
        <f>IF($AN61="N","N",SUM('調查資料(OUT)'!AT67:AT70))</f>
        <v>0</v>
      </c>
      <c r="DW61" s="56" t="e">
        <f t="shared" ref="DW61:DW92" si="333">IF($AN61="N","N",(DS61/ES61)*100)</f>
        <v>#DIV/0!</v>
      </c>
      <c r="DX61" s="50">
        <f t="shared" ref="DX61:DX92" si="334">IF($AN61="N","N",SUM(S61:S64))</f>
        <v>0</v>
      </c>
      <c r="DY61" s="50">
        <f>IF($AN61="N","N",SUM('調查資料(OUT)'!AM67:AM70))</f>
        <v>0</v>
      </c>
      <c r="DZ61" s="50">
        <f>IF($AN61="N","N",SUM('調查資料(OUT)'!AQ67:AQ70))</f>
        <v>0</v>
      </c>
      <c r="EA61" s="50">
        <f>IF($AN61="N","N",SUM('調查資料(OUT)'!AU67:AU70))</f>
        <v>0</v>
      </c>
      <c r="EB61" s="56" t="e">
        <f t="shared" ref="EB61:EB92" si="335">IF($AN61="N","N",(DX61/$ES61)*100)</f>
        <v>#DIV/0!</v>
      </c>
      <c r="EC61" s="50">
        <f t="shared" ref="EC61:EC92" si="336">IF($AN61="N","N",SUM(T61:T64))</f>
        <v>0</v>
      </c>
      <c r="ED61" s="50">
        <f>IF($AN61="N","N",SUM('調查資料(OUT)'!AN67:AN70))</f>
        <v>0</v>
      </c>
      <c r="EE61" s="50">
        <f>IF($AN61="N","N",SUM('調查資料(OUT)'!AR67:AR70))</f>
        <v>0</v>
      </c>
      <c r="EF61" s="50">
        <f>IF($AN61="N","N",SUM('調查資料(OUT)'!AV67:AV70))</f>
        <v>0</v>
      </c>
      <c r="EG61" s="56" t="e">
        <f t="shared" ref="EG61:EG92" si="337">IF($AN61="N","N",(EC61/$ES61)*100)</f>
        <v>#DIV/0!</v>
      </c>
      <c r="EH61" s="50">
        <f t="shared" ref="EH61:EH92" si="338">IF($AN61="N","N",SUM(U61:U64))</f>
        <v>0</v>
      </c>
      <c r="EI61" s="50">
        <f>IF($AN61="N","N",SUM('調查資料(OUT)'!AO67:AO70))</f>
        <v>0</v>
      </c>
      <c r="EJ61" s="50">
        <f>IF($AN61="N","N",SUM('調查資料(OUT)'!AS67:AS70))</f>
        <v>0</v>
      </c>
      <c r="EK61" s="50">
        <f>IF($AN61="N","N",SUM('調查資料(OUT)'!AW67:AW70))</f>
        <v>0</v>
      </c>
      <c r="EL61" s="56" t="e">
        <f t="shared" ref="EL61:EL92" si="339">IF($AN61="N","N",(EH61/ES61)*100)</f>
        <v>#DIV/0!</v>
      </c>
      <c r="EM61" s="50">
        <f t="shared" si="276"/>
        <v>0</v>
      </c>
      <c r="EN61" s="56" t="e">
        <f t="shared" si="277"/>
        <v>#DIV/0!</v>
      </c>
      <c r="EO61" s="50">
        <f t="shared" si="278"/>
        <v>0</v>
      </c>
      <c r="EP61" s="56" t="e">
        <f t="shared" si="279"/>
        <v>#DIV/0!</v>
      </c>
      <c r="EQ61" s="50">
        <f t="shared" si="280"/>
        <v>0</v>
      </c>
      <c r="ER61" s="56" t="e">
        <f t="shared" si="281"/>
        <v>#DIV/0!</v>
      </c>
      <c r="ES61" s="50">
        <f t="shared" si="282"/>
        <v>0</v>
      </c>
      <c r="ET61" s="50">
        <f t="shared" ref="ET61:ET92" si="340">IF($AN61="N","N",SUM(W61:W64))</f>
        <v>0</v>
      </c>
      <c r="EU61" s="50">
        <f>IF($AN61="N","N",SUM('調查資料(OUT)'!AX67:AX70))</f>
        <v>0</v>
      </c>
      <c r="EV61" s="50">
        <f>IF($AN61="N","N",SUM('調查資料(OUT)'!BB67:BB70))</f>
        <v>0</v>
      </c>
      <c r="EW61" s="50">
        <f>IF($AN61="N","N",SUM('調查資料(OUT)'!BF67:BF70))</f>
        <v>0</v>
      </c>
      <c r="EX61" s="56" t="e">
        <f t="shared" ref="EX61:EX92" si="341">IF($AN61="N","N",(ET61/FT61)*100)</f>
        <v>#DIV/0!</v>
      </c>
      <c r="EY61" s="50">
        <f t="shared" ref="EY61:EY92" si="342">IF($AN61="N","N",SUM(X61:X64))</f>
        <v>0</v>
      </c>
      <c r="EZ61" s="50">
        <f>IF($AN61="N","N",SUM('調查資料(OUT)'!AY67:AY70))</f>
        <v>0</v>
      </c>
      <c r="FA61" s="50">
        <f>IF($AN61="N","N",SUM('調查資料(OUT)'!BC67:BC70))</f>
        <v>0</v>
      </c>
      <c r="FB61" s="50">
        <f>IF($AN61="N","N",SUM('調查資料(OUT)'!BG67:BG70))</f>
        <v>0</v>
      </c>
      <c r="FC61" s="56" t="e">
        <f t="shared" ref="FC61:FC92" si="343">IF($AN61="N","N",(EY61/$FT61)*100)</f>
        <v>#DIV/0!</v>
      </c>
      <c r="FD61" s="50">
        <f t="shared" ref="FD61:FD92" si="344">IF($AN61="N","N",SUM(Y61:Y64))</f>
        <v>0</v>
      </c>
      <c r="FE61" s="50">
        <f>IF($AN61="N","N",SUM('調查資料(OUT)'!AZ67:AZ70))</f>
        <v>0</v>
      </c>
      <c r="FF61" s="50">
        <f>IF($AN61="N","N",SUM('調查資料(OUT)'!BD67:BD70))</f>
        <v>0</v>
      </c>
      <c r="FG61" s="50">
        <f>IF($AN61="N","N",SUM('調查資料(OUT)'!BH67:BH70))</f>
        <v>0</v>
      </c>
      <c r="FH61" s="56" t="e">
        <f t="shared" ref="FH61:FH92" si="345">IF($AN61="N","N",(FD61/$FT61)*100)</f>
        <v>#DIV/0!</v>
      </c>
      <c r="FI61" s="50">
        <f t="shared" ref="FI61:FI92" si="346">IF($AN61="N","N",SUM(Z61:Z64))</f>
        <v>0</v>
      </c>
      <c r="FJ61" s="50">
        <f>IF($AN61="N","N",SUM('調查資料(OUT)'!BA67:BA70))</f>
        <v>0</v>
      </c>
      <c r="FK61" s="50">
        <f>IF($AN61="N","N",SUM('調查資料(OUT)'!BE67:BE70))</f>
        <v>0</v>
      </c>
      <c r="FL61" s="50">
        <f>IF($AN61="N","N",SUM('調查資料(OUT)'!BI67:BI70))</f>
        <v>0</v>
      </c>
      <c r="FM61" s="56" t="e">
        <f t="shared" ref="FM61:FM92" si="347">IF($AN61="N","N",(FI61/FT61)*100)</f>
        <v>#DIV/0!</v>
      </c>
      <c r="FN61" s="50">
        <f t="shared" si="246"/>
        <v>0</v>
      </c>
      <c r="FO61" s="56" t="e">
        <f t="shared" si="247"/>
        <v>#DIV/0!</v>
      </c>
      <c r="FP61" s="50">
        <f t="shared" si="248"/>
        <v>0</v>
      </c>
      <c r="FQ61" s="56" t="e">
        <f t="shared" si="249"/>
        <v>#DIV/0!</v>
      </c>
      <c r="FR61" s="50">
        <f t="shared" si="250"/>
        <v>0</v>
      </c>
      <c r="FS61" s="56" t="e">
        <f t="shared" si="251"/>
        <v>#DIV/0!</v>
      </c>
      <c r="FT61" s="50">
        <f t="shared" si="252"/>
        <v>0</v>
      </c>
    </row>
    <row r="62" spans="1:176">
      <c r="A62" s="318">
        <f>'調查資料(OUT)'!A68</f>
        <v>1415</v>
      </c>
      <c r="B62" s="319">
        <f t="shared" si="238"/>
        <v>0</v>
      </c>
      <c r="C62" s="319">
        <f>IFERROR('調查資料(OUT)'!$B$1*'調查資料(OUT)'!B68,0)+IFERROR('調查資料(OUT)'!$F$1*'調查資料(OUT)'!F68,0)+IFERROR('調查資料(OUT)'!$J$1*'調查資料(OUT)'!J68,0)</f>
        <v>0</v>
      </c>
      <c r="D62" s="319">
        <f>IFERROR('調查資料(OUT)'!$C$1*'調查資料(OUT)'!C68,0)+IFERROR('調查資料(OUT)'!$G$1*'調查資料(OUT)'!G68,0)+IFERROR('調查資料(OUT)'!$K$1*'調查資料(OUT)'!K68,0)</f>
        <v>0</v>
      </c>
      <c r="E62" s="319">
        <f>IFERROR('調查資料(OUT)'!$D$1*'調查資料(OUT)'!D68,0)+IFERROR('調查資料(OUT)'!$H$1*'調查資料(OUT)'!H68,0)+IFERROR('調查資料(OUT)'!$L$1*'調查資料(OUT)'!L68,0)</f>
        <v>0</v>
      </c>
      <c r="F62" s="320">
        <f>IFERROR('調查資料(OUT)'!$E$1*'調查資料(OUT)'!E68,0)+IFERROR('調查資料(OUT)'!$I$1*'調查資料(OUT)'!I68,0)+IFERROR('調查資料(OUT)'!$M$1*'調查資料(OUT)'!M68,0)</f>
        <v>0</v>
      </c>
      <c r="G62" s="319">
        <f t="shared" si="239"/>
        <v>0</v>
      </c>
      <c r="H62" s="319">
        <f>IFERROR('調查資料(OUT)'!$N$1*'調查資料(OUT)'!N68,0)+IFERROR('調查資料(OUT)'!$R$1*'調查資料(OUT)'!R68,0)+IFERROR('調查資料(OUT)'!$V$1*'調查資料(OUT)'!V68,0)</f>
        <v>0</v>
      </c>
      <c r="I62" s="319">
        <f>IFERROR('調查資料(OUT)'!$O$1*'調查資料(OUT)'!O68,0)+IFERROR('調查資料(OUT)'!$S$1*'調查資料(OUT)'!S68,0)+IFERROR('調查資料(OUT)'!$W$1*'調查資料(OUT)'!W68,0)</f>
        <v>0</v>
      </c>
      <c r="J62" s="319">
        <f>IFERROR('調查資料(OUT)'!$P$1*'調查資料(OUT)'!P68,0)+IFERROR('調查資料(OUT)'!$T$1*'調查資料(OUT)'!T68,0)+IFERROR('調查資料(OUT)'!$X$1*'調查資料(OUT)'!X68,0)</f>
        <v>0</v>
      </c>
      <c r="K62" s="320">
        <f>IFERROR('調查資料(OUT)'!$Q$1*'調查資料(OUT)'!Q68,0)+IFERROR('調查資料(OUT)'!$U$1*'調查資料(OUT)'!U68,0)+IFERROR('調查資料(OUT)'!$Y$1*'調查資料(OUT)'!Y68,0)</f>
        <v>0</v>
      </c>
      <c r="L62" s="319">
        <f t="shared" si="240"/>
        <v>0</v>
      </c>
      <c r="M62" s="319">
        <f>IFERROR('調查資料(OUT)'!$Z$1*'調查資料(OUT)'!Z68,0)+IFERROR('調查資料(OUT)'!$AD$1*'調查資料(OUT)'!AD68,0)+IFERROR('調查資料(OUT)'!$AH$1*'調查資料(OUT)'!AH68,0)</f>
        <v>0</v>
      </c>
      <c r="N62" s="319">
        <f>IFERROR('調查資料(OUT)'!$AA$1*'調查資料(OUT)'!AA68,0)+IFERROR('調查資料(OUT)'!$AE$1*'調查資料(OUT)'!AE68,0)+IFERROR('調查資料(OUT)'!$AI$1*'調查資料(OUT)'!AI68,0)</f>
        <v>0</v>
      </c>
      <c r="O62" s="319">
        <f>IFERROR('調查資料(OUT)'!$AB$1*'調查資料(OUT)'!AB68,0)+IFERROR('調查資料(OUT)'!$AF$1*'調查資料(OUT)'!AF68,0)+IFERROR('調查資料(OUT)'!$AJ$1*'調查資料(OUT)'!AJ68,0)</f>
        <v>0</v>
      </c>
      <c r="P62" s="320">
        <f>IFERROR('調查資料(OUT)'!$AC$1*'調查資料(OUT)'!AC68,0)+IFERROR('調查資料(OUT)'!$AG$1*'調查資料(OUT)'!AG68,0)+IFERROR('調查資料(OUT)'!$AK$1*'調查資料(OUT)'!AK68,0)</f>
        <v>0</v>
      </c>
      <c r="Q62" s="319">
        <f t="shared" si="241"/>
        <v>0</v>
      </c>
      <c r="R62" s="319">
        <f>IFERROR('調查資料(OUT)'!$AL$1*'調查資料(OUT)'!AL68,0)+IFERROR('調查資料(OUT)'!$AP$1*'調查資料(OUT)'!AP68,0)+IFERROR('調查資料(OUT)'!$AT$1*'調查資料(OUT)'!AT68,0)</f>
        <v>0</v>
      </c>
      <c r="S62" s="319">
        <f>IFERROR('調查資料(OUT)'!$AM$1*'調查資料(OUT)'!AM68,0)+IFERROR('調查資料(OUT)'!$AQ$1*'調查資料(OUT)'!AQ68,0)+IFERROR('調查資料(OUT)'!$AU$1*'調查資料(OUT)'!AU68,0)</f>
        <v>0</v>
      </c>
      <c r="T62" s="319">
        <f>IFERROR('調查資料(OUT)'!$AN$1*'調查資料(OUT)'!AN68,0)+IFERROR('調查資料(OUT)'!$AR$1*'調查資料(OUT)'!AR68,0)+IFERROR('調查資料(OUT)'!$AV$1*'調查資料(OUT)'!AV68,0)</f>
        <v>0</v>
      </c>
      <c r="U62" s="320">
        <f>IFERROR('調查資料(OUT)'!$AO$1*'調查資料(OUT)'!AO68,0)+IFERROR('調查資料(OUT)'!$AS$1*'調查資料(OUT)'!AS68,0)+IFERROR('調查資料(OUT)'!$AW$1*'調查資料(OUT)'!AW68,0)</f>
        <v>0</v>
      </c>
      <c r="V62" s="319">
        <f t="shared" si="242"/>
        <v>0</v>
      </c>
      <c r="W62" s="319">
        <f>IFERROR('調查資料(OUT)'!$AX$1*'調查資料(OUT)'!AX68,0)+IFERROR('調查資料(OUT)'!$BB$1*'調查資料(OUT)'!BB68,0)+IFERROR('調查資料(OUT)'!$BF$1*'調查資料(OUT)'!BF68,0)</f>
        <v>0</v>
      </c>
      <c r="X62" s="319">
        <f>IFERROR('調查資料(OUT)'!$AY$1*'調查資料(OUT)'!AY68,0)+IFERROR('調查資料(OUT)'!$BC$1*'調查資料(OUT)'!BC68,0)+IFERROR('調查資料(OUT)'!$BG$1*'調查資料(OUT)'!BG68,0)</f>
        <v>0</v>
      </c>
      <c r="Y62" s="319">
        <f>IFERROR('調查資料(OUT)'!$AZ$1*'調查資料(OUT)'!AZ68,0)+IFERROR('調查資料(OUT)'!$BD$1*'調查資料(OUT)'!BD68,0)+IFERROR('調查資料(OUT)'!$BH$1*'調查資料(OUT)'!BH68,0)</f>
        <v>0</v>
      </c>
      <c r="Z62" s="320">
        <f>IFERROR('調查資料(OUT)'!$BA$1*'調查資料(OUT)'!BA68,0)+IFERROR('調查資料(OUT)'!$BE$1*'調查資料(OUT)'!BE68,0)+IFERROR('調查資料(OUT)'!$BI$1*'調查資料(OUT)'!BI68,0)</f>
        <v>0</v>
      </c>
      <c r="AA62" s="321">
        <f t="shared" si="243"/>
        <v>0</v>
      </c>
      <c r="AC62" s="358">
        <f>'調查資料(OUT)'!A68</f>
        <v>1415</v>
      </c>
      <c r="AD62" s="359">
        <f t="shared" si="244"/>
        <v>1515</v>
      </c>
      <c r="AE62" s="319">
        <f t="shared" si="254"/>
        <v>0</v>
      </c>
      <c r="AF62" s="319"/>
      <c r="AG62" s="319">
        <f t="shared" si="301"/>
        <v>0</v>
      </c>
      <c r="AH62" s="361" t="e">
        <f t="shared" si="306"/>
        <v>#DIV/0!</v>
      </c>
      <c r="AI62" s="361" t="e">
        <f t="shared" si="307"/>
        <v>#DIV/0!</v>
      </c>
      <c r="AJ62" s="361" t="e">
        <f t="shared" si="302"/>
        <v>#DIV/0!</v>
      </c>
      <c r="AK62" s="361" t="e">
        <f t="shared" si="303"/>
        <v>#DIV/0!</v>
      </c>
      <c r="AL62" s="361" t="e">
        <f t="shared" si="308"/>
        <v>#DIV/0!</v>
      </c>
      <c r="AM62" s="362"/>
      <c r="AN62" s="319">
        <f t="shared" si="304"/>
        <v>1415</v>
      </c>
      <c r="AO62" s="320">
        <f t="shared" si="305"/>
        <v>1515</v>
      </c>
      <c r="AP62" s="50">
        <f t="shared" si="245"/>
        <v>0</v>
      </c>
      <c r="AQ62" s="50">
        <f>IF($AN62="N","N",SUM('調查資料(OUT)'!B68:B71))</f>
        <v>0</v>
      </c>
      <c r="AR62" s="50">
        <f>IF($AN62="N","N",SUM('調查資料(OUT)'!F68:F71))</f>
        <v>0</v>
      </c>
      <c r="AS62" s="50">
        <f>IF($AN62="N","N",SUM('調查資料(OUT)'!J68:J71))</f>
        <v>0</v>
      </c>
      <c r="AT62" s="56" t="e">
        <f t="shared" si="309"/>
        <v>#DIV/0!</v>
      </c>
      <c r="AU62" s="50">
        <f t="shared" si="310"/>
        <v>0</v>
      </c>
      <c r="AV62" s="50">
        <f>IF($AN62="N","N",SUM('調查資料(OUT)'!C68:C71))</f>
        <v>0</v>
      </c>
      <c r="AW62" s="50">
        <f>IF($AN62="N","N",SUM('調查資料(OUT)'!G68:G71))</f>
        <v>0</v>
      </c>
      <c r="AX62" s="50">
        <f>IF($AN62="N","N",SUM('調查資料(OUT)'!K68:K71))</f>
        <v>0</v>
      </c>
      <c r="AY62" s="56" t="e">
        <f t="shared" si="311"/>
        <v>#DIV/0!</v>
      </c>
      <c r="AZ62" s="50">
        <f t="shared" si="312"/>
        <v>0</v>
      </c>
      <c r="BA62" s="50">
        <f>IF($AN62="N","N",SUM('調查資料(OUT)'!D68:D71))</f>
        <v>0</v>
      </c>
      <c r="BB62" s="50">
        <f>IF($AN62="N","N",SUM('調查資料(OUT)'!H68:H71))</f>
        <v>0</v>
      </c>
      <c r="BC62" s="50">
        <f>IF($AN62="N","N",SUM('調查資料(OUT)'!L68:L71))</f>
        <v>0</v>
      </c>
      <c r="BD62" s="56" t="e">
        <f t="shared" si="313"/>
        <v>#DIV/0!</v>
      </c>
      <c r="BE62" s="50">
        <f t="shared" si="314"/>
        <v>0</v>
      </c>
      <c r="BF62" s="50">
        <f>IF($AN62="N","N",SUM('調查資料(OUT)'!E68:E71))</f>
        <v>0</v>
      </c>
      <c r="BG62" s="50">
        <f>IF($AN62="N","N",SUM('調查資料(OUT)'!I68:I71))</f>
        <v>0</v>
      </c>
      <c r="BH62" s="50">
        <f>IF($AN62="N","N",SUM('調查資料(OUT)'!M68:M71))</f>
        <v>0</v>
      </c>
      <c r="BI62" s="56" t="e">
        <f t="shared" si="315"/>
        <v>#DIV/0!</v>
      </c>
      <c r="BJ62" s="50">
        <f t="shared" si="255"/>
        <v>0</v>
      </c>
      <c r="BK62" s="56" t="e">
        <f t="shared" si="256"/>
        <v>#DIV/0!</v>
      </c>
      <c r="BL62" s="50">
        <f t="shared" si="257"/>
        <v>0</v>
      </c>
      <c r="BM62" s="56" t="e">
        <f t="shared" si="258"/>
        <v>#DIV/0!</v>
      </c>
      <c r="BN62" s="50">
        <f t="shared" si="259"/>
        <v>0</v>
      </c>
      <c r="BO62" s="56" t="e">
        <f t="shared" si="260"/>
        <v>#DIV/0!</v>
      </c>
      <c r="BP62" s="50">
        <f t="shared" si="261"/>
        <v>0</v>
      </c>
      <c r="BQ62" s="50">
        <f t="shared" si="316"/>
        <v>0</v>
      </c>
      <c r="BR62" s="50">
        <f>IF($AN62="N","N",SUM('調查資料(OUT)'!N68:N71))</f>
        <v>0</v>
      </c>
      <c r="BS62" s="50">
        <f>IF($AN62="N","N",SUM('調查資料(OUT)'!R68:R71))</f>
        <v>0</v>
      </c>
      <c r="BT62" s="50">
        <f>IF($AN62="N","N",SUM('調查資料(OUT)'!V68:V71))</f>
        <v>0</v>
      </c>
      <c r="BU62" s="56" t="e">
        <f t="shared" si="317"/>
        <v>#DIV/0!</v>
      </c>
      <c r="BV62" s="50">
        <f t="shared" si="318"/>
        <v>0</v>
      </c>
      <c r="BW62" s="50">
        <f>IF($AN62="N","N",SUM('調查資料(OUT)'!O68:O71))</f>
        <v>0</v>
      </c>
      <c r="BX62" s="50">
        <f>IF($AN62="N","N",SUM('調查資料(OUT)'!S68:S71))</f>
        <v>0</v>
      </c>
      <c r="BY62" s="50">
        <f>IF($AN62="N","N",SUM('調查資料(OUT)'!W68:W71))</f>
        <v>0</v>
      </c>
      <c r="BZ62" s="56" t="e">
        <f t="shared" si="319"/>
        <v>#DIV/0!</v>
      </c>
      <c r="CA62" s="50">
        <f t="shared" si="320"/>
        <v>0</v>
      </c>
      <c r="CB62" s="50">
        <f>IF($AN62="N","N",SUM('調查資料(OUT)'!P68:P71))</f>
        <v>0</v>
      </c>
      <c r="CC62" s="50">
        <f>IF($AN62="N","N",SUM('調查資料(OUT)'!T68:T71))</f>
        <v>0</v>
      </c>
      <c r="CD62" s="50">
        <f>IF($AN62="N","N",SUM('調查資料(OUT)'!X68:X71))</f>
        <v>0</v>
      </c>
      <c r="CE62" s="56" t="e">
        <f t="shared" si="321"/>
        <v>#DIV/0!</v>
      </c>
      <c r="CF62" s="50">
        <f t="shared" si="322"/>
        <v>0</v>
      </c>
      <c r="CG62" s="50">
        <f>IF($AN62="N","N",SUM('調查資料(OUT)'!Q68:Q71))</f>
        <v>0</v>
      </c>
      <c r="CH62" s="50">
        <f>IF($AN62="N","N",SUM('調查資料(OUT)'!U68:U71))</f>
        <v>0</v>
      </c>
      <c r="CI62" s="50">
        <f>IF($AN62="N","N",SUM('調查資料(OUT)'!Y68:Y71))</f>
        <v>0</v>
      </c>
      <c r="CJ62" s="56" t="e">
        <f t="shared" si="323"/>
        <v>#DIV/0!</v>
      </c>
      <c r="CK62" s="50">
        <f t="shared" si="262"/>
        <v>0</v>
      </c>
      <c r="CL62" s="56" t="e">
        <f t="shared" si="263"/>
        <v>#DIV/0!</v>
      </c>
      <c r="CM62" s="50">
        <f t="shared" si="264"/>
        <v>0</v>
      </c>
      <c r="CN62" s="56" t="e">
        <f t="shared" si="265"/>
        <v>#DIV/0!</v>
      </c>
      <c r="CO62" s="50">
        <f t="shared" si="266"/>
        <v>0</v>
      </c>
      <c r="CP62" s="56" t="e">
        <f t="shared" si="267"/>
        <v>#DIV/0!</v>
      </c>
      <c r="CQ62" s="50">
        <f t="shared" si="268"/>
        <v>0</v>
      </c>
      <c r="CR62" s="50">
        <f t="shared" si="324"/>
        <v>0</v>
      </c>
      <c r="CS62" s="50">
        <f>IF($AN62="N","N",SUM('調查資料(OUT)'!Z68:Z71))</f>
        <v>0</v>
      </c>
      <c r="CT62" s="50">
        <f>IF($AN62="N","N",SUM('調查資料(OUT)'!AD68:AD71))</f>
        <v>0</v>
      </c>
      <c r="CU62" s="50">
        <f>IF($AN62="N","N",SUM('調查資料(OUT)'!AH68:AH71))</f>
        <v>0</v>
      </c>
      <c r="CV62" s="56" t="e">
        <f t="shared" si="325"/>
        <v>#DIV/0!</v>
      </c>
      <c r="CW62" s="50">
        <f t="shared" si="326"/>
        <v>0</v>
      </c>
      <c r="CX62" s="50">
        <f>IF($AN62="N","N",SUM('調查資料(OUT)'!AA68:AA71))</f>
        <v>0</v>
      </c>
      <c r="CY62" s="50">
        <f>IF($AN62="N","N",SUM('調查資料(OUT)'!AE68:AE71))</f>
        <v>0</v>
      </c>
      <c r="CZ62" s="50">
        <f>IF($AN62="N","N",SUM('調查資料(OUT)'!AI68:AI71))</f>
        <v>0</v>
      </c>
      <c r="DA62" s="56" t="e">
        <f t="shared" si="327"/>
        <v>#DIV/0!</v>
      </c>
      <c r="DB62" s="50">
        <f t="shared" si="328"/>
        <v>0</v>
      </c>
      <c r="DC62" s="50">
        <f>IF($AN62="N","N",SUM('調查資料(OUT)'!AB68:AB71))</f>
        <v>0</v>
      </c>
      <c r="DD62" s="50">
        <f>IF($AN62="N","N",SUM('調查資料(OUT)'!AF68:AF71))</f>
        <v>0</v>
      </c>
      <c r="DE62" s="50">
        <f>IF($AN62="N","N",SUM('調查資料(OUT)'!AJ68:AJ71))</f>
        <v>0</v>
      </c>
      <c r="DF62" s="56" t="e">
        <f t="shared" si="329"/>
        <v>#DIV/0!</v>
      </c>
      <c r="DG62" s="50">
        <f t="shared" si="330"/>
        <v>0</v>
      </c>
      <c r="DH62" s="50">
        <f>IF($AN62="N","N",SUM('調查資料(OUT)'!AC68:AC71))</f>
        <v>0</v>
      </c>
      <c r="DI62" s="50">
        <f>IF($AN62="N","N",SUM('調查資料(OUT)'!AG68:AG71))</f>
        <v>0</v>
      </c>
      <c r="DJ62" s="50">
        <f>IF($AN62="N","N",SUM('調查資料(OUT)'!AK68:AK71))</f>
        <v>0</v>
      </c>
      <c r="DK62" s="56" t="e">
        <f t="shared" si="331"/>
        <v>#DIV/0!</v>
      </c>
      <c r="DL62" s="50">
        <f t="shared" si="269"/>
        <v>0</v>
      </c>
      <c r="DM62" s="56" t="e">
        <f t="shared" si="270"/>
        <v>#DIV/0!</v>
      </c>
      <c r="DN62" s="50">
        <f t="shared" si="271"/>
        <v>0</v>
      </c>
      <c r="DO62" s="56" t="e">
        <f t="shared" si="272"/>
        <v>#DIV/0!</v>
      </c>
      <c r="DP62" s="50">
        <f t="shared" si="273"/>
        <v>0</v>
      </c>
      <c r="DQ62" s="56" t="e">
        <f t="shared" si="274"/>
        <v>#DIV/0!</v>
      </c>
      <c r="DR62" s="50">
        <f t="shared" si="275"/>
        <v>0</v>
      </c>
      <c r="DS62" s="50">
        <f t="shared" si="332"/>
        <v>0</v>
      </c>
      <c r="DT62" s="50">
        <f>IF($AN62="N","N",SUM('調查資料(OUT)'!AL68:AL71))</f>
        <v>0</v>
      </c>
      <c r="DU62" s="50">
        <f>IF($AN62="N","N",SUM('調查資料(OUT)'!AP68:AP71))</f>
        <v>0</v>
      </c>
      <c r="DV62" s="50">
        <f>IF($AN62="N","N",SUM('調查資料(OUT)'!AT68:AT71))</f>
        <v>0</v>
      </c>
      <c r="DW62" s="56" t="e">
        <f t="shared" si="333"/>
        <v>#DIV/0!</v>
      </c>
      <c r="DX62" s="50">
        <f t="shared" si="334"/>
        <v>0</v>
      </c>
      <c r="DY62" s="50">
        <f>IF($AN62="N","N",SUM('調查資料(OUT)'!AM68:AM71))</f>
        <v>0</v>
      </c>
      <c r="DZ62" s="50">
        <f>IF($AN62="N","N",SUM('調查資料(OUT)'!AQ68:AQ71))</f>
        <v>0</v>
      </c>
      <c r="EA62" s="50">
        <f>IF($AN62="N","N",SUM('調查資料(OUT)'!AU68:AU71))</f>
        <v>0</v>
      </c>
      <c r="EB62" s="56" t="e">
        <f t="shared" si="335"/>
        <v>#DIV/0!</v>
      </c>
      <c r="EC62" s="50">
        <f t="shared" si="336"/>
        <v>0</v>
      </c>
      <c r="ED62" s="50">
        <f>IF($AN62="N","N",SUM('調查資料(OUT)'!AN68:AN71))</f>
        <v>0</v>
      </c>
      <c r="EE62" s="50">
        <f>IF($AN62="N","N",SUM('調查資料(OUT)'!AR68:AR71))</f>
        <v>0</v>
      </c>
      <c r="EF62" s="50">
        <f>IF($AN62="N","N",SUM('調查資料(OUT)'!AV68:AV71))</f>
        <v>0</v>
      </c>
      <c r="EG62" s="56" t="e">
        <f t="shared" si="337"/>
        <v>#DIV/0!</v>
      </c>
      <c r="EH62" s="50">
        <f t="shared" si="338"/>
        <v>0</v>
      </c>
      <c r="EI62" s="50">
        <f>IF($AN62="N","N",SUM('調查資料(OUT)'!AO68:AO71))</f>
        <v>0</v>
      </c>
      <c r="EJ62" s="50">
        <f>IF($AN62="N","N",SUM('調查資料(OUT)'!AS68:AS71))</f>
        <v>0</v>
      </c>
      <c r="EK62" s="50">
        <f>IF($AN62="N","N",SUM('調查資料(OUT)'!AW68:AW71))</f>
        <v>0</v>
      </c>
      <c r="EL62" s="56" t="e">
        <f t="shared" si="339"/>
        <v>#DIV/0!</v>
      </c>
      <c r="EM62" s="50">
        <f t="shared" si="276"/>
        <v>0</v>
      </c>
      <c r="EN62" s="56" t="e">
        <f t="shared" si="277"/>
        <v>#DIV/0!</v>
      </c>
      <c r="EO62" s="50">
        <f t="shared" si="278"/>
        <v>0</v>
      </c>
      <c r="EP62" s="56" t="e">
        <f t="shared" si="279"/>
        <v>#DIV/0!</v>
      </c>
      <c r="EQ62" s="50">
        <f t="shared" si="280"/>
        <v>0</v>
      </c>
      <c r="ER62" s="56" t="e">
        <f t="shared" si="281"/>
        <v>#DIV/0!</v>
      </c>
      <c r="ES62" s="50">
        <f t="shared" si="282"/>
        <v>0</v>
      </c>
      <c r="ET62" s="50">
        <f t="shared" si="340"/>
        <v>0</v>
      </c>
      <c r="EU62" s="50">
        <f>IF($AN62="N","N",SUM('調查資料(OUT)'!AX68:AX71))</f>
        <v>0</v>
      </c>
      <c r="EV62" s="50">
        <f>IF($AN62="N","N",SUM('調查資料(OUT)'!BB68:BB71))</f>
        <v>0</v>
      </c>
      <c r="EW62" s="50">
        <f>IF($AN62="N","N",SUM('調查資料(OUT)'!BF68:BF71))</f>
        <v>0</v>
      </c>
      <c r="EX62" s="56" t="e">
        <f t="shared" si="341"/>
        <v>#DIV/0!</v>
      </c>
      <c r="EY62" s="50">
        <f t="shared" si="342"/>
        <v>0</v>
      </c>
      <c r="EZ62" s="50">
        <f>IF($AN62="N","N",SUM('調查資料(OUT)'!AY68:AY71))</f>
        <v>0</v>
      </c>
      <c r="FA62" s="50">
        <f>IF($AN62="N","N",SUM('調查資料(OUT)'!BC68:BC71))</f>
        <v>0</v>
      </c>
      <c r="FB62" s="50">
        <f>IF($AN62="N","N",SUM('調查資料(OUT)'!BG68:BG71))</f>
        <v>0</v>
      </c>
      <c r="FC62" s="56" t="e">
        <f t="shared" si="343"/>
        <v>#DIV/0!</v>
      </c>
      <c r="FD62" s="50">
        <f t="shared" si="344"/>
        <v>0</v>
      </c>
      <c r="FE62" s="50">
        <f>IF($AN62="N","N",SUM('調查資料(OUT)'!AZ68:AZ71))</f>
        <v>0</v>
      </c>
      <c r="FF62" s="50">
        <f>IF($AN62="N","N",SUM('調查資料(OUT)'!BD68:BD71))</f>
        <v>0</v>
      </c>
      <c r="FG62" s="50">
        <f>IF($AN62="N","N",SUM('調查資料(OUT)'!BH68:BH71))</f>
        <v>0</v>
      </c>
      <c r="FH62" s="56" t="e">
        <f t="shared" si="345"/>
        <v>#DIV/0!</v>
      </c>
      <c r="FI62" s="50">
        <f t="shared" si="346"/>
        <v>0</v>
      </c>
      <c r="FJ62" s="50">
        <f>IF($AN62="N","N",SUM('調查資料(OUT)'!BA68:BA71))</f>
        <v>0</v>
      </c>
      <c r="FK62" s="50">
        <f>IF($AN62="N","N",SUM('調查資料(OUT)'!BE68:BE71))</f>
        <v>0</v>
      </c>
      <c r="FL62" s="50">
        <f>IF($AN62="N","N",SUM('調查資料(OUT)'!BI68:BI71))</f>
        <v>0</v>
      </c>
      <c r="FM62" s="56" t="e">
        <f t="shared" si="347"/>
        <v>#DIV/0!</v>
      </c>
      <c r="FN62" s="50">
        <f t="shared" si="246"/>
        <v>0</v>
      </c>
      <c r="FO62" s="56" t="e">
        <f t="shared" si="247"/>
        <v>#DIV/0!</v>
      </c>
      <c r="FP62" s="50">
        <f t="shared" si="248"/>
        <v>0</v>
      </c>
      <c r="FQ62" s="56" t="e">
        <f t="shared" si="249"/>
        <v>#DIV/0!</v>
      </c>
      <c r="FR62" s="50">
        <f t="shared" si="250"/>
        <v>0</v>
      </c>
      <c r="FS62" s="56" t="e">
        <f t="shared" si="251"/>
        <v>#DIV/0!</v>
      </c>
      <c r="FT62" s="50">
        <f t="shared" si="252"/>
        <v>0</v>
      </c>
    </row>
    <row r="63" spans="1:176">
      <c r="A63" s="318">
        <f>'調查資料(OUT)'!A69</f>
        <v>1430</v>
      </c>
      <c r="B63" s="319">
        <f t="shared" si="238"/>
        <v>0</v>
      </c>
      <c r="C63" s="319">
        <f>IFERROR('調查資料(OUT)'!$B$1*'調查資料(OUT)'!B69,0)+IFERROR('調查資料(OUT)'!$F$1*'調查資料(OUT)'!F69,0)+IFERROR('調查資料(OUT)'!$J$1*'調查資料(OUT)'!J69,0)</f>
        <v>0</v>
      </c>
      <c r="D63" s="319">
        <f>IFERROR('調查資料(OUT)'!$C$1*'調查資料(OUT)'!C69,0)+IFERROR('調查資料(OUT)'!$G$1*'調查資料(OUT)'!G69,0)+IFERROR('調查資料(OUT)'!$K$1*'調查資料(OUT)'!K69,0)</f>
        <v>0</v>
      </c>
      <c r="E63" s="319">
        <f>IFERROR('調查資料(OUT)'!$D$1*'調查資料(OUT)'!D69,0)+IFERROR('調查資料(OUT)'!$H$1*'調查資料(OUT)'!H69,0)+IFERROR('調查資料(OUT)'!$L$1*'調查資料(OUT)'!L69,0)</f>
        <v>0</v>
      </c>
      <c r="F63" s="320">
        <f>IFERROR('調查資料(OUT)'!$E$1*'調查資料(OUT)'!E69,0)+IFERROR('調查資料(OUT)'!$I$1*'調查資料(OUT)'!I69,0)+IFERROR('調查資料(OUT)'!$M$1*'調查資料(OUT)'!M69,0)</f>
        <v>0</v>
      </c>
      <c r="G63" s="319">
        <f t="shared" si="239"/>
        <v>0</v>
      </c>
      <c r="H63" s="319">
        <f>IFERROR('調查資料(OUT)'!$N$1*'調查資料(OUT)'!N69,0)+IFERROR('調查資料(OUT)'!$R$1*'調查資料(OUT)'!R69,0)+IFERROR('調查資料(OUT)'!$V$1*'調查資料(OUT)'!V69,0)</f>
        <v>0</v>
      </c>
      <c r="I63" s="319">
        <f>IFERROR('調查資料(OUT)'!$O$1*'調查資料(OUT)'!O69,0)+IFERROR('調查資料(OUT)'!$S$1*'調查資料(OUT)'!S69,0)+IFERROR('調查資料(OUT)'!$W$1*'調查資料(OUT)'!W69,0)</f>
        <v>0</v>
      </c>
      <c r="J63" s="319">
        <f>IFERROR('調查資料(OUT)'!$P$1*'調查資料(OUT)'!P69,0)+IFERROR('調查資料(OUT)'!$T$1*'調查資料(OUT)'!T69,0)+IFERROR('調查資料(OUT)'!$X$1*'調查資料(OUT)'!X69,0)</f>
        <v>0</v>
      </c>
      <c r="K63" s="320">
        <f>IFERROR('調查資料(OUT)'!$Q$1*'調查資料(OUT)'!Q69,0)+IFERROR('調查資料(OUT)'!$U$1*'調查資料(OUT)'!U69,0)+IFERROR('調查資料(OUT)'!$Y$1*'調查資料(OUT)'!Y69,0)</f>
        <v>0</v>
      </c>
      <c r="L63" s="319">
        <f t="shared" si="240"/>
        <v>0</v>
      </c>
      <c r="M63" s="319">
        <f>IFERROR('調查資料(OUT)'!$Z$1*'調查資料(OUT)'!Z69,0)+IFERROR('調查資料(OUT)'!$AD$1*'調查資料(OUT)'!AD69,0)+IFERROR('調查資料(OUT)'!$AH$1*'調查資料(OUT)'!AH69,0)</f>
        <v>0</v>
      </c>
      <c r="N63" s="319">
        <f>IFERROR('調查資料(OUT)'!$AA$1*'調查資料(OUT)'!AA69,0)+IFERROR('調查資料(OUT)'!$AE$1*'調查資料(OUT)'!AE69,0)+IFERROR('調查資料(OUT)'!$AI$1*'調查資料(OUT)'!AI69,0)</f>
        <v>0</v>
      </c>
      <c r="O63" s="319">
        <f>IFERROR('調查資料(OUT)'!$AB$1*'調查資料(OUT)'!AB69,0)+IFERROR('調查資料(OUT)'!$AF$1*'調查資料(OUT)'!AF69,0)+IFERROR('調查資料(OUT)'!$AJ$1*'調查資料(OUT)'!AJ69,0)</f>
        <v>0</v>
      </c>
      <c r="P63" s="320">
        <f>IFERROR('調查資料(OUT)'!$AC$1*'調查資料(OUT)'!AC69,0)+IFERROR('調查資料(OUT)'!$AG$1*'調查資料(OUT)'!AG69,0)+IFERROR('調查資料(OUT)'!$AK$1*'調查資料(OUT)'!AK69,0)</f>
        <v>0</v>
      </c>
      <c r="Q63" s="319">
        <f t="shared" si="241"/>
        <v>0</v>
      </c>
      <c r="R63" s="319">
        <f>IFERROR('調查資料(OUT)'!$AL$1*'調查資料(OUT)'!AL69,0)+IFERROR('調查資料(OUT)'!$AP$1*'調查資料(OUT)'!AP69,0)+IFERROR('調查資料(OUT)'!$AT$1*'調查資料(OUT)'!AT69,0)</f>
        <v>0</v>
      </c>
      <c r="S63" s="319">
        <f>IFERROR('調查資料(OUT)'!$AM$1*'調查資料(OUT)'!AM69,0)+IFERROR('調查資料(OUT)'!$AQ$1*'調查資料(OUT)'!AQ69,0)+IFERROR('調查資料(OUT)'!$AU$1*'調查資料(OUT)'!AU69,0)</f>
        <v>0</v>
      </c>
      <c r="T63" s="319">
        <f>IFERROR('調查資料(OUT)'!$AN$1*'調查資料(OUT)'!AN69,0)+IFERROR('調查資料(OUT)'!$AR$1*'調查資料(OUT)'!AR69,0)+IFERROR('調查資料(OUT)'!$AV$1*'調查資料(OUT)'!AV69,0)</f>
        <v>0</v>
      </c>
      <c r="U63" s="320">
        <f>IFERROR('調查資料(OUT)'!$AO$1*'調查資料(OUT)'!AO69,0)+IFERROR('調查資料(OUT)'!$AS$1*'調查資料(OUT)'!AS69,0)+IFERROR('調查資料(OUT)'!$AW$1*'調查資料(OUT)'!AW69,0)</f>
        <v>0</v>
      </c>
      <c r="V63" s="319">
        <f t="shared" si="242"/>
        <v>0</v>
      </c>
      <c r="W63" s="319">
        <f>IFERROR('調查資料(OUT)'!$AX$1*'調查資料(OUT)'!AX69,0)+IFERROR('調查資料(OUT)'!$BB$1*'調查資料(OUT)'!BB69,0)+IFERROR('調查資料(OUT)'!$BF$1*'調查資料(OUT)'!BF69,0)</f>
        <v>0</v>
      </c>
      <c r="X63" s="319">
        <f>IFERROR('調查資料(OUT)'!$AY$1*'調查資料(OUT)'!AY69,0)+IFERROR('調查資料(OUT)'!$BC$1*'調查資料(OUT)'!BC69,0)+IFERROR('調查資料(OUT)'!$BG$1*'調查資料(OUT)'!BG69,0)</f>
        <v>0</v>
      </c>
      <c r="Y63" s="319">
        <f>IFERROR('調查資料(OUT)'!$AZ$1*'調查資料(OUT)'!AZ69,0)+IFERROR('調查資料(OUT)'!$BD$1*'調查資料(OUT)'!BD69,0)+IFERROR('調查資料(OUT)'!$BH$1*'調查資料(OUT)'!BH69,0)</f>
        <v>0</v>
      </c>
      <c r="Z63" s="320">
        <f>IFERROR('調查資料(OUT)'!$BA$1*'調查資料(OUT)'!BA69,0)+IFERROR('調查資料(OUT)'!$BE$1*'調查資料(OUT)'!BE69,0)+IFERROR('調查資料(OUT)'!$BI$1*'調查資料(OUT)'!BI69,0)</f>
        <v>0</v>
      </c>
      <c r="AA63" s="321">
        <f t="shared" si="243"/>
        <v>0</v>
      </c>
      <c r="AC63" s="358">
        <f>'調查資料(OUT)'!A69</f>
        <v>1430</v>
      </c>
      <c r="AD63" s="359">
        <f t="shared" si="244"/>
        <v>1530</v>
      </c>
      <c r="AE63" s="319">
        <f t="shared" si="254"/>
        <v>0</v>
      </c>
      <c r="AF63" s="319"/>
      <c r="AG63" s="319">
        <f t="shared" si="301"/>
        <v>0</v>
      </c>
      <c r="AH63" s="361" t="e">
        <f t="shared" si="306"/>
        <v>#DIV/0!</v>
      </c>
      <c r="AI63" s="361" t="e">
        <f t="shared" si="307"/>
        <v>#DIV/0!</v>
      </c>
      <c r="AJ63" s="361" t="e">
        <f t="shared" si="302"/>
        <v>#DIV/0!</v>
      </c>
      <c r="AK63" s="361" t="e">
        <f t="shared" si="303"/>
        <v>#DIV/0!</v>
      </c>
      <c r="AL63" s="361" t="e">
        <f t="shared" si="308"/>
        <v>#DIV/0!</v>
      </c>
      <c r="AM63" s="362"/>
      <c r="AN63" s="319">
        <f t="shared" si="304"/>
        <v>1430</v>
      </c>
      <c r="AO63" s="320">
        <f t="shared" si="305"/>
        <v>1530</v>
      </c>
      <c r="AP63" s="50">
        <f t="shared" si="245"/>
        <v>0</v>
      </c>
      <c r="AQ63" s="50">
        <f>IF($AN63="N","N",SUM('調查資料(OUT)'!B69:B72))</f>
        <v>0</v>
      </c>
      <c r="AR63" s="50">
        <f>IF($AN63="N","N",SUM('調查資料(OUT)'!F69:F72))</f>
        <v>0</v>
      </c>
      <c r="AS63" s="50">
        <f>IF($AN63="N","N",SUM('調查資料(OUT)'!J69:J72))</f>
        <v>0</v>
      </c>
      <c r="AT63" s="56" t="e">
        <f t="shared" si="309"/>
        <v>#DIV/0!</v>
      </c>
      <c r="AU63" s="50">
        <f t="shared" si="310"/>
        <v>0</v>
      </c>
      <c r="AV63" s="50">
        <f>IF($AN63="N","N",SUM('調查資料(OUT)'!C69:C72))</f>
        <v>0</v>
      </c>
      <c r="AW63" s="50">
        <f>IF($AN63="N","N",SUM('調查資料(OUT)'!G69:G72))</f>
        <v>0</v>
      </c>
      <c r="AX63" s="50">
        <f>IF($AN63="N","N",SUM('調查資料(OUT)'!K69:K72))</f>
        <v>0</v>
      </c>
      <c r="AY63" s="56" t="e">
        <f t="shared" si="311"/>
        <v>#DIV/0!</v>
      </c>
      <c r="AZ63" s="50">
        <f t="shared" si="312"/>
        <v>0</v>
      </c>
      <c r="BA63" s="50">
        <f>IF($AN63="N","N",SUM('調查資料(OUT)'!D69:D72))</f>
        <v>0</v>
      </c>
      <c r="BB63" s="50">
        <f>IF($AN63="N","N",SUM('調查資料(OUT)'!H69:H72))</f>
        <v>0</v>
      </c>
      <c r="BC63" s="50">
        <f>IF($AN63="N","N",SUM('調查資料(OUT)'!L69:L72))</f>
        <v>0</v>
      </c>
      <c r="BD63" s="56" t="e">
        <f t="shared" si="313"/>
        <v>#DIV/0!</v>
      </c>
      <c r="BE63" s="50">
        <f t="shared" si="314"/>
        <v>0</v>
      </c>
      <c r="BF63" s="50">
        <f>IF($AN63="N","N",SUM('調查資料(OUT)'!E69:E72))</f>
        <v>0</v>
      </c>
      <c r="BG63" s="50">
        <f>IF($AN63="N","N",SUM('調查資料(OUT)'!I69:I72))</f>
        <v>0</v>
      </c>
      <c r="BH63" s="50">
        <f>IF($AN63="N","N",SUM('調查資料(OUT)'!M69:M72))</f>
        <v>0</v>
      </c>
      <c r="BI63" s="56" t="e">
        <f t="shared" si="315"/>
        <v>#DIV/0!</v>
      </c>
      <c r="BJ63" s="50">
        <f t="shared" si="255"/>
        <v>0</v>
      </c>
      <c r="BK63" s="56" t="e">
        <f t="shared" si="256"/>
        <v>#DIV/0!</v>
      </c>
      <c r="BL63" s="50">
        <f t="shared" si="257"/>
        <v>0</v>
      </c>
      <c r="BM63" s="56" t="e">
        <f t="shared" si="258"/>
        <v>#DIV/0!</v>
      </c>
      <c r="BN63" s="50">
        <f t="shared" si="259"/>
        <v>0</v>
      </c>
      <c r="BO63" s="56" t="e">
        <f t="shared" si="260"/>
        <v>#DIV/0!</v>
      </c>
      <c r="BP63" s="50">
        <f t="shared" si="261"/>
        <v>0</v>
      </c>
      <c r="BQ63" s="50">
        <f t="shared" si="316"/>
        <v>0</v>
      </c>
      <c r="BR63" s="50">
        <f>IF($AN63="N","N",SUM('調查資料(OUT)'!N69:N72))</f>
        <v>0</v>
      </c>
      <c r="BS63" s="50">
        <f>IF($AN63="N","N",SUM('調查資料(OUT)'!R69:R72))</f>
        <v>0</v>
      </c>
      <c r="BT63" s="50">
        <f>IF($AN63="N","N",SUM('調查資料(OUT)'!V69:V72))</f>
        <v>0</v>
      </c>
      <c r="BU63" s="56" t="e">
        <f t="shared" si="317"/>
        <v>#DIV/0!</v>
      </c>
      <c r="BV63" s="50">
        <f t="shared" si="318"/>
        <v>0</v>
      </c>
      <c r="BW63" s="50">
        <f>IF($AN63="N","N",SUM('調查資料(OUT)'!O69:O72))</f>
        <v>0</v>
      </c>
      <c r="BX63" s="50">
        <f>IF($AN63="N","N",SUM('調查資料(OUT)'!S69:S72))</f>
        <v>0</v>
      </c>
      <c r="BY63" s="50">
        <f>IF($AN63="N","N",SUM('調查資料(OUT)'!W69:W72))</f>
        <v>0</v>
      </c>
      <c r="BZ63" s="56" t="e">
        <f t="shared" si="319"/>
        <v>#DIV/0!</v>
      </c>
      <c r="CA63" s="50">
        <f t="shared" si="320"/>
        <v>0</v>
      </c>
      <c r="CB63" s="50">
        <f>IF($AN63="N","N",SUM('調查資料(OUT)'!P69:P72))</f>
        <v>0</v>
      </c>
      <c r="CC63" s="50">
        <f>IF($AN63="N","N",SUM('調查資料(OUT)'!T69:T72))</f>
        <v>0</v>
      </c>
      <c r="CD63" s="50">
        <f>IF($AN63="N","N",SUM('調查資料(OUT)'!X69:X72))</f>
        <v>0</v>
      </c>
      <c r="CE63" s="56" t="e">
        <f t="shared" si="321"/>
        <v>#DIV/0!</v>
      </c>
      <c r="CF63" s="50">
        <f t="shared" si="322"/>
        <v>0</v>
      </c>
      <c r="CG63" s="50">
        <f>IF($AN63="N","N",SUM('調查資料(OUT)'!Q69:Q72))</f>
        <v>0</v>
      </c>
      <c r="CH63" s="50">
        <f>IF($AN63="N","N",SUM('調查資料(OUT)'!U69:U72))</f>
        <v>0</v>
      </c>
      <c r="CI63" s="50">
        <f>IF($AN63="N","N",SUM('調查資料(OUT)'!Y69:Y72))</f>
        <v>0</v>
      </c>
      <c r="CJ63" s="56" t="e">
        <f t="shared" si="323"/>
        <v>#DIV/0!</v>
      </c>
      <c r="CK63" s="50">
        <f t="shared" si="262"/>
        <v>0</v>
      </c>
      <c r="CL63" s="56" t="e">
        <f t="shared" si="263"/>
        <v>#DIV/0!</v>
      </c>
      <c r="CM63" s="50">
        <f t="shared" si="264"/>
        <v>0</v>
      </c>
      <c r="CN63" s="56" t="e">
        <f t="shared" si="265"/>
        <v>#DIV/0!</v>
      </c>
      <c r="CO63" s="50">
        <f t="shared" si="266"/>
        <v>0</v>
      </c>
      <c r="CP63" s="56" t="e">
        <f t="shared" si="267"/>
        <v>#DIV/0!</v>
      </c>
      <c r="CQ63" s="50">
        <f t="shared" si="268"/>
        <v>0</v>
      </c>
      <c r="CR63" s="50">
        <f t="shared" si="324"/>
        <v>0</v>
      </c>
      <c r="CS63" s="50">
        <f>IF($AN63="N","N",SUM('調查資料(OUT)'!Z69:Z72))</f>
        <v>0</v>
      </c>
      <c r="CT63" s="50">
        <f>IF($AN63="N","N",SUM('調查資料(OUT)'!AD69:AD72))</f>
        <v>0</v>
      </c>
      <c r="CU63" s="50">
        <f>IF($AN63="N","N",SUM('調查資料(OUT)'!AH69:AH72))</f>
        <v>0</v>
      </c>
      <c r="CV63" s="56" t="e">
        <f t="shared" si="325"/>
        <v>#DIV/0!</v>
      </c>
      <c r="CW63" s="50">
        <f t="shared" si="326"/>
        <v>0</v>
      </c>
      <c r="CX63" s="50">
        <f>IF($AN63="N","N",SUM('調查資料(OUT)'!AA69:AA72))</f>
        <v>0</v>
      </c>
      <c r="CY63" s="50">
        <f>IF($AN63="N","N",SUM('調查資料(OUT)'!AE69:AE72))</f>
        <v>0</v>
      </c>
      <c r="CZ63" s="50">
        <f>IF($AN63="N","N",SUM('調查資料(OUT)'!AI69:AI72))</f>
        <v>0</v>
      </c>
      <c r="DA63" s="56" t="e">
        <f t="shared" si="327"/>
        <v>#DIV/0!</v>
      </c>
      <c r="DB63" s="50">
        <f t="shared" si="328"/>
        <v>0</v>
      </c>
      <c r="DC63" s="50">
        <f>IF($AN63="N","N",SUM('調查資料(OUT)'!AB69:AB72))</f>
        <v>0</v>
      </c>
      <c r="DD63" s="50">
        <f>IF($AN63="N","N",SUM('調查資料(OUT)'!AF69:AF72))</f>
        <v>0</v>
      </c>
      <c r="DE63" s="50">
        <f>IF($AN63="N","N",SUM('調查資料(OUT)'!AJ69:AJ72))</f>
        <v>0</v>
      </c>
      <c r="DF63" s="56" t="e">
        <f t="shared" si="329"/>
        <v>#DIV/0!</v>
      </c>
      <c r="DG63" s="50">
        <f t="shared" si="330"/>
        <v>0</v>
      </c>
      <c r="DH63" s="50">
        <f>IF($AN63="N","N",SUM('調查資料(OUT)'!AC69:AC72))</f>
        <v>0</v>
      </c>
      <c r="DI63" s="50">
        <f>IF($AN63="N","N",SUM('調查資料(OUT)'!AG69:AG72))</f>
        <v>0</v>
      </c>
      <c r="DJ63" s="50">
        <f>IF($AN63="N","N",SUM('調查資料(OUT)'!AK69:AK72))</f>
        <v>0</v>
      </c>
      <c r="DK63" s="56" t="e">
        <f t="shared" si="331"/>
        <v>#DIV/0!</v>
      </c>
      <c r="DL63" s="50">
        <f t="shared" si="269"/>
        <v>0</v>
      </c>
      <c r="DM63" s="56" t="e">
        <f t="shared" si="270"/>
        <v>#DIV/0!</v>
      </c>
      <c r="DN63" s="50">
        <f t="shared" si="271"/>
        <v>0</v>
      </c>
      <c r="DO63" s="56" t="e">
        <f t="shared" si="272"/>
        <v>#DIV/0!</v>
      </c>
      <c r="DP63" s="50">
        <f t="shared" si="273"/>
        <v>0</v>
      </c>
      <c r="DQ63" s="56" t="e">
        <f t="shared" si="274"/>
        <v>#DIV/0!</v>
      </c>
      <c r="DR63" s="50">
        <f t="shared" si="275"/>
        <v>0</v>
      </c>
      <c r="DS63" s="50">
        <f t="shared" si="332"/>
        <v>0</v>
      </c>
      <c r="DT63" s="50">
        <f>IF($AN63="N","N",SUM('調查資料(OUT)'!AL69:AL72))</f>
        <v>0</v>
      </c>
      <c r="DU63" s="50">
        <f>IF($AN63="N","N",SUM('調查資料(OUT)'!AP69:AP72))</f>
        <v>0</v>
      </c>
      <c r="DV63" s="50">
        <f>IF($AN63="N","N",SUM('調查資料(OUT)'!AT69:AT72))</f>
        <v>0</v>
      </c>
      <c r="DW63" s="56" t="e">
        <f t="shared" si="333"/>
        <v>#DIV/0!</v>
      </c>
      <c r="DX63" s="50">
        <f t="shared" si="334"/>
        <v>0</v>
      </c>
      <c r="DY63" s="50">
        <f>IF($AN63="N","N",SUM('調查資料(OUT)'!AM69:AM72))</f>
        <v>0</v>
      </c>
      <c r="DZ63" s="50">
        <f>IF($AN63="N","N",SUM('調查資料(OUT)'!AQ69:AQ72))</f>
        <v>0</v>
      </c>
      <c r="EA63" s="50">
        <f>IF($AN63="N","N",SUM('調查資料(OUT)'!AU69:AU72))</f>
        <v>0</v>
      </c>
      <c r="EB63" s="56" t="e">
        <f t="shared" si="335"/>
        <v>#DIV/0!</v>
      </c>
      <c r="EC63" s="50">
        <f t="shared" si="336"/>
        <v>0</v>
      </c>
      <c r="ED63" s="50">
        <f>IF($AN63="N","N",SUM('調查資料(OUT)'!AN69:AN72))</f>
        <v>0</v>
      </c>
      <c r="EE63" s="50">
        <f>IF($AN63="N","N",SUM('調查資料(OUT)'!AR69:AR72))</f>
        <v>0</v>
      </c>
      <c r="EF63" s="50">
        <f>IF($AN63="N","N",SUM('調查資料(OUT)'!AV69:AV72))</f>
        <v>0</v>
      </c>
      <c r="EG63" s="56" t="e">
        <f t="shared" si="337"/>
        <v>#DIV/0!</v>
      </c>
      <c r="EH63" s="50">
        <f t="shared" si="338"/>
        <v>0</v>
      </c>
      <c r="EI63" s="50">
        <f>IF($AN63="N","N",SUM('調查資料(OUT)'!AO69:AO72))</f>
        <v>0</v>
      </c>
      <c r="EJ63" s="50">
        <f>IF($AN63="N","N",SUM('調查資料(OUT)'!AS69:AS72))</f>
        <v>0</v>
      </c>
      <c r="EK63" s="50">
        <f>IF($AN63="N","N",SUM('調查資料(OUT)'!AW69:AW72))</f>
        <v>0</v>
      </c>
      <c r="EL63" s="56" t="e">
        <f t="shared" si="339"/>
        <v>#DIV/0!</v>
      </c>
      <c r="EM63" s="50">
        <f t="shared" si="276"/>
        <v>0</v>
      </c>
      <c r="EN63" s="56" t="e">
        <f t="shared" si="277"/>
        <v>#DIV/0!</v>
      </c>
      <c r="EO63" s="50">
        <f t="shared" si="278"/>
        <v>0</v>
      </c>
      <c r="EP63" s="56" t="e">
        <f t="shared" si="279"/>
        <v>#DIV/0!</v>
      </c>
      <c r="EQ63" s="50">
        <f t="shared" si="280"/>
        <v>0</v>
      </c>
      <c r="ER63" s="56" t="e">
        <f t="shared" si="281"/>
        <v>#DIV/0!</v>
      </c>
      <c r="ES63" s="50">
        <f t="shared" si="282"/>
        <v>0</v>
      </c>
      <c r="ET63" s="50">
        <f t="shared" si="340"/>
        <v>0</v>
      </c>
      <c r="EU63" s="50">
        <f>IF($AN63="N","N",SUM('調查資料(OUT)'!AX69:AX72))</f>
        <v>0</v>
      </c>
      <c r="EV63" s="50">
        <f>IF($AN63="N","N",SUM('調查資料(OUT)'!BB69:BB72))</f>
        <v>0</v>
      </c>
      <c r="EW63" s="50">
        <f>IF($AN63="N","N",SUM('調查資料(OUT)'!BF69:BF72))</f>
        <v>0</v>
      </c>
      <c r="EX63" s="56" t="e">
        <f t="shared" si="341"/>
        <v>#DIV/0!</v>
      </c>
      <c r="EY63" s="50">
        <f t="shared" si="342"/>
        <v>0</v>
      </c>
      <c r="EZ63" s="50">
        <f>IF($AN63="N","N",SUM('調查資料(OUT)'!AY69:AY72))</f>
        <v>0</v>
      </c>
      <c r="FA63" s="50">
        <f>IF($AN63="N","N",SUM('調查資料(OUT)'!BC69:BC72))</f>
        <v>0</v>
      </c>
      <c r="FB63" s="50">
        <f>IF($AN63="N","N",SUM('調查資料(OUT)'!BG69:BG72))</f>
        <v>0</v>
      </c>
      <c r="FC63" s="56" t="e">
        <f t="shared" si="343"/>
        <v>#DIV/0!</v>
      </c>
      <c r="FD63" s="50">
        <f t="shared" si="344"/>
        <v>0</v>
      </c>
      <c r="FE63" s="50">
        <f>IF($AN63="N","N",SUM('調查資料(OUT)'!AZ69:AZ72))</f>
        <v>0</v>
      </c>
      <c r="FF63" s="50">
        <f>IF($AN63="N","N",SUM('調查資料(OUT)'!BD69:BD72))</f>
        <v>0</v>
      </c>
      <c r="FG63" s="50">
        <f>IF($AN63="N","N",SUM('調查資料(OUT)'!BH69:BH72))</f>
        <v>0</v>
      </c>
      <c r="FH63" s="56" t="e">
        <f t="shared" si="345"/>
        <v>#DIV/0!</v>
      </c>
      <c r="FI63" s="50">
        <f t="shared" si="346"/>
        <v>0</v>
      </c>
      <c r="FJ63" s="50">
        <f>IF($AN63="N","N",SUM('調查資料(OUT)'!BA69:BA72))</f>
        <v>0</v>
      </c>
      <c r="FK63" s="50">
        <f>IF($AN63="N","N",SUM('調查資料(OUT)'!BE69:BE72))</f>
        <v>0</v>
      </c>
      <c r="FL63" s="50">
        <f>IF($AN63="N","N",SUM('調查資料(OUT)'!BI69:BI72))</f>
        <v>0</v>
      </c>
      <c r="FM63" s="56" t="e">
        <f t="shared" si="347"/>
        <v>#DIV/0!</v>
      </c>
      <c r="FN63" s="50">
        <f t="shared" si="246"/>
        <v>0</v>
      </c>
      <c r="FO63" s="56" t="e">
        <f t="shared" si="247"/>
        <v>#DIV/0!</v>
      </c>
      <c r="FP63" s="50">
        <f t="shared" si="248"/>
        <v>0</v>
      </c>
      <c r="FQ63" s="56" t="e">
        <f t="shared" si="249"/>
        <v>#DIV/0!</v>
      </c>
      <c r="FR63" s="50">
        <f t="shared" si="250"/>
        <v>0</v>
      </c>
      <c r="FS63" s="56" t="e">
        <f t="shared" si="251"/>
        <v>#DIV/0!</v>
      </c>
      <c r="FT63" s="50">
        <f t="shared" si="252"/>
        <v>0</v>
      </c>
    </row>
    <row r="64" spans="1:176">
      <c r="A64" s="318">
        <f>'調查資料(OUT)'!A70</f>
        <v>1445</v>
      </c>
      <c r="B64" s="319">
        <f t="shared" si="238"/>
        <v>0</v>
      </c>
      <c r="C64" s="319">
        <f>IFERROR('調查資料(OUT)'!$B$1*'調查資料(OUT)'!B70,0)+IFERROR('調查資料(OUT)'!$F$1*'調查資料(OUT)'!F70,0)+IFERROR('調查資料(OUT)'!$J$1*'調查資料(OUT)'!J70,0)</f>
        <v>0</v>
      </c>
      <c r="D64" s="319">
        <f>IFERROR('調查資料(OUT)'!$C$1*'調查資料(OUT)'!C70,0)+IFERROR('調查資料(OUT)'!$G$1*'調查資料(OUT)'!G70,0)+IFERROR('調查資料(OUT)'!$K$1*'調查資料(OUT)'!K70,0)</f>
        <v>0</v>
      </c>
      <c r="E64" s="319">
        <f>IFERROR('調查資料(OUT)'!$D$1*'調查資料(OUT)'!D70,0)+IFERROR('調查資料(OUT)'!$H$1*'調查資料(OUT)'!H70,0)+IFERROR('調查資料(OUT)'!$L$1*'調查資料(OUT)'!L70,0)</f>
        <v>0</v>
      </c>
      <c r="F64" s="320">
        <f>IFERROR('調查資料(OUT)'!$E$1*'調查資料(OUT)'!E70,0)+IFERROR('調查資料(OUT)'!$I$1*'調查資料(OUT)'!I70,0)+IFERROR('調查資料(OUT)'!$M$1*'調查資料(OUT)'!M70,0)</f>
        <v>0</v>
      </c>
      <c r="G64" s="319">
        <f t="shared" si="239"/>
        <v>0</v>
      </c>
      <c r="H64" s="319">
        <f>IFERROR('調查資料(OUT)'!$N$1*'調查資料(OUT)'!N70,0)+IFERROR('調查資料(OUT)'!$R$1*'調查資料(OUT)'!R70,0)+IFERROR('調查資料(OUT)'!$V$1*'調查資料(OUT)'!V70,0)</f>
        <v>0</v>
      </c>
      <c r="I64" s="319">
        <f>IFERROR('調查資料(OUT)'!$O$1*'調查資料(OUT)'!O70,0)+IFERROR('調查資料(OUT)'!$S$1*'調查資料(OUT)'!S70,0)+IFERROR('調查資料(OUT)'!$W$1*'調查資料(OUT)'!W70,0)</f>
        <v>0</v>
      </c>
      <c r="J64" s="319">
        <f>IFERROR('調查資料(OUT)'!$P$1*'調查資料(OUT)'!P70,0)+IFERROR('調查資料(OUT)'!$T$1*'調查資料(OUT)'!T70,0)+IFERROR('調查資料(OUT)'!$X$1*'調查資料(OUT)'!X70,0)</f>
        <v>0</v>
      </c>
      <c r="K64" s="320">
        <f>IFERROR('調查資料(OUT)'!$Q$1*'調查資料(OUT)'!Q70,0)+IFERROR('調查資料(OUT)'!$U$1*'調查資料(OUT)'!U70,0)+IFERROR('調查資料(OUT)'!$Y$1*'調查資料(OUT)'!Y70,0)</f>
        <v>0</v>
      </c>
      <c r="L64" s="319">
        <f t="shared" si="240"/>
        <v>0</v>
      </c>
      <c r="M64" s="319">
        <f>IFERROR('調查資料(OUT)'!$Z$1*'調查資料(OUT)'!Z70,0)+IFERROR('調查資料(OUT)'!$AD$1*'調查資料(OUT)'!AD70,0)+IFERROR('調查資料(OUT)'!$AH$1*'調查資料(OUT)'!AH70,0)</f>
        <v>0</v>
      </c>
      <c r="N64" s="319">
        <f>IFERROR('調查資料(OUT)'!$AA$1*'調查資料(OUT)'!AA70,0)+IFERROR('調查資料(OUT)'!$AE$1*'調查資料(OUT)'!AE70,0)+IFERROR('調查資料(OUT)'!$AI$1*'調查資料(OUT)'!AI70,0)</f>
        <v>0</v>
      </c>
      <c r="O64" s="319">
        <f>IFERROR('調查資料(OUT)'!$AB$1*'調查資料(OUT)'!AB70,0)+IFERROR('調查資料(OUT)'!$AF$1*'調查資料(OUT)'!AF70,0)+IFERROR('調查資料(OUT)'!$AJ$1*'調查資料(OUT)'!AJ70,0)</f>
        <v>0</v>
      </c>
      <c r="P64" s="320">
        <f>IFERROR('調查資料(OUT)'!$AC$1*'調查資料(OUT)'!AC70,0)+IFERROR('調查資料(OUT)'!$AG$1*'調查資料(OUT)'!AG70,0)+IFERROR('調查資料(OUT)'!$AK$1*'調查資料(OUT)'!AK70,0)</f>
        <v>0</v>
      </c>
      <c r="Q64" s="319">
        <f t="shared" si="241"/>
        <v>0</v>
      </c>
      <c r="R64" s="319">
        <f>IFERROR('調查資料(OUT)'!$AL$1*'調查資料(OUT)'!AL70,0)+IFERROR('調查資料(OUT)'!$AP$1*'調查資料(OUT)'!AP70,0)+IFERROR('調查資料(OUT)'!$AT$1*'調查資料(OUT)'!AT70,0)</f>
        <v>0</v>
      </c>
      <c r="S64" s="319">
        <f>IFERROR('調查資料(OUT)'!$AM$1*'調查資料(OUT)'!AM70,0)+IFERROR('調查資料(OUT)'!$AQ$1*'調查資料(OUT)'!AQ70,0)+IFERROR('調查資料(OUT)'!$AU$1*'調查資料(OUT)'!AU70,0)</f>
        <v>0</v>
      </c>
      <c r="T64" s="319">
        <f>IFERROR('調查資料(OUT)'!$AN$1*'調查資料(OUT)'!AN70,0)+IFERROR('調查資料(OUT)'!$AR$1*'調查資料(OUT)'!AR70,0)+IFERROR('調查資料(OUT)'!$AV$1*'調查資料(OUT)'!AV70,0)</f>
        <v>0</v>
      </c>
      <c r="U64" s="320">
        <f>IFERROR('調查資料(OUT)'!$AO$1*'調查資料(OUT)'!AO70,0)+IFERROR('調查資料(OUT)'!$AS$1*'調查資料(OUT)'!AS70,0)+IFERROR('調查資料(OUT)'!$AW$1*'調查資料(OUT)'!AW70,0)</f>
        <v>0</v>
      </c>
      <c r="V64" s="319">
        <f t="shared" si="242"/>
        <v>0</v>
      </c>
      <c r="W64" s="319">
        <f>IFERROR('調查資料(OUT)'!$AX$1*'調查資料(OUT)'!AX70,0)+IFERROR('調查資料(OUT)'!$BB$1*'調查資料(OUT)'!BB70,0)+IFERROR('調查資料(OUT)'!$BF$1*'調查資料(OUT)'!BF70,0)</f>
        <v>0</v>
      </c>
      <c r="X64" s="319">
        <f>IFERROR('調查資料(OUT)'!$AY$1*'調查資料(OUT)'!AY70,0)+IFERROR('調查資料(OUT)'!$BC$1*'調查資料(OUT)'!BC70,0)+IFERROR('調查資料(OUT)'!$BG$1*'調查資料(OUT)'!BG70,0)</f>
        <v>0</v>
      </c>
      <c r="Y64" s="319">
        <f>IFERROR('調查資料(OUT)'!$AZ$1*'調查資料(OUT)'!AZ70,0)+IFERROR('調查資料(OUT)'!$BD$1*'調查資料(OUT)'!BD70,0)+IFERROR('調查資料(OUT)'!$BH$1*'調查資料(OUT)'!BH70,0)</f>
        <v>0</v>
      </c>
      <c r="Z64" s="320">
        <f>IFERROR('調查資料(OUT)'!$BA$1*'調查資料(OUT)'!BA70,0)+IFERROR('調查資料(OUT)'!$BE$1*'調查資料(OUT)'!BE70,0)+IFERROR('調查資料(OUT)'!$BI$1*'調查資料(OUT)'!BI70,0)</f>
        <v>0</v>
      </c>
      <c r="AA64" s="321">
        <f t="shared" si="243"/>
        <v>0</v>
      </c>
      <c r="AC64" s="358">
        <f>'調查資料(OUT)'!A70</f>
        <v>1445</v>
      </c>
      <c r="AD64" s="359">
        <f t="shared" si="244"/>
        <v>1545</v>
      </c>
      <c r="AE64" s="319">
        <f t="shared" si="254"/>
        <v>0</v>
      </c>
      <c r="AF64" s="319"/>
      <c r="AG64" s="319">
        <f t="shared" si="301"/>
        <v>0</v>
      </c>
      <c r="AH64" s="361" t="e">
        <f t="shared" si="306"/>
        <v>#DIV/0!</v>
      </c>
      <c r="AI64" s="361" t="e">
        <f t="shared" si="307"/>
        <v>#DIV/0!</v>
      </c>
      <c r="AJ64" s="361" t="e">
        <f t="shared" si="302"/>
        <v>#DIV/0!</v>
      </c>
      <c r="AK64" s="361" t="e">
        <f t="shared" si="303"/>
        <v>#DIV/0!</v>
      </c>
      <c r="AL64" s="361" t="e">
        <f t="shared" si="308"/>
        <v>#DIV/0!</v>
      </c>
      <c r="AM64" s="362"/>
      <c r="AN64" s="319">
        <f t="shared" si="304"/>
        <v>1445</v>
      </c>
      <c r="AO64" s="320">
        <f t="shared" si="305"/>
        <v>1545</v>
      </c>
      <c r="AP64" s="50">
        <f t="shared" si="245"/>
        <v>0</v>
      </c>
      <c r="AQ64" s="50">
        <f>IF($AN64="N","N",SUM('調查資料(OUT)'!B70:B73))</f>
        <v>0</v>
      </c>
      <c r="AR64" s="50">
        <f>IF($AN64="N","N",SUM('調查資料(OUT)'!F70:F73))</f>
        <v>0</v>
      </c>
      <c r="AS64" s="50">
        <f>IF($AN64="N","N",SUM('調查資料(OUT)'!J70:J73))</f>
        <v>0</v>
      </c>
      <c r="AT64" s="56" t="e">
        <f t="shared" si="309"/>
        <v>#DIV/0!</v>
      </c>
      <c r="AU64" s="50">
        <f t="shared" si="310"/>
        <v>0</v>
      </c>
      <c r="AV64" s="50">
        <f>IF($AN64="N","N",SUM('調查資料(OUT)'!C70:C73))</f>
        <v>0</v>
      </c>
      <c r="AW64" s="50">
        <f>IF($AN64="N","N",SUM('調查資料(OUT)'!G70:G73))</f>
        <v>0</v>
      </c>
      <c r="AX64" s="50">
        <f>IF($AN64="N","N",SUM('調查資料(OUT)'!K70:K73))</f>
        <v>0</v>
      </c>
      <c r="AY64" s="56" t="e">
        <f t="shared" si="311"/>
        <v>#DIV/0!</v>
      </c>
      <c r="AZ64" s="50">
        <f t="shared" si="312"/>
        <v>0</v>
      </c>
      <c r="BA64" s="50">
        <f>IF($AN64="N","N",SUM('調查資料(OUT)'!D70:D73))</f>
        <v>0</v>
      </c>
      <c r="BB64" s="50">
        <f>IF($AN64="N","N",SUM('調查資料(OUT)'!H70:H73))</f>
        <v>0</v>
      </c>
      <c r="BC64" s="50">
        <f>IF($AN64="N","N",SUM('調查資料(OUT)'!L70:L73))</f>
        <v>0</v>
      </c>
      <c r="BD64" s="56" t="e">
        <f t="shared" si="313"/>
        <v>#DIV/0!</v>
      </c>
      <c r="BE64" s="50">
        <f t="shared" si="314"/>
        <v>0</v>
      </c>
      <c r="BF64" s="50">
        <f>IF($AN64="N","N",SUM('調查資料(OUT)'!E70:E73))</f>
        <v>0</v>
      </c>
      <c r="BG64" s="50">
        <f>IF($AN64="N","N",SUM('調查資料(OUT)'!I70:I73))</f>
        <v>0</v>
      </c>
      <c r="BH64" s="50">
        <f>IF($AN64="N","N",SUM('調查資料(OUT)'!M70:M73))</f>
        <v>0</v>
      </c>
      <c r="BI64" s="56" t="e">
        <f t="shared" si="315"/>
        <v>#DIV/0!</v>
      </c>
      <c r="BJ64" s="50">
        <f t="shared" si="255"/>
        <v>0</v>
      </c>
      <c r="BK64" s="56" t="e">
        <f t="shared" si="256"/>
        <v>#DIV/0!</v>
      </c>
      <c r="BL64" s="50">
        <f t="shared" si="257"/>
        <v>0</v>
      </c>
      <c r="BM64" s="56" t="e">
        <f t="shared" si="258"/>
        <v>#DIV/0!</v>
      </c>
      <c r="BN64" s="50">
        <f t="shared" si="259"/>
        <v>0</v>
      </c>
      <c r="BO64" s="56" t="e">
        <f t="shared" si="260"/>
        <v>#DIV/0!</v>
      </c>
      <c r="BP64" s="50">
        <f t="shared" si="261"/>
        <v>0</v>
      </c>
      <c r="BQ64" s="50">
        <f t="shared" si="316"/>
        <v>0</v>
      </c>
      <c r="BR64" s="50">
        <f>IF($AN64="N","N",SUM('調查資料(OUT)'!N70:N73))</f>
        <v>0</v>
      </c>
      <c r="BS64" s="50">
        <f>IF($AN64="N","N",SUM('調查資料(OUT)'!R70:R73))</f>
        <v>0</v>
      </c>
      <c r="BT64" s="50">
        <f>IF($AN64="N","N",SUM('調查資料(OUT)'!V70:V73))</f>
        <v>0</v>
      </c>
      <c r="BU64" s="56" t="e">
        <f t="shared" si="317"/>
        <v>#DIV/0!</v>
      </c>
      <c r="BV64" s="50">
        <f t="shared" si="318"/>
        <v>0</v>
      </c>
      <c r="BW64" s="50">
        <f>IF($AN64="N","N",SUM('調查資料(OUT)'!O70:O73))</f>
        <v>0</v>
      </c>
      <c r="BX64" s="50">
        <f>IF($AN64="N","N",SUM('調查資料(OUT)'!S70:S73))</f>
        <v>0</v>
      </c>
      <c r="BY64" s="50">
        <f>IF($AN64="N","N",SUM('調查資料(OUT)'!W70:W73))</f>
        <v>0</v>
      </c>
      <c r="BZ64" s="56" t="e">
        <f t="shared" si="319"/>
        <v>#DIV/0!</v>
      </c>
      <c r="CA64" s="50">
        <f t="shared" si="320"/>
        <v>0</v>
      </c>
      <c r="CB64" s="50">
        <f>IF($AN64="N","N",SUM('調查資料(OUT)'!P70:P73))</f>
        <v>0</v>
      </c>
      <c r="CC64" s="50">
        <f>IF($AN64="N","N",SUM('調查資料(OUT)'!T70:T73))</f>
        <v>0</v>
      </c>
      <c r="CD64" s="50">
        <f>IF($AN64="N","N",SUM('調查資料(OUT)'!X70:X73))</f>
        <v>0</v>
      </c>
      <c r="CE64" s="56" t="e">
        <f t="shared" si="321"/>
        <v>#DIV/0!</v>
      </c>
      <c r="CF64" s="50">
        <f t="shared" si="322"/>
        <v>0</v>
      </c>
      <c r="CG64" s="50">
        <f>IF($AN64="N","N",SUM('調查資料(OUT)'!Q70:Q73))</f>
        <v>0</v>
      </c>
      <c r="CH64" s="50">
        <f>IF($AN64="N","N",SUM('調查資料(OUT)'!U70:U73))</f>
        <v>0</v>
      </c>
      <c r="CI64" s="50">
        <f>IF($AN64="N","N",SUM('調查資料(OUT)'!Y70:Y73))</f>
        <v>0</v>
      </c>
      <c r="CJ64" s="56" t="e">
        <f t="shared" si="323"/>
        <v>#DIV/0!</v>
      </c>
      <c r="CK64" s="50">
        <f t="shared" si="262"/>
        <v>0</v>
      </c>
      <c r="CL64" s="56" t="e">
        <f t="shared" si="263"/>
        <v>#DIV/0!</v>
      </c>
      <c r="CM64" s="50">
        <f t="shared" si="264"/>
        <v>0</v>
      </c>
      <c r="CN64" s="56" t="e">
        <f t="shared" si="265"/>
        <v>#DIV/0!</v>
      </c>
      <c r="CO64" s="50">
        <f t="shared" si="266"/>
        <v>0</v>
      </c>
      <c r="CP64" s="56" t="e">
        <f t="shared" si="267"/>
        <v>#DIV/0!</v>
      </c>
      <c r="CQ64" s="50">
        <f t="shared" si="268"/>
        <v>0</v>
      </c>
      <c r="CR64" s="50">
        <f t="shared" si="324"/>
        <v>0</v>
      </c>
      <c r="CS64" s="50">
        <f>IF($AN64="N","N",SUM('調查資料(OUT)'!Z70:Z73))</f>
        <v>0</v>
      </c>
      <c r="CT64" s="50">
        <f>IF($AN64="N","N",SUM('調查資料(OUT)'!AD70:AD73))</f>
        <v>0</v>
      </c>
      <c r="CU64" s="50">
        <f>IF($AN64="N","N",SUM('調查資料(OUT)'!AH70:AH73))</f>
        <v>0</v>
      </c>
      <c r="CV64" s="56" t="e">
        <f t="shared" si="325"/>
        <v>#DIV/0!</v>
      </c>
      <c r="CW64" s="50">
        <f t="shared" si="326"/>
        <v>0</v>
      </c>
      <c r="CX64" s="50">
        <f>IF($AN64="N","N",SUM('調查資料(OUT)'!AA70:AA73))</f>
        <v>0</v>
      </c>
      <c r="CY64" s="50">
        <f>IF($AN64="N","N",SUM('調查資料(OUT)'!AE70:AE73))</f>
        <v>0</v>
      </c>
      <c r="CZ64" s="50">
        <f>IF($AN64="N","N",SUM('調查資料(OUT)'!AI70:AI73))</f>
        <v>0</v>
      </c>
      <c r="DA64" s="56" t="e">
        <f t="shared" si="327"/>
        <v>#DIV/0!</v>
      </c>
      <c r="DB64" s="50">
        <f t="shared" si="328"/>
        <v>0</v>
      </c>
      <c r="DC64" s="50">
        <f>IF($AN64="N","N",SUM('調查資料(OUT)'!AB70:AB73))</f>
        <v>0</v>
      </c>
      <c r="DD64" s="50">
        <f>IF($AN64="N","N",SUM('調查資料(OUT)'!AF70:AF73))</f>
        <v>0</v>
      </c>
      <c r="DE64" s="50">
        <f>IF($AN64="N","N",SUM('調查資料(OUT)'!AJ70:AJ73))</f>
        <v>0</v>
      </c>
      <c r="DF64" s="56" t="e">
        <f t="shared" si="329"/>
        <v>#DIV/0!</v>
      </c>
      <c r="DG64" s="50">
        <f t="shared" si="330"/>
        <v>0</v>
      </c>
      <c r="DH64" s="50">
        <f>IF($AN64="N","N",SUM('調查資料(OUT)'!AC70:AC73))</f>
        <v>0</v>
      </c>
      <c r="DI64" s="50">
        <f>IF($AN64="N","N",SUM('調查資料(OUT)'!AG70:AG73))</f>
        <v>0</v>
      </c>
      <c r="DJ64" s="50">
        <f>IF($AN64="N","N",SUM('調查資料(OUT)'!AK70:AK73))</f>
        <v>0</v>
      </c>
      <c r="DK64" s="56" t="e">
        <f t="shared" si="331"/>
        <v>#DIV/0!</v>
      </c>
      <c r="DL64" s="50">
        <f t="shared" si="269"/>
        <v>0</v>
      </c>
      <c r="DM64" s="56" t="e">
        <f t="shared" si="270"/>
        <v>#DIV/0!</v>
      </c>
      <c r="DN64" s="50">
        <f t="shared" si="271"/>
        <v>0</v>
      </c>
      <c r="DO64" s="56" t="e">
        <f t="shared" si="272"/>
        <v>#DIV/0!</v>
      </c>
      <c r="DP64" s="50">
        <f t="shared" si="273"/>
        <v>0</v>
      </c>
      <c r="DQ64" s="56" t="e">
        <f t="shared" si="274"/>
        <v>#DIV/0!</v>
      </c>
      <c r="DR64" s="50">
        <f t="shared" si="275"/>
        <v>0</v>
      </c>
      <c r="DS64" s="50">
        <f t="shared" si="332"/>
        <v>0</v>
      </c>
      <c r="DT64" s="50">
        <f>IF($AN64="N","N",SUM('調查資料(OUT)'!AL70:AL73))</f>
        <v>0</v>
      </c>
      <c r="DU64" s="50">
        <f>IF($AN64="N","N",SUM('調查資料(OUT)'!AP70:AP73))</f>
        <v>0</v>
      </c>
      <c r="DV64" s="50">
        <f>IF($AN64="N","N",SUM('調查資料(OUT)'!AT70:AT73))</f>
        <v>0</v>
      </c>
      <c r="DW64" s="56" t="e">
        <f t="shared" si="333"/>
        <v>#DIV/0!</v>
      </c>
      <c r="DX64" s="50">
        <f t="shared" si="334"/>
        <v>0</v>
      </c>
      <c r="DY64" s="50">
        <f>IF($AN64="N","N",SUM('調查資料(OUT)'!AM70:AM73))</f>
        <v>0</v>
      </c>
      <c r="DZ64" s="50">
        <f>IF($AN64="N","N",SUM('調查資料(OUT)'!AQ70:AQ73))</f>
        <v>0</v>
      </c>
      <c r="EA64" s="50">
        <f>IF($AN64="N","N",SUM('調查資料(OUT)'!AU70:AU73))</f>
        <v>0</v>
      </c>
      <c r="EB64" s="56" t="e">
        <f t="shared" si="335"/>
        <v>#DIV/0!</v>
      </c>
      <c r="EC64" s="50">
        <f t="shared" si="336"/>
        <v>0</v>
      </c>
      <c r="ED64" s="50">
        <f>IF($AN64="N","N",SUM('調查資料(OUT)'!AN70:AN73))</f>
        <v>0</v>
      </c>
      <c r="EE64" s="50">
        <f>IF($AN64="N","N",SUM('調查資料(OUT)'!AR70:AR73))</f>
        <v>0</v>
      </c>
      <c r="EF64" s="50">
        <f>IF($AN64="N","N",SUM('調查資料(OUT)'!AV70:AV73))</f>
        <v>0</v>
      </c>
      <c r="EG64" s="56" t="e">
        <f t="shared" si="337"/>
        <v>#DIV/0!</v>
      </c>
      <c r="EH64" s="50">
        <f t="shared" si="338"/>
        <v>0</v>
      </c>
      <c r="EI64" s="50">
        <f>IF($AN64="N","N",SUM('調查資料(OUT)'!AO70:AO73))</f>
        <v>0</v>
      </c>
      <c r="EJ64" s="50">
        <f>IF($AN64="N","N",SUM('調查資料(OUT)'!AS70:AS73))</f>
        <v>0</v>
      </c>
      <c r="EK64" s="50">
        <f>IF($AN64="N","N",SUM('調查資料(OUT)'!AW70:AW73))</f>
        <v>0</v>
      </c>
      <c r="EL64" s="56" t="e">
        <f t="shared" si="339"/>
        <v>#DIV/0!</v>
      </c>
      <c r="EM64" s="50">
        <f t="shared" si="276"/>
        <v>0</v>
      </c>
      <c r="EN64" s="56" t="e">
        <f t="shared" si="277"/>
        <v>#DIV/0!</v>
      </c>
      <c r="EO64" s="50">
        <f t="shared" si="278"/>
        <v>0</v>
      </c>
      <c r="EP64" s="56" t="e">
        <f t="shared" si="279"/>
        <v>#DIV/0!</v>
      </c>
      <c r="EQ64" s="50">
        <f t="shared" si="280"/>
        <v>0</v>
      </c>
      <c r="ER64" s="56" t="e">
        <f t="shared" si="281"/>
        <v>#DIV/0!</v>
      </c>
      <c r="ES64" s="50">
        <f t="shared" si="282"/>
        <v>0</v>
      </c>
      <c r="ET64" s="50">
        <f t="shared" si="340"/>
        <v>0</v>
      </c>
      <c r="EU64" s="50">
        <f>IF($AN64="N","N",SUM('調查資料(OUT)'!AX70:AX73))</f>
        <v>0</v>
      </c>
      <c r="EV64" s="50">
        <f>IF($AN64="N","N",SUM('調查資料(OUT)'!BB70:BB73))</f>
        <v>0</v>
      </c>
      <c r="EW64" s="50">
        <f>IF($AN64="N","N",SUM('調查資料(OUT)'!BF70:BF73))</f>
        <v>0</v>
      </c>
      <c r="EX64" s="56" t="e">
        <f t="shared" si="341"/>
        <v>#DIV/0!</v>
      </c>
      <c r="EY64" s="50">
        <f t="shared" si="342"/>
        <v>0</v>
      </c>
      <c r="EZ64" s="50">
        <f>IF($AN64="N","N",SUM('調查資料(OUT)'!AY70:AY73))</f>
        <v>0</v>
      </c>
      <c r="FA64" s="50">
        <f>IF($AN64="N","N",SUM('調查資料(OUT)'!BC70:BC73))</f>
        <v>0</v>
      </c>
      <c r="FB64" s="50">
        <f>IF($AN64="N","N",SUM('調查資料(OUT)'!BG70:BG73))</f>
        <v>0</v>
      </c>
      <c r="FC64" s="56" t="e">
        <f t="shared" si="343"/>
        <v>#DIV/0!</v>
      </c>
      <c r="FD64" s="50">
        <f t="shared" si="344"/>
        <v>0</v>
      </c>
      <c r="FE64" s="50">
        <f>IF($AN64="N","N",SUM('調查資料(OUT)'!AZ70:AZ73))</f>
        <v>0</v>
      </c>
      <c r="FF64" s="50">
        <f>IF($AN64="N","N",SUM('調查資料(OUT)'!BD70:BD73))</f>
        <v>0</v>
      </c>
      <c r="FG64" s="50">
        <f>IF($AN64="N","N",SUM('調查資料(OUT)'!BH70:BH73))</f>
        <v>0</v>
      </c>
      <c r="FH64" s="56" t="e">
        <f t="shared" si="345"/>
        <v>#DIV/0!</v>
      </c>
      <c r="FI64" s="50">
        <f t="shared" si="346"/>
        <v>0</v>
      </c>
      <c r="FJ64" s="50">
        <f>IF($AN64="N","N",SUM('調查資料(OUT)'!BA70:BA73))</f>
        <v>0</v>
      </c>
      <c r="FK64" s="50">
        <f>IF($AN64="N","N",SUM('調查資料(OUT)'!BE70:BE73))</f>
        <v>0</v>
      </c>
      <c r="FL64" s="50">
        <f>IF($AN64="N","N",SUM('調查資料(OUT)'!BI70:BI73))</f>
        <v>0</v>
      </c>
      <c r="FM64" s="56" t="e">
        <f t="shared" si="347"/>
        <v>#DIV/0!</v>
      </c>
      <c r="FN64" s="50">
        <f t="shared" si="246"/>
        <v>0</v>
      </c>
      <c r="FO64" s="56" t="e">
        <f t="shared" si="247"/>
        <v>#DIV/0!</v>
      </c>
      <c r="FP64" s="50">
        <f t="shared" si="248"/>
        <v>0</v>
      </c>
      <c r="FQ64" s="56" t="e">
        <f t="shared" si="249"/>
        <v>#DIV/0!</v>
      </c>
      <c r="FR64" s="50">
        <f t="shared" si="250"/>
        <v>0</v>
      </c>
      <c r="FS64" s="56" t="e">
        <f t="shared" si="251"/>
        <v>#DIV/0!</v>
      </c>
      <c r="FT64" s="50">
        <f t="shared" si="252"/>
        <v>0</v>
      </c>
    </row>
    <row r="65" spans="1:176">
      <c r="A65" s="318">
        <f>'調查資料(OUT)'!A71</f>
        <v>1500</v>
      </c>
      <c r="B65" s="319">
        <f t="shared" si="238"/>
        <v>0</v>
      </c>
      <c r="C65" s="319">
        <f>IFERROR('調查資料(OUT)'!$B$1*'調查資料(OUT)'!B71,0)+IFERROR('調查資料(OUT)'!$F$1*'調查資料(OUT)'!F71,0)+IFERROR('調查資料(OUT)'!$J$1*'調查資料(OUT)'!J71,0)</f>
        <v>0</v>
      </c>
      <c r="D65" s="319">
        <f>IFERROR('調查資料(OUT)'!$C$1*'調查資料(OUT)'!C71,0)+IFERROR('調查資料(OUT)'!$G$1*'調查資料(OUT)'!G71,0)+IFERROR('調查資料(OUT)'!$K$1*'調查資料(OUT)'!K71,0)</f>
        <v>0</v>
      </c>
      <c r="E65" s="319">
        <f>IFERROR('調查資料(OUT)'!$D$1*'調查資料(OUT)'!D71,0)+IFERROR('調查資料(OUT)'!$H$1*'調查資料(OUT)'!H71,0)+IFERROR('調查資料(OUT)'!$L$1*'調查資料(OUT)'!L71,0)</f>
        <v>0</v>
      </c>
      <c r="F65" s="320">
        <f>IFERROR('調查資料(OUT)'!$E$1*'調查資料(OUT)'!E71,0)+IFERROR('調查資料(OUT)'!$I$1*'調查資料(OUT)'!I71,0)+IFERROR('調查資料(OUT)'!$M$1*'調查資料(OUT)'!M71,0)</f>
        <v>0</v>
      </c>
      <c r="G65" s="319">
        <f t="shared" si="239"/>
        <v>0</v>
      </c>
      <c r="H65" s="319">
        <f>IFERROR('調查資料(OUT)'!$N$1*'調查資料(OUT)'!N71,0)+IFERROR('調查資料(OUT)'!$R$1*'調查資料(OUT)'!R71,0)+IFERROR('調查資料(OUT)'!$V$1*'調查資料(OUT)'!V71,0)</f>
        <v>0</v>
      </c>
      <c r="I65" s="319">
        <f>IFERROR('調查資料(OUT)'!$O$1*'調查資料(OUT)'!O71,0)+IFERROR('調查資料(OUT)'!$S$1*'調查資料(OUT)'!S71,0)+IFERROR('調查資料(OUT)'!$W$1*'調查資料(OUT)'!W71,0)</f>
        <v>0</v>
      </c>
      <c r="J65" s="319">
        <f>IFERROR('調查資料(OUT)'!$P$1*'調查資料(OUT)'!P71,0)+IFERROR('調查資料(OUT)'!$T$1*'調查資料(OUT)'!T71,0)+IFERROR('調查資料(OUT)'!$X$1*'調查資料(OUT)'!X71,0)</f>
        <v>0</v>
      </c>
      <c r="K65" s="320">
        <f>IFERROR('調查資料(OUT)'!$Q$1*'調查資料(OUT)'!Q71,0)+IFERROR('調查資料(OUT)'!$U$1*'調查資料(OUT)'!U71,0)+IFERROR('調查資料(OUT)'!$Y$1*'調查資料(OUT)'!Y71,0)</f>
        <v>0</v>
      </c>
      <c r="L65" s="319">
        <f t="shared" si="240"/>
        <v>0</v>
      </c>
      <c r="M65" s="319">
        <f>IFERROR('調查資料(OUT)'!$Z$1*'調查資料(OUT)'!Z71,0)+IFERROR('調查資料(OUT)'!$AD$1*'調查資料(OUT)'!AD71,0)+IFERROR('調查資料(OUT)'!$AH$1*'調查資料(OUT)'!AH71,0)</f>
        <v>0</v>
      </c>
      <c r="N65" s="319">
        <f>IFERROR('調查資料(OUT)'!$AA$1*'調查資料(OUT)'!AA71,0)+IFERROR('調查資料(OUT)'!$AE$1*'調查資料(OUT)'!AE71,0)+IFERROR('調查資料(OUT)'!$AI$1*'調查資料(OUT)'!AI71,0)</f>
        <v>0</v>
      </c>
      <c r="O65" s="319">
        <f>IFERROR('調查資料(OUT)'!$AB$1*'調查資料(OUT)'!AB71,0)+IFERROR('調查資料(OUT)'!$AF$1*'調查資料(OUT)'!AF71,0)+IFERROR('調查資料(OUT)'!$AJ$1*'調查資料(OUT)'!AJ71,0)</f>
        <v>0</v>
      </c>
      <c r="P65" s="320">
        <f>IFERROR('調查資料(OUT)'!$AC$1*'調查資料(OUT)'!AC71,0)+IFERROR('調查資料(OUT)'!$AG$1*'調查資料(OUT)'!AG71,0)+IFERROR('調查資料(OUT)'!$AK$1*'調查資料(OUT)'!AK71,0)</f>
        <v>0</v>
      </c>
      <c r="Q65" s="319">
        <f t="shared" si="241"/>
        <v>0</v>
      </c>
      <c r="R65" s="319">
        <f>IFERROR('調查資料(OUT)'!$AL$1*'調查資料(OUT)'!AL71,0)+IFERROR('調查資料(OUT)'!$AP$1*'調查資料(OUT)'!AP71,0)+IFERROR('調查資料(OUT)'!$AT$1*'調查資料(OUT)'!AT71,0)</f>
        <v>0</v>
      </c>
      <c r="S65" s="319">
        <f>IFERROR('調查資料(OUT)'!$AM$1*'調查資料(OUT)'!AM71,0)+IFERROR('調查資料(OUT)'!$AQ$1*'調查資料(OUT)'!AQ71,0)+IFERROR('調查資料(OUT)'!$AU$1*'調查資料(OUT)'!AU71,0)</f>
        <v>0</v>
      </c>
      <c r="T65" s="319">
        <f>IFERROR('調查資料(OUT)'!$AN$1*'調查資料(OUT)'!AN71,0)+IFERROR('調查資料(OUT)'!$AR$1*'調查資料(OUT)'!AR71,0)+IFERROR('調查資料(OUT)'!$AV$1*'調查資料(OUT)'!AV71,0)</f>
        <v>0</v>
      </c>
      <c r="U65" s="320">
        <f>IFERROR('調查資料(OUT)'!$AO$1*'調查資料(OUT)'!AO71,0)+IFERROR('調查資料(OUT)'!$AS$1*'調查資料(OUT)'!AS71,0)+IFERROR('調查資料(OUT)'!$AW$1*'調查資料(OUT)'!AW71,0)</f>
        <v>0</v>
      </c>
      <c r="V65" s="319">
        <f t="shared" si="242"/>
        <v>0</v>
      </c>
      <c r="W65" s="319">
        <f>IFERROR('調查資料(OUT)'!$AX$1*'調查資料(OUT)'!AX71,0)+IFERROR('調查資料(OUT)'!$BB$1*'調查資料(OUT)'!BB71,0)+IFERROR('調查資料(OUT)'!$BF$1*'調查資料(OUT)'!BF71,0)</f>
        <v>0</v>
      </c>
      <c r="X65" s="319">
        <f>IFERROR('調查資料(OUT)'!$AY$1*'調查資料(OUT)'!AY71,0)+IFERROR('調查資料(OUT)'!$BC$1*'調查資料(OUT)'!BC71,0)+IFERROR('調查資料(OUT)'!$BG$1*'調查資料(OUT)'!BG71,0)</f>
        <v>0</v>
      </c>
      <c r="Y65" s="319">
        <f>IFERROR('調查資料(OUT)'!$AZ$1*'調查資料(OUT)'!AZ71,0)+IFERROR('調查資料(OUT)'!$BD$1*'調查資料(OUT)'!BD71,0)+IFERROR('調查資料(OUT)'!$BH$1*'調查資料(OUT)'!BH71,0)</f>
        <v>0</v>
      </c>
      <c r="Z65" s="320">
        <f>IFERROR('調查資料(OUT)'!$BA$1*'調查資料(OUT)'!BA71,0)+IFERROR('調查資料(OUT)'!$BE$1*'調查資料(OUT)'!BE71,0)+IFERROR('調查資料(OUT)'!$BI$1*'調查資料(OUT)'!BI71,0)</f>
        <v>0</v>
      </c>
      <c r="AA65" s="321">
        <f t="shared" si="243"/>
        <v>0</v>
      </c>
      <c r="AC65" s="358">
        <f>'調查資料(OUT)'!A71</f>
        <v>1500</v>
      </c>
      <c r="AD65" s="359">
        <f t="shared" si="244"/>
        <v>1600</v>
      </c>
      <c r="AE65" s="319">
        <f t="shared" si="254"/>
        <v>0</v>
      </c>
      <c r="AF65" s="319"/>
      <c r="AG65" s="319">
        <f t="shared" si="301"/>
        <v>0</v>
      </c>
      <c r="AH65" s="361" t="e">
        <f t="shared" si="306"/>
        <v>#DIV/0!</v>
      </c>
      <c r="AI65" s="361" t="e">
        <f t="shared" si="307"/>
        <v>#DIV/0!</v>
      </c>
      <c r="AJ65" s="361" t="e">
        <f t="shared" si="302"/>
        <v>#DIV/0!</v>
      </c>
      <c r="AK65" s="361" t="e">
        <f t="shared" si="303"/>
        <v>#DIV/0!</v>
      </c>
      <c r="AL65" s="361" t="e">
        <f>IF($AE65=AF$57,SUM(V65:V68)/(4*(MAX(V65:V68))),0)</f>
        <v>#DIV/0!</v>
      </c>
      <c r="AM65" s="362"/>
      <c r="AN65" s="319">
        <f>IF(AE65=AF$57,$AC65,"N")</f>
        <v>1500</v>
      </c>
      <c r="AO65" s="320">
        <f>IF(AE65=AF$57,$AD65,"N")</f>
        <v>1600</v>
      </c>
      <c r="AP65" s="50">
        <f t="shared" si="245"/>
        <v>0</v>
      </c>
      <c r="AQ65" s="50">
        <f>IF($AN65="N","N",SUM('調查資料(OUT)'!B71:B74))</f>
        <v>0</v>
      </c>
      <c r="AR65" s="50">
        <f>IF($AN65="N","N",SUM('調查資料(OUT)'!F71:F74))</f>
        <v>0</v>
      </c>
      <c r="AS65" s="50">
        <f>IF($AN65="N","N",SUM('調查資料(OUT)'!J71:J74))</f>
        <v>0</v>
      </c>
      <c r="AT65" s="56" t="e">
        <f t="shared" si="309"/>
        <v>#DIV/0!</v>
      </c>
      <c r="AU65" s="50">
        <f t="shared" si="310"/>
        <v>0</v>
      </c>
      <c r="AV65" s="50">
        <f>IF($AN65="N","N",SUM('調查資料(OUT)'!C71:C74))</f>
        <v>0</v>
      </c>
      <c r="AW65" s="50">
        <f>IF($AN65="N","N",SUM('調查資料(OUT)'!G71:G74))</f>
        <v>0</v>
      </c>
      <c r="AX65" s="50">
        <f>IF($AN65="N","N",SUM('調查資料(OUT)'!K71:K74))</f>
        <v>0</v>
      </c>
      <c r="AY65" s="56" t="e">
        <f t="shared" si="311"/>
        <v>#DIV/0!</v>
      </c>
      <c r="AZ65" s="50">
        <f t="shared" si="312"/>
        <v>0</v>
      </c>
      <c r="BA65" s="50">
        <f>IF($AN65="N","N",SUM('調查資料(OUT)'!D71:D74))</f>
        <v>0</v>
      </c>
      <c r="BB65" s="50">
        <f>IF($AN65="N","N",SUM('調查資料(OUT)'!H71:H74))</f>
        <v>0</v>
      </c>
      <c r="BC65" s="50">
        <f>IF($AN65="N","N",SUM('調查資料(OUT)'!L71:L74))</f>
        <v>0</v>
      </c>
      <c r="BD65" s="56" t="e">
        <f t="shared" si="313"/>
        <v>#DIV/0!</v>
      </c>
      <c r="BE65" s="50">
        <f t="shared" si="314"/>
        <v>0</v>
      </c>
      <c r="BF65" s="50">
        <f>IF($AN65="N","N",SUM('調查資料(OUT)'!E71:E74))</f>
        <v>0</v>
      </c>
      <c r="BG65" s="50">
        <f>IF($AN65="N","N",SUM('調查資料(OUT)'!I71:I74))</f>
        <v>0</v>
      </c>
      <c r="BH65" s="50">
        <f>IF($AN65="N","N",SUM('調查資料(OUT)'!M71:M74))</f>
        <v>0</v>
      </c>
      <c r="BI65" s="56" t="e">
        <f t="shared" si="315"/>
        <v>#DIV/0!</v>
      </c>
      <c r="BJ65" s="50">
        <f t="shared" si="255"/>
        <v>0</v>
      </c>
      <c r="BK65" s="56" t="e">
        <f t="shared" si="256"/>
        <v>#DIV/0!</v>
      </c>
      <c r="BL65" s="50">
        <f t="shared" si="257"/>
        <v>0</v>
      </c>
      <c r="BM65" s="56" t="e">
        <f t="shared" si="258"/>
        <v>#DIV/0!</v>
      </c>
      <c r="BN65" s="50">
        <f t="shared" si="259"/>
        <v>0</v>
      </c>
      <c r="BO65" s="56" t="e">
        <f t="shared" si="260"/>
        <v>#DIV/0!</v>
      </c>
      <c r="BP65" s="50">
        <f t="shared" si="261"/>
        <v>0</v>
      </c>
      <c r="BQ65" s="50">
        <f t="shared" si="316"/>
        <v>0</v>
      </c>
      <c r="BR65" s="50">
        <f>IF($AN65="N","N",SUM('調查資料(OUT)'!N71:N74))</f>
        <v>0</v>
      </c>
      <c r="BS65" s="50">
        <f>IF($AN65="N","N",SUM('調查資料(OUT)'!R71:R74))</f>
        <v>0</v>
      </c>
      <c r="BT65" s="50">
        <f>IF($AN65="N","N",SUM('調查資料(OUT)'!V71:V74))</f>
        <v>0</v>
      </c>
      <c r="BU65" s="56" t="e">
        <f t="shared" si="317"/>
        <v>#DIV/0!</v>
      </c>
      <c r="BV65" s="50">
        <f t="shared" si="318"/>
        <v>0</v>
      </c>
      <c r="BW65" s="50">
        <f>IF($AN65="N","N",SUM('調查資料(OUT)'!O71:O74))</f>
        <v>0</v>
      </c>
      <c r="BX65" s="50">
        <f>IF($AN65="N","N",SUM('調查資料(OUT)'!S71:S74))</f>
        <v>0</v>
      </c>
      <c r="BY65" s="50">
        <f>IF($AN65="N","N",SUM('調查資料(OUT)'!W71:W74))</f>
        <v>0</v>
      </c>
      <c r="BZ65" s="56" t="e">
        <f t="shared" si="319"/>
        <v>#DIV/0!</v>
      </c>
      <c r="CA65" s="50">
        <f t="shared" si="320"/>
        <v>0</v>
      </c>
      <c r="CB65" s="50">
        <f>IF($AN65="N","N",SUM('調查資料(OUT)'!P71:P74))</f>
        <v>0</v>
      </c>
      <c r="CC65" s="50">
        <f>IF($AN65="N","N",SUM('調查資料(OUT)'!T71:T74))</f>
        <v>0</v>
      </c>
      <c r="CD65" s="50">
        <f>IF($AN65="N","N",SUM('調查資料(OUT)'!X71:X74))</f>
        <v>0</v>
      </c>
      <c r="CE65" s="56" t="e">
        <f t="shared" si="321"/>
        <v>#DIV/0!</v>
      </c>
      <c r="CF65" s="50">
        <f t="shared" si="322"/>
        <v>0</v>
      </c>
      <c r="CG65" s="50">
        <f>IF($AN65="N","N",SUM('調查資料(OUT)'!Q71:Q74))</f>
        <v>0</v>
      </c>
      <c r="CH65" s="50">
        <f>IF($AN65="N","N",SUM('調查資料(OUT)'!U71:U74))</f>
        <v>0</v>
      </c>
      <c r="CI65" s="50">
        <f>IF($AN65="N","N",SUM('調查資料(OUT)'!Y71:Y74))</f>
        <v>0</v>
      </c>
      <c r="CJ65" s="56" t="e">
        <f t="shared" si="323"/>
        <v>#DIV/0!</v>
      </c>
      <c r="CK65" s="50">
        <f t="shared" si="262"/>
        <v>0</v>
      </c>
      <c r="CL65" s="56" t="e">
        <f t="shared" si="263"/>
        <v>#DIV/0!</v>
      </c>
      <c r="CM65" s="50">
        <f t="shared" si="264"/>
        <v>0</v>
      </c>
      <c r="CN65" s="56" t="e">
        <f t="shared" si="265"/>
        <v>#DIV/0!</v>
      </c>
      <c r="CO65" s="50">
        <f t="shared" si="266"/>
        <v>0</v>
      </c>
      <c r="CP65" s="56" t="e">
        <f t="shared" si="267"/>
        <v>#DIV/0!</v>
      </c>
      <c r="CQ65" s="50">
        <f t="shared" si="268"/>
        <v>0</v>
      </c>
      <c r="CR65" s="50">
        <f t="shared" si="324"/>
        <v>0</v>
      </c>
      <c r="CS65" s="50">
        <f>IF($AN65="N","N",SUM('調查資料(OUT)'!Z71:Z74))</f>
        <v>0</v>
      </c>
      <c r="CT65" s="50">
        <f>IF($AN65="N","N",SUM('調查資料(OUT)'!AD71:AD74))</f>
        <v>0</v>
      </c>
      <c r="CU65" s="50">
        <f>IF($AN65="N","N",SUM('調查資料(OUT)'!AH71:AH74))</f>
        <v>0</v>
      </c>
      <c r="CV65" s="56" t="e">
        <f t="shared" si="325"/>
        <v>#DIV/0!</v>
      </c>
      <c r="CW65" s="50">
        <f t="shared" si="326"/>
        <v>0</v>
      </c>
      <c r="CX65" s="50">
        <f>IF($AN65="N","N",SUM('調查資料(OUT)'!AA71:AA74))</f>
        <v>0</v>
      </c>
      <c r="CY65" s="50">
        <f>IF($AN65="N","N",SUM('調查資料(OUT)'!AE71:AE74))</f>
        <v>0</v>
      </c>
      <c r="CZ65" s="50">
        <f>IF($AN65="N","N",SUM('調查資料(OUT)'!AI71:AI74))</f>
        <v>0</v>
      </c>
      <c r="DA65" s="56" t="e">
        <f t="shared" si="327"/>
        <v>#DIV/0!</v>
      </c>
      <c r="DB65" s="50">
        <f t="shared" si="328"/>
        <v>0</v>
      </c>
      <c r="DC65" s="50">
        <f>IF($AN65="N","N",SUM('調查資料(OUT)'!AB71:AB74))</f>
        <v>0</v>
      </c>
      <c r="DD65" s="50">
        <f>IF($AN65="N","N",SUM('調查資料(OUT)'!AF71:AF74))</f>
        <v>0</v>
      </c>
      <c r="DE65" s="50">
        <f>IF($AN65="N","N",SUM('調查資料(OUT)'!AJ71:AJ74))</f>
        <v>0</v>
      </c>
      <c r="DF65" s="56" t="e">
        <f t="shared" si="329"/>
        <v>#DIV/0!</v>
      </c>
      <c r="DG65" s="50">
        <f t="shared" si="330"/>
        <v>0</v>
      </c>
      <c r="DH65" s="50">
        <f>IF($AN65="N","N",SUM('調查資料(OUT)'!AC71:AC74))</f>
        <v>0</v>
      </c>
      <c r="DI65" s="50">
        <f>IF($AN65="N","N",SUM('調查資料(OUT)'!AG71:AG74))</f>
        <v>0</v>
      </c>
      <c r="DJ65" s="50">
        <f>IF($AN65="N","N",SUM('調查資料(OUT)'!AK71:AK74))</f>
        <v>0</v>
      </c>
      <c r="DK65" s="56" t="e">
        <f t="shared" si="331"/>
        <v>#DIV/0!</v>
      </c>
      <c r="DL65" s="50">
        <f t="shared" si="269"/>
        <v>0</v>
      </c>
      <c r="DM65" s="56" t="e">
        <f t="shared" si="270"/>
        <v>#DIV/0!</v>
      </c>
      <c r="DN65" s="50">
        <f t="shared" si="271"/>
        <v>0</v>
      </c>
      <c r="DO65" s="56" t="e">
        <f t="shared" si="272"/>
        <v>#DIV/0!</v>
      </c>
      <c r="DP65" s="50">
        <f t="shared" si="273"/>
        <v>0</v>
      </c>
      <c r="DQ65" s="56" t="e">
        <f t="shared" si="274"/>
        <v>#DIV/0!</v>
      </c>
      <c r="DR65" s="50">
        <f t="shared" si="275"/>
        <v>0</v>
      </c>
      <c r="DS65" s="50">
        <f t="shared" si="332"/>
        <v>0</v>
      </c>
      <c r="DT65" s="50">
        <f>IF($AN65="N","N",SUM('調查資料(OUT)'!AL71:AL74))</f>
        <v>0</v>
      </c>
      <c r="DU65" s="50">
        <f>IF($AN65="N","N",SUM('調查資料(OUT)'!AP71:AP74))</f>
        <v>0</v>
      </c>
      <c r="DV65" s="50">
        <f>IF($AN65="N","N",SUM('調查資料(OUT)'!AT71:AT74))</f>
        <v>0</v>
      </c>
      <c r="DW65" s="56" t="e">
        <f t="shared" si="333"/>
        <v>#DIV/0!</v>
      </c>
      <c r="DX65" s="50">
        <f t="shared" si="334"/>
        <v>0</v>
      </c>
      <c r="DY65" s="50">
        <f>IF($AN65="N","N",SUM('調查資料(OUT)'!AM71:AM74))</f>
        <v>0</v>
      </c>
      <c r="DZ65" s="50">
        <f>IF($AN65="N","N",SUM('調查資料(OUT)'!AQ71:AQ74))</f>
        <v>0</v>
      </c>
      <c r="EA65" s="50">
        <f>IF($AN65="N","N",SUM('調查資料(OUT)'!AU71:AU74))</f>
        <v>0</v>
      </c>
      <c r="EB65" s="56" t="e">
        <f t="shared" si="335"/>
        <v>#DIV/0!</v>
      </c>
      <c r="EC65" s="50">
        <f t="shared" si="336"/>
        <v>0</v>
      </c>
      <c r="ED65" s="50">
        <f>IF($AN65="N","N",SUM('調查資料(OUT)'!AN71:AN74))</f>
        <v>0</v>
      </c>
      <c r="EE65" s="50">
        <f>IF($AN65="N","N",SUM('調查資料(OUT)'!AR71:AR74))</f>
        <v>0</v>
      </c>
      <c r="EF65" s="50">
        <f>IF($AN65="N","N",SUM('調查資料(OUT)'!AV71:AV74))</f>
        <v>0</v>
      </c>
      <c r="EG65" s="56" t="e">
        <f t="shared" si="337"/>
        <v>#DIV/0!</v>
      </c>
      <c r="EH65" s="50">
        <f t="shared" si="338"/>
        <v>0</v>
      </c>
      <c r="EI65" s="50">
        <f>IF($AN65="N","N",SUM('調查資料(OUT)'!AO71:AO74))</f>
        <v>0</v>
      </c>
      <c r="EJ65" s="50">
        <f>IF($AN65="N","N",SUM('調查資料(OUT)'!AS71:AS74))</f>
        <v>0</v>
      </c>
      <c r="EK65" s="50">
        <f>IF($AN65="N","N",SUM('調查資料(OUT)'!AW71:AW74))</f>
        <v>0</v>
      </c>
      <c r="EL65" s="56" t="e">
        <f t="shared" si="339"/>
        <v>#DIV/0!</v>
      </c>
      <c r="EM65" s="50">
        <f t="shared" si="276"/>
        <v>0</v>
      </c>
      <c r="EN65" s="56" t="e">
        <f t="shared" si="277"/>
        <v>#DIV/0!</v>
      </c>
      <c r="EO65" s="50">
        <f t="shared" si="278"/>
        <v>0</v>
      </c>
      <c r="EP65" s="56" t="e">
        <f t="shared" si="279"/>
        <v>#DIV/0!</v>
      </c>
      <c r="EQ65" s="50">
        <f t="shared" si="280"/>
        <v>0</v>
      </c>
      <c r="ER65" s="56" t="e">
        <f t="shared" si="281"/>
        <v>#DIV/0!</v>
      </c>
      <c r="ES65" s="50">
        <f t="shared" si="282"/>
        <v>0</v>
      </c>
      <c r="ET65" s="50">
        <f t="shared" si="340"/>
        <v>0</v>
      </c>
      <c r="EU65" s="50">
        <f>IF($AN65="N","N",SUM('調查資料(OUT)'!AX71:AX74))</f>
        <v>0</v>
      </c>
      <c r="EV65" s="50">
        <f>IF($AN65="N","N",SUM('調查資料(OUT)'!BB71:BB74))</f>
        <v>0</v>
      </c>
      <c r="EW65" s="50">
        <f>IF($AN65="N","N",SUM('調查資料(OUT)'!BF71:BF74))</f>
        <v>0</v>
      </c>
      <c r="EX65" s="56" t="e">
        <f t="shared" si="341"/>
        <v>#DIV/0!</v>
      </c>
      <c r="EY65" s="50">
        <f t="shared" si="342"/>
        <v>0</v>
      </c>
      <c r="EZ65" s="50">
        <f>IF($AN65="N","N",SUM('調查資料(OUT)'!AY71:AY74))</f>
        <v>0</v>
      </c>
      <c r="FA65" s="50">
        <f>IF($AN65="N","N",SUM('調查資料(OUT)'!BC71:BC74))</f>
        <v>0</v>
      </c>
      <c r="FB65" s="50">
        <f>IF($AN65="N","N",SUM('調查資料(OUT)'!BG71:BG74))</f>
        <v>0</v>
      </c>
      <c r="FC65" s="56" t="e">
        <f t="shared" si="343"/>
        <v>#DIV/0!</v>
      </c>
      <c r="FD65" s="50">
        <f t="shared" si="344"/>
        <v>0</v>
      </c>
      <c r="FE65" s="50">
        <f>IF($AN65="N","N",SUM('調查資料(OUT)'!AZ71:AZ74))</f>
        <v>0</v>
      </c>
      <c r="FF65" s="50">
        <f>IF($AN65="N","N",SUM('調查資料(OUT)'!BD71:BD74))</f>
        <v>0</v>
      </c>
      <c r="FG65" s="50">
        <f>IF($AN65="N","N",SUM('調查資料(OUT)'!BH71:BH74))</f>
        <v>0</v>
      </c>
      <c r="FH65" s="56" t="e">
        <f t="shared" si="345"/>
        <v>#DIV/0!</v>
      </c>
      <c r="FI65" s="50">
        <f t="shared" si="346"/>
        <v>0</v>
      </c>
      <c r="FJ65" s="50">
        <f>IF($AN65="N","N",SUM('調查資料(OUT)'!BA71:BA74))</f>
        <v>0</v>
      </c>
      <c r="FK65" s="50">
        <f>IF($AN65="N","N",SUM('調查資料(OUT)'!BE71:BE74))</f>
        <v>0</v>
      </c>
      <c r="FL65" s="50">
        <f>IF($AN65="N","N",SUM('調查資料(OUT)'!BI71:BI74))</f>
        <v>0</v>
      </c>
      <c r="FM65" s="56" t="e">
        <f t="shared" si="347"/>
        <v>#DIV/0!</v>
      </c>
      <c r="FN65" s="50">
        <f t="shared" si="246"/>
        <v>0</v>
      </c>
      <c r="FO65" s="56" t="e">
        <f t="shared" si="247"/>
        <v>#DIV/0!</v>
      </c>
      <c r="FP65" s="50">
        <f t="shared" si="248"/>
        <v>0</v>
      </c>
      <c r="FQ65" s="56" t="e">
        <f t="shared" si="249"/>
        <v>#DIV/0!</v>
      </c>
      <c r="FR65" s="50">
        <f t="shared" si="250"/>
        <v>0</v>
      </c>
      <c r="FS65" s="56" t="e">
        <f t="shared" si="251"/>
        <v>#DIV/0!</v>
      </c>
      <c r="FT65" s="50">
        <f t="shared" si="252"/>
        <v>0</v>
      </c>
    </row>
    <row r="66" spans="1:176">
      <c r="A66" s="274">
        <f>'調查資料(OUT)'!A72</f>
        <v>1515</v>
      </c>
      <c r="B66" s="50">
        <f t="shared" si="238"/>
        <v>0</v>
      </c>
      <c r="C66" s="50">
        <f>IFERROR('調查資料(OUT)'!$B$1*'調查資料(OUT)'!B72,0)+IFERROR('調查資料(OUT)'!$F$1*'調查資料(OUT)'!F72,0)+IFERROR('調查資料(OUT)'!$J$1*'調查資料(OUT)'!J72,0)</f>
        <v>0</v>
      </c>
      <c r="D66" s="50">
        <f>IFERROR('調查資料(OUT)'!$C$1*'調查資料(OUT)'!C72,0)+IFERROR('調查資料(OUT)'!$G$1*'調查資料(OUT)'!G72,0)+IFERROR('調查資料(OUT)'!$K$1*'調查資料(OUT)'!K72,0)</f>
        <v>0</v>
      </c>
      <c r="E66" s="50">
        <f>IFERROR('調查資料(OUT)'!$D$1*'調查資料(OUT)'!D72,0)+IFERROR('調查資料(OUT)'!$H$1*'調查資料(OUT)'!H72,0)+IFERROR('調查資料(OUT)'!$L$1*'調查資料(OUT)'!L72,0)</f>
        <v>0</v>
      </c>
      <c r="F66" s="252">
        <f>IFERROR('調查資料(OUT)'!$E$1*'調查資料(OUT)'!E72,0)+IFERROR('調查資料(OUT)'!$I$1*'調查資料(OUT)'!I72,0)+IFERROR('調查資料(OUT)'!$M$1*'調查資料(OUT)'!M72,0)</f>
        <v>0</v>
      </c>
      <c r="G66" s="50">
        <f t="shared" si="239"/>
        <v>0</v>
      </c>
      <c r="H66" s="50">
        <f>IFERROR('調查資料(OUT)'!$N$1*'調查資料(OUT)'!N72,0)+IFERROR('調查資料(OUT)'!$R$1*'調查資料(OUT)'!R72,0)+IFERROR('調查資料(OUT)'!$V$1*'調查資料(OUT)'!V72,0)</f>
        <v>0</v>
      </c>
      <c r="I66" s="50">
        <f>IFERROR('調查資料(OUT)'!$O$1*'調查資料(OUT)'!O72,0)+IFERROR('調查資料(OUT)'!$S$1*'調查資料(OUT)'!S72,0)+IFERROR('調查資料(OUT)'!$W$1*'調查資料(OUT)'!W72,0)</f>
        <v>0</v>
      </c>
      <c r="J66" s="50">
        <f>IFERROR('調查資料(OUT)'!$P$1*'調查資料(OUT)'!P72,0)+IFERROR('調查資料(OUT)'!$T$1*'調查資料(OUT)'!T72,0)+IFERROR('調查資料(OUT)'!$X$1*'調查資料(OUT)'!X72,0)</f>
        <v>0</v>
      </c>
      <c r="K66" s="252">
        <f>IFERROR('調查資料(OUT)'!$Q$1*'調查資料(OUT)'!Q72,0)+IFERROR('調查資料(OUT)'!$U$1*'調查資料(OUT)'!U72,0)+IFERROR('調查資料(OUT)'!$Y$1*'調查資料(OUT)'!Y72,0)</f>
        <v>0</v>
      </c>
      <c r="L66" s="50">
        <f t="shared" si="240"/>
        <v>0</v>
      </c>
      <c r="M66" s="50">
        <f>IFERROR('調查資料(OUT)'!$Z$1*'調查資料(OUT)'!Z72,0)+IFERROR('調查資料(OUT)'!$AD$1*'調查資料(OUT)'!AD72,0)+IFERROR('調查資料(OUT)'!$AH$1*'調查資料(OUT)'!AH72,0)</f>
        <v>0</v>
      </c>
      <c r="N66" s="50">
        <f>IFERROR('調查資料(OUT)'!$AA$1*'調查資料(OUT)'!AA72,0)+IFERROR('調查資料(OUT)'!$AE$1*'調查資料(OUT)'!AE72,0)+IFERROR('調查資料(OUT)'!$AI$1*'調查資料(OUT)'!AI72,0)</f>
        <v>0</v>
      </c>
      <c r="O66" s="50">
        <f>IFERROR('調查資料(OUT)'!$AB$1*'調查資料(OUT)'!AB72,0)+IFERROR('調查資料(OUT)'!$AF$1*'調查資料(OUT)'!AF72,0)+IFERROR('調查資料(OUT)'!$AJ$1*'調查資料(OUT)'!AJ72,0)</f>
        <v>0</v>
      </c>
      <c r="P66" s="252">
        <f>IFERROR('調查資料(OUT)'!$AC$1*'調查資料(OUT)'!AC72,0)+IFERROR('調查資料(OUT)'!$AG$1*'調查資料(OUT)'!AG72,0)+IFERROR('調查資料(OUT)'!$AK$1*'調查資料(OUT)'!AK72,0)</f>
        <v>0</v>
      </c>
      <c r="Q66" s="50">
        <f t="shared" si="241"/>
        <v>0</v>
      </c>
      <c r="R66" s="50">
        <f>IFERROR('調查資料(OUT)'!$AL$1*'調查資料(OUT)'!AL72,0)+IFERROR('調查資料(OUT)'!$AP$1*'調查資料(OUT)'!AP72,0)+IFERROR('調查資料(OUT)'!$AT$1*'調查資料(OUT)'!AT72,0)</f>
        <v>0</v>
      </c>
      <c r="S66" s="50">
        <f>IFERROR('調查資料(OUT)'!$AM$1*'調查資料(OUT)'!AM72,0)+IFERROR('調查資料(OUT)'!$AQ$1*'調查資料(OUT)'!AQ72,0)+IFERROR('調查資料(OUT)'!$AU$1*'調查資料(OUT)'!AU72,0)</f>
        <v>0</v>
      </c>
      <c r="T66" s="50">
        <f>IFERROR('調查資料(OUT)'!$AN$1*'調查資料(OUT)'!AN72,0)+IFERROR('調查資料(OUT)'!$AR$1*'調查資料(OUT)'!AR72,0)+IFERROR('調查資料(OUT)'!$AV$1*'調查資料(OUT)'!AV72,0)</f>
        <v>0</v>
      </c>
      <c r="U66" s="252">
        <f>IFERROR('調查資料(OUT)'!$AO$1*'調查資料(OUT)'!AO72,0)+IFERROR('調查資料(OUT)'!$AS$1*'調查資料(OUT)'!AS72,0)+IFERROR('調查資料(OUT)'!$AW$1*'調查資料(OUT)'!AW72,0)</f>
        <v>0</v>
      </c>
      <c r="V66" s="50">
        <f t="shared" si="242"/>
        <v>0</v>
      </c>
      <c r="W66" s="50">
        <f>IFERROR('調查資料(OUT)'!$AX$1*'調查資料(OUT)'!AX72,0)+IFERROR('調查資料(OUT)'!$BB$1*'調查資料(OUT)'!BB72,0)+IFERROR('調查資料(OUT)'!$BF$1*'調查資料(OUT)'!BF72,0)</f>
        <v>0</v>
      </c>
      <c r="X66" s="50">
        <f>IFERROR('調查資料(OUT)'!$AY$1*'調查資料(OUT)'!AY72,0)+IFERROR('調查資料(OUT)'!$BC$1*'調查資料(OUT)'!BC72,0)+IFERROR('調查資料(OUT)'!$BG$1*'調查資料(OUT)'!BG72,0)</f>
        <v>0</v>
      </c>
      <c r="Y66" s="50">
        <f>IFERROR('調查資料(OUT)'!$AZ$1*'調查資料(OUT)'!AZ72,0)+IFERROR('調查資料(OUT)'!$BD$1*'調查資料(OUT)'!BD72,0)+IFERROR('調查資料(OUT)'!$BH$1*'調查資料(OUT)'!BH72,0)</f>
        <v>0</v>
      </c>
      <c r="Z66" s="252">
        <f>IFERROR('調查資料(OUT)'!$BA$1*'調查資料(OUT)'!BA72,0)+IFERROR('調查資料(OUT)'!$BE$1*'調查資料(OUT)'!BE72,0)+IFERROR('調查資料(OUT)'!$BI$1*'調查資料(OUT)'!BI72,0)</f>
        <v>0</v>
      </c>
      <c r="AA66" s="253">
        <f t="shared" si="243"/>
        <v>0</v>
      </c>
      <c r="AC66" s="251">
        <f>'調查資料(OUT)'!A72</f>
        <v>1515</v>
      </c>
      <c r="AD66" s="254">
        <f t="shared" si="244"/>
        <v>1615</v>
      </c>
      <c r="AE66" s="50">
        <f t="shared" si="254"/>
        <v>0</v>
      </c>
      <c r="AG66" s="50">
        <f t="shared" ref="AG66:AG68" si="348">IF($AE66=$AF$57,MAX(AA66:AA69),0)</f>
        <v>0</v>
      </c>
      <c r="AH66" s="256" t="e">
        <f>IF($AE66=AF$57,SUM(B66:B69)/(4*(MAX(B66:B69))),0)</f>
        <v>#DIV/0!</v>
      </c>
      <c r="AI66" s="256" t="e">
        <f>IF($AE66=AF$57,SUM(G66:G69)/(4*(MAX(G66:G69))),0)</f>
        <v>#DIV/0!</v>
      </c>
      <c r="AJ66" s="256" t="e">
        <f t="shared" ref="AJ66:AJ68" si="349">IF($AE66=AF$57,SUM(L66:L69)/(4*(MAX(L66:L69))),0)</f>
        <v>#DIV/0!</v>
      </c>
      <c r="AK66" s="256" t="e">
        <f t="shared" ref="AK66:AK68" si="350">IF($AE66=AF$57,SUM(Q66:Q69)/(4*(MAX(Q66:Q69))),0)</f>
        <v>#DIV/0!</v>
      </c>
      <c r="AL66" s="256" t="e">
        <f t="shared" ref="AL66:AL68" si="351">IF($AE66=AF$57,SUM(V66:V69)/(4*(MAX(V66:V69))),0)</f>
        <v>#DIV/0!</v>
      </c>
      <c r="AN66" s="50">
        <f t="shared" ref="AN66:AN68" si="352">IF(AE66=AF$57,$AC66,"N")</f>
        <v>1515</v>
      </c>
      <c r="AO66" s="252">
        <f t="shared" ref="AO66:AO68" si="353">IF(AE66=AF$57,$AD66,"N")</f>
        <v>1615</v>
      </c>
      <c r="AP66" s="50">
        <f t="shared" si="245"/>
        <v>0</v>
      </c>
      <c r="AQ66" s="50">
        <f>IF($AN66="N","N",SUM('調查資料(OUT)'!B72:B75))</f>
        <v>0</v>
      </c>
      <c r="AR66" s="50">
        <f>IF($AN66="N","N",SUM('調查資料(OUT)'!F72:F75))</f>
        <v>0</v>
      </c>
      <c r="AS66" s="50">
        <f>IF($AN66="N","N",SUM('調查資料(OUT)'!J72:J75))</f>
        <v>0</v>
      </c>
      <c r="AT66" s="56" t="e">
        <f t="shared" si="309"/>
        <v>#DIV/0!</v>
      </c>
      <c r="AU66" s="50">
        <f t="shared" si="310"/>
        <v>0</v>
      </c>
      <c r="AV66" s="50">
        <f>IF($AN66="N","N",SUM('調查資料(OUT)'!C72:C75))</f>
        <v>0</v>
      </c>
      <c r="AW66" s="50">
        <f>IF($AN66="N","N",SUM('調查資料(OUT)'!G72:G75))</f>
        <v>0</v>
      </c>
      <c r="AX66" s="50">
        <f>IF($AN66="N","N",SUM('調查資料(OUT)'!K72:K75))</f>
        <v>0</v>
      </c>
      <c r="AY66" s="56" t="e">
        <f t="shared" si="311"/>
        <v>#DIV/0!</v>
      </c>
      <c r="AZ66" s="50">
        <f t="shared" si="312"/>
        <v>0</v>
      </c>
      <c r="BA66" s="50">
        <f>IF($AN66="N","N",SUM('調查資料(OUT)'!D72:D75))</f>
        <v>0</v>
      </c>
      <c r="BB66" s="50">
        <f>IF($AN66="N","N",SUM('調查資料(OUT)'!H72:H75))</f>
        <v>0</v>
      </c>
      <c r="BC66" s="50">
        <f>IF($AN66="N","N",SUM('調查資料(OUT)'!L72:L75))</f>
        <v>0</v>
      </c>
      <c r="BD66" s="56" t="e">
        <f t="shared" si="313"/>
        <v>#DIV/0!</v>
      </c>
      <c r="BE66" s="50">
        <f t="shared" si="314"/>
        <v>0</v>
      </c>
      <c r="BF66" s="50">
        <f>IF($AN66="N","N",SUM('調查資料(OUT)'!E72:E75))</f>
        <v>0</v>
      </c>
      <c r="BG66" s="50">
        <f>IF($AN66="N","N",SUM('調查資料(OUT)'!I72:I75))</f>
        <v>0</v>
      </c>
      <c r="BH66" s="50">
        <f>IF($AN66="N","N",SUM('調查資料(OUT)'!M72:M75))</f>
        <v>0</v>
      </c>
      <c r="BI66" s="56" t="e">
        <f t="shared" si="315"/>
        <v>#DIV/0!</v>
      </c>
      <c r="BJ66" s="50">
        <f t="shared" si="255"/>
        <v>0</v>
      </c>
      <c r="BK66" s="56" t="e">
        <f t="shared" si="256"/>
        <v>#DIV/0!</v>
      </c>
      <c r="BL66" s="50">
        <f t="shared" si="257"/>
        <v>0</v>
      </c>
      <c r="BM66" s="56" t="e">
        <f t="shared" si="258"/>
        <v>#DIV/0!</v>
      </c>
      <c r="BN66" s="50">
        <f t="shared" si="259"/>
        <v>0</v>
      </c>
      <c r="BO66" s="56" t="e">
        <f t="shared" si="260"/>
        <v>#DIV/0!</v>
      </c>
      <c r="BP66" s="50">
        <f t="shared" si="261"/>
        <v>0</v>
      </c>
      <c r="BQ66" s="50">
        <f t="shared" si="316"/>
        <v>0</v>
      </c>
      <c r="BR66" s="50">
        <f>IF($AN66="N","N",SUM('調查資料(OUT)'!N72:N75))</f>
        <v>0</v>
      </c>
      <c r="BS66" s="50">
        <f>IF($AN66="N","N",SUM('調查資料(OUT)'!R72:R75))</f>
        <v>0</v>
      </c>
      <c r="BT66" s="50">
        <f>IF($AN66="N","N",SUM('調查資料(OUT)'!V72:V75))</f>
        <v>0</v>
      </c>
      <c r="BU66" s="56" t="e">
        <f t="shared" si="317"/>
        <v>#DIV/0!</v>
      </c>
      <c r="BV66" s="50">
        <f t="shared" si="318"/>
        <v>0</v>
      </c>
      <c r="BW66" s="50">
        <f>IF($AN66="N","N",SUM('調查資料(OUT)'!O72:O75))</f>
        <v>0</v>
      </c>
      <c r="BX66" s="50">
        <f>IF($AN66="N","N",SUM('調查資料(OUT)'!S72:S75))</f>
        <v>0</v>
      </c>
      <c r="BY66" s="50">
        <f>IF($AN66="N","N",SUM('調查資料(OUT)'!W72:W75))</f>
        <v>0</v>
      </c>
      <c r="BZ66" s="56" t="e">
        <f t="shared" si="319"/>
        <v>#DIV/0!</v>
      </c>
      <c r="CA66" s="50">
        <f t="shared" si="320"/>
        <v>0</v>
      </c>
      <c r="CB66" s="50">
        <f>IF($AN66="N","N",SUM('調查資料(OUT)'!P72:P75))</f>
        <v>0</v>
      </c>
      <c r="CC66" s="50">
        <f>IF($AN66="N","N",SUM('調查資料(OUT)'!T72:T75))</f>
        <v>0</v>
      </c>
      <c r="CD66" s="50">
        <f>IF($AN66="N","N",SUM('調查資料(OUT)'!X72:X75))</f>
        <v>0</v>
      </c>
      <c r="CE66" s="56" t="e">
        <f t="shared" si="321"/>
        <v>#DIV/0!</v>
      </c>
      <c r="CF66" s="50">
        <f t="shared" si="322"/>
        <v>0</v>
      </c>
      <c r="CG66" s="50">
        <f>IF($AN66="N","N",SUM('調查資料(OUT)'!Q72:Q75))</f>
        <v>0</v>
      </c>
      <c r="CH66" s="50">
        <f>IF($AN66="N","N",SUM('調查資料(OUT)'!U72:U75))</f>
        <v>0</v>
      </c>
      <c r="CI66" s="50">
        <f>IF($AN66="N","N",SUM('調查資料(OUT)'!Y72:Y75))</f>
        <v>0</v>
      </c>
      <c r="CJ66" s="56" t="e">
        <f t="shared" si="323"/>
        <v>#DIV/0!</v>
      </c>
      <c r="CK66" s="50">
        <f t="shared" si="262"/>
        <v>0</v>
      </c>
      <c r="CL66" s="56" t="e">
        <f t="shared" si="263"/>
        <v>#DIV/0!</v>
      </c>
      <c r="CM66" s="50">
        <f t="shared" si="264"/>
        <v>0</v>
      </c>
      <c r="CN66" s="56" t="e">
        <f t="shared" si="265"/>
        <v>#DIV/0!</v>
      </c>
      <c r="CO66" s="50">
        <f t="shared" si="266"/>
        <v>0</v>
      </c>
      <c r="CP66" s="56" t="e">
        <f t="shared" si="267"/>
        <v>#DIV/0!</v>
      </c>
      <c r="CQ66" s="50">
        <f t="shared" si="268"/>
        <v>0</v>
      </c>
      <c r="CR66" s="50">
        <f t="shared" si="324"/>
        <v>0</v>
      </c>
      <c r="CS66" s="50">
        <f>IF($AN66="N","N",SUM('調查資料(OUT)'!Z72:Z75))</f>
        <v>0</v>
      </c>
      <c r="CT66" s="50">
        <f>IF($AN66="N","N",SUM('調查資料(OUT)'!AD72:AD75))</f>
        <v>0</v>
      </c>
      <c r="CU66" s="50">
        <f>IF($AN66="N","N",SUM('調查資料(OUT)'!AH72:AH75))</f>
        <v>0</v>
      </c>
      <c r="CV66" s="56" t="e">
        <f t="shared" si="325"/>
        <v>#DIV/0!</v>
      </c>
      <c r="CW66" s="50">
        <f t="shared" si="326"/>
        <v>0</v>
      </c>
      <c r="CX66" s="50">
        <f>IF($AN66="N","N",SUM('調查資料(OUT)'!AA72:AA75))</f>
        <v>0</v>
      </c>
      <c r="CY66" s="50">
        <f>IF($AN66="N","N",SUM('調查資料(OUT)'!AE72:AE75))</f>
        <v>0</v>
      </c>
      <c r="CZ66" s="50">
        <f>IF($AN66="N","N",SUM('調查資料(OUT)'!AI72:AI75))</f>
        <v>0</v>
      </c>
      <c r="DA66" s="56" t="e">
        <f t="shared" si="327"/>
        <v>#DIV/0!</v>
      </c>
      <c r="DB66" s="50">
        <f t="shared" si="328"/>
        <v>0</v>
      </c>
      <c r="DC66" s="50">
        <f>IF($AN66="N","N",SUM('調查資料(OUT)'!AB72:AB75))</f>
        <v>0</v>
      </c>
      <c r="DD66" s="50">
        <f>IF($AN66="N","N",SUM('調查資料(OUT)'!AF72:AF75))</f>
        <v>0</v>
      </c>
      <c r="DE66" s="50">
        <f>IF($AN66="N","N",SUM('調查資料(OUT)'!AJ72:AJ75))</f>
        <v>0</v>
      </c>
      <c r="DF66" s="56" t="e">
        <f t="shared" si="329"/>
        <v>#DIV/0!</v>
      </c>
      <c r="DG66" s="50">
        <f t="shared" si="330"/>
        <v>0</v>
      </c>
      <c r="DH66" s="50">
        <f>IF($AN66="N","N",SUM('調查資料(OUT)'!AC72:AC75))</f>
        <v>0</v>
      </c>
      <c r="DI66" s="50">
        <f>IF($AN66="N","N",SUM('調查資料(OUT)'!AG72:AG75))</f>
        <v>0</v>
      </c>
      <c r="DJ66" s="50">
        <f>IF($AN66="N","N",SUM('調查資料(OUT)'!AK72:AK75))</f>
        <v>0</v>
      </c>
      <c r="DK66" s="56" t="e">
        <f t="shared" si="331"/>
        <v>#DIV/0!</v>
      </c>
      <c r="DL66" s="50">
        <f t="shared" si="269"/>
        <v>0</v>
      </c>
      <c r="DM66" s="56" t="e">
        <f t="shared" si="270"/>
        <v>#DIV/0!</v>
      </c>
      <c r="DN66" s="50">
        <f t="shared" si="271"/>
        <v>0</v>
      </c>
      <c r="DO66" s="56" t="e">
        <f t="shared" si="272"/>
        <v>#DIV/0!</v>
      </c>
      <c r="DP66" s="50">
        <f t="shared" si="273"/>
        <v>0</v>
      </c>
      <c r="DQ66" s="56" t="e">
        <f t="shared" si="274"/>
        <v>#DIV/0!</v>
      </c>
      <c r="DR66" s="50">
        <f t="shared" si="275"/>
        <v>0</v>
      </c>
      <c r="DS66" s="50">
        <f t="shared" si="332"/>
        <v>0</v>
      </c>
      <c r="DT66" s="50">
        <f>IF($AN66="N","N",SUM('調查資料(OUT)'!AL72:AL75))</f>
        <v>0</v>
      </c>
      <c r="DU66" s="50">
        <f>IF($AN66="N","N",SUM('調查資料(OUT)'!AP72:AP75))</f>
        <v>0</v>
      </c>
      <c r="DV66" s="50">
        <f>IF($AN66="N","N",SUM('調查資料(OUT)'!AT72:AT75))</f>
        <v>0</v>
      </c>
      <c r="DW66" s="56" t="e">
        <f t="shared" si="333"/>
        <v>#DIV/0!</v>
      </c>
      <c r="DX66" s="50">
        <f t="shared" si="334"/>
        <v>0</v>
      </c>
      <c r="DY66" s="50">
        <f>IF($AN66="N","N",SUM('調查資料(OUT)'!AM72:AM75))</f>
        <v>0</v>
      </c>
      <c r="DZ66" s="50">
        <f>IF($AN66="N","N",SUM('調查資料(OUT)'!AQ72:AQ75))</f>
        <v>0</v>
      </c>
      <c r="EA66" s="50">
        <f>IF($AN66="N","N",SUM('調查資料(OUT)'!AU72:AU75))</f>
        <v>0</v>
      </c>
      <c r="EB66" s="56" t="e">
        <f t="shared" si="335"/>
        <v>#DIV/0!</v>
      </c>
      <c r="EC66" s="50">
        <f t="shared" si="336"/>
        <v>0</v>
      </c>
      <c r="ED66" s="50">
        <f>IF($AN66="N","N",SUM('調查資料(OUT)'!AN72:AN75))</f>
        <v>0</v>
      </c>
      <c r="EE66" s="50">
        <f>IF($AN66="N","N",SUM('調查資料(OUT)'!AR72:AR75))</f>
        <v>0</v>
      </c>
      <c r="EF66" s="50">
        <f>IF($AN66="N","N",SUM('調查資料(OUT)'!AV72:AV75))</f>
        <v>0</v>
      </c>
      <c r="EG66" s="56" t="e">
        <f t="shared" si="337"/>
        <v>#DIV/0!</v>
      </c>
      <c r="EH66" s="50">
        <f t="shared" si="338"/>
        <v>0</v>
      </c>
      <c r="EI66" s="50">
        <f>IF($AN66="N","N",SUM('調查資料(OUT)'!AO72:AO75))</f>
        <v>0</v>
      </c>
      <c r="EJ66" s="50">
        <f>IF($AN66="N","N",SUM('調查資料(OUT)'!AS72:AS75))</f>
        <v>0</v>
      </c>
      <c r="EK66" s="50">
        <f>IF($AN66="N","N",SUM('調查資料(OUT)'!AW72:AW75))</f>
        <v>0</v>
      </c>
      <c r="EL66" s="56" t="e">
        <f t="shared" si="339"/>
        <v>#DIV/0!</v>
      </c>
      <c r="EM66" s="50">
        <f t="shared" si="276"/>
        <v>0</v>
      </c>
      <c r="EN66" s="56" t="e">
        <f t="shared" si="277"/>
        <v>#DIV/0!</v>
      </c>
      <c r="EO66" s="50">
        <f t="shared" si="278"/>
        <v>0</v>
      </c>
      <c r="EP66" s="56" t="e">
        <f t="shared" si="279"/>
        <v>#DIV/0!</v>
      </c>
      <c r="EQ66" s="50">
        <f t="shared" si="280"/>
        <v>0</v>
      </c>
      <c r="ER66" s="56" t="e">
        <f t="shared" si="281"/>
        <v>#DIV/0!</v>
      </c>
      <c r="ES66" s="50">
        <f t="shared" si="282"/>
        <v>0</v>
      </c>
      <c r="ET66" s="50">
        <f t="shared" si="340"/>
        <v>0</v>
      </c>
      <c r="EU66" s="50">
        <f>IF($AN66="N","N",SUM('調查資料(OUT)'!AX72:AX75))</f>
        <v>0</v>
      </c>
      <c r="EV66" s="50">
        <f>IF($AN66="N","N",SUM('調查資料(OUT)'!BB72:BB75))</f>
        <v>0</v>
      </c>
      <c r="EW66" s="50">
        <f>IF($AN66="N","N",SUM('調查資料(OUT)'!BF72:BF75))</f>
        <v>0</v>
      </c>
      <c r="EX66" s="56" t="e">
        <f t="shared" si="341"/>
        <v>#DIV/0!</v>
      </c>
      <c r="EY66" s="50">
        <f t="shared" si="342"/>
        <v>0</v>
      </c>
      <c r="EZ66" s="50">
        <f>IF($AN66="N","N",SUM('調查資料(OUT)'!AY72:AY75))</f>
        <v>0</v>
      </c>
      <c r="FA66" s="50">
        <f>IF($AN66="N","N",SUM('調查資料(OUT)'!BC72:BC75))</f>
        <v>0</v>
      </c>
      <c r="FB66" s="50">
        <f>IF($AN66="N","N",SUM('調查資料(OUT)'!BG72:BG75))</f>
        <v>0</v>
      </c>
      <c r="FC66" s="56" t="e">
        <f t="shared" si="343"/>
        <v>#DIV/0!</v>
      </c>
      <c r="FD66" s="50">
        <f t="shared" si="344"/>
        <v>0</v>
      </c>
      <c r="FE66" s="50">
        <f>IF($AN66="N","N",SUM('調查資料(OUT)'!AZ72:AZ75))</f>
        <v>0</v>
      </c>
      <c r="FF66" s="50">
        <f>IF($AN66="N","N",SUM('調查資料(OUT)'!BD72:BD75))</f>
        <v>0</v>
      </c>
      <c r="FG66" s="50">
        <f>IF($AN66="N","N",SUM('調查資料(OUT)'!BH72:BH75))</f>
        <v>0</v>
      </c>
      <c r="FH66" s="56" t="e">
        <f t="shared" si="345"/>
        <v>#DIV/0!</v>
      </c>
      <c r="FI66" s="50">
        <f t="shared" si="346"/>
        <v>0</v>
      </c>
      <c r="FJ66" s="50">
        <f>IF($AN66="N","N",SUM('調查資料(OUT)'!BA72:BA75))</f>
        <v>0</v>
      </c>
      <c r="FK66" s="50">
        <f>IF($AN66="N","N",SUM('調查資料(OUT)'!BE72:BE75))</f>
        <v>0</v>
      </c>
      <c r="FL66" s="50">
        <f>IF($AN66="N","N",SUM('調查資料(OUT)'!BI72:BI75))</f>
        <v>0</v>
      </c>
      <c r="FM66" s="56" t="e">
        <f t="shared" si="347"/>
        <v>#DIV/0!</v>
      </c>
      <c r="FN66" s="50">
        <f t="shared" si="246"/>
        <v>0</v>
      </c>
      <c r="FO66" s="56" t="e">
        <f t="shared" si="247"/>
        <v>#DIV/0!</v>
      </c>
      <c r="FP66" s="50">
        <f t="shared" si="248"/>
        <v>0</v>
      </c>
      <c r="FQ66" s="56" t="e">
        <f t="shared" si="249"/>
        <v>#DIV/0!</v>
      </c>
      <c r="FR66" s="50">
        <f t="shared" si="250"/>
        <v>0</v>
      </c>
      <c r="FS66" s="56" t="e">
        <f t="shared" si="251"/>
        <v>#DIV/0!</v>
      </c>
      <c r="FT66" s="50">
        <f t="shared" si="252"/>
        <v>0</v>
      </c>
    </row>
    <row r="67" spans="1:176">
      <c r="A67" s="274">
        <f>'調查資料(OUT)'!A73</f>
        <v>1530</v>
      </c>
      <c r="B67" s="50">
        <f t="shared" si="238"/>
        <v>0</v>
      </c>
      <c r="C67" s="50">
        <f>IFERROR('調查資料(OUT)'!$B$1*'調查資料(OUT)'!B73,0)+IFERROR('調查資料(OUT)'!$F$1*'調查資料(OUT)'!F73,0)+IFERROR('調查資料(OUT)'!$J$1*'調查資料(OUT)'!J73,0)</f>
        <v>0</v>
      </c>
      <c r="D67" s="50">
        <f>IFERROR('調查資料(OUT)'!$C$1*'調查資料(OUT)'!C73,0)+IFERROR('調查資料(OUT)'!$G$1*'調查資料(OUT)'!G73,0)+IFERROR('調查資料(OUT)'!$K$1*'調查資料(OUT)'!K73,0)</f>
        <v>0</v>
      </c>
      <c r="E67" s="50">
        <f>IFERROR('調查資料(OUT)'!$D$1*'調查資料(OUT)'!D73,0)+IFERROR('調查資料(OUT)'!$H$1*'調查資料(OUT)'!H73,0)+IFERROR('調查資料(OUT)'!$L$1*'調查資料(OUT)'!L73,0)</f>
        <v>0</v>
      </c>
      <c r="F67" s="252">
        <f>IFERROR('調查資料(OUT)'!$E$1*'調查資料(OUT)'!E73,0)+IFERROR('調查資料(OUT)'!$I$1*'調查資料(OUT)'!I73,0)+IFERROR('調查資料(OUT)'!$M$1*'調查資料(OUT)'!M73,0)</f>
        <v>0</v>
      </c>
      <c r="G67" s="50">
        <f t="shared" si="239"/>
        <v>0</v>
      </c>
      <c r="H67" s="50">
        <f>IFERROR('調查資料(OUT)'!$N$1*'調查資料(OUT)'!N73,0)+IFERROR('調查資料(OUT)'!$R$1*'調查資料(OUT)'!R73,0)+IFERROR('調查資料(OUT)'!$V$1*'調查資料(OUT)'!V73,0)</f>
        <v>0</v>
      </c>
      <c r="I67" s="50">
        <f>IFERROR('調查資料(OUT)'!$O$1*'調查資料(OUT)'!O73,0)+IFERROR('調查資料(OUT)'!$S$1*'調查資料(OUT)'!S73,0)+IFERROR('調查資料(OUT)'!$W$1*'調查資料(OUT)'!W73,0)</f>
        <v>0</v>
      </c>
      <c r="J67" s="50">
        <f>IFERROR('調查資料(OUT)'!$P$1*'調查資料(OUT)'!P73,0)+IFERROR('調查資料(OUT)'!$T$1*'調查資料(OUT)'!T73,0)+IFERROR('調查資料(OUT)'!$X$1*'調查資料(OUT)'!X73,0)</f>
        <v>0</v>
      </c>
      <c r="K67" s="252">
        <f>IFERROR('調查資料(OUT)'!$Q$1*'調查資料(OUT)'!Q73,0)+IFERROR('調查資料(OUT)'!$U$1*'調查資料(OUT)'!U73,0)+IFERROR('調查資料(OUT)'!$Y$1*'調查資料(OUT)'!Y73,0)</f>
        <v>0</v>
      </c>
      <c r="L67" s="50">
        <f t="shared" si="240"/>
        <v>0</v>
      </c>
      <c r="M67" s="50">
        <f>IFERROR('調查資料(OUT)'!$Z$1*'調查資料(OUT)'!Z73,0)+IFERROR('調查資料(OUT)'!$AD$1*'調查資料(OUT)'!AD73,0)+IFERROR('調查資料(OUT)'!$AH$1*'調查資料(OUT)'!AH73,0)</f>
        <v>0</v>
      </c>
      <c r="N67" s="50">
        <f>IFERROR('調查資料(OUT)'!$AA$1*'調查資料(OUT)'!AA73,0)+IFERROR('調查資料(OUT)'!$AE$1*'調查資料(OUT)'!AE73,0)+IFERROR('調查資料(OUT)'!$AI$1*'調查資料(OUT)'!AI73,0)</f>
        <v>0</v>
      </c>
      <c r="O67" s="50">
        <f>IFERROR('調查資料(OUT)'!$AB$1*'調查資料(OUT)'!AB73,0)+IFERROR('調查資料(OUT)'!$AF$1*'調查資料(OUT)'!AF73,0)+IFERROR('調查資料(OUT)'!$AJ$1*'調查資料(OUT)'!AJ73,0)</f>
        <v>0</v>
      </c>
      <c r="P67" s="252">
        <f>IFERROR('調查資料(OUT)'!$AC$1*'調查資料(OUT)'!AC73,0)+IFERROR('調查資料(OUT)'!$AG$1*'調查資料(OUT)'!AG73,0)+IFERROR('調查資料(OUT)'!$AK$1*'調查資料(OUT)'!AK73,0)</f>
        <v>0</v>
      </c>
      <c r="Q67" s="50">
        <f t="shared" si="241"/>
        <v>0</v>
      </c>
      <c r="R67" s="50">
        <f>IFERROR('調查資料(OUT)'!$AL$1*'調查資料(OUT)'!AL73,0)+IFERROR('調查資料(OUT)'!$AP$1*'調查資料(OUT)'!AP73,0)+IFERROR('調查資料(OUT)'!$AT$1*'調查資料(OUT)'!AT73,0)</f>
        <v>0</v>
      </c>
      <c r="S67" s="50">
        <f>IFERROR('調查資料(OUT)'!$AM$1*'調查資料(OUT)'!AM73,0)+IFERROR('調查資料(OUT)'!$AQ$1*'調查資料(OUT)'!AQ73,0)+IFERROR('調查資料(OUT)'!$AU$1*'調查資料(OUT)'!AU73,0)</f>
        <v>0</v>
      </c>
      <c r="T67" s="50">
        <f>IFERROR('調查資料(OUT)'!$AN$1*'調查資料(OUT)'!AN73,0)+IFERROR('調查資料(OUT)'!$AR$1*'調查資料(OUT)'!AR73,0)+IFERROR('調查資料(OUT)'!$AV$1*'調查資料(OUT)'!AV73,0)</f>
        <v>0</v>
      </c>
      <c r="U67" s="252">
        <f>IFERROR('調查資料(OUT)'!$AO$1*'調查資料(OUT)'!AO73,0)+IFERROR('調查資料(OUT)'!$AS$1*'調查資料(OUT)'!AS73,0)+IFERROR('調查資料(OUT)'!$AW$1*'調查資料(OUT)'!AW73,0)</f>
        <v>0</v>
      </c>
      <c r="V67" s="50">
        <f t="shared" si="242"/>
        <v>0</v>
      </c>
      <c r="W67" s="50">
        <f>IFERROR('調查資料(OUT)'!$AX$1*'調查資料(OUT)'!AX73,0)+IFERROR('調查資料(OUT)'!$BB$1*'調查資料(OUT)'!BB73,0)+IFERROR('調查資料(OUT)'!$BF$1*'調查資料(OUT)'!BF73,0)</f>
        <v>0</v>
      </c>
      <c r="X67" s="50">
        <f>IFERROR('調查資料(OUT)'!$AY$1*'調查資料(OUT)'!AY73,0)+IFERROR('調查資料(OUT)'!$BC$1*'調查資料(OUT)'!BC73,0)+IFERROR('調查資料(OUT)'!$BG$1*'調查資料(OUT)'!BG73,0)</f>
        <v>0</v>
      </c>
      <c r="Y67" s="50">
        <f>IFERROR('調查資料(OUT)'!$AZ$1*'調查資料(OUT)'!AZ73,0)+IFERROR('調查資料(OUT)'!$BD$1*'調查資料(OUT)'!BD73,0)+IFERROR('調查資料(OUT)'!$BH$1*'調查資料(OUT)'!BH73,0)</f>
        <v>0</v>
      </c>
      <c r="Z67" s="252">
        <f>IFERROR('調查資料(OUT)'!$BA$1*'調查資料(OUT)'!BA73,0)+IFERROR('調查資料(OUT)'!$BE$1*'調查資料(OUT)'!BE73,0)+IFERROR('調查資料(OUT)'!$BI$1*'調查資料(OUT)'!BI73,0)</f>
        <v>0</v>
      </c>
      <c r="AA67" s="253">
        <f t="shared" si="243"/>
        <v>0</v>
      </c>
      <c r="AC67" s="251">
        <f>'調查資料(OUT)'!A73</f>
        <v>1530</v>
      </c>
      <c r="AD67" s="254">
        <f t="shared" si="244"/>
        <v>1630</v>
      </c>
      <c r="AE67" s="50">
        <f t="shared" si="254"/>
        <v>0</v>
      </c>
      <c r="AG67" s="50">
        <f t="shared" si="348"/>
        <v>0</v>
      </c>
      <c r="AH67" s="256" t="e">
        <f t="shared" ref="AH67:AH68" si="354">IF($AE67=AF$57,SUM(B67:B70)/(4*(MAX(B67:B70))),0)</f>
        <v>#DIV/0!</v>
      </c>
      <c r="AI67" s="256" t="e">
        <f t="shared" ref="AI67:AI68" si="355">IF($AE67=AF$57,SUM(G67:G70)/(4*(MAX(G67:G70))),0)</f>
        <v>#DIV/0!</v>
      </c>
      <c r="AJ67" s="256" t="e">
        <f t="shared" si="349"/>
        <v>#DIV/0!</v>
      </c>
      <c r="AK67" s="256" t="e">
        <f t="shared" si="350"/>
        <v>#DIV/0!</v>
      </c>
      <c r="AL67" s="256" t="e">
        <f t="shared" si="351"/>
        <v>#DIV/0!</v>
      </c>
      <c r="AN67" s="50">
        <f t="shared" si="352"/>
        <v>1530</v>
      </c>
      <c r="AO67" s="252">
        <f t="shared" si="353"/>
        <v>1630</v>
      </c>
      <c r="AP67" s="50">
        <f t="shared" si="245"/>
        <v>0</v>
      </c>
      <c r="AQ67" s="50">
        <f>IF($AN67="N","N",SUM('調查資料(OUT)'!B73:B76))</f>
        <v>0</v>
      </c>
      <c r="AR67" s="50">
        <f>IF($AN67="N","N",SUM('調查資料(OUT)'!F73:F76))</f>
        <v>0</v>
      </c>
      <c r="AS67" s="50">
        <f>IF($AN67="N","N",SUM('調查資料(OUT)'!J73:J76))</f>
        <v>0</v>
      </c>
      <c r="AT67" s="56" t="e">
        <f t="shared" si="309"/>
        <v>#DIV/0!</v>
      </c>
      <c r="AU67" s="50">
        <f t="shared" si="310"/>
        <v>0</v>
      </c>
      <c r="AV67" s="50">
        <f>IF($AN67="N","N",SUM('調查資料(OUT)'!C73:C76))</f>
        <v>0</v>
      </c>
      <c r="AW67" s="50">
        <f>IF($AN67="N","N",SUM('調查資料(OUT)'!G73:G76))</f>
        <v>0</v>
      </c>
      <c r="AX67" s="50">
        <f>IF($AN67="N","N",SUM('調查資料(OUT)'!K73:K76))</f>
        <v>0</v>
      </c>
      <c r="AY67" s="56" t="e">
        <f t="shared" si="311"/>
        <v>#DIV/0!</v>
      </c>
      <c r="AZ67" s="50">
        <f t="shared" si="312"/>
        <v>0</v>
      </c>
      <c r="BA67" s="50">
        <f>IF($AN67="N","N",SUM('調查資料(OUT)'!D73:D76))</f>
        <v>0</v>
      </c>
      <c r="BB67" s="50">
        <f>IF($AN67="N","N",SUM('調查資料(OUT)'!H73:H76))</f>
        <v>0</v>
      </c>
      <c r="BC67" s="50">
        <f>IF($AN67="N","N",SUM('調查資料(OUT)'!L73:L76))</f>
        <v>0</v>
      </c>
      <c r="BD67" s="56" t="e">
        <f t="shared" si="313"/>
        <v>#DIV/0!</v>
      </c>
      <c r="BE67" s="50">
        <f t="shared" si="314"/>
        <v>0</v>
      </c>
      <c r="BF67" s="50">
        <f>IF($AN67="N","N",SUM('調查資料(OUT)'!E73:E76))</f>
        <v>0</v>
      </c>
      <c r="BG67" s="50">
        <f>IF($AN67="N","N",SUM('調查資料(OUT)'!I73:I76))</f>
        <v>0</v>
      </c>
      <c r="BH67" s="50">
        <f>IF($AN67="N","N",SUM('調查資料(OUT)'!M73:M76))</f>
        <v>0</v>
      </c>
      <c r="BI67" s="56" t="e">
        <f t="shared" si="315"/>
        <v>#DIV/0!</v>
      </c>
      <c r="BJ67" s="50">
        <f t="shared" si="255"/>
        <v>0</v>
      </c>
      <c r="BK67" s="56" t="e">
        <f t="shared" si="256"/>
        <v>#DIV/0!</v>
      </c>
      <c r="BL67" s="50">
        <f t="shared" si="257"/>
        <v>0</v>
      </c>
      <c r="BM67" s="56" t="e">
        <f t="shared" si="258"/>
        <v>#DIV/0!</v>
      </c>
      <c r="BN67" s="50">
        <f t="shared" si="259"/>
        <v>0</v>
      </c>
      <c r="BO67" s="56" t="e">
        <f t="shared" si="260"/>
        <v>#DIV/0!</v>
      </c>
      <c r="BP67" s="50">
        <f t="shared" si="261"/>
        <v>0</v>
      </c>
      <c r="BQ67" s="50">
        <f t="shared" si="316"/>
        <v>0</v>
      </c>
      <c r="BR67" s="50">
        <f>IF($AN67="N","N",SUM('調查資料(OUT)'!N73:N76))</f>
        <v>0</v>
      </c>
      <c r="BS67" s="50">
        <f>IF($AN67="N","N",SUM('調查資料(OUT)'!R73:R76))</f>
        <v>0</v>
      </c>
      <c r="BT67" s="50">
        <f>IF($AN67="N","N",SUM('調查資料(OUT)'!V73:V76))</f>
        <v>0</v>
      </c>
      <c r="BU67" s="56" t="e">
        <f t="shared" si="317"/>
        <v>#DIV/0!</v>
      </c>
      <c r="BV67" s="50">
        <f t="shared" si="318"/>
        <v>0</v>
      </c>
      <c r="BW67" s="50">
        <f>IF($AN67="N","N",SUM('調查資料(OUT)'!O73:O76))</f>
        <v>0</v>
      </c>
      <c r="BX67" s="50">
        <f>IF($AN67="N","N",SUM('調查資料(OUT)'!S73:S76))</f>
        <v>0</v>
      </c>
      <c r="BY67" s="50">
        <f>IF($AN67="N","N",SUM('調查資料(OUT)'!W73:W76))</f>
        <v>0</v>
      </c>
      <c r="BZ67" s="56" t="e">
        <f t="shared" si="319"/>
        <v>#DIV/0!</v>
      </c>
      <c r="CA67" s="50">
        <f t="shared" si="320"/>
        <v>0</v>
      </c>
      <c r="CB67" s="50">
        <f>IF($AN67="N","N",SUM('調查資料(OUT)'!P73:P76))</f>
        <v>0</v>
      </c>
      <c r="CC67" s="50">
        <f>IF($AN67="N","N",SUM('調查資料(OUT)'!T73:T76))</f>
        <v>0</v>
      </c>
      <c r="CD67" s="50">
        <f>IF($AN67="N","N",SUM('調查資料(OUT)'!X73:X76))</f>
        <v>0</v>
      </c>
      <c r="CE67" s="56" t="e">
        <f t="shared" si="321"/>
        <v>#DIV/0!</v>
      </c>
      <c r="CF67" s="50">
        <f t="shared" si="322"/>
        <v>0</v>
      </c>
      <c r="CG67" s="50">
        <f>IF($AN67="N","N",SUM('調查資料(OUT)'!Q73:Q76))</f>
        <v>0</v>
      </c>
      <c r="CH67" s="50">
        <f>IF($AN67="N","N",SUM('調查資料(OUT)'!U73:U76))</f>
        <v>0</v>
      </c>
      <c r="CI67" s="50">
        <f>IF($AN67="N","N",SUM('調查資料(OUT)'!Y73:Y76))</f>
        <v>0</v>
      </c>
      <c r="CJ67" s="56" t="e">
        <f t="shared" si="323"/>
        <v>#DIV/0!</v>
      </c>
      <c r="CK67" s="50">
        <f t="shared" si="262"/>
        <v>0</v>
      </c>
      <c r="CL67" s="56" t="e">
        <f t="shared" si="263"/>
        <v>#DIV/0!</v>
      </c>
      <c r="CM67" s="50">
        <f t="shared" si="264"/>
        <v>0</v>
      </c>
      <c r="CN67" s="56" t="e">
        <f t="shared" si="265"/>
        <v>#DIV/0!</v>
      </c>
      <c r="CO67" s="50">
        <f t="shared" si="266"/>
        <v>0</v>
      </c>
      <c r="CP67" s="56" t="e">
        <f t="shared" si="267"/>
        <v>#DIV/0!</v>
      </c>
      <c r="CQ67" s="50">
        <f t="shared" si="268"/>
        <v>0</v>
      </c>
      <c r="CR67" s="50">
        <f t="shared" si="324"/>
        <v>0</v>
      </c>
      <c r="CS67" s="50">
        <f>IF($AN67="N","N",SUM('調查資料(OUT)'!Z73:Z76))</f>
        <v>0</v>
      </c>
      <c r="CT67" s="50">
        <f>IF($AN67="N","N",SUM('調查資料(OUT)'!AD73:AD76))</f>
        <v>0</v>
      </c>
      <c r="CU67" s="50">
        <f>IF($AN67="N","N",SUM('調查資料(OUT)'!AH73:AH76))</f>
        <v>0</v>
      </c>
      <c r="CV67" s="56" t="e">
        <f t="shared" si="325"/>
        <v>#DIV/0!</v>
      </c>
      <c r="CW67" s="50">
        <f t="shared" si="326"/>
        <v>0</v>
      </c>
      <c r="CX67" s="50">
        <f>IF($AN67="N","N",SUM('調查資料(OUT)'!AA73:AA76))</f>
        <v>0</v>
      </c>
      <c r="CY67" s="50">
        <f>IF($AN67="N","N",SUM('調查資料(OUT)'!AE73:AE76))</f>
        <v>0</v>
      </c>
      <c r="CZ67" s="50">
        <f>IF($AN67="N","N",SUM('調查資料(OUT)'!AI73:AI76))</f>
        <v>0</v>
      </c>
      <c r="DA67" s="56" t="e">
        <f t="shared" si="327"/>
        <v>#DIV/0!</v>
      </c>
      <c r="DB67" s="50">
        <f t="shared" si="328"/>
        <v>0</v>
      </c>
      <c r="DC67" s="50">
        <f>IF($AN67="N","N",SUM('調查資料(OUT)'!AB73:AB76))</f>
        <v>0</v>
      </c>
      <c r="DD67" s="50">
        <f>IF($AN67="N","N",SUM('調查資料(OUT)'!AF73:AF76))</f>
        <v>0</v>
      </c>
      <c r="DE67" s="50">
        <f>IF($AN67="N","N",SUM('調查資料(OUT)'!AJ73:AJ76))</f>
        <v>0</v>
      </c>
      <c r="DF67" s="56" t="e">
        <f t="shared" si="329"/>
        <v>#DIV/0!</v>
      </c>
      <c r="DG67" s="50">
        <f t="shared" si="330"/>
        <v>0</v>
      </c>
      <c r="DH67" s="50">
        <f>IF($AN67="N","N",SUM('調查資料(OUT)'!AC73:AC76))</f>
        <v>0</v>
      </c>
      <c r="DI67" s="50">
        <f>IF($AN67="N","N",SUM('調查資料(OUT)'!AG73:AG76))</f>
        <v>0</v>
      </c>
      <c r="DJ67" s="50">
        <f>IF($AN67="N","N",SUM('調查資料(OUT)'!AK73:AK76))</f>
        <v>0</v>
      </c>
      <c r="DK67" s="56" t="e">
        <f t="shared" si="331"/>
        <v>#DIV/0!</v>
      </c>
      <c r="DL67" s="50">
        <f t="shared" si="269"/>
        <v>0</v>
      </c>
      <c r="DM67" s="56" t="e">
        <f t="shared" si="270"/>
        <v>#DIV/0!</v>
      </c>
      <c r="DN67" s="50">
        <f t="shared" si="271"/>
        <v>0</v>
      </c>
      <c r="DO67" s="56" t="e">
        <f t="shared" si="272"/>
        <v>#DIV/0!</v>
      </c>
      <c r="DP67" s="50">
        <f t="shared" si="273"/>
        <v>0</v>
      </c>
      <c r="DQ67" s="56" t="e">
        <f t="shared" si="274"/>
        <v>#DIV/0!</v>
      </c>
      <c r="DR67" s="50">
        <f t="shared" si="275"/>
        <v>0</v>
      </c>
      <c r="DS67" s="50">
        <f t="shared" si="332"/>
        <v>0</v>
      </c>
      <c r="DT67" s="50">
        <f>IF($AN67="N","N",SUM('調查資料(OUT)'!AL73:AL76))</f>
        <v>0</v>
      </c>
      <c r="DU67" s="50">
        <f>IF($AN67="N","N",SUM('調查資料(OUT)'!AP73:AP76))</f>
        <v>0</v>
      </c>
      <c r="DV67" s="50">
        <f>IF($AN67="N","N",SUM('調查資料(OUT)'!AT73:AT76))</f>
        <v>0</v>
      </c>
      <c r="DW67" s="56" t="e">
        <f t="shared" si="333"/>
        <v>#DIV/0!</v>
      </c>
      <c r="DX67" s="50">
        <f t="shared" si="334"/>
        <v>0</v>
      </c>
      <c r="DY67" s="50">
        <f>IF($AN67="N","N",SUM('調查資料(OUT)'!AM73:AM76))</f>
        <v>0</v>
      </c>
      <c r="DZ67" s="50">
        <f>IF($AN67="N","N",SUM('調查資料(OUT)'!AQ73:AQ76))</f>
        <v>0</v>
      </c>
      <c r="EA67" s="50">
        <f>IF($AN67="N","N",SUM('調查資料(OUT)'!AU73:AU76))</f>
        <v>0</v>
      </c>
      <c r="EB67" s="56" t="e">
        <f t="shared" si="335"/>
        <v>#DIV/0!</v>
      </c>
      <c r="EC67" s="50">
        <f t="shared" si="336"/>
        <v>0</v>
      </c>
      <c r="ED67" s="50">
        <f>IF($AN67="N","N",SUM('調查資料(OUT)'!AN73:AN76))</f>
        <v>0</v>
      </c>
      <c r="EE67" s="50">
        <f>IF($AN67="N","N",SUM('調查資料(OUT)'!AR73:AR76))</f>
        <v>0</v>
      </c>
      <c r="EF67" s="50">
        <f>IF($AN67="N","N",SUM('調查資料(OUT)'!AV73:AV76))</f>
        <v>0</v>
      </c>
      <c r="EG67" s="56" t="e">
        <f t="shared" si="337"/>
        <v>#DIV/0!</v>
      </c>
      <c r="EH67" s="50">
        <f t="shared" si="338"/>
        <v>0</v>
      </c>
      <c r="EI67" s="50">
        <f>IF($AN67="N","N",SUM('調查資料(OUT)'!AO73:AO76))</f>
        <v>0</v>
      </c>
      <c r="EJ67" s="50">
        <f>IF($AN67="N","N",SUM('調查資料(OUT)'!AS73:AS76))</f>
        <v>0</v>
      </c>
      <c r="EK67" s="50">
        <f>IF($AN67="N","N",SUM('調查資料(OUT)'!AW73:AW76))</f>
        <v>0</v>
      </c>
      <c r="EL67" s="56" t="e">
        <f t="shared" si="339"/>
        <v>#DIV/0!</v>
      </c>
      <c r="EM67" s="50">
        <f t="shared" si="276"/>
        <v>0</v>
      </c>
      <c r="EN67" s="56" t="e">
        <f t="shared" si="277"/>
        <v>#DIV/0!</v>
      </c>
      <c r="EO67" s="50">
        <f t="shared" si="278"/>
        <v>0</v>
      </c>
      <c r="EP67" s="56" t="e">
        <f t="shared" si="279"/>
        <v>#DIV/0!</v>
      </c>
      <c r="EQ67" s="50">
        <f t="shared" si="280"/>
        <v>0</v>
      </c>
      <c r="ER67" s="56" t="e">
        <f t="shared" si="281"/>
        <v>#DIV/0!</v>
      </c>
      <c r="ES67" s="50">
        <f t="shared" si="282"/>
        <v>0</v>
      </c>
      <c r="ET67" s="50">
        <f t="shared" si="340"/>
        <v>0</v>
      </c>
      <c r="EU67" s="50">
        <f>IF($AN67="N","N",SUM('調查資料(OUT)'!AX73:AX76))</f>
        <v>0</v>
      </c>
      <c r="EV67" s="50">
        <f>IF($AN67="N","N",SUM('調查資料(OUT)'!BB73:BB76))</f>
        <v>0</v>
      </c>
      <c r="EW67" s="50">
        <f>IF($AN67="N","N",SUM('調查資料(OUT)'!BF73:BF76))</f>
        <v>0</v>
      </c>
      <c r="EX67" s="56" t="e">
        <f t="shared" si="341"/>
        <v>#DIV/0!</v>
      </c>
      <c r="EY67" s="50">
        <f t="shared" si="342"/>
        <v>0</v>
      </c>
      <c r="EZ67" s="50">
        <f>IF($AN67="N","N",SUM('調查資料(OUT)'!AY73:AY76))</f>
        <v>0</v>
      </c>
      <c r="FA67" s="50">
        <f>IF($AN67="N","N",SUM('調查資料(OUT)'!BC73:BC76))</f>
        <v>0</v>
      </c>
      <c r="FB67" s="50">
        <f>IF($AN67="N","N",SUM('調查資料(OUT)'!BG73:BG76))</f>
        <v>0</v>
      </c>
      <c r="FC67" s="56" t="e">
        <f t="shared" si="343"/>
        <v>#DIV/0!</v>
      </c>
      <c r="FD67" s="50">
        <f t="shared" si="344"/>
        <v>0</v>
      </c>
      <c r="FE67" s="50">
        <f>IF($AN67="N","N",SUM('調查資料(OUT)'!AZ73:AZ76))</f>
        <v>0</v>
      </c>
      <c r="FF67" s="50">
        <f>IF($AN67="N","N",SUM('調查資料(OUT)'!BD73:BD76))</f>
        <v>0</v>
      </c>
      <c r="FG67" s="50">
        <f>IF($AN67="N","N",SUM('調查資料(OUT)'!BH73:BH76))</f>
        <v>0</v>
      </c>
      <c r="FH67" s="56" t="e">
        <f t="shared" si="345"/>
        <v>#DIV/0!</v>
      </c>
      <c r="FI67" s="50">
        <f t="shared" si="346"/>
        <v>0</v>
      </c>
      <c r="FJ67" s="50">
        <f>IF($AN67="N","N",SUM('調查資料(OUT)'!BA73:BA76))</f>
        <v>0</v>
      </c>
      <c r="FK67" s="50">
        <f>IF($AN67="N","N",SUM('調查資料(OUT)'!BE73:BE76))</f>
        <v>0</v>
      </c>
      <c r="FL67" s="50">
        <f>IF($AN67="N","N",SUM('調查資料(OUT)'!BI73:BI76))</f>
        <v>0</v>
      </c>
      <c r="FM67" s="56" t="e">
        <f t="shared" si="347"/>
        <v>#DIV/0!</v>
      </c>
      <c r="FN67" s="50">
        <f t="shared" si="246"/>
        <v>0</v>
      </c>
      <c r="FO67" s="56" t="e">
        <f t="shared" si="247"/>
        <v>#DIV/0!</v>
      </c>
      <c r="FP67" s="50">
        <f t="shared" si="248"/>
        <v>0</v>
      </c>
      <c r="FQ67" s="56" t="e">
        <f t="shared" si="249"/>
        <v>#DIV/0!</v>
      </c>
      <c r="FR67" s="50">
        <f t="shared" si="250"/>
        <v>0</v>
      </c>
      <c r="FS67" s="56" t="e">
        <f t="shared" si="251"/>
        <v>#DIV/0!</v>
      </c>
      <c r="FT67" s="50">
        <f t="shared" si="252"/>
        <v>0</v>
      </c>
    </row>
    <row r="68" spans="1:176">
      <c r="A68" s="274">
        <f>'調查資料(OUT)'!A74</f>
        <v>1545</v>
      </c>
      <c r="B68" s="50">
        <f t="shared" si="238"/>
        <v>0</v>
      </c>
      <c r="C68" s="50">
        <f>IFERROR('調查資料(OUT)'!$B$1*'調查資料(OUT)'!B74,0)+IFERROR('調查資料(OUT)'!$F$1*'調查資料(OUT)'!F74,0)+IFERROR('調查資料(OUT)'!$J$1*'調查資料(OUT)'!J74,0)</f>
        <v>0</v>
      </c>
      <c r="D68" s="50">
        <f>IFERROR('調查資料(OUT)'!$C$1*'調查資料(OUT)'!C74,0)+IFERROR('調查資料(OUT)'!$G$1*'調查資料(OUT)'!G74,0)+IFERROR('調查資料(OUT)'!$K$1*'調查資料(OUT)'!K74,0)</f>
        <v>0</v>
      </c>
      <c r="E68" s="50">
        <f>IFERROR('調查資料(OUT)'!$D$1*'調查資料(OUT)'!D74,0)+IFERROR('調查資料(OUT)'!$H$1*'調查資料(OUT)'!H74,0)+IFERROR('調查資料(OUT)'!$L$1*'調查資料(OUT)'!L74,0)</f>
        <v>0</v>
      </c>
      <c r="F68" s="252">
        <f>IFERROR('調查資料(OUT)'!$E$1*'調查資料(OUT)'!E74,0)+IFERROR('調查資料(OUT)'!$I$1*'調查資料(OUT)'!I74,0)+IFERROR('調查資料(OUT)'!$M$1*'調查資料(OUT)'!M74,0)</f>
        <v>0</v>
      </c>
      <c r="G68" s="50">
        <f t="shared" si="239"/>
        <v>0</v>
      </c>
      <c r="H68" s="50">
        <f>IFERROR('調查資料(OUT)'!$N$1*'調查資料(OUT)'!N74,0)+IFERROR('調查資料(OUT)'!$R$1*'調查資料(OUT)'!R74,0)+IFERROR('調查資料(OUT)'!$V$1*'調查資料(OUT)'!V74,0)</f>
        <v>0</v>
      </c>
      <c r="I68" s="50">
        <f>IFERROR('調查資料(OUT)'!$O$1*'調查資料(OUT)'!O74,0)+IFERROR('調查資料(OUT)'!$S$1*'調查資料(OUT)'!S74,0)+IFERROR('調查資料(OUT)'!$W$1*'調查資料(OUT)'!W74,0)</f>
        <v>0</v>
      </c>
      <c r="J68" s="50">
        <f>IFERROR('調查資料(OUT)'!$P$1*'調查資料(OUT)'!P74,0)+IFERROR('調查資料(OUT)'!$T$1*'調查資料(OUT)'!T74,0)+IFERROR('調查資料(OUT)'!$X$1*'調查資料(OUT)'!X74,0)</f>
        <v>0</v>
      </c>
      <c r="K68" s="252">
        <f>IFERROR('調查資料(OUT)'!$Q$1*'調查資料(OUT)'!Q74,0)+IFERROR('調查資料(OUT)'!$U$1*'調查資料(OUT)'!U74,0)+IFERROR('調查資料(OUT)'!$Y$1*'調查資料(OUT)'!Y74,0)</f>
        <v>0</v>
      </c>
      <c r="L68" s="50">
        <f t="shared" si="240"/>
        <v>0</v>
      </c>
      <c r="M68" s="50">
        <f>IFERROR('調查資料(OUT)'!$Z$1*'調查資料(OUT)'!Z74,0)+IFERROR('調查資料(OUT)'!$AD$1*'調查資料(OUT)'!AD74,0)+IFERROR('調查資料(OUT)'!$AH$1*'調查資料(OUT)'!AH74,0)</f>
        <v>0</v>
      </c>
      <c r="N68" s="50">
        <f>IFERROR('調查資料(OUT)'!$AA$1*'調查資料(OUT)'!AA74,0)+IFERROR('調查資料(OUT)'!$AE$1*'調查資料(OUT)'!AE74,0)+IFERROR('調查資料(OUT)'!$AI$1*'調查資料(OUT)'!AI74,0)</f>
        <v>0</v>
      </c>
      <c r="O68" s="50">
        <f>IFERROR('調查資料(OUT)'!$AB$1*'調查資料(OUT)'!AB74,0)+IFERROR('調查資料(OUT)'!$AF$1*'調查資料(OUT)'!AF74,0)+IFERROR('調查資料(OUT)'!$AJ$1*'調查資料(OUT)'!AJ74,0)</f>
        <v>0</v>
      </c>
      <c r="P68" s="252">
        <f>IFERROR('調查資料(OUT)'!$AC$1*'調查資料(OUT)'!AC74,0)+IFERROR('調查資料(OUT)'!$AG$1*'調查資料(OUT)'!AG74,0)+IFERROR('調查資料(OUT)'!$AK$1*'調查資料(OUT)'!AK74,0)</f>
        <v>0</v>
      </c>
      <c r="Q68" s="50">
        <f t="shared" si="241"/>
        <v>0</v>
      </c>
      <c r="R68" s="50">
        <f>IFERROR('調查資料(OUT)'!$AL$1*'調查資料(OUT)'!AL74,0)+IFERROR('調查資料(OUT)'!$AP$1*'調查資料(OUT)'!AP74,0)+IFERROR('調查資料(OUT)'!$AT$1*'調查資料(OUT)'!AT74,0)</f>
        <v>0</v>
      </c>
      <c r="S68" s="50">
        <f>IFERROR('調查資料(OUT)'!$AM$1*'調查資料(OUT)'!AM74,0)+IFERROR('調查資料(OUT)'!$AQ$1*'調查資料(OUT)'!AQ74,0)+IFERROR('調查資料(OUT)'!$AU$1*'調查資料(OUT)'!AU74,0)</f>
        <v>0</v>
      </c>
      <c r="T68" s="50">
        <f>IFERROR('調查資料(OUT)'!$AN$1*'調查資料(OUT)'!AN74,0)+IFERROR('調查資料(OUT)'!$AR$1*'調查資料(OUT)'!AR74,0)+IFERROR('調查資料(OUT)'!$AV$1*'調查資料(OUT)'!AV74,0)</f>
        <v>0</v>
      </c>
      <c r="U68" s="252">
        <f>IFERROR('調查資料(OUT)'!$AO$1*'調查資料(OUT)'!AO74,0)+IFERROR('調查資料(OUT)'!$AS$1*'調查資料(OUT)'!AS74,0)+IFERROR('調查資料(OUT)'!$AW$1*'調查資料(OUT)'!AW74,0)</f>
        <v>0</v>
      </c>
      <c r="V68" s="50">
        <f t="shared" si="242"/>
        <v>0</v>
      </c>
      <c r="W68" s="50">
        <f>IFERROR('調查資料(OUT)'!$AX$1*'調查資料(OUT)'!AX74,0)+IFERROR('調查資料(OUT)'!$BB$1*'調查資料(OUT)'!BB74,0)+IFERROR('調查資料(OUT)'!$BF$1*'調查資料(OUT)'!BF74,0)</f>
        <v>0</v>
      </c>
      <c r="X68" s="50">
        <f>IFERROR('調查資料(OUT)'!$AY$1*'調查資料(OUT)'!AY74,0)+IFERROR('調查資料(OUT)'!$BC$1*'調查資料(OUT)'!BC74,0)+IFERROR('調查資料(OUT)'!$BG$1*'調查資料(OUT)'!BG74,0)</f>
        <v>0</v>
      </c>
      <c r="Y68" s="50">
        <f>IFERROR('調查資料(OUT)'!$AZ$1*'調查資料(OUT)'!AZ74,0)+IFERROR('調查資料(OUT)'!$BD$1*'調查資料(OUT)'!BD74,0)+IFERROR('調查資料(OUT)'!$BH$1*'調查資料(OUT)'!BH74,0)</f>
        <v>0</v>
      </c>
      <c r="Z68" s="252">
        <f>IFERROR('調查資料(OUT)'!$BA$1*'調查資料(OUT)'!BA74,0)+IFERROR('調查資料(OUT)'!$BE$1*'調查資料(OUT)'!BE74,0)+IFERROR('調查資料(OUT)'!$BI$1*'調查資料(OUT)'!BI74,0)</f>
        <v>0</v>
      </c>
      <c r="AA68" s="253">
        <f t="shared" si="243"/>
        <v>0</v>
      </c>
      <c r="AC68" s="251">
        <f>'調查資料(OUT)'!A74</f>
        <v>1545</v>
      </c>
      <c r="AD68" s="254">
        <f t="shared" si="244"/>
        <v>1645</v>
      </c>
      <c r="AE68" s="50">
        <f t="shared" si="254"/>
        <v>0</v>
      </c>
      <c r="AG68" s="50">
        <f t="shared" si="348"/>
        <v>0</v>
      </c>
      <c r="AH68" s="256" t="e">
        <f t="shared" si="354"/>
        <v>#DIV/0!</v>
      </c>
      <c r="AI68" s="256" t="e">
        <f t="shared" si="355"/>
        <v>#DIV/0!</v>
      </c>
      <c r="AJ68" s="256" t="e">
        <f t="shared" si="349"/>
        <v>#DIV/0!</v>
      </c>
      <c r="AK68" s="256" t="e">
        <f t="shared" si="350"/>
        <v>#DIV/0!</v>
      </c>
      <c r="AL68" s="256" t="e">
        <f t="shared" si="351"/>
        <v>#DIV/0!</v>
      </c>
      <c r="AN68" s="50">
        <f t="shared" si="352"/>
        <v>1545</v>
      </c>
      <c r="AO68" s="252">
        <f t="shared" si="353"/>
        <v>1645</v>
      </c>
      <c r="AP68" s="50">
        <f t="shared" si="245"/>
        <v>0</v>
      </c>
      <c r="AQ68" s="50">
        <f>IF($AN68="N","N",SUM('調查資料(OUT)'!B74:B77))</f>
        <v>0</v>
      </c>
      <c r="AR68" s="50">
        <f>IF($AN68="N","N",SUM('調查資料(OUT)'!F74:F77))</f>
        <v>0</v>
      </c>
      <c r="AS68" s="50">
        <f>IF($AN68="N","N",SUM('調查資料(OUT)'!J74:J77))</f>
        <v>0</v>
      </c>
      <c r="AT68" s="56" t="e">
        <f t="shared" si="309"/>
        <v>#DIV/0!</v>
      </c>
      <c r="AU68" s="50">
        <f t="shared" si="310"/>
        <v>0</v>
      </c>
      <c r="AV68" s="50">
        <f>IF($AN68="N","N",SUM('調查資料(OUT)'!C74:C77))</f>
        <v>0</v>
      </c>
      <c r="AW68" s="50">
        <f>IF($AN68="N","N",SUM('調查資料(OUT)'!G74:G77))</f>
        <v>0</v>
      </c>
      <c r="AX68" s="50">
        <f>IF($AN68="N","N",SUM('調查資料(OUT)'!K74:K77))</f>
        <v>0</v>
      </c>
      <c r="AY68" s="56" t="e">
        <f t="shared" si="311"/>
        <v>#DIV/0!</v>
      </c>
      <c r="AZ68" s="50">
        <f t="shared" si="312"/>
        <v>0</v>
      </c>
      <c r="BA68" s="50">
        <f>IF($AN68="N","N",SUM('調查資料(OUT)'!D74:D77))</f>
        <v>0</v>
      </c>
      <c r="BB68" s="50">
        <f>IF($AN68="N","N",SUM('調查資料(OUT)'!H74:H77))</f>
        <v>0</v>
      </c>
      <c r="BC68" s="50">
        <f>IF($AN68="N","N",SUM('調查資料(OUT)'!L74:L77))</f>
        <v>0</v>
      </c>
      <c r="BD68" s="56" t="e">
        <f t="shared" si="313"/>
        <v>#DIV/0!</v>
      </c>
      <c r="BE68" s="50">
        <f t="shared" si="314"/>
        <v>0</v>
      </c>
      <c r="BF68" s="50">
        <f>IF($AN68="N","N",SUM('調查資料(OUT)'!E74:E77))</f>
        <v>0</v>
      </c>
      <c r="BG68" s="50">
        <f>IF($AN68="N","N",SUM('調查資料(OUT)'!I74:I77))</f>
        <v>0</v>
      </c>
      <c r="BH68" s="50">
        <f>IF($AN68="N","N",SUM('調查資料(OUT)'!M74:M77))</f>
        <v>0</v>
      </c>
      <c r="BI68" s="56" t="e">
        <f t="shared" si="315"/>
        <v>#DIV/0!</v>
      </c>
      <c r="BJ68" s="50">
        <f t="shared" si="255"/>
        <v>0</v>
      </c>
      <c r="BK68" s="56" t="e">
        <f t="shared" si="256"/>
        <v>#DIV/0!</v>
      </c>
      <c r="BL68" s="50">
        <f t="shared" si="257"/>
        <v>0</v>
      </c>
      <c r="BM68" s="56" t="e">
        <f t="shared" si="258"/>
        <v>#DIV/0!</v>
      </c>
      <c r="BN68" s="50">
        <f t="shared" si="259"/>
        <v>0</v>
      </c>
      <c r="BO68" s="56" t="e">
        <f t="shared" si="260"/>
        <v>#DIV/0!</v>
      </c>
      <c r="BP68" s="50">
        <f t="shared" si="261"/>
        <v>0</v>
      </c>
      <c r="BQ68" s="50">
        <f t="shared" si="316"/>
        <v>0</v>
      </c>
      <c r="BR68" s="50">
        <f>IF($AN68="N","N",SUM('調查資料(OUT)'!N74:N77))</f>
        <v>0</v>
      </c>
      <c r="BS68" s="50">
        <f>IF($AN68="N","N",SUM('調查資料(OUT)'!R74:R77))</f>
        <v>0</v>
      </c>
      <c r="BT68" s="50">
        <f>IF($AN68="N","N",SUM('調查資料(OUT)'!V74:V77))</f>
        <v>0</v>
      </c>
      <c r="BU68" s="56" t="e">
        <f t="shared" si="317"/>
        <v>#DIV/0!</v>
      </c>
      <c r="BV68" s="50">
        <f t="shared" si="318"/>
        <v>0</v>
      </c>
      <c r="BW68" s="50">
        <f>IF($AN68="N","N",SUM('調查資料(OUT)'!O74:O77))</f>
        <v>0</v>
      </c>
      <c r="BX68" s="50">
        <f>IF($AN68="N","N",SUM('調查資料(OUT)'!S74:S77))</f>
        <v>0</v>
      </c>
      <c r="BY68" s="50">
        <f>IF($AN68="N","N",SUM('調查資料(OUT)'!W74:W77))</f>
        <v>0</v>
      </c>
      <c r="BZ68" s="56" t="e">
        <f t="shared" si="319"/>
        <v>#DIV/0!</v>
      </c>
      <c r="CA68" s="50">
        <f t="shared" si="320"/>
        <v>0</v>
      </c>
      <c r="CB68" s="50">
        <f>IF($AN68="N","N",SUM('調查資料(OUT)'!P74:P77))</f>
        <v>0</v>
      </c>
      <c r="CC68" s="50">
        <f>IF($AN68="N","N",SUM('調查資料(OUT)'!T74:T77))</f>
        <v>0</v>
      </c>
      <c r="CD68" s="50">
        <f>IF($AN68="N","N",SUM('調查資料(OUT)'!X74:X77))</f>
        <v>0</v>
      </c>
      <c r="CE68" s="56" t="e">
        <f t="shared" si="321"/>
        <v>#DIV/0!</v>
      </c>
      <c r="CF68" s="50">
        <f t="shared" si="322"/>
        <v>0</v>
      </c>
      <c r="CG68" s="50">
        <f>IF($AN68="N","N",SUM('調查資料(OUT)'!Q74:Q77))</f>
        <v>0</v>
      </c>
      <c r="CH68" s="50">
        <f>IF($AN68="N","N",SUM('調查資料(OUT)'!U74:U77))</f>
        <v>0</v>
      </c>
      <c r="CI68" s="50">
        <f>IF($AN68="N","N",SUM('調查資料(OUT)'!Y74:Y77))</f>
        <v>0</v>
      </c>
      <c r="CJ68" s="56" t="e">
        <f t="shared" si="323"/>
        <v>#DIV/0!</v>
      </c>
      <c r="CK68" s="50">
        <f t="shared" si="262"/>
        <v>0</v>
      </c>
      <c r="CL68" s="56" t="e">
        <f t="shared" si="263"/>
        <v>#DIV/0!</v>
      </c>
      <c r="CM68" s="50">
        <f t="shared" si="264"/>
        <v>0</v>
      </c>
      <c r="CN68" s="56" t="e">
        <f t="shared" si="265"/>
        <v>#DIV/0!</v>
      </c>
      <c r="CO68" s="50">
        <f t="shared" si="266"/>
        <v>0</v>
      </c>
      <c r="CP68" s="56" t="e">
        <f t="shared" si="267"/>
        <v>#DIV/0!</v>
      </c>
      <c r="CQ68" s="50">
        <f t="shared" si="268"/>
        <v>0</v>
      </c>
      <c r="CR68" s="50">
        <f t="shared" si="324"/>
        <v>0</v>
      </c>
      <c r="CS68" s="50">
        <f>IF($AN68="N","N",SUM('調查資料(OUT)'!Z74:Z77))</f>
        <v>0</v>
      </c>
      <c r="CT68" s="50">
        <f>IF($AN68="N","N",SUM('調查資料(OUT)'!AD74:AD77))</f>
        <v>0</v>
      </c>
      <c r="CU68" s="50">
        <f>IF($AN68="N","N",SUM('調查資料(OUT)'!AH74:AH77))</f>
        <v>0</v>
      </c>
      <c r="CV68" s="56" t="e">
        <f t="shared" si="325"/>
        <v>#DIV/0!</v>
      </c>
      <c r="CW68" s="50">
        <f t="shared" si="326"/>
        <v>0</v>
      </c>
      <c r="CX68" s="50">
        <f>IF($AN68="N","N",SUM('調查資料(OUT)'!AA74:AA77))</f>
        <v>0</v>
      </c>
      <c r="CY68" s="50">
        <f>IF($AN68="N","N",SUM('調查資料(OUT)'!AE74:AE77))</f>
        <v>0</v>
      </c>
      <c r="CZ68" s="50">
        <f>IF($AN68="N","N",SUM('調查資料(OUT)'!AI74:AI77))</f>
        <v>0</v>
      </c>
      <c r="DA68" s="56" t="e">
        <f t="shared" si="327"/>
        <v>#DIV/0!</v>
      </c>
      <c r="DB68" s="50">
        <f t="shared" si="328"/>
        <v>0</v>
      </c>
      <c r="DC68" s="50">
        <f>IF($AN68="N","N",SUM('調查資料(OUT)'!AB74:AB77))</f>
        <v>0</v>
      </c>
      <c r="DD68" s="50">
        <f>IF($AN68="N","N",SUM('調查資料(OUT)'!AF74:AF77))</f>
        <v>0</v>
      </c>
      <c r="DE68" s="50">
        <f>IF($AN68="N","N",SUM('調查資料(OUT)'!AJ74:AJ77))</f>
        <v>0</v>
      </c>
      <c r="DF68" s="56" t="e">
        <f t="shared" si="329"/>
        <v>#DIV/0!</v>
      </c>
      <c r="DG68" s="50">
        <f t="shared" si="330"/>
        <v>0</v>
      </c>
      <c r="DH68" s="50">
        <f>IF($AN68="N","N",SUM('調查資料(OUT)'!AC74:AC77))</f>
        <v>0</v>
      </c>
      <c r="DI68" s="50">
        <f>IF($AN68="N","N",SUM('調查資料(OUT)'!AG74:AG77))</f>
        <v>0</v>
      </c>
      <c r="DJ68" s="50">
        <f>IF($AN68="N","N",SUM('調查資料(OUT)'!AK74:AK77))</f>
        <v>0</v>
      </c>
      <c r="DK68" s="56" t="e">
        <f t="shared" si="331"/>
        <v>#DIV/0!</v>
      </c>
      <c r="DL68" s="50">
        <f t="shared" si="269"/>
        <v>0</v>
      </c>
      <c r="DM68" s="56" t="e">
        <f t="shared" si="270"/>
        <v>#DIV/0!</v>
      </c>
      <c r="DN68" s="50">
        <f t="shared" si="271"/>
        <v>0</v>
      </c>
      <c r="DO68" s="56" t="e">
        <f t="shared" si="272"/>
        <v>#DIV/0!</v>
      </c>
      <c r="DP68" s="50">
        <f t="shared" si="273"/>
        <v>0</v>
      </c>
      <c r="DQ68" s="56" t="e">
        <f t="shared" si="274"/>
        <v>#DIV/0!</v>
      </c>
      <c r="DR68" s="50">
        <f t="shared" si="275"/>
        <v>0</v>
      </c>
      <c r="DS68" s="50">
        <f t="shared" si="332"/>
        <v>0</v>
      </c>
      <c r="DT68" s="50">
        <f>IF($AN68="N","N",SUM('調查資料(OUT)'!AL74:AL77))</f>
        <v>0</v>
      </c>
      <c r="DU68" s="50">
        <f>IF($AN68="N","N",SUM('調查資料(OUT)'!AP74:AP77))</f>
        <v>0</v>
      </c>
      <c r="DV68" s="50">
        <f>IF($AN68="N","N",SUM('調查資料(OUT)'!AT74:AT77))</f>
        <v>0</v>
      </c>
      <c r="DW68" s="56" t="e">
        <f t="shared" si="333"/>
        <v>#DIV/0!</v>
      </c>
      <c r="DX68" s="50">
        <f t="shared" si="334"/>
        <v>0</v>
      </c>
      <c r="DY68" s="50">
        <f>IF($AN68="N","N",SUM('調查資料(OUT)'!AM74:AM77))</f>
        <v>0</v>
      </c>
      <c r="DZ68" s="50">
        <f>IF($AN68="N","N",SUM('調查資料(OUT)'!AQ74:AQ77))</f>
        <v>0</v>
      </c>
      <c r="EA68" s="50">
        <f>IF($AN68="N","N",SUM('調查資料(OUT)'!AU74:AU77))</f>
        <v>0</v>
      </c>
      <c r="EB68" s="56" t="e">
        <f t="shared" si="335"/>
        <v>#DIV/0!</v>
      </c>
      <c r="EC68" s="50">
        <f t="shared" si="336"/>
        <v>0</v>
      </c>
      <c r="ED68" s="50">
        <f>IF($AN68="N","N",SUM('調查資料(OUT)'!AN74:AN77))</f>
        <v>0</v>
      </c>
      <c r="EE68" s="50">
        <f>IF($AN68="N","N",SUM('調查資料(OUT)'!AR74:AR77))</f>
        <v>0</v>
      </c>
      <c r="EF68" s="50">
        <f>IF($AN68="N","N",SUM('調查資料(OUT)'!AV74:AV77))</f>
        <v>0</v>
      </c>
      <c r="EG68" s="56" t="e">
        <f t="shared" si="337"/>
        <v>#DIV/0!</v>
      </c>
      <c r="EH68" s="50">
        <f t="shared" si="338"/>
        <v>0</v>
      </c>
      <c r="EI68" s="50">
        <f>IF($AN68="N","N",SUM('調查資料(OUT)'!AO74:AO77))</f>
        <v>0</v>
      </c>
      <c r="EJ68" s="50">
        <f>IF($AN68="N","N",SUM('調查資料(OUT)'!AS74:AS77))</f>
        <v>0</v>
      </c>
      <c r="EK68" s="50">
        <f>IF($AN68="N","N",SUM('調查資料(OUT)'!AW74:AW77))</f>
        <v>0</v>
      </c>
      <c r="EL68" s="56" t="e">
        <f t="shared" si="339"/>
        <v>#DIV/0!</v>
      </c>
      <c r="EM68" s="50">
        <f t="shared" si="276"/>
        <v>0</v>
      </c>
      <c r="EN68" s="56" t="e">
        <f t="shared" si="277"/>
        <v>#DIV/0!</v>
      </c>
      <c r="EO68" s="50">
        <f t="shared" si="278"/>
        <v>0</v>
      </c>
      <c r="EP68" s="56" t="e">
        <f t="shared" si="279"/>
        <v>#DIV/0!</v>
      </c>
      <c r="EQ68" s="50">
        <f t="shared" si="280"/>
        <v>0</v>
      </c>
      <c r="ER68" s="56" t="e">
        <f t="shared" si="281"/>
        <v>#DIV/0!</v>
      </c>
      <c r="ES68" s="50">
        <f t="shared" si="282"/>
        <v>0</v>
      </c>
      <c r="ET68" s="50">
        <f t="shared" si="340"/>
        <v>0</v>
      </c>
      <c r="EU68" s="50">
        <f>IF($AN68="N","N",SUM('調查資料(OUT)'!AX74:AX77))</f>
        <v>0</v>
      </c>
      <c r="EV68" s="50">
        <f>IF($AN68="N","N",SUM('調查資料(OUT)'!BB74:BB77))</f>
        <v>0</v>
      </c>
      <c r="EW68" s="50">
        <f>IF($AN68="N","N",SUM('調查資料(OUT)'!BF74:BF77))</f>
        <v>0</v>
      </c>
      <c r="EX68" s="56" t="e">
        <f t="shared" si="341"/>
        <v>#DIV/0!</v>
      </c>
      <c r="EY68" s="50">
        <f t="shared" si="342"/>
        <v>0</v>
      </c>
      <c r="EZ68" s="50">
        <f>IF($AN68="N","N",SUM('調查資料(OUT)'!AY74:AY77))</f>
        <v>0</v>
      </c>
      <c r="FA68" s="50">
        <f>IF($AN68="N","N",SUM('調查資料(OUT)'!BC74:BC77))</f>
        <v>0</v>
      </c>
      <c r="FB68" s="50">
        <f>IF($AN68="N","N",SUM('調查資料(OUT)'!BG74:BG77))</f>
        <v>0</v>
      </c>
      <c r="FC68" s="56" t="e">
        <f t="shared" si="343"/>
        <v>#DIV/0!</v>
      </c>
      <c r="FD68" s="50">
        <f t="shared" si="344"/>
        <v>0</v>
      </c>
      <c r="FE68" s="50">
        <f>IF($AN68="N","N",SUM('調查資料(OUT)'!AZ74:AZ77))</f>
        <v>0</v>
      </c>
      <c r="FF68" s="50">
        <f>IF($AN68="N","N",SUM('調查資料(OUT)'!BD74:BD77))</f>
        <v>0</v>
      </c>
      <c r="FG68" s="50">
        <f>IF($AN68="N","N",SUM('調查資料(OUT)'!BH74:BH77))</f>
        <v>0</v>
      </c>
      <c r="FH68" s="56" t="e">
        <f t="shared" si="345"/>
        <v>#DIV/0!</v>
      </c>
      <c r="FI68" s="50">
        <f t="shared" si="346"/>
        <v>0</v>
      </c>
      <c r="FJ68" s="50">
        <f>IF($AN68="N","N",SUM('調查資料(OUT)'!BA74:BA77))</f>
        <v>0</v>
      </c>
      <c r="FK68" s="50">
        <f>IF($AN68="N","N",SUM('調查資料(OUT)'!BE74:BE77))</f>
        <v>0</v>
      </c>
      <c r="FL68" s="50">
        <f>IF($AN68="N","N",SUM('調查資料(OUT)'!BI74:BI77))</f>
        <v>0</v>
      </c>
      <c r="FM68" s="56" t="e">
        <f t="shared" si="347"/>
        <v>#DIV/0!</v>
      </c>
      <c r="FN68" s="50">
        <f t="shared" si="246"/>
        <v>0</v>
      </c>
      <c r="FO68" s="56" t="e">
        <f t="shared" si="247"/>
        <v>#DIV/0!</v>
      </c>
      <c r="FP68" s="50">
        <f t="shared" si="248"/>
        <v>0</v>
      </c>
      <c r="FQ68" s="56" t="e">
        <f t="shared" si="249"/>
        <v>#DIV/0!</v>
      </c>
      <c r="FR68" s="50">
        <f t="shared" si="250"/>
        <v>0</v>
      </c>
      <c r="FS68" s="56" t="e">
        <f t="shared" si="251"/>
        <v>#DIV/0!</v>
      </c>
      <c r="FT68" s="50">
        <f t="shared" si="252"/>
        <v>0</v>
      </c>
    </row>
    <row r="69" spans="1:176">
      <c r="A69" s="322">
        <f>'調查資料(OUT)'!A75</f>
        <v>1600</v>
      </c>
      <c r="B69" s="323">
        <f t="shared" si="238"/>
        <v>0</v>
      </c>
      <c r="C69" s="323">
        <f>IFERROR('調查資料(OUT)'!$B$1*'調查資料(OUT)'!B75,0)+IFERROR('調查資料(OUT)'!$F$1*'調查資料(OUT)'!F75,0)+IFERROR('調查資料(OUT)'!$J$1*'調查資料(OUT)'!J75,0)</f>
        <v>0</v>
      </c>
      <c r="D69" s="323">
        <f>IFERROR('調查資料(OUT)'!$C$1*'調查資料(OUT)'!C75,0)+IFERROR('調查資料(OUT)'!$G$1*'調查資料(OUT)'!G75,0)+IFERROR('調查資料(OUT)'!$K$1*'調查資料(OUT)'!K75,0)</f>
        <v>0</v>
      </c>
      <c r="E69" s="323">
        <f>IFERROR('調查資料(OUT)'!$D$1*'調查資料(OUT)'!D75,0)+IFERROR('調查資料(OUT)'!$H$1*'調查資料(OUT)'!H75,0)+IFERROR('調查資料(OUT)'!$L$1*'調查資料(OUT)'!L75,0)</f>
        <v>0</v>
      </c>
      <c r="F69" s="324">
        <f>IFERROR('調查資料(OUT)'!$E$1*'調查資料(OUT)'!E75,0)+IFERROR('調查資料(OUT)'!$I$1*'調查資料(OUT)'!I75,0)+IFERROR('調查資料(OUT)'!$M$1*'調查資料(OUT)'!M75,0)</f>
        <v>0</v>
      </c>
      <c r="G69" s="323">
        <f t="shared" si="239"/>
        <v>0</v>
      </c>
      <c r="H69" s="323">
        <f>IFERROR('調查資料(OUT)'!$N$1*'調查資料(OUT)'!N75,0)+IFERROR('調查資料(OUT)'!$R$1*'調查資料(OUT)'!R75,0)+IFERROR('調查資料(OUT)'!$V$1*'調查資料(OUT)'!V75,0)</f>
        <v>0</v>
      </c>
      <c r="I69" s="323">
        <f>IFERROR('調查資料(OUT)'!$O$1*'調查資料(OUT)'!O75,0)+IFERROR('調查資料(OUT)'!$S$1*'調查資料(OUT)'!S75,0)+IFERROR('調查資料(OUT)'!$W$1*'調查資料(OUT)'!W75,0)</f>
        <v>0</v>
      </c>
      <c r="J69" s="323">
        <f>IFERROR('調查資料(OUT)'!$P$1*'調查資料(OUT)'!P75,0)+IFERROR('調查資料(OUT)'!$T$1*'調查資料(OUT)'!T75,0)+IFERROR('調查資料(OUT)'!$X$1*'調查資料(OUT)'!X75,0)</f>
        <v>0</v>
      </c>
      <c r="K69" s="324">
        <f>IFERROR('調查資料(OUT)'!$Q$1*'調查資料(OUT)'!Q75,0)+IFERROR('調查資料(OUT)'!$U$1*'調查資料(OUT)'!U75,0)+IFERROR('調查資料(OUT)'!$Y$1*'調查資料(OUT)'!Y75,0)</f>
        <v>0</v>
      </c>
      <c r="L69" s="323">
        <f t="shared" si="240"/>
        <v>0</v>
      </c>
      <c r="M69" s="323">
        <f>IFERROR('調查資料(OUT)'!$Z$1*'調查資料(OUT)'!Z75,0)+IFERROR('調查資料(OUT)'!$AD$1*'調查資料(OUT)'!AD75,0)+IFERROR('調查資料(OUT)'!$AH$1*'調查資料(OUT)'!AH75,0)</f>
        <v>0</v>
      </c>
      <c r="N69" s="323">
        <f>IFERROR('調查資料(OUT)'!$AA$1*'調查資料(OUT)'!AA75,0)+IFERROR('調查資料(OUT)'!$AE$1*'調查資料(OUT)'!AE75,0)+IFERROR('調查資料(OUT)'!$AI$1*'調查資料(OUT)'!AI75,0)</f>
        <v>0</v>
      </c>
      <c r="O69" s="323">
        <f>IFERROR('調查資料(OUT)'!$AB$1*'調查資料(OUT)'!AB75,0)+IFERROR('調查資料(OUT)'!$AF$1*'調查資料(OUT)'!AF75,0)+IFERROR('調查資料(OUT)'!$AJ$1*'調查資料(OUT)'!AJ75,0)</f>
        <v>0</v>
      </c>
      <c r="P69" s="324">
        <f>IFERROR('調查資料(OUT)'!$AC$1*'調查資料(OUT)'!AC75,0)+IFERROR('調查資料(OUT)'!$AG$1*'調查資料(OUT)'!AG75,0)+IFERROR('調查資料(OUT)'!$AK$1*'調查資料(OUT)'!AK75,0)</f>
        <v>0</v>
      </c>
      <c r="Q69" s="323">
        <f t="shared" si="241"/>
        <v>0</v>
      </c>
      <c r="R69" s="323">
        <f>IFERROR('調查資料(OUT)'!$AL$1*'調查資料(OUT)'!AL75,0)+IFERROR('調查資料(OUT)'!$AP$1*'調查資料(OUT)'!AP75,0)+IFERROR('調查資料(OUT)'!$AT$1*'調查資料(OUT)'!AT75,0)</f>
        <v>0</v>
      </c>
      <c r="S69" s="323">
        <f>IFERROR('調查資料(OUT)'!$AM$1*'調查資料(OUT)'!AM75,0)+IFERROR('調查資料(OUT)'!$AQ$1*'調查資料(OUT)'!AQ75,0)+IFERROR('調查資料(OUT)'!$AU$1*'調查資料(OUT)'!AU75,0)</f>
        <v>0</v>
      </c>
      <c r="T69" s="323">
        <f>IFERROR('調查資料(OUT)'!$AN$1*'調查資料(OUT)'!AN75,0)+IFERROR('調查資料(OUT)'!$AR$1*'調查資料(OUT)'!AR75,0)+IFERROR('調查資料(OUT)'!$AV$1*'調查資料(OUT)'!AV75,0)</f>
        <v>0</v>
      </c>
      <c r="U69" s="324">
        <f>IFERROR('調查資料(OUT)'!$AO$1*'調查資料(OUT)'!AO75,0)+IFERROR('調查資料(OUT)'!$AS$1*'調查資料(OUT)'!AS75,0)+IFERROR('調查資料(OUT)'!$AW$1*'調查資料(OUT)'!AW75,0)</f>
        <v>0</v>
      </c>
      <c r="V69" s="323">
        <f t="shared" si="242"/>
        <v>0</v>
      </c>
      <c r="W69" s="323">
        <f>IFERROR('調查資料(OUT)'!$AX$1*'調查資料(OUT)'!AX75,0)+IFERROR('調查資料(OUT)'!$BB$1*'調查資料(OUT)'!BB75,0)+IFERROR('調查資料(OUT)'!$BF$1*'調查資料(OUT)'!BF75,0)</f>
        <v>0</v>
      </c>
      <c r="X69" s="323">
        <f>IFERROR('調查資料(OUT)'!$AY$1*'調查資料(OUT)'!AY75,0)+IFERROR('調查資料(OUT)'!$BC$1*'調查資料(OUT)'!BC75,0)+IFERROR('調查資料(OUT)'!$BG$1*'調查資料(OUT)'!BG75,0)</f>
        <v>0</v>
      </c>
      <c r="Y69" s="323">
        <f>IFERROR('調查資料(OUT)'!$AZ$1*'調查資料(OUT)'!AZ75,0)+IFERROR('調查資料(OUT)'!$BD$1*'調查資料(OUT)'!BD75,0)+IFERROR('調查資料(OUT)'!$BH$1*'調查資料(OUT)'!BH75,0)</f>
        <v>0</v>
      </c>
      <c r="Z69" s="324">
        <f>IFERROR('調查資料(OUT)'!$BA$1*'調查資料(OUT)'!BA75,0)+IFERROR('調查資料(OUT)'!$BE$1*'調查資料(OUT)'!BE75,0)+IFERROR('調查資料(OUT)'!$BI$1*'調查資料(OUT)'!BI75,0)</f>
        <v>0</v>
      </c>
      <c r="AA69" s="325">
        <f t="shared" si="243"/>
        <v>0</v>
      </c>
      <c r="AC69" s="363">
        <f>'調查資料(OUT)'!A75</f>
        <v>1600</v>
      </c>
      <c r="AD69" s="364">
        <f t="shared" si="244"/>
        <v>1700</v>
      </c>
      <c r="AE69" s="323">
        <f t="shared" si="254"/>
        <v>0</v>
      </c>
      <c r="AF69" s="365">
        <f>MAX(AE69:AE81)</f>
        <v>0</v>
      </c>
      <c r="AG69" s="323">
        <f>IF($AE69=$AF$69,MAX(AA69:AA72),0)</f>
        <v>0</v>
      </c>
      <c r="AH69" s="366" t="e">
        <f>IF($AE69=AF$69,SUM(B69:B72)/(4*(MAX(B69:B72))),0)</f>
        <v>#DIV/0!</v>
      </c>
      <c r="AI69" s="366" t="e">
        <f>IF($AE69=AF$69,SUM(G69:G72)/(4*(MAX(G69:G72))),0)</f>
        <v>#DIV/0!</v>
      </c>
      <c r="AJ69" s="366" t="e">
        <f>IF($AE69=AF$69,SUM(L69:L72)/(4*(MAX(L69:L72))),0)</f>
        <v>#DIV/0!</v>
      </c>
      <c r="AK69" s="366" t="e">
        <f>IF($AE69=AF$69,SUM(Q69:Q72)/(4*(MAX(Q69:Q72))),0)</f>
        <v>#DIV/0!</v>
      </c>
      <c r="AL69" s="366" t="e">
        <f>IF($AE69=AF$69,SUM(V69:V72)/(4*(MAX(V69:V72))),0)</f>
        <v>#DIV/0!</v>
      </c>
      <c r="AM69" s="367" t="e">
        <f>$AF$69/(4*MAX(AG69:AG81))</f>
        <v>#DIV/0!</v>
      </c>
      <c r="AN69" s="323">
        <f>IF(AE69=AF$69,$AC69,"N")</f>
        <v>1600</v>
      </c>
      <c r="AO69" s="324">
        <f>IF(AE69=AF$69,$AD69,"N")</f>
        <v>1700</v>
      </c>
      <c r="AP69" s="50">
        <f t="shared" si="245"/>
        <v>0</v>
      </c>
      <c r="AQ69" s="50">
        <f>IF($AN69="N","N",SUM('調查資料(OUT)'!B75:B78))</f>
        <v>0</v>
      </c>
      <c r="AR69" s="50">
        <f>IF($AN69="N","N",SUM('調查資料(OUT)'!F75:F78))</f>
        <v>0</v>
      </c>
      <c r="AS69" s="50">
        <f>IF($AN69="N","N",SUM('調查資料(OUT)'!J75:J78))</f>
        <v>0</v>
      </c>
      <c r="AT69" s="56" t="e">
        <f t="shared" si="309"/>
        <v>#DIV/0!</v>
      </c>
      <c r="AU69" s="50">
        <f t="shared" si="310"/>
        <v>0</v>
      </c>
      <c r="AV69" s="50">
        <f>IF($AN69="N","N",SUM('調查資料(OUT)'!C75:C78))</f>
        <v>0</v>
      </c>
      <c r="AW69" s="50">
        <f>IF($AN69="N","N",SUM('調查資料(OUT)'!G75:G78))</f>
        <v>0</v>
      </c>
      <c r="AX69" s="50">
        <f>IF($AN69="N","N",SUM('調查資料(OUT)'!K75:K78))</f>
        <v>0</v>
      </c>
      <c r="AY69" s="56" t="e">
        <f t="shared" si="311"/>
        <v>#DIV/0!</v>
      </c>
      <c r="AZ69" s="50">
        <f t="shared" si="312"/>
        <v>0</v>
      </c>
      <c r="BA69" s="50">
        <f>IF($AN69="N","N",SUM('調查資料(OUT)'!D75:D78))</f>
        <v>0</v>
      </c>
      <c r="BB69" s="50">
        <f>IF($AN69="N","N",SUM('調查資料(OUT)'!H75:H78))</f>
        <v>0</v>
      </c>
      <c r="BC69" s="50">
        <f>IF($AN69="N","N",SUM('調查資料(OUT)'!L75:L78))</f>
        <v>0</v>
      </c>
      <c r="BD69" s="56" t="e">
        <f t="shared" si="313"/>
        <v>#DIV/0!</v>
      </c>
      <c r="BE69" s="50">
        <f t="shared" si="314"/>
        <v>0</v>
      </c>
      <c r="BF69" s="50">
        <f>IF($AN69="N","N",SUM('調查資料(OUT)'!E75:E78))</f>
        <v>0</v>
      </c>
      <c r="BG69" s="50">
        <f>IF($AN69="N","N",SUM('調查資料(OUT)'!I75:I78))</f>
        <v>0</v>
      </c>
      <c r="BH69" s="50">
        <f>IF($AN69="N","N",SUM('調查資料(OUT)'!M75:M78))</f>
        <v>0</v>
      </c>
      <c r="BI69" s="56" t="e">
        <f t="shared" si="315"/>
        <v>#DIV/0!</v>
      </c>
      <c r="BJ69" s="50">
        <f t="shared" si="255"/>
        <v>0</v>
      </c>
      <c r="BK69" s="56" t="e">
        <f t="shared" si="256"/>
        <v>#DIV/0!</v>
      </c>
      <c r="BL69" s="50">
        <f t="shared" si="257"/>
        <v>0</v>
      </c>
      <c r="BM69" s="56" t="e">
        <f t="shared" si="258"/>
        <v>#DIV/0!</v>
      </c>
      <c r="BN69" s="50">
        <f t="shared" si="259"/>
        <v>0</v>
      </c>
      <c r="BO69" s="56" t="e">
        <f t="shared" si="260"/>
        <v>#DIV/0!</v>
      </c>
      <c r="BP69" s="50">
        <f t="shared" si="261"/>
        <v>0</v>
      </c>
      <c r="BQ69" s="50">
        <f t="shared" si="316"/>
        <v>0</v>
      </c>
      <c r="BR69" s="50">
        <f>IF($AN69="N","N",SUM('調查資料(OUT)'!N75:N78))</f>
        <v>0</v>
      </c>
      <c r="BS69" s="50">
        <f>IF($AN69="N","N",SUM('調查資料(OUT)'!R75:R78))</f>
        <v>0</v>
      </c>
      <c r="BT69" s="50">
        <f>IF($AN69="N","N",SUM('調查資料(OUT)'!V75:V78))</f>
        <v>0</v>
      </c>
      <c r="BU69" s="56" t="e">
        <f t="shared" si="317"/>
        <v>#DIV/0!</v>
      </c>
      <c r="BV69" s="50">
        <f t="shared" si="318"/>
        <v>0</v>
      </c>
      <c r="BW69" s="50">
        <f>IF($AN69="N","N",SUM('調查資料(OUT)'!O75:O78))</f>
        <v>0</v>
      </c>
      <c r="BX69" s="50">
        <f>IF($AN69="N","N",SUM('調查資料(OUT)'!S75:S78))</f>
        <v>0</v>
      </c>
      <c r="BY69" s="50">
        <f>IF($AN69="N","N",SUM('調查資料(OUT)'!W75:W78))</f>
        <v>0</v>
      </c>
      <c r="BZ69" s="56" t="e">
        <f t="shared" si="319"/>
        <v>#DIV/0!</v>
      </c>
      <c r="CA69" s="50">
        <f t="shared" si="320"/>
        <v>0</v>
      </c>
      <c r="CB69" s="50">
        <f>IF($AN69="N","N",SUM('調查資料(OUT)'!P75:P78))</f>
        <v>0</v>
      </c>
      <c r="CC69" s="50">
        <f>IF($AN69="N","N",SUM('調查資料(OUT)'!T75:T78))</f>
        <v>0</v>
      </c>
      <c r="CD69" s="50">
        <f>IF($AN69="N","N",SUM('調查資料(OUT)'!X75:X78))</f>
        <v>0</v>
      </c>
      <c r="CE69" s="56" t="e">
        <f t="shared" si="321"/>
        <v>#DIV/0!</v>
      </c>
      <c r="CF69" s="50">
        <f t="shared" si="322"/>
        <v>0</v>
      </c>
      <c r="CG69" s="50">
        <f>IF($AN69="N","N",SUM('調查資料(OUT)'!Q75:Q78))</f>
        <v>0</v>
      </c>
      <c r="CH69" s="50">
        <f>IF($AN69="N","N",SUM('調查資料(OUT)'!U75:U78))</f>
        <v>0</v>
      </c>
      <c r="CI69" s="50">
        <f>IF($AN69="N","N",SUM('調查資料(OUT)'!Y75:Y78))</f>
        <v>0</v>
      </c>
      <c r="CJ69" s="56" t="e">
        <f t="shared" si="323"/>
        <v>#DIV/0!</v>
      </c>
      <c r="CK69" s="50">
        <f t="shared" si="262"/>
        <v>0</v>
      </c>
      <c r="CL69" s="56" t="e">
        <f t="shared" si="263"/>
        <v>#DIV/0!</v>
      </c>
      <c r="CM69" s="50">
        <f t="shared" si="264"/>
        <v>0</v>
      </c>
      <c r="CN69" s="56" t="e">
        <f t="shared" si="265"/>
        <v>#DIV/0!</v>
      </c>
      <c r="CO69" s="50">
        <f t="shared" si="266"/>
        <v>0</v>
      </c>
      <c r="CP69" s="56" t="e">
        <f t="shared" si="267"/>
        <v>#DIV/0!</v>
      </c>
      <c r="CQ69" s="50">
        <f t="shared" si="268"/>
        <v>0</v>
      </c>
      <c r="CR69" s="50">
        <f t="shared" si="324"/>
        <v>0</v>
      </c>
      <c r="CS69" s="50">
        <f>IF($AN69="N","N",SUM('調查資料(OUT)'!Z75:Z78))</f>
        <v>0</v>
      </c>
      <c r="CT69" s="50">
        <f>IF($AN69="N","N",SUM('調查資料(OUT)'!AD75:AD78))</f>
        <v>0</v>
      </c>
      <c r="CU69" s="50">
        <f>IF($AN69="N","N",SUM('調查資料(OUT)'!AH75:AH78))</f>
        <v>0</v>
      </c>
      <c r="CV69" s="56" t="e">
        <f t="shared" si="325"/>
        <v>#DIV/0!</v>
      </c>
      <c r="CW69" s="50">
        <f t="shared" si="326"/>
        <v>0</v>
      </c>
      <c r="CX69" s="50">
        <f>IF($AN69="N","N",SUM('調查資料(OUT)'!AA75:AA78))</f>
        <v>0</v>
      </c>
      <c r="CY69" s="50">
        <f>IF($AN69="N","N",SUM('調查資料(OUT)'!AE75:AE78))</f>
        <v>0</v>
      </c>
      <c r="CZ69" s="50">
        <f>IF($AN69="N","N",SUM('調查資料(OUT)'!AI75:AI78))</f>
        <v>0</v>
      </c>
      <c r="DA69" s="56" t="e">
        <f t="shared" si="327"/>
        <v>#DIV/0!</v>
      </c>
      <c r="DB69" s="50">
        <f t="shared" si="328"/>
        <v>0</v>
      </c>
      <c r="DC69" s="50">
        <f>IF($AN69="N","N",SUM('調查資料(OUT)'!AB75:AB78))</f>
        <v>0</v>
      </c>
      <c r="DD69" s="50">
        <f>IF($AN69="N","N",SUM('調查資料(OUT)'!AF75:AF78))</f>
        <v>0</v>
      </c>
      <c r="DE69" s="50">
        <f>IF($AN69="N","N",SUM('調查資料(OUT)'!AJ75:AJ78))</f>
        <v>0</v>
      </c>
      <c r="DF69" s="56" t="e">
        <f t="shared" si="329"/>
        <v>#DIV/0!</v>
      </c>
      <c r="DG69" s="50">
        <f t="shared" si="330"/>
        <v>0</v>
      </c>
      <c r="DH69" s="50">
        <f>IF($AN69="N","N",SUM('調查資料(OUT)'!AC75:AC78))</f>
        <v>0</v>
      </c>
      <c r="DI69" s="50">
        <f>IF($AN69="N","N",SUM('調查資料(OUT)'!AG75:AG78))</f>
        <v>0</v>
      </c>
      <c r="DJ69" s="50">
        <f>IF($AN69="N","N",SUM('調查資料(OUT)'!AK75:AK78))</f>
        <v>0</v>
      </c>
      <c r="DK69" s="56" t="e">
        <f t="shared" si="331"/>
        <v>#DIV/0!</v>
      </c>
      <c r="DL69" s="50">
        <f t="shared" si="269"/>
        <v>0</v>
      </c>
      <c r="DM69" s="56" t="e">
        <f t="shared" si="270"/>
        <v>#DIV/0!</v>
      </c>
      <c r="DN69" s="50">
        <f t="shared" si="271"/>
        <v>0</v>
      </c>
      <c r="DO69" s="56" t="e">
        <f t="shared" si="272"/>
        <v>#DIV/0!</v>
      </c>
      <c r="DP69" s="50">
        <f t="shared" si="273"/>
        <v>0</v>
      </c>
      <c r="DQ69" s="56" t="e">
        <f t="shared" si="274"/>
        <v>#DIV/0!</v>
      </c>
      <c r="DR69" s="50">
        <f t="shared" si="275"/>
        <v>0</v>
      </c>
      <c r="DS69" s="50">
        <f t="shared" si="332"/>
        <v>0</v>
      </c>
      <c r="DT69" s="50">
        <f>IF($AN69="N","N",SUM('調查資料(OUT)'!AL75:AL78))</f>
        <v>0</v>
      </c>
      <c r="DU69" s="50">
        <f>IF($AN69="N","N",SUM('調查資料(OUT)'!AP75:AP78))</f>
        <v>0</v>
      </c>
      <c r="DV69" s="50">
        <f>IF($AN69="N","N",SUM('調查資料(OUT)'!AT75:AT78))</f>
        <v>0</v>
      </c>
      <c r="DW69" s="56" t="e">
        <f t="shared" si="333"/>
        <v>#DIV/0!</v>
      </c>
      <c r="DX69" s="50">
        <f t="shared" si="334"/>
        <v>0</v>
      </c>
      <c r="DY69" s="50">
        <f>IF($AN69="N","N",SUM('調查資料(OUT)'!AM75:AM78))</f>
        <v>0</v>
      </c>
      <c r="DZ69" s="50">
        <f>IF($AN69="N","N",SUM('調查資料(OUT)'!AQ75:AQ78))</f>
        <v>0</v>
      </c>
      <c r="EA69" s="50">
        <f>IF($AN69="N","N",SUM('調查資料(OUT)'!AU75:AU78))</f>
        <v>0</v>
      </c>
      <c r="EB69" s="56" t="e">
        <f t="shared" si="335"/>
        <v>#DIV/0!</v>
      </c>
      <c r="EC69" s="50">
        <f t="shared" si="336"/>
        <v>0</v>
      </c>
      <c r="ED69" s="50">
        <f>IF($AN69="N","N",SUM('調查資料(OUT)'!AN75:AN78))</f>
        <v>0</v>
      </c>
      <c r="EE69" s="50">
        <f>IF($AN69="N","N",SUM('調查資料(OUT)'!AR75:AR78))</f>
        <v>0</v>
      </c>
      <c r="EF69" s="50">
        <f>IF($AN69="N","N",SUM('調查資料(OUT)'!AV75:AV78))</f>
        <v>0</v>
      </c>
      <c r="EG69" s="56" t="e">
        <f t="shared" si="337"/>
        <v>#DIV/0!</v>
      </c>
      <c r="EH69" s="50">
        <f t="shared" si="338"/>
        <v>0</v>
      </c>
      <c r="EI69" s="50">
        <f>IF($AN69="N","N",SUM('調查資料(OUT)'!AO75:AO78))</f>
        <v>0</v>
      </c>
      <c r="EJ69" s="50">
        <f>IF($AN69="N","N",SUM('調查資料(OUT)'!AS75:AS78))</f>
        <v>0</v>
      </c>
      <c r="EK69" s="50">
        <f>IF($AN69="N","N",SUM('調查資料(OUT)'!AW75:AW78))</f>
        <v>0</v>
      </c>
      <c r="EL69" s="56" t="e">
        <f t="shared" si="339"/>
        <v>#DIV/0!</v>
      </c>
      <c r="EM69" s="50">
        <f t="shared" si="276"/>
        <v>0</v>
      </c>
      <c r="EN69" s="56" t="e">
        <f t="shared" si="277"/>
        <v>#DIV/0!</v>
      </c>
      <c r="EO69" s="50">
        <f t="shared" si="278"/>
        <v>0</v>
      </c>
      <c r="EP69" s="56" t="e">
        <f t="shared" si="279"/>
        <v>#DIV/0!</v>
      </c>
      <c r="EQ69" s="50">
        <f t="shared" si="280"/>
        <v>0</v>
      </c>
      <c r="ER69" s="56" t="e">
        <f t="shared" si="281"/>
        <v>#DIV/0!</v>
      </c>
      <c r="ES69" s="50">
        <f t="shared" si="282"/>
        <v>0</v>
      </c>
      <c r="ET69" s="50">
        <f t="shared" si="340"/>
        <v>0</v>
      </c>
      <c r="EU69" s="50">
        <f>IF($AN69="N","N",SUM('調查資料(OUT)'!AX75:AX78))</f>
        <v>0</v>
      </c>
      <c r="EV69" s="50">
        <f>IF($AN69="N","N",SUM('調查資料(OUT)'!BB75:BB78))</f>
        <v>0</v>
      </c>
      <c r="EW69" s="50">
        <f>IF($AN69="N","N",SUM('調查資料(OUT)'!BF75:BF78))</f>
        <v>0</v>
      </c>
      <c r="EX69" s="56" t="e">
        <f t="shared" si="341"/>
        <v>#DIV/0!</v>
      </c>
      <c r="EY69" s="50">
        <f t="shared" si="342"/>
        <v>0</v>
      </c>
      <c r="EZ69" s="50">
        <f>IF($AN69="N","N",SUM('調查資料(OUT)'!AY75:AY78))</f>
        <v>0</v>
      </c>
      <c r="FA69" s="50">
        <f>IF($AN69="N","N",SUM('調查資料(OUT)'!BC75:BC78))</f>
        <v>0</v>
      </c>
      <c r="FB69" s="50">
        <f>IF($AN69="N","N",SUM('調查資料(OUT)'!BG75:BG78))</f>
        <v>0</v>
      </c>
      <c r="FC69" s="56" t="e">
        <f t="shared" si="343"/>
        <v>#DIV/0!</v>
      </c>
      <c r="FD69" s="50">
        <f t="shared" si="344"/>
        <v>0</v>
      </c>
      <c r="FE69" s="50">
        <f>IF($AN69="N","N",SUM('調查資料(OUT)'!AZ75:AZ78))</f>
        <v>0</v>
      </c>
      <c r="FF69" s="50">
        <f>IF($AN69="N","N",SUM('調查資料(OUT)'!BD75:BD78))</f>
        <v>0</v>
      </c>
      <c r="FG69" s="50">
        <f>IF($AN69="N","N",SUM('調查資料(OUT)'!BH75:BH78))</f>
        <v>0</v>
      </c>
      <c r="FH69" s="56" t="e">
        <f t="shared" si="345"/>
        <v>#DIV/0!</v>
      </c>
      <c r="FI69" s="50">
        <f t="shared" si="346"/>
        <v>0</v>
      </c>
      <c r="FJ69" s="50">
        <f>IF($AN69="N","N",SUM('調查資料(OUT)'!BA75:BA78))</f>
        <v>0</v>
      </c>
      <c r="FK69" s="50">
        <f>IF($AN69="N","N",SUM('調查資料(OUT)'!BE75:BE78))</f>
        <v>0</v>
      </c>
      <c r="FL69" s="50">
        <f>IF($AN69="N","N",SUM('調查資料(OUT)'!BI75:BI78))</f>
        <v>0</v>
      </c>
      <c r="FM69" s="56" t="e">
        <f t="shared" si="347"/>
        <v>#DIV/0!</v>
      </c>
      <c r="FN69" s="50">
        <f t="shared" si="246"/>
        <v>0</v>
      </c>
      <c r="FO69" s="56" t="e">
        <f t="shared" si="247"/>
        <v>#DIV/0!</v>
      </c>
      <c r="FP69" s="50">
        <f t="shared" si="248"/>
        <v>0</v>
      </c>
      <c r="FQ69" s="56" t="e">
        <f t="shared" si="249"/>
        <v>#DIV/0!</v>
      </c>
      <c r="FR69" s="50">
        <f t="shared" si="250"/>
        <v>0</v>
      </c>
      <c r="FS69" s="56" t="e">
        <f t="shared" si="251"/>
        <v>#DIV/0!</v>
      </c>
      <c r="FT69" s="50">
        <f t="shared" si="252"/>
        <v>0</v>
      </c>
    </row>
    <row r="70" spans="1:176">
      <c r="A70" s="322">
        <f>'調查資料(OUT)'!A76</f>
        <v>1615</v>
      </c>
      <c r="B70" s="323">
        <f t="shared" si="238"/>
        <v>0</v>
      </c>
      <c r="C70" s="323">
        <f>IFERROR('調查資料(OUT)'!$B$1*'調查資料(OUT)'!B76,0)+IFERROR('調查資料(OUT)'!$F$1*'調查資料(OUT)'!F76,0)+IFERROR('調查資料(OUT)'!$J$1*'調查資料(OUT)'!J76,0)</f>
        <v>0</v>
      </c>
      <c r="D70" s="323">
        <f>IFERROR('調查資料(OUT)'!$C$1*'調查資料(OUT)'!C76,0)+IFERROR('調查資料(OUT)'!$G$1*'調查資料(OUT)'!G76,0)+IFERROR('調查資料(OUT)'!$K$1*'調查資料(OUT)'!K76,0)</f>
        <v>0</v>
      </c>
      <c r="E70" s="323">
        <f>IFERROR('調查資料(OUT)'!$D$1*'調查資料(OUT)'!D76,0)+IFERROR('調查資料(OUT)'!$H$1*'調查資料(OUT)'!H76,0)+IFERROR('調查資料(OUT)'!$L$1*'調查資料(OUT)'!L76,0)</f>
        <v>0</v>
      </c>
      <c r="F70" s="324">
        <f>IFERROR('調查資料(OUT)'!$E$1*'調查資料(OUT)'!E76,0)+IFERROR('調查資料(OUT)'!$I$1*'調查資料(OUT)'!I76,0)+IFERROR('調查資料(OUT)'!$M$1*'調查資料(OUT)'!M76,0)</f>
        <v>0</v>
      </c>
      <c r="G70" s="323">
        <f t="shared" si="239"/>
        <v>0</v>
      </c>
      <c r="H70" s="323">
        <f>IFERROR('調查資料(OUT)'!$N$1*'調查資料(OUT)'!N76,0)+IFERROR('調查資料(OUT)'!$R$1*'調查資料(OUT)'!R76,0)+IFERROR('調查資料(OUT)'!$V$1*'調查資料(OUT)'!V76,0)</f>
        <v>0</v>
      </c>
      <c r="I70" s="323">
        <f>IFERROR('調查資料(OUT)'!$O$1*'調查資料(OUT)'!O76,0)+IFERROR('調查資料(OUT)'!$S$1*'調查資料(OUT)'!S76,0)+IFERROR('調查資料(OUT)'!$W$1*'調查資料(OUT)'!W76,0)</f>
        <v>0</v>
      </c>
      <c r="J70" s="323">
        <f>IFERROR('調查資料(OUT)'!$P$1*'調查資料(OUT)'!P76,0)+IFERROR('調查資料(OUT)'!$T$1*'調查資料(OUT)'!T76,0)+IFERROR('調查資料(OUT)'!$X$1*'調查資料(OUT)'!X76,0)</f>
        <v>0</v>
      </c>
      <c r="K70" s="324">
        <f>IFERROR('調查資料(OUT)'!$Q$1*'調查資料(OUT)'!Q76,0)+IFERROR('調查資料(OUT)'!$U$1*'調查資料(OUT)'!U76,0)+IFERROR('調查資料(OUT)'!$Y$1*'調查資料(OUT)'!Y76,0)</f>
        <v>0</v>
      </c>
      <c r="L70" s="323">
        <f t="shared" si="240"/>
        <v>0</v>
      </c>
      <c r="M70" s="323">
        <f>IFERROR('調查資料(OUT)'!$Z$1*'調查資料(OUT)'!Z76,0)+IFERROR('調查資料(OUT)'!$AD$1*'調查資料(OUT)'!AD76,0)+IFERROR('調查資料(OUT)'!$AH$1*'調查資料(OUT)'!AH76,0)</f>
        <v>0</v>
      </c>
      <c r="N70" s="323">
        <f>IFERROR('調查資料(OUT)'!$AA$1*'調查資料(OUT)'!AA76,0)+IFERROR('調查資料(OUT)'!$AE$1*'調查資料(OUT)'!AE76,0)+IFERROR('調查資料(OUT)'!$AI$1*'調查資料(OUT)'!AI76,0)</f>
        <v>0</v>
      </c>
      <c r="O70" s="323">
        <f>IFERROR('調查資料(OUT)'!$AB$1*'調查資料(OUT)'!AB76,0)+IFERROR('調查資料(OUT)'!$AF$1*'調查資料(OUT)'!AF76,0)+IFERROR('調查資料(OUT)'!$AJ$1*'調查資料(OUT)'!AJ76,0)</f>
        <v>0</v>
      </c>
      <c r="P70" s="324">
        <f>IFERROR('調查資料(OUT)'!$AC$1*'調查資料(OUT)'!AC76,0)+IFERROR('調查資料(OUT)'!$AG$1*'調查資料(OUT)'!AG76,0)+IFERROR('調查資料(OUT)'!$AK$1*'調查資料(OUT)'!AK76,0)</f>
        <v>0</v>
      </c>
      <c r="Q70" s="323">
        <f t="shared" si="241"/>
        <v>0</v>
      </c>
      <c r="R70" s="323">
        <f>IFERROR('調查資料(OUT)'!$AL$1*'調查資料(OUT)'!AL76,0)+IFERROR('調查資料(OUT)'!$AP$1*'調查資料(OUT)'!AP76,0)+IFERROR('調查資料(OUT)'!$AT$1*'調查資料(OUT)'!AT76,0)</f>
        <v>0</v>
      </c>
      <c r="S70" s="323">
        <f>IFERROR('調查資料(OUT)'!$AM$1*'調查資料(OUT)'!AM76,0)+IFERROR('調查資料(OUT)'!$AQ$1*'調查資料(OUT)'!AQ76,0)+IFERROR('調查資料(OUT)'!$AU$1*'調查資料(OUT)'!AU76,0)</f>
        <v>0</v>
      </c>
      <c r="T70" s="323">
        <f>IFERROR('調查資料(OUT)'!$AN$1*'調查資料(OUT)'!AN76,0)+IFERROR('調查資料(OUT)'!$AR$1*'調查資料(OUT)'!AR76,0)+IFERROR('調查資料(OUT)'!$AV$1*'調查資料(OUT)'!AV76,0)</f>
        <v>0</v>
      </c>
      <c r="U70" s="324">
        <f>IFERROR('調查資料(OUT)'!$AO$1*'調查資料(OUT)'!AO76,0)+IFERROR('調查資料(OUT)'!$AS$1*'調查資料(OUT)'!AS76,0)+IFERROR('調查資料(OUT)'!$AW$1*'調查資料(OUT)'!AW76,0)</f>
        <v>0</v>
      </c>
      <c r="V70" s="323">
        <f t="shared" si="242"/>
        <v>0</v>
      </c>
      <c r="W70" s="323">
        <f>IFERROR('調查資料(OUT)'!$AX$1*'調查資料(OUT)'!AX76,0)+IFERROR('調查資料(OUT)'!$BB$1*'調查資料(OUT)'!BB76,0)+IFERROR('調查資料(OUT)'!$BF$1*'調查資料(OUT)'!BF76,0)</f>
        <v>0</v>
      </c>
      <c r="X70" s="323">
        <f>IFERROR('調查資料(OUT)'!$AY$1*'調查資料(OUT)'!AY76,0)+IFERROR('調查資料(OUT)'!$BC$1*'調查資料(OUT)'!BC76,0)+IFERROR('調查資料(OUT)'!$BG$1*'調查資料(OUT)'!BG76,0)</f>
        <v>0</v>
      </c>
      <c r="Y70" s="323">
        <f>IFERROR('調查資料(OUT)'!$AZ$1*'調查資料(OUT)'!AZ76,0)+IFERROR('調查資料(OUT)'!$BD$1*'調查資料(OUT)'!BD76,0)+IFERROR('調查資料(OUT)'!$BH$1*'調查資料(OUT)'!BH76,0)</f>
        <v>0</v>
      </c>
      <c r="Z70" s="324">
        <f>IFERROR('調查資料(OUT)'!$BA$1*'調查資料(OUT)'!BA76,0)+IFERROR('調查資料(OUT)'!$BE$1*'調查資料(OUT)'!BE76,0)+IFERROR('調查資料(OUT)'!$BI$1*'調查資料(OUT)'!BI76,0)</f>
        <v>0</v>
      </c>
      <c r="AA70" s="325">
        <f t="shared" si="243"/>
        <v>0</v>
      </c>
      <c r="AC70" s="363">
        <f>'調查資料(OUT)'!A76</f>
        <v>1615</v>
      </c>
      <c r="AD70" s="364">
        <f t="shared" si="244"/>
        <v>1715</v>
      </c>
      <c r="AE70" s="323">
        <f t="shared" si="254"/>
        <v>0</v>
      </c>
      <c r="AF70" s="323"/>
      <c r="AG70" s="323">
        <f t="shared" ref="AG70:AG81" si="356">IF($AE70=$AF$69,MAX(AA70:AA73),0)</f>
        <v>0</v>
      </c>
      <c r="AH70" s="366" t="e">
        <f t="shared" ref="AH70:AH80" si="357">IF($AE70=AF$69,SUM(B70:B73)/(4*(MAX(B70:B73))),0)</f>
        <v>#DIV/0!</v>
      </c>
      <c r="AI70" s="366" t="e">
        <f t="shared" ref="AI70:AI81" si="358">IF($AE70=AF$69,SUM(G70:G73)/(4*(MAX(G70:G73))),0)</f>
        <v>#DIV/0!</v>
      </c>
      <c r="AJ70" s="366" t="e">
        <f t="shared" ref="AJ70:AJ81" si="359">IF($AE70=AF$69,SUM(L70:L73)/(4*(MAX(L70:L73))),0)</f>
        <v>#DIV/0!</v>
      </c>
      <c r="AK70" s="366" t="e">
        <f t="shared" ref="AK70:AK80" si="360">IF($AE70=AF$69,SUM(Q70:Q73)/(4*(MAX(Q70:Q73))),0)</f>
        <v>#DIV/0!</v>
      </c>
      <c r="AL70" s="366" t="e">
        <f t="shared" ref="AL70:AL80" si="361">IF($AE70=AF$69,SUM(V70:V73)/(4*(MAX(V70:V73))),0)</f>
        <v>#DIV/0!</v>
      </c>
      <c r="AM70" s="368"/>
      <c r="AN70" s="323">
        <f t="shared" ref="AN70:AN80" si="362">IF(AE70=AF$69,$AC70,"N")</f>
        <v>1615</v>
      </c>
      <c r="AO70" s="324">
        <f t="shared" ref="AO70:AO80" si="363">IF(AE70=AF$69,$AD70,"N")</f>
        <v>1715</v>
      </c>
      <c r="AP70" s="50">
        <f t="shared" si="245"/>
        <v>0</v>
      </c>
      <c r="AQ70" s="50">
        <f>IF($AN70="N","N",SUM('調查資料(OUT)'!B76:B79))</f>
        <v>0</v>
      </c>
      <c r="AR70" s="50">
        <f>IF($AN70="N","N",SUM('調查資料(OUT)'!F76:F79))</f>
        <v>0</v>
      </c>
      <c r="AS70" s="50">
        <f>IF($AN70="N","N",SUM('調查資料(OUT)'!J76:J79))</f>
        <v>0</v>
      </c>
      <c r="AT70" s="56" t="e">
        <f t="shared" si="309"/>
        <v>#DIV/0!</v>
      </c>
      <c r="AU70" s="50">
        <f t="shared" si="310"/>
        <v>0</v>
      </c>
      <c r="AV70" s="50">
        <f>IF($AN70="N","N",SUM('調查資料(OUT)'!C76:C79))</f>
        <v>0</v>
      </c>
      <c r="AW70" s="50">
        <f>IF($AN70="N","N",SUM('調查資料(OUT)'!G76:G79))</f>
        <v>0</v>
      </c>
      <c r="AX70" s="50">
        <f>IF($AN70="N","N",SUM('調查資料(OUT)'!K76:K79))</f>
        <v>0</v>
      </c>
      <c r="AY70" s="56" t="e">
        <f t="shared" si="311"/>
        <v>#DIV/0!</v>
      </c>
      <c r="AZ70" s="50">
        <f t="shared" si="312"/>
        <v>0</v>
      </c>
      <c r="BA70" s="50">
        <f>IF($AN70="N","N",SUM('調查資料(OUT)'!D76:D79))</f>
        <v>0</v>
      </c>
      <c r="BB70" s="50">
        <f>IF($AN70="N","N",SUM('調查資料(OUT)'!H76:H79))</f>
        <v>0</v>
      </c>
      <c r="BC70" s="50">
        <f>IF($AN70="N","N",SUM('調查資料(OUT)'!L76:L79))</f>
        <v>0</v>
      </c>
      <c r="BD70" s="56" t="e">
        <f t="shared" si="313"/>
        <v>#DIV/0!</v>
      </c>
      <c r="BE70" s="50">
        <f t="shared" si="314"/>
        <v>0</v>
      </c>
      <c r="BF70" s="50">
        <f>IF($AN70="N","N",SUM('調查資料(OUT)'!E76:E79))</f>
        <v>0</v>
      </c>
      <c r="BG70" s="50">
        <f>IF($AN70="N","N",SUM('調查資料(OUT)'!I76:I79))</f>
        <v>0</v>
      </c>
      <c r="BH70" s="50">
        <f>IF($AN70="N","N",SUM('調查資料(OUT)'!M76:M79))</f>
        <v>0</v>
      </c>
      <c r="BI70" s="56" t="e">
        <f t="shared" si="315"/>
        <v>#DIV/0!</v>
      </c>
      <c r="BJ70" s="50">
        <f t="shared" si="255"/>
        <v>0</v>
      </c>
      <c r="BK70" s="56" t="e">
        <f t="shared" si="256"/>
        <v>#DIV/0!</v>
      </c>
      <c r="BL70" s="50">
        <f t="shared" si="257"/>
        <v>0</v>
      </c>
      <c r="BM70" s="56" t="e">
        <f t="shared" si="258"/>
        <v>#DIV/0!</v>
      </c>
      <c r="BN70" s="50">
        <f t="shared" si="259"/>
        <v>0</v>
      </c>
      <c r="BO70" s="56" t="e">
        <f t="shared" si="260"/>
        <v>#DIV/0!</v>
      </c>
      <c r="BP70" s="50">
        <f t="shared" si="261"/>
        <v>0</v>
      </c>
      <c r="BQ70" s="50">
        <f t="shared" si="316"/>
        <v>0</v>
      </c>
      <c r="BR70" s="50">
        <f>IF($AN70="N","N",SUM('調查資料(OUT)'!N76:N79))</f>
        <v>0</v>
      </c>
      <c r="BS70" s="50">
        <f>IF($AN70="N","N",SUM('調查資料(OUT)'!R76:R79))</f>
        <v>0</v>
      </c>
      <c r="BT70" s="50">
        <f>IF($AN70="N","N",SUM('調查資料(OUT)'!V76:V79))</f>
        <v>0</v>
      </c>
      <c r="BU70" s="56" t="e">
        <f t="shared" si="317"/>
        <v>#DIV/0!</v>
      </c>
      <c r="BV70" s="50">
        <f t="shared" si="318"/>
        <v>0</v>
      </c>
      <c r="BW70" s="50">
        <f>IF($AN70="N","N",SUM('調查資料(OUT)'!O76:O79))</f>
        <v>0</v>
      </c>
      <c r="BX70" s="50">
        <f>IF($AN70="N","N",SUM('調查資料(OUT)'!S76:S79))</f>
        <v>0</v>
      </c>
      <c r="BY70" s="50">
        <f>IF($AN70="N","N",SUM('調查資料(OUT)'!W76:W79))</f>
        <v>0</v>
      </c>
      <c r="BZ70" s="56" t="e">
        <f t="shared" si="319"/>
        <v>#DIV/0!</v>
      </c>
      <c r="CA70" s="50">
        <f t="shared" si="320"/>
        <v>0</v>
      </c>
      <c r="CB70" s="50">
        <f>IF($AN70="N","N",SUM('調查資料(OUT)'!P76:P79))</f>
        <v>0</v>
      </c>
      <c r="CC70" s="50">
        <f>IF($AN70="N","N",SUM('調查資料(OUT)'!T76:T79))</f>
        <v>0</v>
      </c>
      <c r="CD70" s="50">
        <f>IF($AN70="N","N",SUM('調查資料(OUT)'!X76:X79))</f>
        <v>0</v>
      </c>
      <c r="CE70" s="56" t="e">
        <f t="shared" si="321"/>
        <v>#DIV/0!</v>
      </c>
      <c r="CF70" s="50">
        <f t="shared" si="322"/>
        <v>0</v>
      </c>
      <c r="CG70" s="50">
        <f>IF($AN70="N","N",SUM('調查資料(OUT)'!Q76:Q79))</f>
        <v>0</v>
      </c>
      <c r="CH70" s="50">
        <f>IF($AN70="N","N",SUM('調查資料(OUT)'!U76:U79))</f>
        <v>0</v>
      </c>
      <c r="CI70" s="50">
        <f>IF($AN70="N","N",SUM('調查資料(OUT)'!Y76:Y79))</f>
        <v>0</v>
      </c>
      <c r="CJ70" s="56" t="e">
        <f t="shared" si="323"/>
        <v>#DIV/0!</v>
      </c>
      <c r="CK70" s="50">
        <f t="shared" si="262"/>
        <v>0</v>
      </c>
      <c r="CL70" s="56" t="e">
        <f t="shared" si="263"/>
        <v>#DIV/0!</v>
      </c>
      <c r="CM70" s="50">
        <f t="shared" si="264"/>
        <v>0</v>
      </c>
      <c r="CN70" s="56" t="e">
        <f t="shared" si="265"/>
        <v>#DIV/0!</v>
      </c>
      <c r="CO70" s="50">
        <f t="shared" si="266"/>
        <v>0</v>
      </c>
      <c r="CP70" s="56" t="e">
        <f t="shared" si="267"/>
        <v>#DIV/0!</v>
      </c>
      <c r="CQ70" s="50">
        <f t="shared" si="268"/>
        <v>0</v>
      </c>
      <c r="CR70" s="50">
        <f t="shared" si="324"/>
        <v>0</v>
      </c>
      <c r="CS70" s="50">
        <f>IF($AN70="N","N",SUM('調查資料(OUT)'!Z76:Z79))</f>
        <v>0</v>
      </c>
      <c r="CT70" s="50">
        <f>IF($AN70="N","N",SUM('調查資料(OUT)'!AD76:AD79))</f>
        <v>0</v>
      </c>
      <c r="CU70" s="50">
        <f>IF($AN70="N","N",SUM('調查資料(OUT)'!AH76:AH79))</f>
        <v>0</v>
      </c>
      <c r="CV70" s="56" t="e">
        <f t="shared" si="325"/>
        <v>#DIV/0!</v>
      </c>
      <c r="CW70" s="50">
        <f t="shared" si="326"/>
        <v>0</v>
      </c>
      <c r="CX70" s="50">
        <f>IF($AN70="N","N",SUM('調查資料(OUT)'!AA76:AA79))</f>
        <v>0</v>
      </c>
      <c r="CY70" s="50">
        <f>IF($AN70="N","N",SUM('調查資料(OUT)'!AE76:AE79))</f>
        <v>0</v>
      </c>
      <c r="CZ70" s="50">
        <f>IF($AN70="N","N",SUM('調查資料(OUT)'!AI76:AI79))</f>
        <v>0</v>
      </c>
      <c r="DA70" s="56" t="e">
        <f t="shared" si="327"/>
        <v>#DIV/0!</v>
      </c>
      <c r="DB70" s="50">
        <f t="shared" si="328"/>
        <v>0</v>
      </c>
      <c r="DC70" s="50">
        <f>IF($AN70="N","N",SUM('調查資料(OUT)'!AB76:AB79))</f>
        <v>0</v>
      </c>
      <c r="DD70" s="50">
        <f>IF($AN70="N","N",SUM('調查資料(OUT)'!AF76:AF79))</f>
        <v>0</v>
      </c>
      <c r="DE70" s="50">
        <f>IF($AN70="N","N",SUM('調查資料(OUT)'!AJ76:AJ79))</f>
        <v>0</v>
      </c>
      <c r="DF70" s="56" t="e">
        <f t="shared" si="329"/>
        <v>#DIV/0!</v>
      </c>
      <c r="DG70" s="50">
        <f t="shared" si="330"/>
        <v>0</v>
      </c>
      <c r="DH70" s="50">
        <f>IF($AN70="N","N",SUM('調查資料(OUT)'!AC76:AC79))</f>
        <v>0</v>
      </c>
      <c r="DI70" s="50">
        <f>IF($AN70="N","N",SUM('調查資料(OUT)'!AG76:AG79))</f>
        <v>0</v>
      </c>
      <c r="DJ70" s="50">
        <f>IF($AN70="N","N",SUM('調查資料(OUT)'!AK76:AK79))</f>
        <v>0</v>
      </c>
      <c r="DK70" s="56" t="e">
        <f t="shared" si="331"/>
        <v>#DIV/0!</v>
      </c>
      <c r="DL70" s="50">
        <f t="shared" si="269"/>
        <v>0</v>
      </c>
      <c r="DM70" s="56" t="e">
        <f t="shared" si="270"/>
        <v>#DIV/0!</v>
      </c>
      <c r="DN70" s="50">
        <f t="shared" si="271"/>
        <v>0</v>
      </c>
      <c r="DO70" s="56" t="e">
        <f t="shared" si="272"/>
        <v>#DIV/0!</v>
      </c>
      <c r="DP70" s="50">
        <f t="shared" si="273"/>
        <v>0</v>
      </c>
      <c r="DQ70" s="56" t="e">
        <f t="shared" si="274"/>
        <v>#DIV/0!</v>
      </c>
      <c r="DR70" s="50">
        <f t="shared" si="275"/>
        <v>0</v>
      </c>
      <c r="DS70" s="50">
        <f t="shared" si="332"/>
        <v>0</v>
      </c>
      <c r="DT70" s="50">
        <f>IF($AN70="N","N",SUM('調查資料(OUT)'!AL76:AL79))</f>
        <v>0</v>
      </c>
      <c r="DU70" s="50">
        <f>IF($AN70="N","N",SUM('調查資料(OUT)'!AP76:AP79))</f>
        <v>0</v>
      </c>
      <c r="DV70" s="50">
        <f>IF($AN70="N","N",SUM('調查資料(OUT)'!AT76:AT79))</f>
        <v>0</v>
      </c>
      <c r="DW70" s="56" t="e">
        <f t="shared" si="333"/>
        <v>#DIV/0!</v>
      </c>
      <c r="DX70" s="50">
        <f t="shared" si="334"/>
        <v>0</v>
      </c>
      <c r="DY70" s="50">
        <f>IF($AN70="N","N",SUM('調查資料(OUT)'!AM76:AM79))</f>
        <v>0</v>
      </c>
      <c r="DZ70" s="50">
        <f>IF($AN70="N","N",SUM('調查資料(OUT)'!AQ76:AQ79))</f>
        <v>0</v>
      </c>
      <c r="EA70" s="50">
        <f>IF($AN70="N","N",SUM('調查資料(OUT)'!AU76:AU79))</f>
        <v>0</v>
      </c>
      <c r="EB70" s="56" t="e">
        <f t="shared" si="335"/>
        <v>#DIV/0!</v>
      </c>
      <c r="EC70" s="50">
        <f t="shared" si="336"/>
        <v>0</v>
      </c>
      <c r="ED70" s="50">
        <f>IF($AN70="N","N",SUM('調查資料(OUT)'!AN76:AN79))</f>
        <v>0</v>
      </c>
      <c r="EE70" s="50">
        <f>IF($AN70="N","N",SUM('調查資料(OUT)'!AR76:AR79))</f>
        <v>0</v>
      </c>
      <c r="EF70" s="50">
        <f>IF($AN70="N","N",SUM('調查資料(OUT)'!AV76:AV79))</f>
        <v>0</v>
      </c>
      <c r="EG70" s="56" t="e">
        <f t="shared" si="337"/>
        <v>#DIV/0!</v>
      </c>
      <c r="EH70" s="50">
        <f t="shared" si="338"/>
        <v>0</v>
      </c>
      <c r="EI70" s="50">
        <f>IF($AN70="N","N",SUM('調查資料(OUT)'!AO76:AO79))</f>
        <v>0</v>
      </c>
      <c r="EJ70" s="50">
        <f>IF($AN70="N","N",SUM('調查資料(OUT)'!AS76:AS79))</f>
        <v>0</v>
      </c>
      <c r="EK70" s="50">
        <f>IF($AN70="N","N",SUM('調查資料(OUT)'!AW76:AW79))</f>
        <v>0</v>
      </c>
      <c r="EL70" s="56" t="e">
        <f t="shared" si="339"/>
        <v>#DIV/0!</v>
      </c>
      <c r="EM70" s="50">
        <f t="shared" si="276"/>
        <v>0</v>
      </c>
      <c r="EN70" s="56" t="e">
        <f t="shared" si="277"/>
        <v>#DIV/0!</v>
      </c>
      <c r="EO70" s="50">
        <f t="shared" si="278"/>
        <v>0</v>
      </c>
      <c r="EP70" s="56" t="e">
        <f t="shared" si="279"/>
        <v>#DIV/0!</v>
      </c>
      <c r="EQ70" s="50">
        <f t="shared" si="280"/>
        <v>0</v>
      </c>
      <c r="ER70" s="56" t="e">
        <f t="shared" si="281"/>
        <v>#DIV/0!</v>
      </c>
      <c r="ES70" s="50">
        <f t="shared" si="282"/>
        <v>0</v>
      </c>
      <c r="ET70" s="50">
        <f t="shared" si="340"/>
        <v>0</v>
      </c>
      <c r="EU70" s="50">
        <f>IF($AN70="N","N",SUM('調查資料(OUT)'!AX76:AX79))</f>
        <v>0</v>
      </c>
      <c r="EV70" s="50">
        <f>IF($AN70="N","N",SUM('調查資料(OUT)'!BB76:BB79))</f>
        <v>0</v>
      </c>
      <c r="EW70" s="50">
        <f>IF($AN70="N","N",SUM('調查資料(OUT)'!BF76:BF79))</f>
        <v>0</v>
      </c>
      <c r="EX70" s="56" t="e">
        <f t="shared" si="341"/>
        <v>#DIV/0!</v>
      </c>
      <c r="EY70" s="50">
        <f t="shared" si="342"/>
        <v>0</v>
      </c>
      <c r="EZ70" s="50">
        <f>IF($AN70="N","N",SUM('調查資料(OUT)'!AY76:AY79))</f>
        <v>0</v>
      </c>
      <c r="FA70" s="50">
        <f>IF($AN70="N","N",SUM('調查資料(OUT)'!BC76:BC79))</f>
        <v>0</v>
      </c>
      <c r="FB70" s="50">
        <f>IF($AN70="N","N",SUM('調查資料(OUT)'!BG76:BG79))</f>
        <v>0</v>
      </c>
      <c r="FC70" s="56" t="e">
        <f t="shared" si="343"/>
        <v>#DIV/0!</v>
      </c>
      <c r="FD70" s="50">
        <f t="shared" si="344"/>
        <v>0</v>
      </c>
      <c r="FE70" s="50">
        <f>IF($AN70="N","N",SUM('調查資料(OUT)'!AZ76:AZ79))</f>
        <v>0</v>
      </c>
      <c r="FF70" s="50">
        <f>IF($AN70="N","N",SUM('調查資料(OUT)'!BD76:BD79))</f>
        <v>0</v>
      </c>
      <c r="FG70" s="50">
        <f>IF($AN70="N","N",SUM('調查資料(OUT)'!BH76:BH79))</f>
        <v>0</v>
      </c>
      <c r="FH70" s="56" t="e">
        <f t="shared" si="345"/>
        <v>#DIV/0!</v>
      </c>
      <c r="FI70" s="50">
        <f t="shared" si="346"/>
        <v>0</v>
      </c>
      <c r="FJ70" s="50">
        <f>IF($AN70="N","N",SUM('調查資料(OUT)'!BA76:BA79))</f>
        <v>0</v>
      </c>
      <c r="FK70" s="50">
        <f>IF($AN70="N","N",SUM('調查資料(OUT)'!BE76:BE79))</f>
        <v>0</v>
      </c>
      <c r="FL70" s="50">
        <f>IF($AN70="N","N",SUM('調查資料(OUT)'!BI76:BI79))</f>
        <v>0</v>
      </c>
      <c r="FM70" s="56" t="e">
        <f t="shared" si="347"/>
        <v>#DIV/0!</v>
      </c>
      <c r="FN70" s="50">
        <f t="shared" si="246"/>
        <v>0</v>
      </c>
      <c r="FO70" s="56" t="e">
        <f t="shared" si="247"/>
        <v>#DIV/0!</v>
      </c>
      <c r="FP70" s="50">
        <f t="shared" si="248"/>
        <v>0</v>
      </c>
      <c r="FQ70" s="56" t="e">
        <f t="shared" si="249"/>
        <v>#DIV/0!</v>
      </c>
      <c r="FR70" s="50">
        <f t="shared" si="250"/>
        <v>0</v>
      </c>
      <c r="FS70" s="56" t="e">
        <f t="shared" si="251"/>
        <v>#DIV/0!</v>
      </c>
      <c r="FT70" s="50">
        <f t="shared" si="252"/>
        <v>0</v>
      </c>
    </row>
    <row r="71" spans="1:176">
      <c r="A71" s="322">
        <f>'調查資料(OUT)'!A77</f>
        <v>1630</v>
      </c>
      <c r="B71" s="323">
        <f t="shared" si="238"/>
        <v>0</v>
      </c>
      <c r="C71" s="323">
        <f>IFERROR('調查資料(OUT)'!$B$1*'調查資料(OUT)'!B77,0)+IFERROR('調查資料(OUT)'!$F$1*'調查資料(OUT)'!F77,0)+IFERROR('調查資料(OUT)'!$J$1*'調查資料(OUT)'!J77,0)</f>
        <v>0</v>
      </c>
      <c r="D71" s="323">
        <f>IFERROR('調查資料(OUT)'!$C$1*'調查資料(OUT)'!C77,0)+IFERROR('調查資料(OUT)'!$G$1*'調查資料(OUT)'!G77,0)+IFERROR('調查資料(OUT)'!$K$1*'調查資料(OUT)'!K77,0)</f>
        <v>0</v>
      </c>
      <c r="E71" s="323">
        <f>IFERROR('調查資料(OUT)'!$D$1*'調查資料(OUT)'!D77,0)+IFERROR('調查資料(OUT)'!$H$1*'調查資料(OUT)'!H77,0)+IFERROR('調查資料(OUT)'!$L$1*'調查資料(OUT)'!L77,0)</f>
        <v>0</v>
      </c>
      <c r="F71" s="324">
        <f>IFERROR('調查資料(OUT)'!$E$1*'調查資料(OUT)'!E77,0)+IFERROR('調查資料(OUT)'!$I$1*'調查資料(OUT)'!I77,0)+IFERROR('調查資料(OUT)'!$M$1*'調查資料(OUT)'!M77,0)</f>
        <v>0</v>
      </c>
      <c r="G71" s="323">
        <f t="shared" si="239"/>
        <v>0</v>
      </c>
      <c r="H71" s="323">
        <f>IFERROR('調查資料(OUT)'!$N$1*'調查資料(OUT)'!N77,0)+IFERROR('調查資料(OUT)'!$R$1*'調查資料(OUT)'!R77,0)+IFERROR('調查資料(OUT)'!$V$1*'調查資料(OUT)'!V77,0)</f>
        <v>0</v>
      </c>
      <c r="I71" s="323">
        <f>IFERROR('調查資料(OUT)'!$O$1*'調查資料(OUT)'!O77,0)+IFERROR('調查資料(OUT)'!$S$1*'調查資料(OUT)'!S77,0)+IFERROR('調查資料(OUT)'!$W$1*'調查資料(OUT)'!W77,0)</f>
        <v>0</v>
      </c>
      <c r="J71" s="323">
        <f>IFERROR('調查資料(OUT)'!$P$1*'調查資料(OUT)'!P77,0)+IFERROR('調查資料(OUT)'!$T$1*'調查資料(OUT)'!T77,0)+IFERROR('調查資料(OUT)'!$X$1*'調查資料(OUT)'!X77,0)</f>
        <v>0</v>
      </c>
      <c r="K71" s="324">
        <f>IFERROR('調查資料(OUT)'!$Q$1*'調查資料(OUT)'!Q77,0)+IFERROR('調查資料(OUT)'!$U$1*'調查資料(OUT)'!U77,0)+IFERROR('調查資料(OUT)'!$Y$1*'調查資料(OUT)'!Y77,0)</f>
        <v>0</v>
      </c>
      <c r="L71" s="323">
        <f t="shared" si="240"/>
        <v>0</v>
      </c>
      <c r="M71" s="323">
        <f>IFERROR('調查資料(OUT)'!$Z$1*'調查資料(OUT)'!Z77,0)+IFERROR('調查資料(OUT)'!$AD$1*'調查資料(OUT)'!AD77,0)+IFERROR('調查資料(OUT)'!$AH$1*'調查資料(OUT)'!AH77,0)</f>
        <v>0</v>
      </c>
      <c r="N71" s="323">
        <f>IFERROR('調查資料(OUT)'!$AA$1*'調查資料(OUT)'!AA77,0)+IFERROR('調查資料(OUT)'!$AE$1*'調查資料(OUT)'!AE77,0)+IFERROR('調查資料(OUT)'!$AI$1*'調查資料(OUT)'!AI77,0)</f>
        <v>0</v>
      </c>
      <c r="O71" s="323">
        <f>IFERROR('調查資料(OUT)'!$AB$1*'調查資料(OUT)'!AB77,0)+IFERROR('調查資料(OUT)'!$AF$1*'調查資料(OUT)'!AF77,0)+IFERROR('調查資料(OUT)'!$AJ$1*'調查資料(OUT)'!AJ77,0)</f>
        <v>0</v>
      </c>
      <c r="P71" s="324">
        <f>IFERROR('調查資料(OUT)'!$AC$1*'調查資料(OUT)'!AC77,0)+IFERROR('調查資料(OUT)'!$AG$1*'調查資料(OUT)'!AG77,0)+IFERROR('調查資料(OUT)'!$AK$1*'調查資料(OUT)'!AK77,0)</f>
        <v>0</v>
      </c>
      <c r="Q71" s="323">
        <f t="shared" si="241"/>
        <v>0</v>
      </c>
      <c r="R71" s="323">
        <f>IFERROR('調查資料(OUT)'!$AL$1*'調查資料(OUT)'!AL77,0)+IFERROR('調查資料(OUT)'!$AP$1*'調查資料(OUT)'!AP77,0)+IFERROR('調查資料(OUT)'!$AT$1*'調查資料(OUT)'!AT77,0)</f>
        <v>0</v>
      </c>
      <c r="S71" s="323">
        <f>IFERROR('調查資料(OUT)'!$AM$1*'調查資料(OUT)'!AM77,0)+IFERROR('調查資料(OUT)'!$AQ$1*'調查資料(OUT)'!AQ77,0)+IFERROR('調查資料(OUT)'!$AU$1*'調查資料(OUT)'!AU77,0)</f>
        <v>0</v>
      </c>
      <c r="T71" s="323">
        <f>IFERROR('調查資料(OUT)'!$AN$1*'調查資料(OUT)'!AN77,0)+IFERROR('調查資料(OUT)'!$AR$1*'調查資料(OUT)'!AR77,0)+IFERROR('調查資料(OUT)'!$AV$1*'調查資料(OUT)'!AV77,0)</f>
        <v>0</v>
      </c>
      <c r="U71" s="324">
        <f>IFERROR('調查資料(OUT)'!$AO$1*'調查資料(OUT)'!AO77,0)+IFERROR('調查資料(OUT)'!$AS$1*'調查資料(OUT)'!AS77,0)+IFERROR('調查資料(OUT)'!$AW$1*'調查資料(OUT)'!AW77,0)</f>
        <v>0</v>
      </c>
      <c r="V71" s="323">
        <f t="shared" si="242"/>
        <v>0</v>
      </c>
      <c r="W71" s="323">
        <f>IFERROR('調查資料(OUT)'!$AX$1*'調查資料(OUT)'!AX77,0)+IFERROR('調查資料(OUT)'!$BB$1*'調查資料(OUT)'!BB77,0)+IFERROR('調查資料(OUT)'!$BF$1*'調查資料(OUT)'!BF77,0)</f>
        <v>0</v>
      </c>
      <c r="X71" s="323">
        <f>IFERROR('調查資料(OUT)'!$AY$1*'調查資料(OUT)'!AY77,0)+IFERROR('調查資料(OUT)'!$BC$1*'調查資料(OUT)'!BC77,0)+IFERROR('調查資料(OUT)'!$BG$1*'調查資料(OUT)'!BG77,0)</f>
        <v>0</v>
      </c>
      <c r="Y71" s="323">
        <f>IFERROR('調查資料(OUT)'!$AZ$1*'調查資料(OUT)'!AZ77,0)+IFERROR('調查資料(OUT)'!$BD$1*'調查資料(OUT)'!BD77,0)+IFERROR('調查資料(OUT)'!$BH$1*'調查資料(OUT)'!BH77,0)</f>
        <v>0</v>
      </c>
      <c r="Z71" s="324">
        <f>IFERROR('調查資料(OUT)'!$BA$1*'調查資料(OUT)'!BA77,0)+IFERROR('調查資料(OUT)'!$BE$1*'調查資料(OUT)'!BE77,0)+IFERROR('調查資料(OUT)'!$BI$1*'調查資料(OUT)'!BI77,0)</f>
        <v>0</v>
      </c>
      <c r="AA71" s="325">
        <f t="shared" si="243"/>
        <v>0</v>
      </c>
      <c r="AC71" s="363">
        <f>'調查資料(OUT)'!A77</f>
        <v>1630</v>
      </c>
      <c r="AD71" s="364">
        <f t="shared" si="244"/>
        <v>1730</v>
      </c>
      <c r="AE71" s="323">
        <f t="shared" si="254"/>
        <v>0</v>
      </c>
      <c r="AF71" s="323"/>
      <c r="AG71" s="323">
        <f t="shared" si="356"/>
        <v>0</v>
      </c>
      <c r="AH71" s="366" t="e">
        <f t="shared" si="357"/>
        <v>#DIV/0!</v>
      </c>
      <c r="AI71" s="366" t="e">
        <f t="shared" si="358"/>
        <v>#DIV/0!</v>
      </c>
      <c r="AJ71" s="366" t="e">
        <f t="shared" si="359"/>
        <v>#DIV/0!</v>
      </c>
      <c r="AK71" s="366" t="e">
        <f t="shared" si="360"/>
        <v>#DIV/0!</v>
      </c>
      <c r="AL71" s="366" t="e">
        <f t="shared" si="361"/>
        <v>#DIV/0!</v>
      </c>
      <c r="AM71" s="368"/>
      <c r="AN71" s="323">
        <f t="shared" si="362"/>
        <v>1630</v>
      </c>
      <c r="AO71" s="324">
        <f t="shared" si="363"/>
        <v>1730</v>
      </c>
      <c r="AP71" s="50">
        <f t="shared" si="245"/>
        <v>0</v>
      </c>
      <c r="AQ71" s="50">
        <f>IF($AN71="N","N",SUM('調查資料(OUT)'!B77:B80))</f>
        <v>0</v>
      </c>
      <c r="AR71" s="50">
        <f>IF($AN71="N","N",SUM('調查資料(OUT)'!F77:F80))</f>
        <v>0</v>
      </c>
      <c r="AS71" s="50">
        <f>IF($AN71="N","N",SUM('調查資料(OUT)'!J77:J80))</f>
        <v>0</v>
      </c>
      <c r="AT71" s="56" t="e">
        <f t="shared" si="309"/>
        <v>#DIV/0!</v>
      </c>
      <c r="AU71" s="50">
        <f t="shared" si="310"/>
        <v>0</v>
      </c>
      <c r="AV71" s="50">
        <f>IF($AN71="N","N",SUM('調查資料(OUT)'!C77:C80))</f>
        <v>0</v>
      </c>
      <c r="AW71" s="50">
        <f>IF($AN71="N","N",SUM('調查資料(OUT)'!G77:G80))</f>
        <v>0</v>
      </c>
      <c r="AX71" s="50">
        <f>IF($AN71="N","N",SUM('調查資料(OUT)'!K77:K80))</f>
        <v>0</v>
      </c>
      <c r="AY71" s="56" t="e">
        <f t="shared" si="311"/>
        <v>#DIV/0!</v>
      </c>
      <c r="AZ71" s="50">
        <f t="shared" si="312"/>
        <v>0</v>
      </c>
      <c r="BA71" s="50">
        <f>IF($AN71="N","N",SUM('調查資料(OUT)'!D77:D80))</f>
        <v>0</v>
      </c>
      <c r="BB71" s="50">
        <f>IF($AN71="N","N",SUM('調查資料(OUT)'!H77:H80))</f>
        <v>0</v>
      </c>
      <c r="BC71" s="50">
        <f>IF($AN71="N","N",SUM('調查資料(OUT)'!L77:L80))</f>
        <v>0</v>
      </c>
      <c r="BD71" s="56" t="e">
        <f t="shared" si="313"/>
        <v>#DIV/0!</v>
      </c>
      <c r="BE71" s="50">
        <f t="shared" si="314"/>
        <v>0</v>
      </c>
      <c r="BF71" s="50">
        <f>IF($AN71="N","N",SUM('調查資料(OUT)'!E77:E80))</f>
        <v>0</v>
      </c>
      <c r="BG71" s="50">
        <f>IF($AN71="N","N",SUM('調查資料(OUT)'!I77:I80))</f>
        <v>0</v>
      </c>
      <c r="BH71" s="50">
        <f>IF($AN71="N","N",SUM('調查資料(OUT)'!M77:M80))</f>
        <v>0</v>
      </c>
      <c r="BI71" s="56" t="e">
        <f t="shared" si="315"/>
        <v>#DIV/0!</v>
      </c>
      <c r="BJ71" s="50">
        <f t="shared" si="255"/>
        <v>0</v>
      </c>
      <c r="BK71" s="56" t="e">
        <f t="shared" si="256"/>
        <v>#DIV/0!</v>
      </c>
      <c r="BL71" s="50">
        <f t="shared" si="257"/>
        <v>0</v>
      </c>
      <c r="BM71" s="56" t="e">
        <f t="shared" si="258"/>
        <v>#DIV/0!</v>
      </c>
      <c r="BN71" s="50">
        <f t="shared" si="259"/>
        <v>0</v>
      </c>
      <c r="BO71" s="56" t="e">
        <f t="shared" si="260"/>
        <v>#DIV/0!</v>
      </c>
      <c r="BP71" s="50">
        <f t="shared" si="261"/>
        <v>0</v>
      </c>
      <c r="BQ71" s="50">
        <f t="shared" si="316"/>
        <v>0</v>
      </c>
      <c r="BR71" s="50">
        <f>IF($AN71="N","N",SUM('調查資料(OUT)'!N77:N80))</f>
        <v>0</v>
      </c>
      <c r="BS71" s="50">
        <f>IF($AN71="N","N",SUM('調查資料(OUT)'!R77:R80))</f>
        <v>0</v>
      </c>
      <c r="BT71" s="50">
        <f>IF($AN71="N","N",SUM('調查資料(OUT)'!V77:V80))</f>
        <v>0</v>
      </c>
      <c r="BU71" s="56" t="e">
        <f t="shared" si="317"/>
        <v>#DIV/0!</v>
      </c>
      <c r="BV71" s="50">
        <f t="shared" si="318"/>
        <v>0</v>
      </c>
      <c r="BW71" s="50">
        <f>IF($AN71="N","N",SUM('調查資料(OUT)'!O77:O80))</f>
        <v>0</v>
      </c>
      <c r="BX71" s="50">
        <f>IF($AN71="N","N",SUM('調查資料(OUT)'!S77:S80))</f>
        <v>0</v>
      </c>
      <c r="BY71" s="50">
        <f>IF($AN71="N","N",SUM('調查資料(OUT)'!W77:W80))</f>
        <v>0</v>
      </c>
      <c r="BZ71" s="56" t="e">
        <f t="shared" si="319"/>
        <v>#DIV/0!</v>
      </c>
      <c r="CA71" s="50">
        <f t="shared" si="320"/>
        <v>0</v>
      </c>
      <c r="CB71" s="50">
        <f>IF($AN71="N","N",SUM('調查資料(OUT)'!P77:P80))</f>
        <v>0</v>
      </c>
      <c r="CC71" s="50">
        <f>IF($AN71="N","N",SUM('調查資料(OUT)'!T77:T80))</f>
        <v>0</v>
      </c>
      <c r="CD71" s="50">
        <f>IF($AN71="N","N",SUM('調查資料(OUT)'!X77:X80))</f>
        <v>0</v>
      </c>
      <c r="CE71" s="56" t="e">
        <f t="shared" si="321"/>
        <v>#DIV/0!</v>
      </c>
      <c r="CF71" s="50">
        <f t="shared" si="322"/>
        <v>0</v>
      </c>
      <c r="CG71" s="50">
        <f>IF($AN71="N","N",SUM('調查資料(OUT)'!Q77:Q80))</f>
        <v>0</v>
      </c>
      <c r="CH71" s="50">
        <f>IF($AN71="N","N",SUM('調查資料(OUT)'!U77:U80))</f>
        <v>0</v>
      </c>
      <c r="CI71" s="50">
        <f>IF($AN71="N","N",SUM('調查資料(OUT)'!Y77:Y80))</f>
        <v>0</v>
      </c>
      <c r="CJ71" s="56" t="e">
        <f t="shared" si="323"/>
        <v>#DIV/0!</v>
      </c>
      <c r="CK71" s="50">
        <f t="shared" si="262"/>
        <v>0</v>
      </c>
      <c r="CL71" s="56" t="e">
        <f t="shared" si="263"/>
        <v>#DIV/0!</v>
      </c>
      <c r="CM71" s="50">
        <f t="shared" si="264"/>
        <v>0</v>
      </c>
      <c r="CN71" s="56" t="e">
        <f t="shared" si="265"/>
        <v>#DIV/0!</v>
      </c>
      <c r="CO71" s="50">
        <f t="shared" si="266"/>
        <v>0</v>
      </c>
      <c r="CP71" s="56" t="e">
        <f t="shared" si="267"/>
        <v>#DIV/0!</v>
      </c>
      <c r="CQ71" s="50">
        <f t="shared" si="268"/>
        <v>0</v>
      </c>
      <c r="CR71" s="50">
        <f t="shared" si="324"/>
        <v>0</v>
      </c>
      <c r="CS71" s="50">
        <f>IF($AN71="N","N",SUM('調查資料(OUT)'!Z77:Z80))</f>
        <v>0</v>
      </c>
      <c r="CT71" s="50">
        <f>IF($AN71="N","N",SUM('調查資料(OUT)'!AD77:AD80))</f>
        <v>0</v>
      </c>
      <c r="CU71" s="50">
        <f>IF($AN71="N","N",SUM('調查資料(OUT)'!AH77:AH80))</f>
        <v>0</v>
      </c>
      <c r="CV71" s="56" t="e">
        <f t="shared" si="325"/>
        <v>#DIV/0!</v>
      </c>
      <c r="CW71" s="50">
        <f t="shared" si="326"/>
        <v>0</v>
      </c>
      <c r="CX71" s="50">
        <f>IF($AN71="N","N",SUM('調查資料(OUT)'!AA77:AA80))</f>
        <v>0</v>
      </c>
      <c r="CY71" s="50">
        <f>IF($AN71="N","N",SUM('調查資料(OUT)'!AE77:AE80))</f>
        <v>0</v>
      </c>
      <c r="CZ71" s="50">
        <f>IF($AN71="N","N",SUM('調查資料(OUT)'!AI77:AI80))</f>
        <v>0</v>
      </c>
      <c r="DA71" s="56" t="e">
        <f t="shared" si="327"/>
        <v>#DIV/0!</v>
      </c>
      <c r="DB71" s="50">
        <f t="shared" si="328"/>
        <v>0</v>
      </c>
      <c r="DC71" s="50">
        <f>IF($AN71="N","N",SUM('調查資料(OUT)'!AB77:AB80))</f>
        <v>0</v>
      </c>
      <c r="DD71" s="50">
        <f>IF($AN71="N","N",SUM('調查資料(OUT)'!AF77:AF80))</f>
        <v>0</v>
      </c>
      <c r="DE71" s="50">
        <f>IF($AN71="N","N",SUM('調查資料(OUT)'!AJ77:AJ80))</f>
        <v>0</v>
      </c>
      <c r="DF71" s="56" t="e">
        <f t="shared" si="329"/>
        <v>#DIV/0!</v>
      </c>
      <c r="DG71" s="50">
        <f t="shared" si="330"/>
        <v>0</v>
      </c>
      <c r="DH71" s="50">
        <f>IF($AN71="N","N",SUM('調查資料(OUT)'!AC77:AC80))</f>
        <v>0</v>
      </c>
      <c r="DI71" s="50">
        <f>IF($AN71="N","N",SUM('調查資料(OUT)'!AG77:AG80))</f>
        <v>0</v>
      </c>
      <c r="DJ71" s="50">
        <f>IF($AN71="N","N",SUM('調查資料(OUT)'!AK77:AK80))</f>
        <v>0</v>
      </c>
      <c r="DK71" s="56" t="e">
        <f t="shared" si="331"/>
        <v>#DIV/0!</v>
      </c>
      <c r="DL71" s="50">
        <f t="shared" si="269"/>
        <v>0</v>
      </c>
      <c r="DM71" s="56" t="e">
        <f t="shared" si="270"/>
        <v>#DIV/0!</v>
      </c>
      <c r="DN71" s="50">
        <f t="shared" si="271"/>
        <v>0</v>
      </c>
      <c r="DO71" s="56" t="e">
        <f t="shared" si="272"/>
        <v>#DIV/0!</v>
      </c>
      <c r="DP71" s="50">
        <f t="shared" si="273"/>
        <v>0</v>
      </c>
      <c r="DQ71" s="56" t="e">
        <f t="shared" si="274"/>
        <v>#DIV/0!</v>
      </c>
      <c r="DR71" s="50">
        <f t="shared" si="275"/>
        <v>0</v>
      </c>
      <c r="DS71" s="50">
        <f t="shared" si="332"/>
        <v>0</v>
      </c>
      <c r="DT71" s="50">
        <f>IF($AN71="N","N",SUM('調查資料(OUT)'!AL77:AL80))</f>
        <v>0</v>
      </c>
      <c r="DU71" s="50">
        <f>IF($AN71="N","N",SUM('調查資料(OUT)'!AP77:AP80))</f>
        <v>0</v>
      </c>
      <c r="DV71" s="50">
        <f>IF($AN71="N","N",SUM('調查資料(OUT)'!AT77:AT80))</f>
        <v>0</v>
      </c>
      <c r="DW71" s="56" t="e">
        <f t="shared" si="333"/>
        <v>#DIV/0!</v>
      </c>
      <c r="DX71" s="50">
        <f t="shared" si="334"/>
        <v>0</v>
      </c>
      <c r="DY71" s="50">
        <f>IF($AN71="N","N",SUM('調查資料(OUT)'!AM77:AM80))</f>
        <v>0</v>
      </c>
      <c r="DZ71" s="50">
        <f>IF($AN71="N","N",SUM('調查資料(OUT)'!AQ77:AQ80))</f>
        <v>0</v>
      </c>
      <c r="EA71" s="50">
        <f>IF($AN71="N","N",SUM('調查資料(OUT)'!AU77:AU80))</f>
        <v>0</v>
      </c>
      <c r="EB71" s="56" t="e">
        <f t="shared" si="335"/>
        <v>#DIV/0!</v>
      </c>
      <c r="EC71" s="50">
        <f t="shared" si="336"/>
        <v>0</v>
      </c>
      <c r="ED71" s="50">
        <f>IF($AN71="N","N",SUM('調查資料(OUT)'!AN77:AN80))</f>
        <v>0</v>
      </c>
      <c r="EE71" s="50">
        <f>IF($AN71="N","N",SUM('調查資料(OUT)'!AR77:AR80))</f>
        <v>0</v>
      </c>
      <c r="EF71" s="50">
        <f>IF($AN71="N","N",SUM('調查資料(OUT)'!AV77:AV80))</f>
        <v>0</v>
      </c>
      <c r="EG71" s="56" t="e">
        <f t="shared" si="337"/>
        <v>#DIV/0!</v>
      </c>
      <c r="EH71" s="50">
        <f t="shared" si="338"/>
        <v>0</v>
      </c>
      <c r="EI71" s="50">
        <f>IF($AN71="N","N",SUM('調查資料(OUT)'!AO77:AO80))</f>
        <v>0</v>
      </c>
      <c r="EJ71" s="50">
        <f>IF($AN71="N","N",SUM('調查資料(OUT)'!AS77:AS80))</f>
        <v>0</v>
      </c>
      <c r="EK71" s="50">
        <f>IF($AN71="N","N",SUM('調查資料(OUT)'!AW77:AW80))</f>
        <v>0</v>
      </c>
      <c r="EL71" s="56" t="e">
        <f t="shared" si="339"/>
        <v>#DIV/0!</v>
      </c>
      <c r="EM71" s="50">
        <f t="shared" si="276"/>
        <v>0</v>
      </c>
      <c r="EN71" s="56" t="e">
        <f t="shared" si="277"/>
        <v>#DIV/0!</v>
      </c>
      <c r="EO71" s="50">
        <f t="shared" si="278"/>
        <v>0</v>
      </c>
      <c r="EP71" s="56" t="e">
        <f t="shared" si="279"/>
        <v>#DIV/0!</v>
      </c>
      <c r="EQ71" s="50">
        <f t="shared" si="280"/>
        <v>0</v>
      </c>
      <c r="ER71" s="56" t="e">
        <f t="shared" si="281"/>
        <v>#DIV/0!</v>
      </c>
      <c r="ES71" s="50">
        <f t="shared" si="282"/>
        <v>0</v>
      </c>
      <c r="ET71" s="50">
        <f t="shared" si="340"/>
        <v>0</v>
      </c>
      <c r="EU71" s="50">
        <f>IF($AN71="N","N",SUM('調查資料(OUT)'!AX77:AX80))</f>
        <v>0</v>
      </c>
      <c r="EV71" s="50">
        <f>IF($AN71="N","N",SUM('調查資料(OUT)'!BB77:BB80))</f>
        <v>0</v>
      </c>
      <c r="EW71" s="50">
        <f>IF($AN71="N","N",SUM('調查資料(OUT)'!BF77:BF80))</f>
        <v>0</v>
      </c>
      <c r="EX71" s="56" t="e">
        <f t="shared" si="341"/>
        <v>#DIV/0!</v>
      </c>
      <c r="EY71" s="50">
        <f t="shared" si="342"/>
        <v>0</v>
      </c>
      <c r="EZ71" s="50">
        <f>IF($AN71="N","N",SUM('調查資料(OUT)'!AY77:AY80))</f>
        <v>0</v>
      </c>
      <c r="FA71" s="50">
        <f>IF($AN71="N","N",SUM('調查資料(OUT)'!BC77:BC80))</f>
        <v>0</v>
      </c>
      <c r="FB71" s="50">
        <f>IF($AN71="N","N",SUM('調查資料(OUT)'!BG77:BG80))</f>
        <v>0</v>
      </c>
      <c r="FC71" s="56" t="e">
        <f t="shared" si="343"/>
        <v>#DIV/0!</v>
      </c>
      <c r="FD71" s="50">
        <f t="shared" si="344"/>
        <v>0</v>
      </c>
      <c r="FE71" s="50">
        <f>IF($AN71="N","N",SUM('調查資料(OUT)'!AZ77:AZ80))</f>
        <v>0</v>
      </c>
      <c r="FF71" s="50">
        <f>IF($AN71="N","N",SUM('調查資料(OUT)'!BD77:BD80))</f>
        <v>0</v>
      </c>
      <c r="FG71" s="50">
        <f>IF($AN71="N","N",SUM('調查資料(OUT)'!BH77:BH80))</f>
        <v>0</v>
      </c>
      <c r="FH71" s="56" t="e">
        <f t="shared" si="345"/>
        <v>#DIV/0!</v>
      </c>
      <c r="FI71" s="50">
        <f t="shared" si="346"/>
        <v>0</v>
      </c>
      <c r="FJ71" s="50">
        <f>IF($AN71="N","N",SUM('調查資料(OUT)'!BA77:BA80))</f>
        <v>0</v>
      </c>
      <c r="FK71" s="50">
        <f>IF($AN71="N","N",SUM('調查資料(OUT)'!BE77:BE80))</f>
        <v>0</v>
      </c>
      <c r="FL71" s="50">
        <f>IF($AN71="N","N",SUM('調查資料(OUT)'!BI77:BI80))</f>
        <v>0</v>
      </c>
      <c r="FM71" s="56" t="e">
        <f t="shared" si="347"/>
        <v>#DIV/0!</v>
      </c>
      <c r="FN71" s="50">
        <f t="shared" si="246"/>
        <v>0</v>
      </c>
      <c r="FO71" s="56" t="e">
        <f t="shared" si="247"/>
        <v>#DIV/0!</v>
      </c>
      <c r="FP71" s="50">
        <f t="shared" si="248"/>
        <v>0</v>
      </c>
      <c r="FQ71" s="56" t="e">
        <f t="shared" si="249"/>
        <v>#DIV/0!</v>
      </c>
      <c r="FR71" s="50">
        <f t="shared" si="250"/>
        <v>0</v>
      </c>
      <c r="FS71" s="56" t="e">
        <f t="shared" si="251"/>
        <v>#DIV/0!</v>
      </c>
      <c r="FT71" s="50">
        <f t="shared" si="252"/>
        <v>0</v>
      </c>
    </row>
    <row r="72" spans="1:176">
      <c r="A72" s="322">
        <f>'調查資料(OUT)'!A78</f>
        <v>1645</v>
      </c>
      <c r="B72" s="323">
        <f t="shared" si="238"/>
        <v>0</v>
      </c>
      <c r="C72" s="323">
        <f>IFERROR('調查資料(OUT)'!$B$1*'調查資料(OUT)'!B78,0)+IFERROR('調查資料(OUT)'!$F$1*'調查資料(OUT)'!F78,0)+IFERROR('調查資料(OUT)'!$J$1*'調查資料(OUT)'!J78,0)</f>
        <v>0</v>
      </c>
      <c r="D72" s="323">
        <f>IFERROR('調查資料(OUT)'!$C$1*'調查資料(OUT)'!C78,0)+IFERROR('調查資料(OUT)'!$G$1*'調查資料(OUT)'!G78,0)+IFERROR('調查資料(OUT)'!$K$1*'調查資料(OUT)'!K78,0)</f>
        <v>0</v>
      </c>
      <c r="E72" s="323">
        <f>IFERROR('調查資料(OUT)'!$D$1*'調查資料(OUT)'!D78,0)+IFERROR('調查資料(OUT)'!$H$1*'調查資料(OUT)'!H78,0)+IFERROR('調查資料(OUT)'!$L$1*'調查資料(OUT)'!L78,0)</f>
        <v>0</v>
      </c>
      <c r="F72" s="324">
        <f>IFERROR('調查資料(OUT)'!$E$1*'調查資料(OUT)'!E78,0)+IFERROR('調查資料(OUT)'!$I$1*'調查資料(OUT)'!I78,0)+IFERROR('調查資料(OUT)'!$M$1*'調查資料(OUT)'!M78,0)</f>
        <v>0</v>
      </c>
      <c r="G72" s="323">
        <f t="shared" si="239"/>
        <v>0</v>
      </c>
      <c r="H72" s="323">
        <f>IFERROR('調查資料(OUT)'!$N$1*'調查資料(OUT)'!N78,0)+IFERROR('調查資料(OUT)'!$R$1*'調查資料(OUT)'!R78,0)+IFERROR('調查資料(OUT)'!$V$1*'調查資料(OUT)'!V78,0)</f>
        <v>0</v>
      </c>
      <c r="I72" s="323">
        <f>IFERROR('調查資料(OUT)'!$O$1*'調查資料(OUT)'!O78,0)+IFERROR('調查資料(OUT)'!$S$1*'調查資料(OUT)'!S78,0)+IFERROR('調查資料(OUT)'!$W$1*'調查資料(OUT)'!W78,0)</f>
        <v>0</v>
      </c>
      <c r="J72" s="323">
        <f>IFERROR('調查資料(OUT)'!$P$1*'調查資料(OUT)'!P78,0)+IFERROR('調查資料(OUT)'!$T$1*'調查資料(OUT)'!T78,0)+IFERROR('調查資料(OUT)'!$X$1*'調查資料(OUT)'!X78,0)</f>
        <v>0</v>
      </c>
      <c r="K72" s="324">
        <f>IFERROR('調查資料(OUT)'!$Q$1*'調查資料(OUT)'!Q78,0)+IFERROR('調查資料(OUT)'!$U$1*'調查資料(OUT)'!U78,0)+IFERROR('調查資料(OUT)'!$Y$1*'調查資料(OUT)'!Y78,0)</f>
        <v>0</v>
      </c>
      <c r="L72" s="323">
        <f t="shared" si="240"/>
        <v>0</v>
      </c>
      <c r="M72" s="323">
        <f>IFERROR('調查資料(OUT)'!$Z$1*'調查資料(OUT)'!Z78,0)+IFERROR('調查資料(OUT)'!$AD$1*'調查資料(OUT)'!AD78,0)+IFERROR('調查資料(OUT)'!$AH$1*'調查資料(OUT)'!AH78,0)</f>
        <v>0</v>
      </c>
      <c r="N72" s="323">
        <f>IFERROR('調查資料(OUT)'!$AA$1*'調查資料(OUT)'!AA78,0)+IFERROR('調查資料(OUT)'!$AE$1*'調查資料(OUT)'!AE78,0)+IFERROR('調查資料(OUT)'!$AI$1*'調查資料(OUT)'!AI78,0)</f>
        <v>0</v>
      </c>
      <c r="O72" s="323">
        <f>IFERROR('調查資料(OUT)'!$AB$1*'調查資料(OUT)'!AB78,0)+IFERROR('調查資料(OUT)'!$AF$1*'調查資料(OUT)'!AF78,0)+IFERROR('調查資料(OUT)'!$AJ$1*'調查資料(OUT)'!AJ78,0)</f>
        <v>0</v>
      </c>
      <c r="P72" s="324">
        <f>IFERROR('調查資料(OUT)'!$AC$1*'調查資料(OUT)'!AC78,0)+IFERROR('調查資料(OUT)'!$AG$1*'調查資料(OUT)'!AG78,0)+IFERROR('調查資料(OUT)'!$AK$1*'調查資料(OUT)'!AK78,0)</f>
        <v>0</v>
      </c>
      <c r="Q72" s="323">
        <f t="shared" si="241"/>
        <v>0</v>
      </c>
      <c r="R72" s="323">
        <f>IFERROR('調查資料(OUT)'!$AL$1*'調查資料(OUT)'!AL78,0)+IFERROR('調查資料(OUT)'!$AP$1*'調查資料(OUT)'!AP78,0)+IFERROR('調查資料(OUT)'!$AT$1*'調查資料(OUT)'!AT78,0)</f>
        <v>0</v>
      </c>
      <c r="S72" s="323">
        <f>IFERROR('調查資料(OUT)'!$AM$1*'調查資料(OUT)'!AM78,0)+IFERROR('調查資料(OUT)'!$AQ$1*'調查資料(OUT)'!AQ78,0)+IFERROR('調查資料(OUT)'!$AU$1*'調查資料(OUT)'!AU78,0)</f>
        <v>0</v>
      </c>
      <c r="T72" s="323">
        <f>IFERROR('調查資料(OUT)'!$AN$1*'調查資料(OUT)'!AN78,0)+IFERROR('調查資料(OUT)'!$AR$1*'調查資料(OUT)'!AR78,0)+IFERROR('調查資料(OUT)'!$AV$1*'調查資料(OUT)'!AV78,0)</f>
        <v>0</v>
      </c>
      <c r="U72" s="324">
        <f>IFERROR('調查資料(OUT)'!$AO$1*'調查資料(OUT)'!AO78,0)+IFERROR('調查資料(OUT)'!$AS$1*'調查資料(OUT)'!AS78,0)+IFERROR('調查資料(OUT)'!$AW$1*'調查資料(OUT)'!AW78,0)</f>
        <v>0</v>
      </c>
      <c r="V72" s="323">
        <f t="shared" si="242"/>
        <v>0</v>
      </c>
      <c r="W72" s="323">
        <f>IFERROR('調查資料(OUT)'!$AX$1*'調查資料(OUT)'!AX78,0)+IFERROR('調查資料(OUT)'!$BB$1*'調查資料(OUT)'!BB78,0)+IFERROR('調查資料(OUT)'!$BF$1*'調查資料(OUT)'!BF78,0)</f>
        <v>0</v>
      </c>
      <c r="X72" s="323">
        <f>IFERROR('調查資料(OUT)'!$AY$1*'調查資料(OUT)'!AY78,0)+IFERROR('調查資料(OUT)'!$BC$1*'調查資料(OUT)'!BC78,0)+IFERROR('調查資料(OUT)'!$BG$1*'調查資料(OUT)'!BG78,0)</f>
        <v>0</v>
      </c>
      <c r="Y72" s="323">
        <f>IFERROR('調查資料(OUT)'!$AZ$1*'調查資料(OUT)'!AZ78,0)+IFERROR('調查資料(OUT)'!$BD$1*'調查資料(OUT)'!BD78,0)+IFERROR('調查資料(OUT)'!$BH$1*'調查資料(OUT)'!BH78,0)</f>
        <v>0</v>
      </c>
      <c r="Z72" s="324">
        <f>IFERROR('調查資料(OUT)'!$BA$1*'調查資料(OUT)'!BA78,0)+IFERROR('調查資料(OUT)'!$BE$1*'調查資料(OUT)'!BE78,0)+IFERROR('調查資料(OUT)'!$BI$1*'調查資料(OUT)'!BI78,0)</f>
        <v>0</v>
      </c>
      <c r="AA72" s="325">
        <f t="shared" si="243"/>
        <v>0</v>
      </c>
      <c r="AC72" s="363">
        <f>'調查資料(OUT)'!A78</f>
        <v>1645</v>
      </c>
      <c r="AD72" s="364">
        <f t="shared" si="244"/>
        <v>1745</v>
      </c>
      <c r="AE72" s="323">
        <f t="shared" si="254"/>
        <v>0</v>
      </c>
      <c r="AF72" s="323"/>
      <c r="AG72" s="323">
        <f t="shared" si="356"/>
        <v>0</v>
      </c>
      <c r="AH72" s="366" t="e">
        <f t="shared" si="357"/>
        <v>#DIV/0!</v>
      </c>
      <c r="AI72" s="366" t="e">
        <f t="shared" si="358"/>
        <v>#DIV/0!</v>
      </c>
      <c r="AJ72" s="366" t="e">
        <f t="shared" si="359"/>
        <v>#DIV/0!</v>
      </c>
      <c r="AK72" s="366" t="e">
        <f t="shared" si="360"/>
        <v>#DIV/0!</v>
      </c>
      <c r="AL72" s="366" t="e">
        <f t="shared" si="361"/>
        <v>#DIV/0!</v>
      </c>
      <c r="AM72" s="368"/>
      <c r="AN72" s="323">
        <f t="shared" si="362"/>
        <v>1645</v>
      </c>
      <c r="AO72" s="324">
        <f t="shared" si="363"/>
        <v>1745</v>
      </c>
      <c r="AP72" s="50">
        <f t="shared" si="245"/>
        <v>0</v>
      </c>
      <c r="AQ72" s="50">
        <f>IF($AN72="N","N",SUM('調查資料(OUT)'!B78:B81))</f>
        <v>0</v>
      </c>
      <c r="AR72" s="50">
        <f>IF($AN72="N","N",SUM('調查資料(OUT)'!F78:F81))</f>
        <v>0</v>
      </c>
      <c r="AS72" s="50">
        <f>IF($AN72="N","N",SUM('調查資料(OUT)'!J78:J81))</f>
        <v>0</v>
      </c>
      <c r="AT72" s="56" t="e">
        <f t="shared" si="309"/>
        <v>#DIV/0!</v>
      </c>
      <c r="AU72" s="50">
        <f t="shared" si="310"/>
        <v>0</v>
      </c>
      <c r="AV72" s="50">
        <f>IF($AN72="N","N",SUM('調查資料(OUT)'!C78:C81))</f>
        <v>0</v>
      </c>
      <c r="AW72" s="50">
        <f>IF($AN72="N","N",SUM('調查資料(OUT)'!G78:G81))</f>
        <v>0</v>
      </c>
      <c r="AX72" s="50">
        <f>IF($AN72="N","N",SUM('調查資料(OUT)'!K78:K81))</f>
        <v>0</v>
      </c>
      <c r="AY72" s="56" t="e">
        <f t="shared" si="311"/>
        <v>#DIV/0!</v>
      </c>
      <c r="AZ72" s="50">
        <f t="shared" si="312"/>
        <v>0</v>
      </c>
      <c r="BA72" s="50">
        <f>IF($AN72="N","N",SUM('調查資料(OUT)'!D78:D81))</f>
        <v>0</v>
      </c>
      <c r="BB72" s="50">
        <f>IF($AN72="N","N",SUM('調查資料(OUT)'!H78:H81))</f>
        <v>0</v>
      </c>
      <c r="BC72" s="50">
        <f>IF($AN72="N","N",SUM('調查資料(OUT)'!L78:L81))</f>
        <v>0</v>
      </c>
      <c r="BD72" s="56" t="e">
        <f t="shared" si="313"/>
        <v>#DIV/0!</v>
      </c>
      <c r="BE72" s="50">
        <f t="shared" si="314"/>
        <v>0</v>
      </c>
      <c r="BF72" s="50">
        <f>IF($AN72="N","N",SUM('調查資料(OUT)'!E78:E81))</f>
        <v>0</v>
      </c>
      <c r="BG72" s="50">
        <f>IF($AN72="N","N",SUM('調查資料(OUT)'!I78:I81))</f>
        <v>0</v>
      </c>
      <c r="BH72" s="50">
        <f>IF($AN72="N","N",SUM('調查資料(OUT)'!M78:M81))</f>
        <v>0</v>
      </c>
      <c r="BI72" s="56" t="e">
        <f t="shared" si="315"/>
        <v>#DIV/0!</v>
      </c>
      <c r="BJ72" s="50">
        <f t="shared" si="255"/>
        <v>0</v>
      </c>
      <c r="BK72" s="56" t="e">
        <f t="shared" si="256"/>
        <v>#DIV/0!</v>
      </c>
      <c r="BL72" s="50">
        <f t="shared" si="257"/>
        <v>0</v>
      </c>
      <c r="BM72" s="56" t="e">
        <f t="shared" si="258"/>
        <v>#DIV/0!</v>
      </c>
      <c r="BN72" s="50">
        <f t="shared" si="259"/>
        <v>0</v>
      </c>
      <c r="BO72" s="56" t="e">
        <f t="shared" si="260"/>
        <v>#DIV/0!</v>
      </c>
      <c r="BP72" s="50">
        <f t="shared" si="261"/>
        <v>0</v>
      </c>
      <c r="BQ72" s="50">
        <f t="shared" si="316"/>
        <v>0</v>
      </c>
      <c r="BR72" s="50">
        <f>IF($AN72="N","N",SUM('調查資料(OUT)'!N78:N81))</f>
        <v>0</v>
      </c>
      <c r="BS72" s="50">
        <f>IF($AN72="N","N",SUM('調查資料(OUT)'!R78:R81))</f>
        <v>0</v>
      </c>
      <c r="BT72" s="50">
        <f>IF($AN72="N","N",SUM('調查資料(OUT)'!V78:V81))</f>
        <v>0</v>
      </c>
      <c r="BU72" s="56" t="e">
        <f t="shared" si="317"/>
        <v>#DIV/0!</v>
      </c>
      <c r="BV72" s="50">
        <f t="shared" si="318"/>
        <v>0</v>
      </c>
      <c r="BW72" s="50">
        <f>IF($AN72="N","N",SUM('調查資料(OUT)'!O78:O81))</f>
        <v>0</v>
      </c>
      <c r="BX72" s="50">
        <f>IF($AN72="N","N",SUM('調查資料(OUT)'!S78:S81))</f>
        <v>0</v>
      </c>
      <c r="BY72" s="50">
        <f>IF($AN72="N","N",SUM('調查資料(OUT)'!W78:W81))</f>
        <v>0</v>
      </c>
      <c r="BZ72" s="56" t="e">
        <f t="shared" si="319"/>
        <v>#DIV/0!</v>
      </c>
      <c r="CA72" s="50">
        <f t="shared" si="320"/>
        <v>0</v>
      </c>
      <c r="CB72" s="50">
        <f>IF($AN72="N","N",SUM('調查資料(OUT)'!P78:P81))</f>
        <v>0</v>
      </c>
      <c r="CC72" s="50">
        <f>IF($AN72="N","N",SUM('調查資料(OUT)'!T78:T81))</f>
        <v>0</v>
      </c>
      <c r="CD72" s="50">
        <f>IF($AN72="N","N",SUM('調查資料(OUT)'!X78:X81))</f>
        <v>0</v>
      </c>
      <c r="CE72" s="56" t="e">
        <f t="shared" si="321"/>
        <v>#DIV/0!</v>
      </c>
      <c r="CF72" s="50">
        <f t="shared" si="322"/>
        <v>0</v>
      </c>
      <c r="CG72" s="50">
        <f>IF($AN72="N","N",SUM('調查資料(OUT)'!Q78:Q81))</f>
        <v>0</v>
      </c>
      <c r="CH72" s="50">
        <f>IF($AN72="N","N",SUM('調查資料(OUT)'!U78:U81))</f>
        <v>0</v>
      </c>
      <c r="CI72" s="50">
        <f>IF($AN72="N","N",SUM('調查資料(OUT)'!Y78:Y81))</f>
        <v>0</v>
      </c>
      <c r="CJ72" s="56" t="e">
        <f t="shared" si="323"/>
        <v>#DIV/0!</v>
      </c>
      <c r="CK72" s="50">
        <f t="shared" si="262"/>
        <v>0</v>
      </c>
      <c r="CL72" s="56" t="e">
        <f t="shared" si="263"/>
        <v>#DIV/0!</v>
      </c>
      <c r="CM72" s="50">
        <f t="shared" si="264"/>
        <v>0</v>
      </c>
      <c r="CN72" s="56" t="e">
        <f t="shared" si="265"/>
        <v>#DIV/0!</v>
      </c>
      <c r="CO72" s="50">
        <f t="shared" si="266"/>
        <v>0</v>
      </c>
      <c r="CP72" s="56" t="e">
        <f t="shared" si="267"/>
        <v>#DIV/0!</v>
      </c>
      <c r="CQ72" s="50">
        <f t="shared" si="268"/>
        <v>0</v>
      </c>
      <c r="CR72" s="50">
        <f t="shared" si="324"/>
        <v>0</v>
      </c>
      <c r="CS72" s="50">
        <f>IF($AN72="N","N",SUM('調查資料(OUT)'!Z78:Z81))</f>
        <v>0</v>
      </c>
      <c r="CT72" s="50">
        <f>IF($AN72="N","N",SUM('調查資料(OUT)'!AD78:AD81))</f>
        <v>0</v>
      </c>
      <c r="CU72" s="50">
        <f>IF($AN72="N","N",SUM('調查資料(OUT)'!AH78:AH81))</f>
        <v>0</v>
      </c>
      <c r="CV72" s="56" t="e">
        <f t="shared" si="325"/>
        <v>#DIV/0!</v>
      </c>
      <c r="CW72" s="50">
        <f t="shared" si="326"/>
        <v>0</v>
      </c>
      <c r="CX72" s="50">
        <f>IF($AN72="N","N",SUM('調查資料(OUT)'!AA78:AA81))</f>
        <v>0</v>
      </c>
      <c r="CY72" s="50">
        <f>IF($AN72="N","N",SUM('調查資料(OUT)'!AE78:AE81))</f>
        <v>0</v>
      </c>
      <c r="CZ72" s="50">
        <f>IF($AN72="N","N",SUM('調查資料(OUT)'!AI78:AI81))</f>
        <v>0</v>
      </c>
      <c r="DA72" s="56" t="e">
        <f t="shared" si="327"/>
        <v>#DIV/0!</v>
      </c>
      <c r="DB72" s="50">
        <f t="shared" si="328"/>
        <v>0</v>
      </c>
      <c r="DC72" s="50">
        <f>IF($AN72="N","N",SUM('調查資料(OUT)'!AB78:AB81))</f>
        <v>0</v>
      </c>
      <c r="DD72" s="50">
        <f>IF($AN72="N","N",SUM('調查資料(OUT)'!AF78:AF81))</f>
        <v>0</v>
      </c>
      <c r="DE72" s="50">
        <f>IF($AN72="N","N",SUM('調查資料(OUT)'!AJ78:AJ81))</f>
        <v>0</v>
      </c>
      <c r="DF72" s="56" t="e">
        <f t="shared" si="329"/>
        <v>#DIV/0!</v>
      </c>
      <c r="DG72" s="50">
        <f t="shared" si="330"/>
        <v>0</v>
      </c>
      <c r="DH72" s="50">
        <f>IF($AN72="N","N",SUM('調查資料(OUT)'!AC78:AC81))</f>
        <v>0</v>
      </c>
      <c r="DI72" s="50">
        <f>IF($AN72="N","N",SUM('調查資料(OUT)'!AG78:AG81))</f>
        <v>0</v>
      </c>
      <c r="DJ72" s="50">
        <f>IF($AN72="N","N",SUM('調查資料(OUT)'!AK78:AK81))</f>
        <v>0</v>
      </c>
      <c r="DK72" s="56" t="e">
        <f t="shared" si="331"/>
        <v>#DIV/0!</v>
      </c>
      <c r="DL72" s="50">
        <f t="shared" si="269"/>
        <v>0</v>
      </c>
      <c r="DM72" s="56" t="e">
        <f t="shared" si="270"/>
        <v>#DIV/0!</v>
      </c>
      <c r="DN72" s="50">
        <f t="shared" si="271"/>
        <v>0</v>
      </c>
      <c r="DO72" s="56" t="e">
        <f t="shared" si="272"/>
        <v>#DIV/0!</v>
      </c>
      <c r="DP72" s="50">
        <f t="shared" si="273"/>
        <v>0</v>
      </c>
      <c r="DQ72" s="56" t="e">
        <f t="shared" si="274"/>
        <v>#DIV/0!</v>
      </c>
      <c r="DR72" s="50">
        <f t="shared" si="275"/>
        <v>0</v>
      </c>
      <c r="DS72" s="50">
        <f t="shared" si="332"/>
        <v>0</v>
      </c>
      <c r="DT72" s="50">
        <f>IF($AN72="N","N",SUM('調查資料(OUT)'!AL78:AL81))</f>
        <v>0</v>
      </c>
      <c r="DU72" s="50">
        <f>IF($AN72="N","N",SUM('調查資料(OUT)'!AP78:AP81))</f>
        <v>0</v>
      </c>
      <c r="DV72" s="50">
        <f>IF($AN72="N","N",SUM('調查資料(OUT)'!AT78:AT81))</f>
        <v>0</v>
      </c>
      <c r="DW72" s="56" t="e">
        <f t="shared" si="333"/>
        <v>#DIV/0!</v>
      </c>
      <c r="DX72" s="50">
        <f t="shared" si="334"/>
        <v>0</v>
      </c>
      <c r="DY72" s="50">
        <f>IF($AN72="N","N",SUM('調查資料(OUT)'!AM78:AM81))</f>
        <v>0</v>
      </c>
      <c r="DZ72" s="50">
        <f>IF($AN72="N","N",SUM('調查資料(OUT)'!AQ78:AQ81))</f>
        <v>0</v>
      </c>
      <c r="EA72" s="50">
        <f>IF($AN72="N","N",SUM('調查資料(OUT)'!AU78:AU81))</f>
        <v>0</v>
      </c>
      <c r="EB72" s="56" t="e">
        <f t="shared" si="335"/>
        <v>#DIV/0!</v>
      </c>
      <c r="EC72" s="50">
        <f t="shared" si="336"/>
        <v>0</v>
      </c>
      <c r="ED72" s="50">
        <f>IF($AN72="N","N",SUM('調查資料(OUT)'!AN78:AN81))</f>
        <v>0</v>
      </c>
      <c r="EE72" s="50">
        <f>IF($AN72="N","N",SUM('調查資料(OUT)'!AR78:AR81))</f>
        <v>0</v>
      </c>
      <c r="EF72" s="50">
        <f>IF($AN72="N","N",SUM('調查資料(OUT)'!AV78:AV81))</f>
        <v>0</v>
      </c>
      <c r="EG72" s="56" t="e">
        <f t="shared" si="337"/>
        <v>#DIV/0!</v>
      </c>
      <c r="EH72" s="50">
        <f t="shared" si="338"/>
        <v>0</v>
      </c>
      <c r="EI72" s="50">
        <f>IF($AN72="N","N",SUM('調查資料(OUT)'!AO78:AO81))</f>
        <v>0</v>
      </c>
      <c r="EJ72" s="50">
        <f>IF($AN72="N","N",SUM('調查資料(OUT)'!AS78:AS81))</f>
        <v>0</v>
      </c>
      <c r="EK72" s="50">
        <f>IF($AN72="N","N",SUM('調查資料(OUT)'!AW78:AW81))</f>
        <v>0</v>
      </c>
      <c r="EL72" s="56" t="e">
        <f t="shared" si="339"/>
        <v>#DIV/0!</v>
      </c>
      <c r="EM72" s="50">
        <f t="shared" si="276"/>
        <v>0</v>
      </c>
      <c r="EN72" s="56" t="e">
        <f t="shared" si="277"/>
        <v>#DIV/0!</v>
      </c>
      <c r="EO72" s="50">
        <f t="shared" si="278"/>
        <v>0</v>
      </c>
      <c r="EP72" s="56" t="e">
        <f t="shared" si="279"/>
        <v>#DIV/0!</v>
      </c>
      <c r="EQ72" s="50">
        <f t="shared" si="280"/>
        <v>0</v>
      </c>
      <c r="ER72" s="56" t="e">
        <f t="shared" si="281"/>
        <v>#DIV/0!</v>
      </c>
      <c r="ES72" s="50">
        <f t="shared" si="282"/>
        <v>0</v>
      </c>
      <c r="ET72" s="50">
        <f t="shared" si="340"/>
        <v>0</v>
      </c>
      <c r="EU72" s="50">
        <f>IF($AN72="N","N",SUM('調查資料(OUT)'!AX78:AX81))</f>
        <v>0</v>
      </c>
      <c r="EV72" s="50">
        <f>IF($AN72="N","N",SUM('調查資料(OUT)'!BB78:BB81))</f>
        <v>0</v>
      </c>
      <c r="EW72" s="50">
        <f>IF($AN72="N","N",SUM('調查資料(OUT)'!BF78:BF81))</f>
        <v>0</v>
      </c>
      <c r="EX72" s="56" t="e">
        <f t="shared" si="341"/>
        <v>#DIV/0!</v>
      </c>
      <c r="EY72" s="50">
        <f t="shared" si="342"/>
        <v>0</v>
      </c>
      <c r="EZ72" s="50">
        <f>IF($AN72="N","N",SUM('調查資料(OUT)'!AY78:AY81))</f>
        <v>0</v>
      </c>
      <c r="FA72" s="50">
        <f>IF($AN72="N","N",SUM('調查資料(OUT)'!BC78:BC81))</f>
        <v>0</v>
      </c>
      <c r="FB72" s="50">
        <f>IF($AN72="N","N",SUM('調查資料(OUT)'!BG78:BG81))</f>
        <v>0</v>
      </c>
      <c r="FC72" s="56" t="e">
        <f t="shared" si="343"/>
        <v>#DIV/0!</v>
      </c>
      <c r="FD72" s="50">
        <f t="shared" si="344"/>
        <v>0</v>
      </c>
      <c r="FE72" s="50">
        <f>IF($AN72="N","N",SUM('調查資料(OUT)'!AZ78:AZ81))</f>
        <v>0</v>
      </c>
      <c r="FF72" s="50">
        <f>IF($AN72="N","N",SUM('調查資料(OUT)'!BD78:BD81))</f>
        <v>0</v>
      </c>
      <c r="FG72" s="50">
        <f>IF($AN72="N","N",SUM('調查資料(OUT)'!BH78:BH81))</f>
        <v>0</v>
      </c>
      <c r="FH72" s="56" t="e">
        <f t="shared" si="345"/>
        <v>#DIV/0!</v>
      </c>
      <c r="FI72" s="50">
        <f t="shared" si="346"/>
        <v>0</v>
      </c>
      <c r="FJ72" s="50">
        <f>IF($AN72="N","N",SUM('調查資料(OUT)'!BA78:BA81))</f>
        <v>0</v>
      </c>
      <c r="FK72" s="50">
        <f>IF($AN72="N","N",SUM('調查資料(OUT)'!BE78:BE81))</f>
        <v>0</v>
      </c>
      <c r="FL72" s="50">
        <f>IF($AN72="N","N",SUM('調查資料(OUT)'!BI78:BI81))</f>
        <v>0</v>
      </c>
      <c r="FM72" s="56" t="e">
        <f t="shared" si="347"/>
        <v>#DIV/0!</v>
      </c>
      <c r="FN72" s="50">
        <f t="shared" si="246"/>
        <v>0</v>
      </c>
      <c r="FO72" s="56" t="e">
        <f t="shared" si="247"/>
        <v>#DIV/0!</v>
      </c>
      <c r="FP72" s="50">
        <f t="shared" si="248"/>
        <v>0</v>
      </c>
      <c r="FQ72" s="56" t="e">
        <f t="shared" si="249"/>
        <v>#DIV/0!</v>
      </c>
      <c r="FR72" s="50">
        <f t="shared" si="250"/>
        <v>0</v>
      </c>
      <c r="FS72" s="56" t="e">
        <f t="shared" si="251"/>
        <v>#DIV/0!</v>
      </c>
      <c r="FT72" s="50">
        <f t="shared" si="252"/>
        <v>0</v>
      </c>
    </row>
    <row r="73" spans="1:176">
      <c r="A73" s="322">
        <f>'調查資料(OUT)'!A79</f>
        <v>1700</v>
      </c>
      <c r="B73" s="323">
        <f t="shared" si="238"/>
        <v>0</v>
      </c>
      <c r="C73" s="323">
        <f>IFERROR('調查資料(OUT)'!$B$1*'調查資料(OUT)'!B79,0)+IFERROR('調查資料(OUT)'!$F$1*'調查資料(OUT)'!F79,0)+IFERROR('調查資料(OUT)'!$J$1*'調查資料(OUT)'!J79,0)</f>
        <v>0</v>
      </c>
      <c r="D73" s="323">
        <f>IFERROR('調查資料(OUT)'!$C$1*'調查資料(OUT)'!C79,0)+IFERROR('調查資料(OUT)'!$G$1*'調查資料(OUT)'!G79,0)+IFERROR('調查資料(OUT)'!$K$1*'調查資料(OUT)'!K79,0)</f>
        <v>0</v>
      </c>
      <c r="E73" s="323">
        <f>IFERROR('調查資料(OUT)'!$D$1*'調查資料(OUT)'!D79,0)+IFERROR('調查資料(OUT)'!$H$1*'調查資料(OUT)'!H79,0)+IFERROR('調查資料(OUT)'!$L$1*'調查資料(OUT)'!L79,0)</f>
        <v>0</v>
      </c>
      <c r="F73" s="324">
        <f>IFERROR('調查資料(OUT)'!$E$1*'調查資料(OUT)'!E79,0)+IFERROR('調查資料(OUT)'!$I$1*'調查資料(OUT)'!I79,0)+IFERROR('調查資料(OUT)'!$M$1*'調查資料(OUT)'!M79,0)</f>
        <v>0</v>
      </c>
      <c r="G73" s="323">
        <f t="shared" si="239"/>
        <v>0</v>
      </c>
      <c r="H73" s="323">
        <f>IFERROR('調查資料(OUT)'!$N$1*'調查資料(OUT)'!N79,0)+IFERROR('調查資料(OUT)'!$R$1*'調查資料(OUT)'!R79,0)+IFERROR('調查資料(OUT)'!$V$1*'調查資料(OUT)'!V79,0)</f>
        <v>0</v>
      </c>
      <c r="I73" s="323">
        <f>IFERROR('調查資料(OUT)'!$O$1*'調查資料(OUT)'!O79,0)+IFERROR('調查資料(OUT)'!$S$1*'調查資料(OUT)'!S79,0)+IFERROR('調查資料(OUT)'!$W$1*'調查資料(OUT)'!W79,0)</f>
        <v>0</v>
      </c>
      <c r="J73" s="323">
        <f>IFERROR('調查資料(OUT)'!$P$1*'調查資料(OUT)'!P79,0)+IFERROR('調查資料(OUT)'!$T$1*'調查資料(OUT)'!T79,0)+IFERROR('調查資料(OUT)'!$X$1*'調查資料(OUT)'!X79,0)</f>
        <v>0</v>
      </c>
      <c r="K73" s="324">
        <f>IFERROR('調查資料(OUT)'!$Q$1*'調查資料(OUT)'!Q79,0)+IFERROR('調查資料(OUT)'!$U$1*'調查資料(OUT)'!U79,0)+IFERROR('調查資料(OUT)'!$Y$1*'調查資料(OUT)'!Y79,0)</f>
        <v>0</v>
      </c>
      <c r="L73" s="323">
        <f t="shared" si="240"/>
        <v>0</v>
      </c>
      <c r="M73" s="323">
        <f>IFERROR('調查資料(OUT)'!$Z$1*'調查資料(OUT)'!Z79,0)+IFERROR('調查資料(OUT)'!$AD$1*'調查資料(OUT)'!AD79,0)+IFERROR('調查資料(OUT)'!$AH$1*'調查資料(OUT)'!AH79,0)</f>
        <v>0</v>
      </c>
      <c r="N73" s="323">
        <f>IFERROR('調查資料(OUT)'!$AA$1*'調查資料(OUT)'!AA79,0)+IFERROR('調查資料(OUT)'!$AE$1*'調查資料(OUT)'!AE79,0)+IFERROR('調查資料(OUT)'!$AI$1*'調查資料(OUT)'!AI79,0)</f>
        <v>0</v>
      </c>
      <c r="O73" s="323">
        <f>IFERROR('調查資料(OUT)'!$AB$1*'調查資料(OUT)'!AB79,0)+IFERROR('調查資料(OUT)'!$AF$1*'調查資料(OUT)'!AF79,0)+IFERROR('調查資料(OUT)'!$AJ$1*'調查資料(OUT)'!AJ79,0)</f>
        <v>0</v>
      </c>
      <c r="P73" s="324">
        <f>IFERROR('調查資料(OUT)'!$AC$1*'調查資料(OUT)'!AC79,0)+IFERROR('調查資料(OUT)'!$AG$1*'調查資料(OUT)'!AG79,0)+IFERROR('調查資料(OUT)'!$AK$1*'調查資料(OUT)'!AK79,0)</f>
        <v>0</v>
      </c>
      <c r="Q73" s="323">
        <f t="shared" si="241"/>
        <v>0</v>
      </c>
      <c r="R73" s="323">
        <f>IFERROR('調查資料(OUT)'!$AL$1*'調查資料(OUT)'!AL79,0)+IFERROR('調查資料(OUT)'!$AP$1*'調查資料(OUT)'!AP79,0)+IFERROR('調查資料(OUT)'!$AT$1*'調查資料(OUT)'!AT79,0)</f>
        <v>0</v>
      </c>
      <c r="S73" s="323">
        <f>IFERROR('調查資料(OUT)'!$AM$1*'調查資料(OUT)'!AM79,0)+IFERROR('調查資料(OUT)'!$AQ$1*'調查資料(OUT)'!AQ79,0)+IFERROR('調查資料(OUT)'!$AU$1*'調查資料(OUT)'!AU79,0)</f>
        <v>0</v>
      </c>
      <c r="T73" s="323">
        <f>IFERROR('調查資料(OUT)'!$AN$1*'調查資料(OUT)'!AN79,0)+IFERROR('調查資料(OUT)'!$AR$1*'調查資料(OUT)'!AR79,0)+IFERROR('調查資料(OUT)'!$AV$1*'調查資料(OUT)'!AV79,0)</f>
        <v>0</v>
      </c>
      <c r="U73" s="324">
        <f>IFERROR('調查資料(OUT)'!$AO$1*'調查資料(OUT)'!AO79,0)+IFERROR('調查資料(OUT)'!$AS$1*'調查資料(OUT)'!AS79,0)+IFERROR('調查資料(OUT)'!$AW$1*'調查資料(OUT)'!AW79,0)</f>
        <v>0</v>
      </c>
      <c r="V73" s="323">
        <f t="shared" si="242"/>
        <v>0</v>
      </c>
      <c r="W73" s="323">
        <f>IFERROR('調查資料(OUT)'!$AX$1*'調查資料(OUT)'!AX79,0)+IFERROR('調查資料(OUT)'!$BB$1*'調查資料(OUT)'!BB79,0)+IFERROR('調查資料(OUT)'!$BF$1*'調查資料(OUT)'!BF79,0)</f>
        <v>0</v>
      </c>
      <c r="X73" s="323">
        <f>IFERROR('調查資料(OUT)'!$AY$1*'調查資料(OUT)'!AY79,0)+IFERROR('調查資料(OUT)'!$BC$1*'調查資料(OUT)'!BC79,0)+IFERROR('調查資料(OUT)'!$BG$1*'調查資料(OUT)'!BG79,0)</f>
        <v>0</v>
      </c>
      <c r="Y73" s="323">
        <f>IFERROR('調查資料(OUT)'!$AZ$1*'調查資料(OUT)'!AZ79,0)+IFERROR('調查資料(OUT)'!$BD$1*'調查資料(OUT)'!BD79,0)+IFERROR('調查資料(OUT)'!$BH$1*'調查資料(OUT)'!BH79,0)</f>
        <v>0</v>
      </c>
      <c r="Z73" s="324">
        <f>IFERROR('調查資料(OUT)'!$BA$1*'調查資料(OUT)'!BA79,0)+IFERROR('調查資料(OUT)'!$BE$1*'調查資料(OUT)'!BE79,0)+IFERROR('調查資料(OUT)'!$BI$1*'調查資料(OUT)'!BI79,0)</f>
        <v>0</v>
      </c>
      <c r="AA73" s="325">
        <f t="shared" si="243"/>
        <v>0</v>
      </c>
      <c r="AC73" s="363">
        <f>'調查資料(OUT)'!A79</f>
        <v>1700</v>
      </c>
      <c r="AD73" s="364">
        <f t="shared" si="244"/>
        <v>1800</v>
      </c>
      <c r="AE73" s="323">
        <f t="shared" si="254"/>
        <v>0</v>
      </c>
      <c r="AF73" s="323"/>
      <c r="AG73" s="323">
        <f t="shared" si="356"/>
        <v>0</v>
      </c>
      <c r="AH73" s="366" t="e">
        <f t="shared" si="357"/>
        <v>#DIV/0!</v>
      </c>
      <c r="AI73" s="366" t="e">
        <f t="shared" si="358"/>
        <v>#DIV/0!</v>
      </c>
      <c r="AJ73" s="366" t="e">
        <f t="shared" si="359"/>
        <v>#DIV/0!</v>
      </c>
      <c r="AK73" s="366" t="e">
        <f t="shared" si="360"/>
        <v>#DIV/0!</v>
      </c>
      <c r="AL73" s="366" t="e">
        <f t="shared" si="361"/>
        <v>#DIV/0!</v>
      </c>
      <c r="AM73" s="368"/>
      <c r="AN73" s="323">
        <f t="shared" si="362"/>
        <v>1700</v>
      </c>
      <c r="AO73" s="324">
        <f t="shared" si="363"/>
        <v>1800</v>
      </c>
      <c r="AP73" s="50">
        <f t="shared" si="245"/>
        <v>0</v>
      </c>
      <c r="AQ73" s="50">
        <f>IF($AN73="N","N",SUM('調查資料(OUT)'!B79:B82))</f>
        <v>0</v>
      </c>
      <c r="AR73" s="50">
        <f>IF($AN73="N","N",SUM('調查資料(OUT)'!F79:F82))</f>
        <v>0</v>
      </c>
      <c r="AS73" s="50">
        <f>IF($AN73="N","N",SUM('調查資料(OUT)'!J79:J82))</f>
        <v>0</v>
      </c>
      <c r="AT73" s="56" t="e">
        <f t="shared" si="309"/>
        <v>#DIV/0!</v>
      </c>
      <c r="AU73" s="50">
        <f t="shared" si="310"/>
        <v>0</v>
      </c>
      <c r="AV73" s="50">
        <f>IF($AN73="N","N",SUM('調查資料(OUT)'!C79:C82))</f>
        <v>0</v>
      </c>
      <c r="AW73" s="50">
        <f>IF($AN73="N","N",SUM('調查資料(OUT)'!G79:G82))</f>
        <v>0</v>
      </c>
      <c r="AX73" s="50">
        <f>IF($AN73="N","N",SUM('調查資料(OUT)'!K79:K82))</f>
        <v>0</v>
      </c>
      <c r="AY73" s="56" t="e">
        <f t="shared" si="311"/>
        <v>#DIV/0!</v>
      </c>
      <c r="AZ73" s="50">
        <f t="shared" si="312"/>
        <v>0</v>
      </c>
      <c r="BA73" s="50">
        <f>IF($AN73="N","N",SUM('調查資料(OUT)'!D79:D82))</f>
        <v>0</v>
      </c>
      <c r="BB73" s="50">
        <f>IF($AN73="N","N",SUM('調查資料(OUT)'!H79:H82))</f>
        <v>0</v>
      </c>
      <c r="BC73" s="50">
        <f>IF($AN73="N","N",SUM('調查資料(OUT)'!L79:L82))</f>
        <v>0</v>
      </c>
      <c r="BD73" s="56" t="e">
        <f t="shared" si="313"/>
        <v>#DIV/0!</v>
      </c>
      <c r="BE73" s="50">
        <f t="shared" si="314"/>
        <v>0</v>
      </c>
      <c r="BF73" s="50">
        <f>IF($AN73="N","N",SUM('調查資料(OUT)'!E79:E82))</f>
        <v>0</v>
      </c>
      <c r="BG73" s="50">
        <f>IF($AN73="N","N",SUM('調查資料(OUT)'!I79:I82))</f>
        <v>0</v>
      </c>
      <c r="BH73" s="50">
        <f>IF($AN73="N","N",SUM('調查資料(OUT)'!M79:M82))</f>
        <v>0</v>
      </c>
      <c r="BI73" s="56" t="e">
        <f t="shared" si="315"/>
        <v>#DIV/0!</v>
      </c>
      <c r="BJ73" s="50">
        <f t="shared" si="255"/>
        <v>0</v>
      </c>
      <c r="BK73" s="56" t="e">
        <f t="shared" si="256"/>
        <v>#DIV/0!</v>
      </c>
      <c r="BL73" s="50">
        <f t="shared" si="257"/>
        <v>0</v>
      </c>
      <c r="BM73" s="56" t="e">
        <f t="shared" si="258"/>
        <v>#DIV/0!</v>
      </c>
      <c r="BN73" s="50">
        <f t="shared" si="259"/>
        <v>0</v>
      </c>
      <c r="BO73" s="56" t="e">
        <f t="shared" si="260"/>
        <v>#DIV/0!</v>
      </c>
      <c r="BP73" s="50">
        <f t="shared" si="261"/>
        <v>0</v>
      </c>
      <c r="BQ73" s="50">
        <f t="shared" si="316"/>
        <v>0</v>
      </c>
      <c r="BR73" s="50">
        <f>IF($AN73="N","N",SUM('調查資料(OUT)'!N79:N82))</f>
        <v>0</v>
      </c>
      <c r="BS73" s="50">
        <f>IF($AN73="N","N",SUM('調查資料(OUT)'!R79:R82))</f>
        <v>0</v>
      </c>
      <c r="BT73" s="50">
        <f>IF($AN73="N","N",SUM('調查資料(OUT)'!V79:V82))</f>
        <v>0</v>
      </c>
      <c r="BU73" s="56" t="e">
        <f t="shared" si="317"/>
        <v>#DIV/0!</v>
      </c>
      <c r="BV73" s="50">
        <f t="shared" si="318"/>
        <v>0</v>
      </c>
      <c r="BW73" s="50">
        <f>IF($AN73="N","N",SUM('調查資料(OUT)'!O79:O82))</f>
        <v>0</v>
      </c>
      <c r="BX73" s="50">
        <f>IF($AN73="N","N",SUM('調查資料(OUT)'!S79:S82))</f>
        <v>0</v>
      </c>
      <c r="BY73" s="50">
        <f>IF($AN73="N","N",SUM('調查資料(OUT)'!W79:W82))</f>
        <v>0</v>
      </c>
      <c r="BZ73" s="56" t="e">
        <f t="shared" si="319"/>
        <v>#DIV/0!</v>
      </c>
      <c r="CA73" s="50">
        <f t="shared" si="320"/>
        <v>0</v>
      </c>
      <c r="CB73" s="50">
        <f>IF($AN73="N","N",SUM('調查資料(OUT)'!P79:P82))</f>
        <v>0</v>
      </c>
      <c r="CC73" s="50">
        <f>IF($AN73="N","N",SUM('調查資料(OUT)'!T79:T82))</f>
        <v>0</v>
      </c>
      <c r="CD73" s="50">
        <f>IF($AN73="N","N",SUM('調查資料(OUT)'!X79:X82))</f>
        <v>0</v>
      </c>
      <c r="CE73" s="56" t="e">
        <f t="shared" si="321"/>
        <v>#DIV/0!</v>
      </c>
      <c r="CF73" s="50">
        <f t="shared" si="322"/>
        <v>0</v>
      </c>
      <c r="CG73" s="50">
        <f>IF($AN73="N","N",SUM('調查資料(OUT)'!Q79:Q82))</f>
        <v>0</v>
      </c>
      <c r="CH73" s="50">
        <f>IF($AN73="N","N",SUM('調查資料(OUT)'!U79:U82))</f>
        <v>0</v>
      </c>
      <c r="CI73" s="50">
        <f>IF($AN73="N","N",SUM('調查資料(OUT)'!Y79:Y82))</f>
        <v>0</v>
      </c>
      <c r="CJ73" s="56" t="e">
        <f t="shared" si="323"/>
        <v>#DIV/0!</v>
      </c>
      <c r="CK73" s="50">
        <f t="shared" si="262"/>
        <v>0</v>
      </c>
      <c r="CL73" s="56" t="e">
        <f t="shared" si="263"/>
        <v>#DIV/0!</v>
      </c>
      <c r="CM73" s="50">
        <f t="shared" si="264"/>
        <v>0</v>
      </c>
      <c r="CN73" s="56" t="e">
        <f t="shared" si="265"/>
        <v>#DIV/0!</v>
      </c>
      <c r="CO73" s="50">
        <f t="shared" si="266"/>
        <v>0</v>
      </c>
      <c r="CP73" s="56" t="e">
        <f t="shared" si="267"/>
        <v>#DIV/0!</v>
      </c>
      <c r="CQ73" s="50">
        <f t="shared" si="268"/>
        <v>0</v>
      </c>
      <c r="CR73" s="50">
        <f t="shared" si="324"/>
        <v>0</v>
      </c>
      <c r="CS73" s="50">
        <f>IF($AN73="N","N",SUM('調查資料(OUT)'!Z79:Z82))</f>
        <v>0</v>
      </c>
      <c r="CT73" s="50">
        <f>IF($AN73="N","N",SUM('調查資料(OUT)'!AD79:AD82))</f>
        <v>0</v>
      </c>
      <c r="CU73" s="50">
        <f>IF($AN73="N","N",SUM('調查資料(OUT)'!AH79:AH82))</f>
        <v>0</v>
      </c>
      <c r="CV73" s="56" t="e">
        <f t="shared" si="325"/>
        <v>#DIV/0!</v>
      </c>
      <c r="CW73" s="50">
        <f t="shared" si="326"/>
        <v>0</v>
      </c>
      <c r="CX73" s="50">
        <f>IF($AN73="N","N",SUM('調查資料(OUT)'!AA79:AA82))</f>
        <v>0</v>
      </c>
      <c r="CY73" s="50">
        <f>IF($AN73="N","N",SUM('調查資料(OUT)'!AE79:AE82))</f>
        <v>0</v>
      </c>
      <c r="CZ73" s="50">
        <f>IF($AN73="N","N",SUM('調查資料(OUT)'!AI79:AI82))</f>
        <v>0</v>
      </c>
      <c r="DA73" s="56" t="e">
        <f t="shared" si="327"/>
        <v>#DIV/0!</v>
      </c>
      <c r="DB73" s="50">
        <f t="shared" si="328"/>
        <v>0</v>
      </c>
      <c r="DC73" s="50">
        <f>IF($AN73="N","N",SUM('調查資料(OUT)'!AB79:AB82))</f>
        <v>0</v>
      </c>
      <c r="DD73" s="50">
        <f>IF($AN73="N","N",SUM('調查資料(OUT)'!AF79:AF82))</f>
        <v>0</v>
      </c>
      <c r="DE73" s="50">
        <f>IF($AN73="N","N",SUM('調查資料(OUT)'!AJ79:AJ82))</f>
        <v>0</v>
      </c>
      <c r="DF73" s="56" t="e">
        <f t="shared" si="329"/>
        <v>#DIV/0!</v>
      </c>
      <c r="DG73" s="50">
        <f t="shared" si="330"/>
        <v>0</v>
      </c>
      <c r="DH73" s="50">
        <f>IF($AN73="N","N",SUM('調查資料(OUT)'!AC79:AC82))</f>
        <v>0</v>
      </c>
      <c r="DI73" s="50">
        <f>IF($AN73="N","N",SUM('調查資料(OUT)'!AG79:AG82))</f>
        <v>0</v>
      </c>
      <c r="DJ73" s="50">
        <f>IF($AN73="N","N",SUM('調查資料(OUT)'!AK79:AK82))</f>
        <v>0</v>
      </c>
      <c r="DK73" s="56" t="e">
        <f t="shared" si="331"/>
        <v>#DIV/0!</v>
      </c>
      <c r="DL73" s="50">
        <f t="shared" si="269"/>
        <v>0</v>
      </c>
      <c r="DM73" s="56" t="e">
        <f t="shared" si="270"/>
        <v>#DIV/0!</v>
      </c>
      <c r="DN73" s="50">
        <f t="shared" si="271"/>
        <v>0</v>
      </c>
      <c r="DO73" s="56" t="e">
        <f t="shared" si="272"/>
        <v>#DIV/0!</v>
      </c>
      <c r="DP73" s="50">
        <f t="shared" si="273"/>
        <v>0</v>
      </c>
      <c r="DQ73" s="56" t="e">
        <f t="shared" si="274"/>
        <v>#DIV/0!</v>
      </c>
      <c r="DR73" s="50">
        <f t="shared" si="275"/>
        <v>0</v>
      </c>
      <c r="DS73" s="50">
        <f t="shared" si="332"/>
        <v>0</v>
      </c>
      <c r="DT73" s="50">
        <f>IF($AN73="N","N",SUM('調查資料(OUT)'!AL79:AL82))</f>
        <v>0</v>
      </c>
      <c r="DU73" s="50">
        <f>IF($AN73="N","N",SUM('調查資料(OUT)'!AP79:AP82))</f>
        <v>0</v>
      </c>
      <c r="DV73" s="50">
        <f>IF($AN73="N","N",SUM('調查資料(OUT)'!AT79:AT82))</f>
        <v>0</v>
      </c>
      <c r="DW73" s="56" t="e">
        <f t="shared" si="333"/>
        <v>#DIV/0!</v>
      </c>
      <c r="DX73" s="50">
        <f t="shared" si="334"/>
        <v>0</v>
      </c>
      <c r="DY73" s="50">
        <f>IF($AN73="N","N",SUM('調查資料(OUT)'!AM79:AM82))</f>
        <v>0</v>
      </c>
      <c r="DZ73" s="50">
        <f>IF($AN73="N","N",SUM('調查資料(OUT)'!AQ79:AQ82))</f>
        <v>0</v>
      </c>
      <c r="EA73" s="50">
        <f>IF($AN73="N","N",SUM('調查資料(OUT)'!AU79:AU82))</f>
        <v>0</v>
      </c>
      <c r="EB73" s="56" t="e">
        <f t="shared" si="335"/>
        <v>#DIV/0!</v>
      </c>
      <c r="EC73" s="50">
        <f t="shared" si="336"/>
        <v>0</v>
      </c>
      <c r="ED73" s="50">
        <f>IF($AN73="N","N",SUM('調查資料(OUT)'!AN79:AN82))</f>
        <v>0</v>
      </c>
      <c r="EE73" s="50">
        <f>IF($AN73="N","N",SUM('調查資料(OUT)'!AR79:AR82))</f>
        <v>0</v>
      </c>
      <c r="EF73" s="50">
        <f>IF($AN73="N","N",SUM('調查資料(OUT)'!AV79:AV82))</f>
        <v>0</v>
      </c>
      <c r="EG73" s="56" t="e">
        <f t="shared" si="337"/>
        <v>#DIV/0!</v>
      </c>
      <c r="EH73" s="50">
        <f t="shared" si="338"/>
        <v>0</v>
      </c>
      <c r="EI73" s="50">
        <f>IF($AN73="N","N",SUM('調查資料(OUT)'!AO79:AO82))</f>
        <v>0</v>
      </c>
      <c r="EJ73" s="50">
        <f>IF($AN73="N","N",SUM('調查資料(OUT)'!AS79:AS82))</f>
        <v>0</v>
      </c>
      <c r="EK73" s="50">
        <f>IF($AN73="N","N",SUM('調查資料(OUT)'!AW79:AW82))</f>
        <v>0</v>
      </c>
      <c r="EL73" s="56" t="e">
        <f t="shared" si="339"/>
        <v>#DIV/0!</v>
      </c>
      <c r="EM73" s="50">
        <f t="shared" si="276"/>
        <v>0</v>
      </c>
      <c r="EN73" s="56" t="e">
        <f t="shared" si="277"/>
        <v>#DIV/0!</v>
      </c>
      <c r="EO73" s="50">
        <f t="shared" si="278"/>
        <v>0</v>
      </c>
      <c r="EP73" s="56" t="e">
        <f t="shared" si="279"/>
        <v>#DIV/0!</v>
      </c>
      <c r="EQ73" s="50">
        <f t="shared" si="280"/>
        <v>0</v>
      </c>
      <c r="ER73" s="56" t="e">
        <f t="shared" si="281"/>
        <v>#DIV/0!</v>
      </c>
      <c r="ES73" s="50">
        <f t="shared" si="282"/>
        <v>0</v>
      </c>
      <c r="ET73" s="50">
        <f t="shared" si="340"/>
        <v>0</v>
      </c>
      <c r="EU73" s="50">
        <f>IF($AN73="N","N",SUM('調查資料(OUT)'!AX79:AX82))</f>
        <v>0</v>
      </c>
      <c r="EV73" s="50">
        <f>IF($AN73="N","N",SUM('調查資料(OUT)'!BB79:BB82))</f>
        <v>0</v>
      </c>
      <c r="EW73" s="50">
        <f>IF($AN73="N","N",SUM('調查資料(OUT)'!BF79:BF82))</f>
        <v>0</v>
      </c>
      <c r="EX73" s="56" t="e">
        <f t="shared" si="341"/>
        <v>#DIV/0!</v>
      </c>
      <c r="EY73" s="50">
        <f t="shared" si="342"/>
        <v>0</v>
      </c>
      <c r="EZ73" s="50">
        <f>IF($AN73="N","N",SUM('調查資料(OUT)'!AY79:AY82))</f>
        <v>0</v>
      </c>
      <c r="FA73" s="50">
        <f>IF($AN73="N","N",SUM('調查資料(OUT)'!BC79:BC82))</f>
        <v>0</v>
      </c>
      <c r="FB73" s="50">
        <f>IF($AN73="N","N",SUM('調查資料(OUT)'!BG79:BG82))</f>
        <v>0</v>
      </c>
      <c r="FC73" s="56" t="e">
        <f t="shared" si="343"/>
        <v>#DIV/0!</v>
      </c>
      <c r="FD73" s="50">
        <f t="shared" si="344"/>
        <v>0</v>
      </c>
      <c r="FE73" s="50">
        <f>IF($AN73="N","N",SUM('調查資料(OUT)'!AZ79:AZ82))</f>
        <v>0</v>
      </c>
      <c r="FF73" s="50">
        <f>IF($AN73="N","N",SUM('調查資料(OUT)'!BD79:BD82))</f>
        <v>0</v>
      </c>
      <c r="FG73" s="50">
        <f>IF($AN73="N","N",SUM('調查資料(OUT)'!BH79:BH82))</f>
        <v>0</v>
      </c>
      <c r="FH73" s="56" t="e">
        <f t="shared" si="345"/>
        <v>#DIV/0!</v>
      </c>
      <c r="FI73" s="50">
        <f t="shared" si="346"/>
        <v>0</v>
      </c>
      <c r="FJ73" s="50">
        <f>IF($AN73="N","N",SUM('調查資料(OUT)'!BA79:BA82))</f>
        <v>0</v>
      </c>
      <c r="FK73" s="50">
        <f>IF($AN73="N","N",SUM('調查資料(OUT)'!BE79:BE82))</f>
        <v>0</v>
      </c>
      <c r="FL73" s="50">
        <f>IF($AN73="N","N",SUM('調查資料(OUT)'!BI79:BI82))</f>
        <v>0</v>
      </c>
      <c r="FM73" s="56" t="e">
        <f t="shared" si="347"/>
        <v>#DIV/0!</v>
      </c>
      <c r="FN73" s="50">
        <f t="shared" si="246"/>
        <v>0</v>
      </c>
      <c r="FO73" s="56" t="e">
        <f t="shared" si="247"/>
        <v>#DIV/0!</v>
      </c>
      <c r="FP73" s="50">
        <f t="shared" si="248"/>
        <v>0</v>
      </c>
      <c r="FQ73" s="56" t="e">
        <f t="shared" si="249"/>
        <v>#DIV/0!</v>
      </c>
      <c r="FR73" s="50">
        <f t="shared" si="250"/>
        <v>0</v>
      </c>
      <c r="FS73" s="56" t="e">
        <f t="shared" si="251"/>
        <v>#DIV/0!</v>
      </c>
      <c r="FT73" s="50">
        <f t="shared" si="252"/>
        <v>0</v>
      </c>
    </row>
    <row r="74" spans="1:176">
      <c r="A74" s="322">
        <f>'調查資料(OUT)'!A80</f>
        <v>1715</v>
      </c>
      <c r="B74" s="323">
        <f t="shared" si="238"/>
        <v>0</v>
      </c>
      <c r="C74" s="323">
        <f>IFERROR('調查資料(OUT)'!$B$1*'調查資料(OUT)'!B80,0)+IFERROR('調查資料(OUT)'!$F$1*'調查資料(OUT)'!F80,0)+IFERROR('調查資料(OUT)'!$J$1*'調查資料(OUT)'!J80,0)</f>
        <v>0</v>
      </c>
      <c r="D74" s="323">
        <f>IFERROR('調查資料(OUT)'!$C$1*'調查資料(OUT)'!C80,0)+IFERROR('調查資料(OUT)'!$G$1*'調查資料(OUT)'!G80,0)+IFERROR('調查資料(OUT)'!$K$1*'調查資料(OUT)'!K80,0)</f>
        <v>0</v>
      </c>
      <c r="E74" s="323">
        <f>IFERROR('調查資料(OUT)'!$D$1*'調查資料(OUT)'!D80,0)+IFERROR('調查資料(OUT)'!$H$1*'調查資料(OUT)'!H80,0)+IFERROR('調查資料(OUT)'!$L$1*'調查資料(OUT)'!L80,0)</f>
        <v>0</v>
      </c>
      <c r="F74" s="324">
        <f>IFERROR('調查資料(OUT)'!$E$1*'調查資料(OUT)'!E80,0)+IFERROR('調查資料(OUT)'!$I$1*'調查資料(OUT)'!I80,0)+IFERROR('調查資料(OUT)'!$M$1*'調查資料(OUT)'!M80,0)</f>
        <v>0</v>
      </c>
      <c r="G74" s="323">
        <f t="shared" si="239"/>
        <v>0</v>
      </c>
      <c r="H74" s="323">
        <f>IFERROR('調查資料(OUT)'!$N$1*'調查資料(OUT)'!N80,0)+IFERROR('調查資料(OUT)'!$R$1*'調查資料(OUT)'!R80,0)+IFERROR('調查資料(OUT)'!$V$1*'調查資料(OUT)'!V80,0)</f>
        <v>0</v>
      </c>
      <c r="I74" s="323">
        <f>IFERROR('調查資料(OUT)'!$O$1*'調查資料(OUT)'!O80,0)+IFERROR('調查資料(OUT)'!$S$1*'調查資料(OUT)'!S80,0)+IFERROR('調查資料(OUT)'!$W$1*'調查資料(OUT)'!W80,0)</f>
        <v>0</v>
      </c>
      <c r="J74" s="323">
        <f>IFERROR('調查資料(OUT)'!$P$1*'調查資料(OUT)'!P80,0)+IFERROR('調查資料(OUT)'!$T$1*'調查資料(OUT)'!T80,0)+IFERROR('調查資料(OUT)'!$X$1*'調查資料(OUT)'!X80,0)</f>
        <v>0</v>
      </c>
      <c r="K74" s="324">
        <f>IFERROR('調查資料(OUT)'!$Q$1*'調查資料(OUT)'!Q80,0)+IFERROR('調查資料(OUT)'!$U$1*'調查資料(OUT)'!U80,0)+IFERROR('調查資料(OUT)'!$Y$1*'調查資料(OUT)'!Y80,0)</f>
        <v>0</v>
      </c>
      <c r="L74" s="323">
        <f t="shared" si="240"/>
        <v>0</v>
      </c>
      <c r="M74" s="323">
        <f>IFERROR('調查資料(OUT)'!$Z$1*'調查資料(OUT)'!Z80,0)+IFERROR('調查資料(OUT)'!$AD$1*'調查資料(OUT)'!AD80,0)+IFERROR('調查資料(OUT)'!$AH$1*'調查資料(OUT)'!AH80,0)</f>
        <v>0</v>
      </c>
      <c r="N74" s="323">
        <f>IFERROR('調查資料(OUT)'!$AA$1*'調查資料(OUT)'!AA80,0)+IFERROR('調查資料(OUT)'!$AE$1*'調查資料(OUT)'!AE80,0)+IFERROR('調查資料(OUT)'!$AI$1*'調查資料(OUT)'!AI80,0)</f>
        <v>0</v>
      </c>
      <c r="O74" s="323">
        <f>IFERROR('調查資料(OUT)'!$AB$1*'調查資料(OUT)'!AB80,0)+IFERROR('調查資料(OUT)'!$AF$1*'調查資料(OUT)'!AF80,0)+IFERROR('調查資料(OUT)'!$AJ$1*'調查資料(OUT)'!AJ80,0)</f>
        <v>0</v>
      </c>
      <c r="P74" s="324">
        <f>IFERROR('調查資料(OUT)'!$AC$1*'調查資料(OUT)'!AC80,0)+IFERROR('調查資料(OUT)'!$AG$1*'調查資料(OUT)'!AG80,0)+IFERROR('調查資料(OUT)'!$AK$1*'調查資料(OUT)'!AK80,0)</f>
        <v>0</v>
      </c>
      <c r="Q74" s="323">
        <f t="shared" si="241"/>
        <v>0</v>
      </c>
      <c r="R74" s="323">
        <f>IFERROR('調查資料(OUT)'!$AL$1*'調查資料(OUT)'!AL80,0)+IFERROR('調查資料(OUT)'!$AP$1*'調查資料(OUT)'!AP80,0)+IFERROR('調查資料(OUT)'!$AT$1*'調查資料(OUT)'!AT80,0)</f>
        <v>0</v>
      </c>
      <c r="S74" s="323">
        <f>IFERROR('調查資料(OUT)'!$AM$1*'調查資料(OUT)'!AM80,0)+IFERROR('調查資料(OUT)'!$AQ$1*'調查資料(OUT)'!AQ80,0)+IFERROR('調查資料(OUT)'!$AU$1*'調查資料(OUT)'!AU80,0)</f>
        <v>0</v>
      </c>
      <c r="T74" s="323">
        <f>IFERROR('調查資料(OUT)'!$AN$1*'調查資料(OUT)'!AN80,0)+IFERROR('調查資料(OUT)'!$AR$1*'調查資料(OUT)'!AR80,0)+IFERROR('調查資料(OUT)'!$AV$1*'調查資料(OUT)'!AV80,0)</f>
        <v>0</v>
      </c>
      <c r="U74" s="324">
        <f>IFERROR('調查資料(OUT)'!$AO$1*'調查資料(OUT)'!AO80,0)+IFERROR('調查資料(OUT)'!$AS$1*'調查資料(OUT)'!AS80,0)+IFERROR('調查資料(OUT)'!$AW$1*'調查資料(OUT)'!AW80,0)</f>
        <v>0</v>
      </c>
      <c r="V74" s="323">
        <f t="shared" si="242"/>
        <v>0</v>
      </c>
      <c r="W74" s="323">
        <f>IFERROR('調查資料(OUT)'!$AX$1*'調查資料(OUT)'!AX80,0)+IFERROR('調查資料(OUT)'!$BB$1*'調查資料(OUT)'!BB80,0)+IFERROR('調查資料(OUT)'!$BF$1*'調查資料(OUT)'!BF80,0)</f>
        <v>0</v>
      </c>
      <c r="X74" s="323">
        <f>IFERROR('調查資料(OUT)'!$AY$1*'調查資料(OUT)'!AY80,0)+IFERROR('調查資料(OUT)'!$BC$1*'調查資料(OUT)'!BC80,0)+IFERROR('調查資料(OUT)'!$BG$1*'調查資料(OUT)'!BG80,0)</f>
        <v>0</v>
      </c>
      <c r="Y74" s="323">
        <f>IFERROR('調查資料(OUT)'!$AZ$1*'調查資料(OUT)'!AZ80,0)+IFERROR('調查資料(OUT)'!$BD$1*'調查資料(OUT)'!BD80,0)+IFERROR('調查資料(OUT)'!$BH$1*'調查資料(OUT)'!BH80,0)</f>
        <v>0</v>
      </c>
      <c r="Z74" s="324">
        <f>IFERROR('調查資料(OUT)'!$BA$1*'調查資料(OUT)'!BA80,0)+IFERROR('調查資料(OUT)'!$BE$1*'調查資料(OUT)'!BE80,0)+IFERROR('調查資料(OUT)'!$BI$1*'調查資料(OUT)'!BI80,0)</f>
        <v>0</v>
      </c>
      <c r="AA74" s="325">
        <f t="shared" si="243"/>
        <v>0</v>
      </c>
      <c r="AC74" s="363">
        <f>'調查資料(OUT)'!A80</f>
        <v>1715</v>
      </c>
      <c r="AD74" s="364">
        <f t="shared" si="244"/>
        <v>1815</v>
      </c>
      <c r="AE74" s="323">
        <f t="shared" si="254"/>
        <v>0</v>
      </c>
      <c r="AF74" s="323"/>
      <c r="AG74" s="323">
        <f t="shared" si="356"/>
        <v>0</v>
      </c>
      <c r="AH74" s="366" t="e">
        <f t="shared" si="357"/>
        <v>#DIV/0!</v>
      </c>
      <c r="AI74" s="366" t="e">
        <f t="shared" si="358"/>
        <v>#DIV/0!</v>
      </c>
      <c r="AJ74" s="366" t="e">
        <f t="shared" si="359"/>
        <v>#DIV/0!</v>
      </c>
      <c r="AK74" s="366" t="e">
        <f t="shared" si="360"/>
        <v>#DIV/0!</v>
      </c>
      <c r="AL74" s="366" t="e">
        <f t="shared" si="361"/>
        <v>#DIV/0!</v>
      </c>
      <c r="AM74" s="368"/>
      <c r="AN74" s="323">
        <f t="shared" si="362"/>
        <v>1715</v>
      </c>
      <c r="AO74" s="324">
        <f t="shared" si="363"/>
        <v>1815</v>
      </c>
      <c r="AP74" s="50">
        <f t="shared" si="245"/>
        <v>0</v>
      </c>
      <c r="AQ74" s="50">
        <f>IF($AN74="N","N",SUM('調查資料(OUT)'!B80:B83))</f>
        <v>0</v>
      </c>
      <c r="AR74" s="50">
        <f>IF($AN74="N","N",SUM('調查資料(OUT)'!F80:F83))</f>
        <v>0</v>
      </c>
      <c r="AS74" s="50">
        <f>IF($AN74="N","N",SUM('調查資料(OUT)'!J80:J83))</f>
        <v>0</v>
      </c>
      <c r="AT74" s="56" t="e">
        <f t="shared" si="309"/>
        <v>#DIV/0!</v>
      </c>
      <c r="AU74" s="50">
        <f t="shared" si="310"/>
        <v>0</v>
      </c>
      <c r="AV74" s="50">
        <f>IF($AN74="N","N",SUM('調查資料(OUT)'!C80:C83))</f>
        <v>0</v>
      </c>
      <c r="AW74" s="50">
        <f>IF($AN74="N","N",SUM('調查資料(OUT)'!G80:G83))</f>
        <v>0</v>
      </c>
      <c r="AX74" s="50">
        <f>IF($AN74="N","N",SUM('調查資料(OUT)'!K80:K83))</f>
        <v>0</v>
      </c>
      <c r="AY74" s="56" t="e">
        <f t="shared" si="311"/>
        <v>#DIV/0!</v>
      </c>
      <c r="AZ74" s="50">
        <f t="shared" si="312"/>
        <v>0</v>
      </c>
      <c r="BA74" s="50">
        <f>IF($AN74="N","N",SUM('調查資料(OUT)'!D80:D83))</f>
        <v>0</v>
      </c>
      <c r="BB74" s="50">
        <f>IF($AN74="N","N",SUM('調查資料(OUT)'!H80:H83))</f>
        <v>0</v>
      </c>
      <c r="BC74" s="50">
        <f>IF($AN74="N","N",SUM('調查資料(OUT)'!L80:L83))</f>
        <v>0</v>
      </c>
      <c r="BD74" s="56" t="e">
        <f t="shared" si="313"/>
        <v>#DIV/0!</v>
      </c>
      <c r="BE74" s="50">
        <f t="shared" si="314"/>
        <v>0</v>
      </c>
      <c r="BF74" s="50">
        <f>IF($AN74="N","N",SUM('調查資料(OUT)'!E80:E83))</f>
        <v>0</v>
      </c>
      <c r="BG74" s="50">
        <f>IF($AN74="N","N",SUM('調查資料(OUT)'!I80:I83))</f>
        <v>0</v>
      </c>
      <c r="BH74" s="50">
        <f>IF($AN74="N","N",SUM('調查資料(OUT)'!M80:M83))</f>
        <v>0</v>
      </c>
      <c r="BI74" s="56" t="e">
        <f t="shared" si="315"/>
        <v>#DIV/0!</v>
      </c>
      <c r="BJ74" s="50">
        <f t="shared" si="255"/>
        <v>0</v>
      </c>
      <c r="BK74" s="56" t="e">
        <f t="shared" si="256"/>
        <v>#DIV/0!</v>
      </c>
      <c r="BL74" s="50">
        <f t="shared" si="257"/>
        <v>0</v>
      </c>
      <c r="BM74" s="56" t="e">
        <f t="shared" si="258"/>
        <v>#DIV/0!</v>
      </c>
      <c r="BN74" s="50">
        <f t="shared" si="259"/>
        <v>0</v>
      </c>
      <c r="BO74" s="56" t="e">
        <f t="shared" si="260"/>
        <v>#DIV/0!</v>
      </c>
      <c r="BP74" s="50">
        <f t="shared" si="261"/>
        <v>0</v>
      </c>
      <c r="BQ74" s="50">
        <f t="shared" si="316"/>
        <v>0</v>
      </c>
      <c r="BR74" s="50">
        <f>IF($AN74="N","N",SUM('調查資料(OUT)'!N80:N83))</f>
        <v>0</v>
      </c>
      <c r="BS74" s="50">
        <f>IF($AN74="N","N",SUM('調查資料(OUT)'!R80:R83))</f>
        <v>0</v>
      </c>
      <c r="BT74" s="50">
        <f>IF($AN74="N","N",SUM('調查資料(OUT)'!V80:V83))</f>
        <v>0</v>
      </c>
      <c r="BU74" s="56" t="e">
        <f t="shared" si="317"/>
        <v>#DIV/0!</v>
      </c>
      <c r="BV74" s="50">
        <f t="shared" si="318"/>
        <v>0</v>
      </c>
      <c r="BW74" s="50">
        <f>IF($AN74="N","N",SUM('調查資料(OUT)'!O80:O83))</f>
        <v>0</v>
      </c>
      <c r="BX74" s="50">
        <f>IF($AN74="N","N",SUM('調查資料(OUT)'!S80:S83))</f>
        <v>0</v>
      </c>
      <c r="BY74" s="50">
        <f>IF($AN74="N","N",SUM('調查資料(OUT)'!W80:W83))</f>
        <v>0</v>
      </c>
      <c r="BZ74" s="56" t="e">
        <f t="shared" si="319"/>
        <v>#DIV/0!</v>
      </c>
      <c r="CA74" s="50">
        <f t="shared" si="320"/>
        <v>0</v>
      </c>
      <c r="CB74" s="50">
        <f>IF($AN74="N","N",SUM('調查資料(OUT)'!P80:P83))</f>
        <v>0</v>
      </c>
      <c r="CC74" s="50">
        <f>IF($AN74="N","N",SUM('調查資料(OUT)'!T80:T83))</f>
        <v>0</v>
      </c>
      <c r="CD74" s="50">
        <f>IF($AN74="N","N",SUM('調查資料(OUT)'!X80:X83))</f>
        <v>0</v>
      </c>
      <c r="CE74" s="56" t="e">
        <f t="shared" si="321"/>
        <v>#DIV/0!</v>
      </c>
      <c r="CF74" s="50">
        <f t="shared" si="322"/>
        <v>0</v>
      </c>
      <c r="CG74" s="50">
        <f>IF($AN74="N","N",SUM('調查資料(OUT)'!Q80:Q83))</f>
        <v>0</v>
      </c>
      <c r="CH74" s="50">
        <f>IF($AN74="N","N",SUM('調查資料(OUT)'!U80:U83))</f>
        <v>0</v>
      </c>
      <c r="CI74" s="50">
        <f>IF($AN74="N","N",SUM('調查資料(OUT)'!Y80:Y83))</f>
        <v>0</v>
      </c>
      <c r="CJ74" s="56" t="e">
        <f t="shared" si="323"/>
        <v>#DIV/0!</v>
      </c>
      <c r="CK74" s="50">
        <f t="shared" si="262"/>
        <v>0</v>
      </c>
      <c r="CL74" s="56" t="e">
        <f t="shared" si="263"/>
        <v>#DIV/0!</v>
      </c>
      <c r="CM74" s="50">
        <f t="shared" si="264"/>
        <v>0</v>
      </c>
      <c r="CN74" s="56" t="e">
        <f t="shared" si="265"/>
        <v>#DIV/0!</v>
      </c>
      <c r="CO74" s="50">
        <f t="shared" si="266"/>
        <v>0</v>
      </c>
      <c r="CP74" s="56" t="e">
        <f t="shared" si="267"/>
        <v>#DIV/0!</v>
      </c>
      <c r="CQ74" s="50">
        <f t="shared" si="268"/>
        <v>0</v>
      </c>
      <c r="CR74" s="50">
        <f t="shared" si="324"/>
        <v>0</v>
      </c>
      <c r="CS74" s="50">
        <f>IF($AN74="N","N",SUM('調查資料(OUT)'!Z80:Z83))</f>
        <v>0</v>
      </c>
      <c r="CT74" s="50">
        <f>IF($AN74="N","N",SUM('調查資料(OUT)'!AD80:AD83))</f>
        <v>0</v>
      </c>
      <c r="CU74" s="50">
        <f>IF($AN74="N","N",SUM('調查資料(OUT)'!AH80:AH83))</f>
        <v>0</v>
      </c>
      <c r="CV74" s="56" t="e">
        <f t="shared" si="325"/>
        <v>#DIV/0!</v>
      </c>
      <c r="CW74" s="50">
        <f t="shared" si="326"/>
        <v>0</v>
      </c>
      <c r="CX74" s="50">
        <f>IF($AN74="N","N",SUM('調查資料(OUT)'!AA80:AA83))</f>
        <v>0</v>
      </c>
      <c r="CY74" s="50">
        <f>IF($AN74="N","N",SUM('調查資料(OUT)'!AE80:AE83))</f>
        <v>0</v>
      </c>
      <c r="CZ74" s="50">
        <f>IF($AN74="N","N",SUM('調查資料(OUT)'!AI80:AI83))</f>
        <v>0</v>
      </c>
      <c r="DA74" s="56" t="e">
        <f t="shared" si="327"/>
        <v>#DIV/0!</v>
      </c>
      <c r="DB74" s="50">
        <f t="shared" si="328"/>
        <v>0</v>
      </c>
      <c r="DC74" s="50">
        <f>IF($AN74="N","N",SUM('調查資料(OUT)'!AB80:AB83))</f>
        <v>0</v>
      </c>
      <c r="DD74" s="50">
        <f>IF($AN74="N","N",SUM('調查資料(OUT)'!AF80:AF83))</f>
        <v>0</v>
      </c>
      <c r="DE74" s="50">
        <f>IF($AN74="N","N",SUM('調查資料(OUT)'!AJ80:AJ83))</f>
        <v>0</v>
      </c>
      <c r="DF74" s="56" t="e">
        <f t="shared" si="329"/>
        <v>#DIV/0!</v>
      </c>
      <c r="DG74" s="50">
        <f t="shared" si="330"/>
        <v>0</v>
      </c>
      <c r="DH74" s="50">
        <f>IF($AN74="N","N",SUM('調查資料(OUT)'!AC80:AC83))</f>
        <v>0</v>
      </c>
      <c r="DI74" s="50">
        <f>IF($AN74="N","N",SUM('調查資料(OUT)'!AG80:AG83))</f>
        <v>0</v>
      </c>
      <c r="DJ74" s="50">
        <f>IF($AN74="N","N",SUM('調查資料(OUT)'!AK80:AK83))</f>
        <v>0</v>
      </c>
      <c r="DK74" s="56" t="e">
        <f t="shared" si="331"/>
        <v>#DIV/0!</v>
      </c>
      <c r="DL74" s="50">
        <f t="shared" si="269"/>
        <v>0</v>
      </c>
      <c r="DM74" s="56" t="e">
        <f t="shared" si="270"/>
        <v>#DIV/0!</v>
      </c>
      <c r="DN74" s="50">
        <f t="shared" si="271"/>
        <v>0</v>
      </c>
      <c r="DO74" s="56" t="e">
        <f t="shared" si="272"/>
        <v>#DIV/0!</v>
      </c>
      <c r="DP74" s="50">
        <f t="shared" si="273"/>
        <v>0</v>
      </c>
      <c r="DQ74" s="56" t="e">
        <f t="shared" si="274"/>
        <v>#DIV/0!</v>
      </c>
      <c r="DR74" s="50">
        <f t="shared" si="275"/>
        <v>0</v>
      </c>
      <c r="DS74" s="50">
        <f t="shared" si="332"/>
        <v>0</v>
      </c>
      <c r="DT74" s="50">
        <f>IF($AN74="N","N",SUM('調查資料(OUT)'!AL80:AL83))</f>
        <v>0</v>
      </c>
      <c r="DU74" s="50">
        <f>IF($AN74="N","N",SUM('調查資料(OUT)'!AP80:AP83))</f>
        <v>0</v>
      </c>
      <c r="DV74" s="50">
        <f>IF($AN74="N","N",SUM('調查資料(OUT)'!AT80:AT83))</f>
        <v>0</v>
      </c>
      <c r="DW74" s="56" t="e">
        <f t="shared" si="333"/>
        <v>#DIV/0!</v>
      </c>
      <c r="DX74" s="50">
        <f t="shared" si="334"/>
        <v>0</v>
      </c>
      <c r="DY74" s="50">
        <f>IF($AN74="N","N",SUM('調查資料(OUT)'!AM80:AM83))</f>
        <v>0</v>
      </c>
      <c r="DZ74" s="50">
        <f>IF($AN74="N","N",SUM('調查資料(OUT)'!AQ80:AQ83))</f>
        <v>0</v>
      </c>
      <c r="EA74" s="50">
        <f>IF($AN74="N","N",SUM('調查資料(OUT)'!AU80:AU83))</f>
        <v>0</v>
      </c>
      <c r="EB74" s="56" t="e">
        <f t="shared" si="335"/>
        <v>#DIV/0!</v>
      </c>
      <c r="EC74" s="50">
        <f t="shared" si="336"/>
        <v>0</v>
      </c>
      <c r="ED74" s="50">
        <f>IF($AN74="N","N",SUM('調查資料(OUT)'!AN80:AN83))</f>
        <v>0</v>
      </c>
      <c r="EE74" s="50">
        <f>IF($AN74="N","N",SUM('調查資料(OUT)'!AR80:AR83))</f>
        <v>0</v>
      </c>
      <c r="EF74" s="50">
        <f>IF($AN74="N","N",SUM('調查資料(OUT)'!AV80:AV83))</f>
        <v>0</v>
      </c>
      <c r="EG74" s="56" t="e">
        <f t="shared" si="337"/>
        <v>#DIV/0!</v>
      </c>
      <c r="EH74" s="50">
        <f t="shared" si="338"/>
        <v>0</v>
      </c>
      <c r="EI74" s="50">
        <f>IF($AN74="N","N",SUM('調查資料(OUT)'!AO80:AO83))</f>
        <v>0</v>
      </c>
      <c r="EJ74" s="50">
        <f>IF($AN74="N","N",SUM('調查資料(OUT)'!AS80:AS83))</f>
        <v>0</v>
      </c>
      <c r="EK74" s="50">
        <f>IF($AN74="N","N",SUM('調查資料(OUT)'!AW80:AW83))</f>
        <v>0</v>
      </c>
      <c r="EL74" s="56" t="e">
        <f t="shared" si="339"/>
        <v>#DIV/0!</v>
      </c>
      <c r="EM74" s="50">
        <f t="shared" si="276"/>
        <v>0</v>
      </c>
      <c r="EN74" s="56" t="e">
        <f t="shared" si="277"/>
        <v>#DIV/0!</v>
      </c>
      <c r="EO74" s="50">
        <f t="shared" si="278"/>
        <v>0</v>
      </c>
      <c r="EP74" s="56" t="e">
        <f t="shared" si="279"/>
        <v>#DIV/0!</v>
      </c>
      <c r="EQ74" s="50">
        <f t="shared" si="280"/>
        <v>0</v>
      </c>
      <c r="ER74" s="56" t="e">
        <f t="shared" si="281"/>
        <v>#DIV/0!</v>
      </c>
      <c r="ES74" s="50">
        <f t="shared" si="282"/>
        <v>0</v>
      </c>
      <c r="ET74" s="50">
        <f t="shared" si="340"/>
        <v>0</v>
      </c>
      <c r="EU74" s="50">
        <f>IF($AN74="N","N",SUM('調查資料(OUT)'!AX80:AX83))</f>
        <v>0</v>
      </c>
      <c r="EV74" s="50">
        <f>IF($AN74="N","N",SUM('調查資料(OUT)'!BB80:BB83))</f>
        <v>0</v>
      </c>
      <c r="EW74" s="50">
        <f>IF($AN74="N","N",SUM('調查資料(OUT)'!BF80:BF83))</f>
        <v>0</v>
      </c>
      <c r="EX74" s="56" t="e">
        <f t="shared" si="341"/>
        <v>#DIV/0!</v>
      </c>
      <c r="EY74" s="50">
        <f t="shared" si="342"/>
        <v>0</v>
      </c>
      <c r="EZ74" s="50">
        <f>IF($AN74="N","N",SUM('調查資料(OUT)'!AY80:AY83))</f>
        <v>0</v>
      </c>
      <c r="FA74" s="50">
        <f>IF($AN74="N","N",SUM('調查資料(OUT)'!BC80:BC83))</f>
        <v>0</v>
      </c>
      <c r="FB74" s="50">
        <f>IF($AN74="N","N",SUM('調查資料(OUT)'!BG80:BG83))</f>
        <v>0</v>
      </c>
      <c r="FC74" s="56" t="e">
        <f t="shared" si="343"/>
        <v>#DIV/0!</v>
      </c>
      <c r="FD74" s="50">
        <f t="shared" si="344"/>
        <v>0</v>
      </c>
      <c r="FE74" s="50">
        <f>IF($AN74="N","N",SUM('調查資料(OUT)'!AZ80:AZ83))</f>
        <v>0</v>
      </c>
      <c r="FF74" s="50">
        <f>IF($AN74="N","N",SUM('調查資料(OUT)'!BD80:BD83))</f>
        <v>0</v>
      </c>
      <c r="FG74" s="50">
        <f>IF($AN74="N","N",SUM('調查資料(OUT)'!BH80:BH83))</f>
        <v>0</v>
      </c>
      <c r="FH74" s="56" t="e">
        <f t="shared" si="345"/>
        <v>#DIV/0!</v>
      </c>
      <c r="FI74" s="50">
        <f t="shared" si="346"/>
        <v>0</v>
      </c>
      <c r="FJ74" s="50">
        <f>IF($AN74="N","N",SUM('調查資料(OUT)'!BA80:BA83))</f>
        <v>0</v>
      </c>
      <c r="FK74" s="50">
        <f>IF($AN74="N","N",SUM('調查資料(OUT)'!BE80:BE83))</f>
        <v>0</v>
      </c>
      <c r="FL74" s="50">
        <f>IF($AN74="N","N",SUM('調查資料(OUT)'!BI80:BI83))</f>
        <v>0</v>
      </c>
      <c r="FM74" s="56" t="e">
        <f t="shared" si="347"/>
        <v>#DIV/0!</v>
      </c>
      <c r="FN74" s="50">
        <f t="shared" si="246"/>
        <v>0</v>
      </c>
      <c r="FO74" s="56" t="e">
        <f t="shared" si="247"/>
        <v>#DIV/0!</v>
      </c>
      <c r="FP74" s="50">
        <f t="shared" si="248"/>
        <v>0</v>
      </c>
      <c r="FQ74" s="56" t="e">
        <f t="shared" si="249"/>
        <v>#DIV/0!</v>
      </c>
      <c r="FR74" s="50">
        <f t="shared" si="250"/>
        <v>0</v>
      </c>
      <c r="FS74" s="56" t="e">
        <f t="shared" si="251"/>
        <v>#DIV/0!</v>
      </c>
      <c r="FT74" s="50">
        <f t="shared" si="252"/>
        <v>0</v>
      </c>
    </row>
    <row r="75" spans="1:176">
      <c r="A75" s="322">
        <f>'調查資料(OUT)'!A81</f>
        <v>1730</v>
      </c>
      <c r="B75" s="323">
        <f t="shared" si="238"/>
        <v>0</v>
      </c>
      <c r="C75" s="323">
        <f>IFERROR('調查資料(OUT)'!$B$1*'調查資料(OUT)'!B81,0)+IFERROR('調查資料(OUT)'!$F$1*'調查資料(OUT)'!F81,0)+IFERROR('調查資料(OUT)'!$J$1*'調查資料(OUT)'!J81,0)</f>
        <v>0</v>
      </c>
      <c r="D75" s="323">
        <f>IFERROR('調查資料(OUT)'!$C$1*'調查資料(OUT)'!C81,0)+IFERROR('調查資料(OUT)'!$G$1*'調查資料(OUT)'!G81,0)+IFERROR('調查資料(OUT)'!$K$1*'調查資料(OUT)'!K81,0)</f>
        <v>0</v>
      </c>
      <c r="E75" s="323">
        <f>IFERROR('調查資料(OUT)'!$D$1*'調查資料(OUT)'!D81,0)+IFERROR('調查資料(OUT)'!$H$1*'調查資料(OUT)'!H81,0)+IFERROR('調查資料(OUT)'!$L$1*'調查資料(OUT)'!L81,0)</f>
        <v>0</v>
      </c>
      <c r="F75" s="324">
        <f>IFERROR('調查資料(OUT)'!$E$1*'調查資料(OUT)'!E81,0)+IFERROR('調查資料(OUT)'!$I$1*'調查資料(OUT)'!I81,0)+IFERROR('調查資料(OUT)'!$M$1*'調查資料(OUT)'!M81,0)</f>
        <v>0</v>
      </c>
      <c r="G75" s="323">
        <f t="shared" si="239"/>
        <v>0</v>
      </c>
      <c r="H75" s="323">
        <f>IFERROR('調查資料(OUT)'!$N$1*'調查資料(OUT)'!N81,0)+IFERROR('調查資料(OUT)'!$R$1*'調查資料(OUT)'!R81,0)+IFERROR('調查資料(OUT)'!$V$1*'調查資料(OUT)'!V81,0)</f>
        <v>0</v>
      </c>
      <c r="I75" s="323">
        <f>IFERROR('調查資料(OUT)'!$O$1*'調查資料(OUT)'!O81,0)+IFERROR('調查資料(OUT)'!$S$1*'調查資料(OUT)'!S81,0)+IFERROR('調查資料(OUT)'!$W$1*'調查資料(OUT)'!W81,0)</f>
        <v>0</v>
      </c>
      <c r="J75" s="323">
        <f>IFERROR('調查資料(OUT)'!$P$1*'調查資料(OUT)'!P81,0)+IFERROR('調查資料(OUT)'!$T$1*'調查資料(OUT)'!T81,0)+IFERROR('調查資料(OUT)'!$X$1*'調查資料(OUT)'!X81,0)</f>
        <v>0</v>
      </c>
      <c r="K75" s="324">
        <f>IFERROR('調查資料(OUT)'!$Q$1*'調查資料(OUT)'!Q81,0)+IFERROR('調查資料(OUT)'!$U$1*'調查資料(OUT)'!U81,0)+IFERROR('調查資料(OUT)'!$Y$1*'調查資料(OUT)'!Y81,0)</f>
        <v>0</v>
      </c>
      <c r="L75" s="323">
        <f t="shared" si="240"/>
        <v>0</v>
      </c>
      <c r="M75" s="323">
        <f>IFERROR('調查資料(OUT)'!$Z$1*'調查資料(OUT)'!Z81,0)+IFERROR('調查資料(OUT)'!$AD$1*'調查資料(OUT)'!AD81,0)+IFERROR('調查資料(OUT)'!$AH$1*'調查資料(OUT)'!AH81,0)</f>
        <v>0</v>
      </c>
      <c r="N75" s="323">
        <f>IFERROR('調查資料(OUT)'!$AA$1*'調查資料(OUT)'!AA81,0)+IFERROR('調查資料(OUT)'!$AE$1*'調查資料(OUT)'!AE81,0)+IFERROR('調查資料(OUT)'!$AI$1*'調查資料(OUT)'!AI81,0)</f>
        <v>0</v>
      </c>
      <c r="O75" s="323">
        <f>IFERROR('調查資料(OUT)'!$AB$1*'調查資料(OUT)'!AB81,0)+IFERROR('調查資料(OUT)'!$AF$1*'調查資料(OUT)'!AF81,0)+IFERROR('調查資料(OUT)'!$AJ$1*'調查資料(OUT)'!AJ81,0)</f>
        <v>0</v>
      </c>
      <c r="P75" s="324">
        <f>IFERROR('調查資料(OUT)'!$AC$1*'調查資料(OUT)'!AC81,0)+IFERROR('調查資料(OUT)'!$AG$1*'調查資料(OUT)'!AG81,0)+IFERROR('調查資料(OUT)'!$AK$1*'調查資料(OUT)'!AK81,0)</f>
        <v>0</v>
      </c>
      <c r="Q75" s="323">
        <f t="shared" si="241"/>
        <v>0</v>
      </c>
      <c r="R75" s="323">
        <f>IFERROR('調查資料(OUT)'!$AL$1*'調查資料(OUT)'!AL81,0)+IFERROR('調查資料(OUT)'!$AP$1*'調查資料(OUT)'!AP81,0)+IFERROR('調查資料(OUT)'!$AT$1*'調查資料(OUT)'!AT81,0)</f>
        <v>0</v>
      </c>
      <c r="S75" s="323">
        <f>IFERROR('調查資料(OUT)'!$AM$1*'調查資料(OUT)'!AM81,0)+IFERROR('調查資料(OUT)'!$AQ$1*'調查資料(OUT)'!AQ81,0)+IFERROR('調查資料(OUT)'!$AU$1*'調查資料(OUT)'!AU81,0)</f>
        <v>0</v>
      </c>
      <c r="T75" s="323">
        <f>IFERROR('調查資料(OUT)'!$AN$1*'調查資料(OUT)'!AN81,0)+IFERROR('調查資料(OUT)'!$AR$1*'調查資料(OUT)'!AR81,0)+IFERROR('調查資料(OUT)'!$AV$1*'調查資料(OUT)'!AV81,0)</f>
        <v>0</v>
      </c>
      <c r="U75" s="324">
        <f>IFERROR('調查資料(OUT)'!$AO$1*'調查資料(OUT)'!AO81,0)+IFERROR('調查資料(OUT)'!$AS$1*'調查資料(OUT)'!AS81,0)+IFERROR('調查資料(OUT)'!$AW$1*'調查資料(OUT)'!AW81,0)</f>
        <v>0</v>
      </c>
      <c r="V75" s="323">
        <f t="shared" si="242"/>
        <v>0</v>
      </c>
      <c r="W75" s="323">
        <f>IFERROR('調查資料(OUT)'!$AX$1*'調查資料(OUT)'!AX81,0)+IFERROR('調查資料(OUT)'!$BB$1*'調查資料(OUT)'!BB81,0)+IFERROR('調查資料(OUT)'!$BF$1*'調查資料(OUT)'!BF81,0)</f>
        <v>0</v>
      </c>
      <c r="X75" s="323">
        <f>IFERROR('調查資料(OUT)'!$AY$1*'調查資料(OUT)'!AY81,0)+IFERROR('調查資料(OUT)'!$BC$1*'調查資料(OUT)'!BC81,0)+IFERROR('調查資料(OUT)'!$BG$1*'調查資料(OUT)'!BG81,0)</f>
        <v>0</v>
      </c>
      <c r="Y75" s="323">
        <f>IFERROR('調查資料(OUT)'!$AZ$1*'調查資料(OUT)'!AZ81,0)+IFERROR('調查資料(OUT)'!$BD$1*'調查資料(OUT)'!BD81,0)+IFERROR('調查資料(OUT)'!$BH$1*'調查資料(OUT)'!BH81,0)</f>
        <v>0</v>
      </c>
      <c r="Z75" s="324">
        <f>IFERROR('調查資料(OUT)'!$BA$1*'調查資料(OUT)'!BA81,0)+IFERROR('調查資料(OUT)'!$BE$1*'調查資料(OUT)'!BE81,0)+IFERROR('調查資料(OUT)'!$BI$1*'調查資料(OUT)'!BI81,0)</f>
        <v>0</v>
      </c>
      <c r="AA75" s="325">
        <f t="shared" si="243"/>
        <v>0</v>
      </c>
      <c r="AC75" s="363">
        <f>'調查資料(OUT)'!A81</f>
        <v>1730</v>
      </c>
      <c r="AD75" s="364">
        <f t="shared" si="244"/>
        <v>1830</v>
      </c>
      <c r="AE75" s="323">
        <f t="shared" si="254"/>
        <v>0</v>
      </c>
      <c r="AF75" s="323"/>
      <c r="AG75" s="323">
        <f t="shared" si="356"/>
        <v>0</v>
      </c>
      <c r="AH75" s="366" t="e">
        <f t="shared" si="357"/>
        <v>#DIV/0!</v>
      </c>
      <c r="AI75" s="366" t="e">
        <f t="shared" si="358"/>
        <v>#DIV/0!</v>
      </c>
      <c r="AJ75" s="366" t="e">
        <f t="shared" si="359"/>
        <v>#DIV/0!</v>
      </c>
      <c r="AK75" s="366" t="e">
        <f t="shared" si="360"/>
        <v>#DIV/0!</v>
      </c>
      <c r="AL75" s="366" t="e">
        <f t="shared" si="361"/>
        <v>#DIV/0!</v>
      </c>
      <c r="AM75" s="368"/>
      <c r="AN75" s="323">
        <f t="shared" si="362"/>
        <v>1730</v>
      </c>
      <c r="AO75" s="324">
        <f t="shared" si="363"/>
        <v>1830</v>
      </c>
      <c r="AP75" s="50">
        <f t="shared" si="245"/>
        <v>0</v>
      </c>
      <c r="AQ75" s="50">
        <f>IF($AN75="N","N",SUM('調查資料(OUT)'!B81:B84))</f>
        <v>0</v>
      </c>
      <c r="AR75" s="50">
        <f>IF($AN75="N","N",SUM('調查資料(OUT)'!F81:F84))</f>
        <v>0</v>
      </c>
      <c r="AS75" s="50">
        <f>IF($AN75="N","N",SUM('調查資料(OUT)'!J81:J84))</f>
        <v>0</v>
      </c>
      <c r="AT75" s="56" t="e">
        <f t="shared" si="309"/>
        <v>#DIV/0!</v>
      </c>
      <c r="AU75" s="50">
        <f t="shared" si="310"/>
        <v>0</v>
      </c>
      <c r="AV75" s="50">
        <f>IF($AN75="N","N",SUM('調查資料(OUT)'!C81:C84))</f>
        <v>0</v>
      </c>
      <c r="AW75" s="50">
        <f>IF($AN75="N","N",SUM('調查資料(OUT)'!G81:G84))</f>
        <v>0</v>
      </c>
      <c r="AX75" s="50">
        <f>IF($AN75="N","N",SUM('調查資料(OUT)'!K81:K84))</f>
        <v>0</v>
      </c>
      <c r="AY75" s="56" t="e">
        <f t="shared" si="311"/>
        <v>#DIV/0!</v>
      </c>
      <c r="AZ75" s="50">
        <f t="shared" si="312"/>
        <v>0</v>
      </c>
      <c r="BA75" s="50">
        <f>IF($AN75="N","N",SUM('調查資料(OUT)'!D81:D84))</f>
        <v>0</v>
      </c>
      <c r="BB75" s="50">
        <f>IF($AN75="N","N",SUM('調查資料(OUT)'!H81:H84))</f>
        <v>0</v>
      </c>
      <c r="BC75" s="50">
        <f>IF($AN75="N","N",SUM('調查資料(OUT)'!L81:L84))</f>
        <v>0</v>
      </c>
      <c r="BD75" s="56" t="e">
        <f t="shared" si="313"/>
        <v>#DIV/0!</v>
      </c>
      <c r="BE75" s="50">
        <f t="shared" si="314"/>
        <v>0</v>
      </c>
      <c r="BF75" s="50">
        <f>IF($AN75="N","N",SUM('調查資料(OUT)'!E81:E84))</f>
        <v>0</v>
      </c>
      <c r="BG75" s="50">
        <f>IF($AN75="N","N",SUM('調查資料(OUT)'!I81:I84))</f>
        <v>0</v>
      </c>
      <c r="BH75" s="50">
        <f>IF($AN75="N","N",SUM('調查資料(OUT)'!M81:M84))</f>
        <v>0</v>
      </c>
      <c r="BI75" s="56" t="e">
        <f t="shared" si="315"/>
        <v>#DIV/0!</v>
      </c>
      <c r="BJ75" s="50">
        <f t="shared" si="255"/>
        <v>0</v>
      </c>
      <c r="BK75" s="56" t="e">
        <f t="shared" si="256"/>
        <v>#DIV/0!</v>
      </c>
      <c r="BL75" s="50">
        <f t="shared" si="257"/>
        <v>0</v>
      </c>
      <c r="BM75" s="56" t="e">
        <f t="shared" si="258"/>
        <v>#DIV/0!</v>
      </c>
      <c r="BN75" s="50">
        <f t="shared" si="259"/>
        <v>0</v>
      </c>
      <c r="BO75" s="56" t="e">
        <f t="shared" si="260"/>
        <v>#DIV/0!</v>
      </c>
      <c r="BP75" s="50">
        <f t="shared" si="261"/>
        <v>0</v>
      </c>
      <c r="BQ75" s="50">
        <f t="shared" si="316"/>
        <v>0</v>
      </c>
      <c r="BR75" s="50">
        <f>IF($AN75="N","N",SUM('調查資料(OUT)'!N81:N84))</f>
        <v>0</v>
      </c>
      <c r="BS75" s="50">
        <f>IF($AN75="N","N",SUM('調查資料(OUT)'!R81:R84))</f>
        <v>0</v>
      </c>
      <c r="BT75" s="50">
        <f>IF($AN75="N","N",SUM('調查資料(OUT)'!V81:V84))</f>
        <v>0</v>
      </c>
      <c r="BU75" s="56" t="e">
        <f t="shared" si="317"/>
        <v>#DIV/0!</v>
      </c>
      <c r="BV75" s="50">
        <f t="shared" si="318"/>
        <v>0</v>
      </c>
      <c r="BW75" s="50">
        <f>IF($AN75="N","N",SUM('調查資料(OUT)'!O81:O84))</f>
        <v>0</v>
      </c>
      <c r="BX75" s="50">
        <f>IF($AN75="N","N",SUM('調查資料(OUT)'!S81:S84))</f>
        <v>0</v>
      </c>
      <c r="BY75" s="50">
        <f>IF($AN75="N","N",SUM('調查資料(OUT)'!W81:W84))</f>
        <v>0</v>
      </c>
      <c r="BZ75" s="56" t="e">
        <f t="shared" si="319"/>
        <v>#DIV/0!</v>
      </c>
      <c r="CA75" s="50">
        <f t="shared" si="320"/>
        <v>0</v>
      </c>
      <c r="CB75" s="50">
        <f>IF($AN75="N","N",SUM('調查資料(OUT)'!P81:P84))</f>
        <v>0</v>
      </c>
      <c r="CC75" s="50">
        <f>IF($AN75="N","N",SUM('調查資料(OUT)'!T81:T84))</f>
        <v>0</v>
      </c>
      <c r="CD75" s="50">
        <f>IF($AN75="N","N",SUM('調查資料(OUT)'!X81:X84))</f>
        <v>0</v>
      </c>
      <c r="CE75" s="56" t="e">
        <f t="shared" si="321"/>
        <v>#DIV/0!</v>
      </c>
      <c r="CF75" s="50">
        <f t="shared" si="322"/>
        <v>0</v>
      </c>
      <c r="CG75" s="50">
        <f>IF($AN75="N","N",SUM('調查資料(OUT)'!Q81:Q84))</f>
        <v>0</v>
      </c>
      <c r="CH75" s="50">
        <f>IF($AN75="N","N",SUM('調查資料(OUT)'!U81:U84))</f>
        <v>0</v>
      </c>
      <c r="CI75" s="50">
        <f>IF($AN75="N","N",SUM('調查資料(OUT)'!Y81:Y84))</f>
        <v>0</v>
      </c>
      <c r="CJ75" s="56" t="e">
        <f t="shared" si="323"/>
        <v>#DIV/0!</v>
      </c>
      <c r="CK75" s="50">
        <f t="shared" si="262"/>
        <v>0</v>
      </c>
      <c r="CL75" s="56" t="e">
        <f t="shared" si="263"/>
        <v>#DIV/0!</v>
      </c>
      <c r="CM75" s="50">
        <f t="shared" si="264"/>
        <v>0</v>
      </c>
      <c r="CN75" s="56" t="e">
        <f t="shared" si="265"/>
        <v>#DIV/0!</v>
      </c>
      <c r="CO75" s="50">
        <f t="shared" si="266"/>
        <v>0</v>
      </c>
      <c r="CP75" s="56" t="e">
        <f t="shared" si="267"/>
        <v>#DIV/0!</v>
      </c>
      <c r="CQ75" s="50">
        <f t="shared" si="268"/>
        <v>0</v>
      </c>
      <c r="CR75" s="50">
        <f t="shared" si="324"/>
        <v>0</v>
      </c>
      <c r="CS75" s="50">
        <f>IF($AN75="N","N",SUM('調查資料(OUT)'!Z81:Z84))</f>
        <v>0</v>
      </c>
      <c r="CT75" s="50">
        <f>IF($AN75="N","N",SUM('調查資料(OUT)'!AD81:AD84))</f>
        <v>0</v>
      </c>
      <c r="CU75" s="50">
        <f>IF($AN75="N","N",SUM('調查資料(OUT)'!AH81:AH84))</f>
        <v>0</v>
      </c>
      <c r="CV75" s="56" t="e">
        <f t="shared" si="325"/>
        <v>#DIV/0!</v>
      </c>
      <c r="CW75" s="50">
        <f t="shared" si="326"/>
        <v>0</v>
      </c>
      <c r="CX75" s="50">
        <f>IF($AN75="N","N",SUM('調查資料(OUT)'!AA81:AA84))</f>
        <v>0</v>
      </c>
      <c r="CY75" s="50">
        <f>IF($AN75="N","N",SUM('調查資料(OUT)'!AE81:AE84))</f>
        <v>0</v>
      </c>
      <c r="CZ75" s="50">
        <f>IF($AN75="N","N",SUM('調查資料(OUT)'!AI81:AI84))</f>
        <v>0</v>
      </c>
      <c r="DA75" s="56" t="e">
        <f t="shared" si="327"/>
        <v>#DIV/0!</v>
      </c>
      <c r="DB75" s="50">
        <f t="shared" si="328"/>
        <v>0</v>
      </c>
      <c r="DC75" s="50">
        <f>IF($AN75="N","N",SUM('調查資料(OUT)'!AB81:AB84))</f>
        <v>0</v>
      </c>
      <c r="DD75" s="50">
        <f>IF($AN75="N","N",SUM('調查資料(OUT)'!AF81:AF84))</f>
        <v>0</v>
      </c>
      <c r="DE75" s="50">
        <f>IF($AN75="N","N",SUM('調查資料(OUT)'!AJ81:AJ84))</f>
        <v>0</v>
      </c>
      <c r="DF75" s="56" t="e">
        <f t="shared" si="329"/>
        <v>#DIV/0!</v>
      </c>
      <c r="DG75" s="50">
        <f t="shared" si="330"/>
        <v>0</v>
      </c>
      <c r="DH75" s="50">
        <f>IF($AN75="N","N",SUM('調查資料(OUT)'!AC81:AC84))</f>
        <v>0</v>
      </c>
      <c r="DI75" s="50">
        <f>IF($AN75="N","N",SUM('調查資料(OUT)'!AG81:AG84))</f>
        <v>0</v>
      </c>
      <c r="DJ75" s="50">
        <f>IF($AN75="N","N",SUM('調查資料(OUT)'!AK81:AK84))</f>
        <v>0</v>
      </c>
      <c r="DK75" s="56" t="e">
        <f t="shared" si="331"/>
        <v>#DIV/0!</v>
      </c>
      <c r="DL75" s="50">
        <f t="shared" si="269"/>
        <v>0</v>
      </c>
      <c r="DM75" s="56" t="e">
        <f t="shared" si="270"/>
        <v>#DIV/0!</v>
      </c>
      <c r="DN75" s="50">
        <f t="shared" si="271"/>
        <v>0</v>
      </c>
      <c r="DO75" s="56" t="e">
        <f t="shared" si="272"/>
        <v>#DIV/0!</v>
      </c>
      <c r="DP75" s="50">
        <f t="shared" si="273"/>
        <v>0</v>
      </c>
      <c r="DQ75" s="56" t="e">
        <f t="shared" si="274"/>
        <v>#DIV/0!</v>
      </c>
      <c r="DR75" s="50">
        <f t="shared" si="275"/>
        <v>0</v>
      </c>
      <c r="DS75" s="50">
        <f t="shared" si="332"/>
        <v>0</v>
      </c>
      <c r="DT75" s="50">
        <f>IF($AN75="N","N",SUM('調查資料(OUT)'!AL81:AL84))</f>
        <v>0</v>
      </c>
      <c r="DU75" s="50">
        <f>IF($AN75="N","N",SUM('調查資料(OUT)'!AP81:AP84))</f>
        <v>0</v>
      </c>
      <c r="DV75" s="50">
        <f>IF($AN75="N","N",SUM('調查資料(OUT)'!AT81:AT84))</f>
        <v>0</v>
      </c>
      <c r="DW75" s="56" t="e">
        <f t="shared" si="333"/>
        <v>#DIV/0!</v>
      </c>
      <c r="DX75" s="50">
        <f t="shared" si="334"/>
        <v>0</v>
      </c>
      <c r="DY75" s="50">
        <f>IF($AN75="N","N",SUM('調查資料(OUT)'!AM81:AM84))</f>
        <v>0</v>
      </c>
      <c r="DZ75" s="50">
        <f>IF($AN75="N","N",SUM('調查資料(OUT)'!AQ81:AQ84))</f>
        <v>0</v>
      </c>
      <c r="EA75" s="50">
        <f>IF($AN75="N","N",SUM('調查資料(OUT)'!AU81:AU84))</f>
        <v>0</v>
      </c>
      <c r="EB75" s="56" t="e">
        <f t="shared" si="335"/>
        <v>#DIV/0!</v>
      </c>
      <c r="EC75" s="50">
        <f t="shared" si="336"/>
        <v>0</v>
      </c>
      <c r="ED75" s="50">
        <f>IF($AN75="N","N",SUM('調查資料(OUT)'!AN81:AN84))</f>
        <v>0</v>
      </c>
      <c r="EE75" s="50">
        <f>IF($AN75="N","N",SUM('調查資料(OUT)'!AR81:AR84))</f>
        <v>0</v>
      </c>
      <c r="EF75" s="50">
        <f>IF($AN75="N","N",SUM('調查資料(OUT)'!AV81:AV84))</f>
        <v>0</v>
      </c>
      <c r="EG75" s="56" t="e">
        <f t="shared" si="337"/>
        <v>#DIV/0!</v>
      </c>
      <c r="EH75" s="50">
        <f t="shared" si="338"/>
        <v>0</v>
      </c>
      <c r="EI75" s="50">
        <f>IF($AN75="N","N",SUM('調查資料(OUT)'!AO81:AO84))</f>
        <v>0</v>
      </c>
      <c r="EJ75" s="50">
        <f>IF($AN75="N","N",SUM('調查資料(OUT)'!AS81:AS84))</f>
        <v>0</v>
      </c>
      <c r="EK75" s="50">
        <f>IF($AN75="N","N",SUM('調查資料(OUT)'!AW81:AW84))</f>
        <v>0</v>
      </c>
      <c r="EL75" s="56" t="e">
        <f t="shared" si="339"/>
        <v>#DIV/0!</v>
      </c>
      <c r="EM75" s="50">
        <f t="shared" si="276"/>
        <v>0</v>
      </c>
      <c r="EN75" s="56" t="e">
        <f t="shared" si="277"/>
        <v>#DIV/0!</v>
      </c>
      <c r="EO75" s="50">
        <f t="shared" si="278"/>
        <v>0</v>
      </c>
      <c r="EP75" s="56" t="e">
        <f t="shared" si="279"/>
        <v>#DIV/0!</v>
      </c>
      <c r="EQ75" s="50">
        <f t="shared" si="280"/>
        <v>0</v>
      </c>
      <c r="ER75" s="56" t="e">
        <f t="shared" si="281"/>
        <v>#DIV/0!</v>
      </c>
      <c r="ES75" s="50">
        <f t="shared" si="282"/>
        <v>0</v>
      </c>
      <c r="ET75" s="50">
        <f t="shared" si="340"/>
        <v>0</v>
      </c>
      <c r="EU75" s="50">
        <f>IF($AN75="N","N",SUM('調查資料(OUT)'!AX81:AX84))</f>
        <v>0</v>
      </c>
      <c r="EV75" s="50">
        <f>IF($AN75="N","N",SUM('調查資料(OUT)'!BB81:BB84))</f>
        <v>0</v>
      </c>
      <c r="EW75" s="50">
        <f>IF($AN75="N","N",SUM('調查資料(OUT)'!BF81:BF84))</f>
        <v>0</v>
      </c>
      <c r="EX75" s="56" t="e">
        <f t="shared" si="341"/>
        <v>#DIV/0!</v>
      </c>
      <c r="EY75" s="50">
        <f t="shared" si="342"/>
        <v>0</v>
      </c>
      <c r="EZ75" s="50">
        <f>IF($AN75="N","N",SUM('調查資料(OUT)'!AY81:AY84))</f>
        <v>0</v>
      </c>
      <c r="FA75" s="50">
        <f>IF($AN75="N","N",SUM('調查資料(OUT)'!BC81:BC84))</f>
        <v>0</v>
      </c>
      <c r="FB75" s="50">
        <f>IF($AN75="N","N",SUM('調查資料(OUT)'!BG81:BG84))</f>
        <v>0</v>
      </c>
      <c r="FC75" s="56" t="e">
        <f t="shared" si="343"/>
        <v>#DIV/0!</v>
      </c>
      <c r="FD75" s="50">
        <f t="shared" si="344"/>
        <v>0</v>
      </c>
      <c r="FE75" s="50">
        <f>IF($AN75="N","N",SUM('調查資料(OUT)'!AZ81:AZ84))</f>
        <v>0</v>
      </c>
      <c r="FF75" s="50">
        <f>IF($AN75="N","N",SUM('調查資料(OUT)'!BD81:BD84))</f>
        <v>0</v>
      </c>
      <c r="FG75" s="50">
        <f>IF($AN75="N","N",SUM('調查資料(OUT)'!BH81:BH84))</f>
        <v>0</v>
      </c>
      <c r="FH75" s="56" t="e">
        <f t="shared" si="345"/>
        <v>#DIV/0!</v>
      </c>
      <c r="FI75" s="50">
        <f t="shared" si="346"/>
        <v>0</v>
      </c>
      <c r="FJ75" s="50">
        <f>IF($AN75="N","N",SUM('調查資料(OUT)'!BA81:BA84))</f>
        <v>0</v>
      </c>
      <c r="FK75" s="50">
        <f>IF($AN75="N","N",SUM('調查資料(OUT)'!BE81:BE84))</f>
        <v>0</v>
      </c>
      <c r="FL75" s="50">
        <f>IF($AN75="N","N",SUM('調查資料(OUT)'!BI81:BI84))</f>
        <v>0</v>
      </c>
      <c r="FM75" s="56" t="e">
        <f t="shared" si="347"/>
        <v>#DIV/0!</v>
      </c>
      <c r="FN75" s="50">
        <f t="shared" si="246"/>
        <v>0</v>
      </c>
      <c r="FO75" s="56" t="e">
        <f t="shared" si="247"/>
        <v>#DIV/0!</v>
      </c>
      <c r="FP75" s="50">
        <f t="shared" si="248"/>
        <v>0</v>
      </c>
      <c r="FQ75" s="56" t="e">
        <f t="shared" si="249"/>
        <v>#DIV/0!</v>
      </c>
      <c r="FR75" s="50">
        <f t="shared" si="250"/>
        <v>0</v>
      </c>
      <c r="FS75" s="56" t="e">
        <f t="shared" si="251"/>
        <v>#DIV/0!</v>
      </c>
      <c r="FT75" s="50">
        <f t="shared" si="252"/>
        <v>0</v>
      </c>
    </row>
    <row r="76" spans="1:176">
      <c r="A76" s="322">
        <f>'調查資料(OUT)'!A82</f>
        <v>1745</v>
      </c>
      <c r="B76" s="323">
        <f t="shared" si="238"/>
        <v>0</v>
      </c>
      <c r="C76" s="323">
        <f>IFERROR('調查資料(OUT)'!$B$1*'調查資料(OUT)'!B82,0)+IFERROR('調查資料(OUT)'!$F$1*'調查資料(OUT)'!F82,0)+IFERROR('調查資料(OUT)'!$J$1*'調查資料(OUT)'!J82,0)</f>
        <v>0</v>
      </c>
      <c r="D76" s="323">
        <f>IFERROR('調查資料(OUT)'!$C$1*'調查資料(OUT)'!C82,0)+IFERROR('調查資料(OUT)'!$G$1*'調查資料(OUT)'!G82,0)+IFERROR('調查資料(OUT)'!$K$1*'調查資料(OUT)'!K82,0)</f>
        <v>0</v>
      </c>
      <c r="E76" s="323">
        <f>IFERROR('調查資料(OUT)'!$D$1*'調查資料(OUT)'!D82,0)+IFERROR('調查資料(OUT)'!$H$1*'調查資料(OUT)'!H82,0)+IFERROR('調查資料(OUT)'!$L$1*'調查資料(OUT)'!L82,0)</f>
        <v>0</v>
      </c>
      <c r="F76" s="324">
        <f>IFERROR('調查資料(OUT)'!$E$1*'調查資料(OUT)'!E82,0)+IFERROR('調查資料(OUT)'!$I$1*'調查資料(OUT)'!I82,0)+IFERROR('調查資料(OUT)'!$M$1*'調查資料(OUT)'!M82,0)</f>
        <v>0</v>
      </c>
      <c r="G76" s="323">
        <f t="shared" si="239"/>
        <v>0</v>
      </c>
      <c r="H76" s="323">
        <f>IFERROR('調查資料(OUT)'!$N$1*'調查資料(OUT)'!N82,0)+IFERROR('調查資料(OUT)'!$R$1*'調查資料(OUT)'!R82,0)+IFERROR('調查資料(OUT)'!$V$1*'調查資料(OUT)'!V82,0)</f>
        <v>0</v>
      </c>
      <c r="I76" s="323">
        <f>IFERROR('調查資料(OUT)'!$O$1*'調查資料(OUT)'!O82,0)+IFERROR('調查資料(OUT)'!$S$1*'調查資料(OUT)'!S82,0)+IFERROR('調查資料(OUT)'!$W$1*'調查資料(OUT)'!W82,0)</f>
        <v>0</v>
      </c>
      <c r="J76" s="323">
        <f>IFERROR('調查資料(OUT)'!$P$1*'調查資料(OUT)'!P82,0)+IFERROR('調查資料(OUT)'!$T$1*'調查資料(OUT)'!T82,0)+IFERROR('調查資料(OUT)'!$X$1*'調查資料(OUT)'!X82,0)</f>
        <v>0</v>
      </c>
      <c r="K76" s="324">
        <f>IFERROR('調查資料(OUT)'!$Q$1*'調查資料(OUT)'!Q82,0)+IFERROR('調查資料(OUT)'!$U$1*'調查資料(OUT)'!U82,0)+IFERROR('調查資料(OUT)'!$Y$1*'調查資料(OUT)'!Y82,0)</f>
        <v>0</v>
      </c>
      <c r="L76" s="323">
        <f t="shared" si="240"/>
        <v>0</v>
      </c>
      <c r="M76" s="323">
        <f>IFERROR('調查資料(OUT)'!$Z$1*'調查資料(OUT)'!Z82,0)+IFERROR('調查資料(OUT)'!$AD$1*'調查資料(OUT)'!AD82,0)+IFERROR('調查資料(OUT)'!$AH$1*'調查資料(OUT)'!AH82,0)</f>
        <v>0</v>
      </c>
      <c r="N76" s="323">
        <f>IFERROR('調查資料(OUT)'!$AA$1*'調查資料(OUT)'!AA82,0)+IFERROR('調查資料(OUT)'!$AE$1*'調查資料(OUT)'!AE82,0)+IFERROR('調查資料(OUT)'!$AI$1*'調查資料(OUT)'!AI82,0)</f>
        <v>0</v>
      </c>
      <c r="O76" s="323">
        <f>IFERROR('調查資料(OUT)'!$AB$1*'調查資料(OUT)'!AB82,0)+IFERROR('調查資料(OUT)'!$AF$1*'調查資料(OUT)'!AF82,0)+IFERROR('調查資料(OUT)'!$AJ$1*'調查資料(OUT)'!AJ82,0)</f>
        <v>0</v>
      </c>
      <c r="P76" s="324">
        <f>IFERROR('調查資料(OUT)'!$AC$1*'調查資料(OUT)'!AC82,0)+IFERROR('調查資料(OUT)'!$AG$1*'調查資料(OUT)'!AG82,0)+IFERROR('調查資料(OUT)'!$AK$1*'調查資料(OUT)'!AK82,0)</f>
        <v>0</v>
      </c>
      <c r="Q76" s="323">
        <f t="shared" si="241"/>
        <v>0</v>
      </c>
      <c r="R76" s="323">
        <f>IFERROR('調查資料(OUT)'!$AL$1*'調查資料(OUT)'!AL82,0)+IFERROR('調查資料(OUT)'!$AP$1*'調查資料(OUT)'!AP82,0)+IFERROR('調查資料(OUT)'!$AT$1*'調查資料(OUT)'!AT82,0)</f>
        <v>0</v>
      </c>
      <c r="S76" s="323">
        <f>IFERROR('調查資料(OUT)'!$AM$1*'調查資料(OUT)'!AM82,0)+IFERROR('調查資料(OUT)'!$AQ$1*'調查資料(OUT)'!AQ82,0)+IFERROR('調查資料(OUT)'!$AU$1*'調查資料(OUT)'!AU82,0)</f>
        <v>0</v>
      </c>
      <c r="T76" s="323">
        <f>IFERROR('調查資料(OUT)'!$AN$1*'調查資料(OUT)'!AN82,0)+IFERROR('調查資料(OUT)'!$AR$1*'調查資料(OUT)'!AR82,0)+IFERROR('調查資料(OUT)'!$AV$1*'調查資料(OUT)'!AV82,0)</f>
        <v>0</v>
      </c>
      <c r="U76" s="324">
        <f>IFERROR('調查資料(OUT)'!$AO$1*'調查資料(OUT)'!AO82,0)+IFERROR('調查資料(OUT)'!$AS$1*'調查資料(OUT)'!AS82,0)+IFERROR('調查資料(OUT)'!$AW$1*'調查資料(OUT)'!AW82,0)</f>
        <v>0</v>
      </c>
      <c r="V76" s="323">
        <f t="shared" si="242"/>
        <v>0</v>
      </c>
      <c r="W76" s="323">
        <f>IFERROR('調查資料(OUT)'!$AX$1*'調查資料(OUT)'!AX82,0)+IFERROR('調查資料(OUT)'!$BB$1*'調查資料(OUT)'!BB82,0)+IFERROR('調查資料(OUT)'!$BF$1*'調查資料(OUT)'!BF82,0)</f>
        <v>0</v>
      </c>
      <c r="X76" s="323">
        <f>IFERROR('調查資料(OUT)'!$AY$1*'調查資料(OUT)'!AY82,0)+IFERROR('調查資料(OUT)'!$BC$1*'調查資料(OUT)'!BC82,0)+IFERROR('調查資料(OUT)'!$BG$1*'調查資料(OUT)'!BG82,0)</f>
        <v>0</v>
      </c>
      <c r="Y76" s="323">
        <f>IFERROR('調查資料(OUT)'!$AZ$1*'調查資料(OUT)'!AZ82,0)+IFERROR('調查資料(OUT)'!$BD$1*'調查資料(OUT)'!BD82,0)+IFERROR('調查資料(OUT)'!$BH$1*'調查資料(OUT)'!BH82,0)</f>
        <v>0</v>
      </c>
      <c r="Z76" s="324">
        <f>IFERROR('調查資料(OUT)'!$BA$1*'調查資料(OUT)'!BA82,0)+IFERROR('調查資料(OUT)'!$BE$1*'調查資料(OUT)'!BE82,0)+IFERROR('調查資料(OUT)'!$BI$1*'調查資料(OUT)'!BI82,0)</f>
        <v>0</v>
      </c>
      <c r="AA76" s="325">
        <f t="shared" si="243"/>
        <v>0</v>
      </c>
      <c r="AC76" s="363">
        <f>'調查資料(OUT)'!A82</f>
        <v>1745</v>
      </c>
      <c r="AD76" s="364">
        <f t="shared" si="244"/>
        <v>1845</v>
      </c>
      <c r="AE76" s="323">
        <f t="shared" si="254"/>
        <v>0</v>
      </c>
      <c r="AF76" s="323"/>
      <c r="AG76" s="323">
        <f t="shared" si="356"/>
        <v>0</v>
      </c>
      <c r="AH76" s="366" t="e">
        <f t="shared" si="357"/>
        <v>#DIV/0!</v>
      </c>
      <c r="AI76" s="366" t="e">
        <f t="shared" si="358"/>
        <v>#DIV/0!</v>
      </c>
      <c r="AJ76" s="366" t="e">
        <f t="shared" si="359"/>
        <v>#DIV/0!</v>
      </c>
      <c r="AK76" s="366" t="e">
        <f t="shared" si="360"/>
        <v>#DIV/0!</v>
      </c>
      <c r="AL76" s="366" t="e">
        <f t="shared" si="361"/>
        <v>#DIV/0!</v>
      </c>
      <c r="AM76" s="368"/>
      <c r="AN76" s="323">
        <f t="shared" si="362"/>
        <v>1745</v>
      </c>
      <c r="AO76" s="324">
        <f t="shared" si="363"/>
        <v>1845</v>
      </c>
      <c r="AP76" s="50">
        <f t="shared" si="245"/>
        <v>0</v>
      </c>
      <c r="AQ76" s="50">
        <f>IF($AN76="N","N",SUM('調查資料(OUT)'!B82:B85))</f>
        <v>0</v>
      </c>
      <c r="AR76" s="50">
        <f>IF($AN76="N","N",SUM('調查資料(OUT)'!F82:F85))</f>
        <v>0</v>
      </c>
      <c r="AS76" s="50">
        <f>IF($AN76="N","N",SUM('調查資料(OUT)'!J82:J85))</f>
        <v>0</v>
      </c>
      <c r="AT76" s="56" t="e">
        <f t="shared" si="309"/>
        <v>#DIV/0!</v>
      </c>
      <c r="AU76" s="50">
        <f t="shared" si="310"/>
        <v>0</v>
      </c>
      <c r="AV76" s="50">
        <f>IF($AN76="N","N",SUM('調查資料(OUT)'!C82:C85))</f>
        <v>0</v>
      </c>
      <c r="AW76" s="50">
        <f>IF($AN76="N","N",SUM('調查資料(OUT)'!G82:G85))</f>
        <v>0</v>
      </c>
      <c r="AX76" s="50">
        <f>IF($AN76="N","N",SUM('調查資料(OUT)'!K82:K85))</f>
        <v>0</v>
      </c>
      <c r="AY76" s="56" t="e">
        <f t="shared" si="311"/>
        <v>#DIV/0!</v>
      </c>
      <c r="AZ76" s="50">
        <f t="shared" si="312"/>
        <v>0</v>
      </c>
      <c r="BA76" s="50">
        <f>IF($AN76="N","N",SUM('調查資料(OUT)'!D82:D85))</f>
        <v>0</v>
      </c>
      <c r="BB76" s="50">
        <f>IF($AN76="N","N",SUM('調查資料(OUT)'!H82:H85))</f>
        <v>0</v>
      </c>
      <c r="BC76" s="50">
        <f>IF($AN76="N","N",SUM('調查資料(OUT)'!L82:L85))</f>
        <v>0</v>
      </c>
      <c r="BD76" s="56" t="e">
        <f t="shared" si="313"/>
        <v>#DIV/0!</v>
      </c>
      <c r="BE76" s="50">
        <f t="shared" si="314"/>
        <v>0</v>
      </c>
      <c r="BF76" s="50">
        <f>IF($AN76="N","N",SUM('調查資料(OUT)'!E82:E85))</f>
        <v>0</v>
      </c>
      <c r="BG76" s="50">
        <f>IF($AN76="N","N",SUM('調查資料(OUT)'!I82:I85))</f>
        <v>0</v>
      </c>
      <c r="BH76" s="50">
        <f>IF($AN76="N","N",SUM('調查資料(OUT)'!M82:M85))</f>
        <v>0</v>
      </c>
      <c r="BI76" s="56" t="e">
        <f t="shared" si="315"/>
        <v>#DIV/0!</v>
      </c>
      <c r="BJ76" s="50">
        <f t="shared" si="255"/>
        <v>0</v>
      </c>
      <c r="BK76" s="56" t="e">
        <f t="shared" si="256"/>
        <v>#DIV/0!</v>
      </c>
      <c r="BL76" s="50">
        <f t="shared" si="257"/>
        <v>0</v>
      </c>
      <c r="BM76" s="56" t="e">
        <f t="shared" si="258"/>
        <v>#DIV/0!</v>
      </c>
      <c r="BN76" s="50">
        <f t="shared" si="259"/>
        <v>0</v>
      </c>
      <c r="BO76" s="56" t="e">
        <f t="shared" si="260"/>
        <v>#DIV/0!</v>
      </c>
      <c r="BP76" s="50">
        <f t="shared" si="261"/>
        <v>0</v>
      </c>
      <c r="BQ76" s="50">
        <f t="shared" si="316"/>
        <v>0</v>
      </c>
      <c r="BR76" s="50">
        <f>IF($AN76="N","N",SUM('調查資料(OUT)'!N82:N85))</f>
        <v>0</v>
      </c>
      <c r="BS76" s="50">
        <f>IF($AN76="N","N",SUM('調查資料(OUT)'!R82:R85))</f>
        <v>0</v>
      </c>
      <c r="BT76" s="50">
        <f>IF($AN76="N","N",SUM('調查資料(OUT)'!V82:V85))</f>
        <v>0</v>
      </c>
      <c r="BU76" s="56" t="e">
        <f t="shared" si="317"/>
        <v>#DIV/0!</v>
      </c>
      <c r="BV76" s="50">
        <f t="shared" si="318"/>
        <v>0</v>
      </c>
      <c r="BW76" s="50">
        <f>IF($AN76="N","N",SUM('調查資料(OUT)'!O82:O85))</f>
        <v>0</v>
      </c>
      <c r="BX76" s="50">
        <f>IF($AN76="N","N",SUM('調查資料(OUT)'!S82:S85))</f>
        <v>0</v>
      </c>
      <c r="BY76" s="50">
        <f>IF($AN76="N","N",SUM('調查資料(OUT)'!W82:W85))</f>
        <v>0</v>
      </c>
      <c r="BZ76" s="56" t="e">
        <f t="shared" si="319"/>
        <v>#DIV/0!</v>
      </c>
      <c r="CA76" s="50">
        <f t="shared" si="320"/>
        <v>0</v>
      </c>
      <c r="CB76" s="50">
        <f>IF($AN76="N","N",SUM('調查資料(OUT)'!P82:P85))</f>
        <v>0</v>
      </c>
      <c r="CC76" s="50">
        <f>IF($AN76="N","N",SUM('調查資料(OUT)'!T82:T85))</f>
        <v>0</v>
      </c>
      <c r="CD76" s="50">
        <f>IF($AN76="N","N",SUM('調查資料(OUT)'!X82:X85))</f>
        <v>0</v>
      </c>
      <c r="CE76" s="56" t="e">
        <f t="shared" si="321"/>
        <v>#DIV/0!</v>
      </c>
      <c r="CF76" s="50">
        <f t="shared" si="322"/>
        <v>0</v>
      </c>
      <c r="CG76" s="50">
        <f>IF($AN76="N","N",SUM('調查資料(OUT)'!Q82:Q85))</f>
        <v>0</v>
      </c>
      <c r="CH76" s="50">
        <f>IF($AN76="N","N",SUM('調查資料(OUT)'!U82:U85))</f>
        <v>0</v>
      </c>
      <c r="CI76" s="50">
        <f>IF($AN76="N","N",SUM('調查資料(OUT)'!Y82:Y85))</f>
        <v>0</v>
      </c>
      <c r="CJ76" s="56" t="e">
        <f t="shared" si="323"/>
        <v>#DIV/0!</v>
      </c>
      <c r="CK76" s="50">
        <f t="shared" si="262"/>
        <v>0</v>
      </c>
      <c r="CL76" s="56" t="e">
        <f t="shared" si="263"/>
        <v>#DIV/0!</v>
      </c>
      <c r="CM76" s="50">
        <f t="shared" si="264"/>
        <v>0</v>
      </c>
      <c r="CN76" s="56" t="e">
        <f t="shared" si="265"/>
        <v>#DIV/0!</v>
      </c>
      <c r="CO76" s="50">
        <f t="shared" si="266"/>
        <v>0</v>
      </c>
      <c r="CP76" s="56" t="e">
        <f t="shared" si="267"/>
        <v>#DIV/0!</v>
      </c>
      <c r="CQ76" s="50">
        <f t="shared" si="268"/>
        <v>0</v>
      </c>
      <c r="CR76" s="50">
        <f t="shared" si="324"/>
        <v>0</v>
      </c>
      <c r="CS76" s="50">
        <f>IF($AN76="N","N",SUM('調查資料(OUT)'!Z82:Z85))</f>
        <v>0</v>
      </c>
      <c r="CT76" s="50">
        <f>IF($AN76="N","N",SUM('調查資料(OUT)'!AD82:AD85))</f>
        <v>0</v>
      </c>
      <c r="CU76" s="50">
        <f>IF($AN76="N","N",SUM('調查資料(OUT)'!AH82:AH85))</f>
        <v>0</v>
      </c>
      <c r="CV76" s="56" t="e">
        <f t="shared" si="325"/>
        <v>#DIV/0!</v>
      </c>
      <c r="CW76" s="50">
        <f t="shared" si="326"/>
        <v>0</v>
      </c>
      <c r="CX76" s="50">
        <f>IF($AN76="N","N",SUM('調查資料(OUT)'!AA82:AA85))</f>
        <v>0</v>
      </c>
      <c r="CY76" s="50">
        <f>IF($AN76="N","N",SUM('調查資料(OUT)'!AE82:AE85))</f>
        <v>0</v>
      </c>
      <c r="CZ76" s="50">
        <f>IF($AN76="N","N",SUM('調查資料(OUT)'!AI82:AI85))</f>
        <v>0</v>
      </c>
      <c r="DA76" s="56" t="e">
        <f t="shared" si="327"/>
        <v>#DIV/0!</v>
      </c>
      <c r="DB76" s="50">
        <f t="shared" si="328"/>
        <v>0</v>
      </c>
      <c r="DC76" s="50">
        <f>IF($AN76="N","N",SUM('調查資料(OUT)'!AB82:AB85))</f>
        <v>0</v>
      </c>
      <c r="DD76" s="50">
        <f>IF($AN76="N","N",SUM('調查資料(OUT)'!AF82:AF85))</f>
        <v>0</v>
      </c>
      <c r="DE76" s="50">
        <f>IF($AN76="N","N",SUM('調查資料(OUT)'!AJ82:AJ85))</f>
        <v>0</v>
      </c>
      <c r="DF76" s="56" t="e">
        <f t="shared" si="329"/>
        <v>#DIV/0!</v>
      </c>
      <c r="DG76" s="50">
        <f t="shared" si="330"/>
        <v>0</v>
      </c>
      <c r="DH76" s="50">
        <f>IF($AN76="N","N",SUM('調查資料(OUT)'!AC82:AC85))</f>
        <v>0</v>
      </c>
      <c r="DI76" s="50">
        <f>IF($AN76="N","N",SUM('調查資料(OUT)'!AG82:AG85))</f>
        <v>0</v>
      </c>
      <c r="DJ76" s="50">
        <f>IF($AN76="N","N",SUM('調查資料(OUT)'!AK82:AK85))</f>
        <v>0</v>
      </c>
      <c r="DK76" s="56" t="e">
        <f t="shared" si="331"/>
        <v>#DIV/0!</v>
      </c>
      <c r="DL76" s="50">
        <f t="shared" si="269"/>
        <v>0</v>
      </c>
      <c r="DM76" s="56" t="e">
        <f t="shared" si="270"/>
        <v>#DIV/0!</v>
      </c>
      <c r="DN76" s="50">
        <f t="shared" si="271"/>
        <v>0</v>
      </c>
      <c r="DO76" s="56" t="e">
        <f t="shared" si="272"/>
        <v>#DIV/0!</v>
      </c>
      <c r="DP76" s="50">
        <f t="shared" si="273"/>
        <v>0</v>
      </c>
      <c r="DQ76" s="56" t="e">
        <f t="shared" si="274"/>
        <v>#DIV/0!</v>
      </c>
      <c r="DR76" s="50">
        <f t="shared" si="275"/>
        <v>0</v>
      </c>
      <c r="DS76" s="50">
        <f t="shared" si="332"/>
        <v>0</v>
      </c>
      <c r="DT76" s="50">
        <f>IF($AN76="N","N",SUM('調查資料(OUT)'!AL82:AL85))</f>
        <v>0</v>
      </c>
      <c r="DU76" s="50">
        <f>IF($AN76="N","N",SUM('調查資料(OUT)'!AP82:AP85))</f>
        <v>0</v>
      </c>
      <c r="DV76" s="50">
        <f>IF($AN76="N","N",SUM('調查資料(OUT)'!AT82:AT85))</f>
        <v>0</v>
      </c>
      <c r="DW76" s="56" t="e">
        <f t="shared" si="333"/>
        <v>#DIV/0!</v>
      </c>
      <c r="DX76" s="50">
        <f t="shared" si="334"/>
        <v>0</v>
      </c>
      <c r="DY76" s="50">
        <f>IF($AN76="N","N",SUM('調查資料(OUT)'!AM82:AM85))</f>
        <v>0</v>
      </c>
      <c r="DZ76" s="50">
        <f>IF($AN76="N","N",SUM('調查資料(OUT)'!AQ82:AQ85))</f>
        <v>0</v>
      </c>
      <c r="EA76" s="50">
        <f>IF($AN76="N","N",SUM('調查資料(OUT)'!AU82:AU85))</f>
        <v>0</v>
      </c>
      <c r="EB76" s="56" t="e">
        <f t="shared" si="335"/>
        <v>#DIV/0!</v>
      </c>
      <c r="EC76" s="50">
        <f t="shared" si="336"/>
        <v>0</v>
      </c>
      <c r="ED76" s="50">
        <f>IF($AN76="N","N",SUM('調查資料(OUT)'!AN82:AN85))</f>
        <v>0</v>
      </c>
      <c r="EE76" s="50">
        <f>IF($AN76="N","N",SUM('調查資料(OUT)'!AR82:AR85))</f>
        <v>0</v>
      </c>
      <c r="EF76" s="50">
        <f>IF($AN76="N","N",SUM('調查資料(OUT)'!AV82:AV85))</f>
        <v>0</v>
      </c>
      <c r="EG76" s="56" t="e">
        <f t="shared" si="337"/>
        <v>#DIV/0!</v>
      </c>
      <c r="EH76" s="50">
        <f t="shared" si="338"/>
        <v>0</v>
      </c>
      <c r="EI76" s="50">
        <f>IF($AN76="N","N",SUM('調查資料(OUT)'!AO82:AO85))</f>
        <v>0</v>
      </c>
      <c r="EJ76" s="50">
        <f>IF($AN76="N","N",SUM('調查資料(OUT)'!AS82:AS85))</f>
        <v>0</v>
      </c>
      <c r="EK76" s="50">
        <f>IF($AN76="N","N",SUM('調查資料(OUT)'!AW82:AW85))</f>
        <v>0</v>
      </c>
      <c r="EL76" s="56" t="e">
        <f t="shared" si="339"/>
        <v>#DIV/0!</v>
      </c>
      <c r="EM76" s="50">
        <f t="shared" si="276"/>
        <v>0</v>
      </c>
      <c r="EN76" s="56" t="e">
        <f t="shared" si="277"/>
        <v>#DIV/0!</v>
      </c>
      <c r="EO76" s="50">
        <f t="shared" si="278"/>
        <v>0</v>
      </c>
      <c r="EP76" s="56" t="e">
        <f t="shared" si="279"/>
        <v>#DIV/0!</v>
      </c>
      <c r="EQ76" s="50">
        <f t="shared" si="280"/>
        <v>0</v>
      </c>
      <c r="ER76" s="56" t="e">
        <f t="shared" si="281"/>
        <v>#DIV/0!</v>
      </c>
      <c r="ES76" s="50">
        <f t="shared" si="282"/>
        <v>0</v>
      </c>
      <c r="ET76" s="50">
        <f t="shared" si="340"/>
        <v>0</v>
      </c>
      <c r="EU76" s="50">
        <f>IF($AN76="N","N",SUM('調查資料(OUT)'!AX82:AX85))</f>
        <v>0</v>
      </c>
      <c r="EV76" s="50">
        <f>IF($AN76="N","N",SUM('調查資料(OUT)'!BB82:BB85))</f>
        <v>0</v>
      </c>
      <c r="EW76" s="50">
        <f>IF($AN76="N","N",SUM('調查資料(OUT)'!BF82:BF85))</f>
        <v>0</v>
      </c>
      <c r="EX76" s="56" t="e">
        <f t="shared" si="341"/>
        <v>#DIV/0!</v>
      </c>
      <c r="EY76" s="50">
        <f t="shared" si="342"/>
        <v>0</v>
      </c>
      <c r="EZ76" s="50">
        <f>IF($AN76="N","N",SUM('調查資料(OUT)'!AY82:AY85))</f>
        <v>0</v>
      </c>
      <c r="FA76" s="50">
        <f>IF($AN76="N","N",SUM('調查資料(OUT)'!BC82:BC85))</f>
        <v>0</v>
      </c>
      <c r="FB76" s="50">
        <f>IF($AN76="N","N",SUM('調查資料(OUT)'!BG82:BG85))</f>
        <v>0</v>
      </c>
      <c r="FC76" s="56" t="e">
        <f t="shared" si="343"/>
        <v>#DIV/0!</v>
      </c>
      <c r="FD76" s="50">
        <f t="shared" si="344"/>
        <v>0</v>
      </c>
      <c r="FE76" s="50">
        <f>IF($AN76="N","N",SUM('調查資料(OUT)'!AZ82:AZ85))</f>
        <v>0</v>
      </c>
      <c r="FF76" s="50">
        <f>IF($AN76="N","N",SUM('調查資料(OUT)'!BD82:BD85))</f>
        <v>0</v>
      </c>
      <c r="FG76" s="50">
        <f>IF($AN76="N","N",SUM('調查資料(OUT)'!BH82:BH85))</f>
        <v>0</v>
      </c>
      <c r="FH76" s="56" t="e">
        <f t="shared" si="345"/>
        <v>#DIV/0!</v>
      </c>
      <c r="FI76" s="50">
        <f t="shared" si="346"/>
        <v>0</v>
      </c>
      <c r="FJ76" s="50">
        <f>IF($AN76="N","N",SUM('調查資料(OUT)'!BA82:BA85))</f>
        <v>0</v>
      </c>
      <c r="FK76" s="50">
        <f>IF($AN76="N","N",SUM('調查資料(OUT)'!BE82:BE85))</f>
        <v>0</v>
      </c>
      <c r="FL76" s="50">
        <f>IF($AN76="N","N",SUM('調查資料(OUT)'!BI82:BI85))</f>
        <v>0</v>
      </c>
      <c r="FM76" s="56" t="e">
        <f t="shared" si="347"/>
        <v>#DIV/0!</v>
      </c>
      <c r="FN76" s="50">
        <f t="shared" si="246"/>
        <v>0</v>
      </c>
      <c r="FO76" s="56" t="e">
        <f t="shared" si="247"/>
        <v>#DIV/0!</v>
      </c>
      <c r="FP76" s="50">
        <f t="shared" si="248"/>
        <v>0</v>
      </c>
      <c r="FQ76" s="56" t="e">
        <f t="shared" si="249"/>
        <v>#DIV/0!</v>
      </c>
      <c r="FR76" s="50">
        <f t="shared" si="250"/>
        <v>0</v>
      </c>
      <c r="FS76" s="56" t="e">
        <f t="shared" si="251"/>
        <v>#DIV/0!</v>
      </c>
      <c r="FT76" s="50">
        <f t="shared" si="252"/>
        <v>0</v>
      </c>
    </row>
    <row r="77" spans="1:176">
      <c r="A77" s="322">
        <f>'調查資料(OUT)'!A83</f>
        <v>1800</v>
      </c>
      <c r="B77" s="323">
        <f t="shared" si="238"/>
        <v>0</v>
      </c>
      <c r="C77" s="323">
        <f>IFERROR('調查資料(OUT)'!$B$1*'調查資料(OUT)'!B83,0)+IFERROR('調查資料(OUT)'!$F$1*'調查資料(OUT)'!F83,0)+IFERROR('調查資料(OUT)'!$J$1*'調查資料(OUT)'!J83,0)</f>
        <v>0</v>
      </c>
      <c r="D77" s="323">
        <f>IFERROR('調查資料(OUT)'!$C$1*'調查資料(OUT)'!C83,0)+IFERROR('調查資料(OUT)'!$G$1*'調查資料(OUT)'!G83,0)+IFERROR('調查資料(OUT)'!$K$1*'調查資料(OUT)'!K83,0)</f>
        <v>0</v>
      </c>
      <c r="E77" s="323">
        <f>IFERROR('調查資料(OUT)'!$D$1*'調查資料(OUT)'!D83,0)+IFERROR('調查資料(OUT)'!$H$1*'調查資料(OUT)'!H83,0)+IFERROR('調查資料(OUT)'!$L$1*'調查資料(OUT)'!L83,0)</f>
        <v>0</v>
      </c>
      <c r="F77" s="324">
        <f>IFERROR('調查資料(OUT)'!$E$1*'調查資料(OUT)'!E83,0)+IFERROR('調查資料(OUT)'!$I$1*'調查資料(OUT)'!I83,0)+IFERROR('調查資料(OUT)'!$M$1*'調查資料(OUT)'!M83,0)</f>
        <v>0</v>
      </c>
      <c r="G77" s="323">
        <f t="shared" si="239"/>
        <v>0</v>
      </c>
      <c r="H77" s="323">
        <f>IFERROR('調查資料(OUT)'!$N$1*'調查資料(OUT)'!N83,0)+IFERROR('調查資料(OUT)'!$R$1*'調查資料(OUT)'!R83,0)+IFERROR('調查資料(OUT)'!$V$1*'調查資料(OUT)'!V83,0)</f>
        <v>0</v>
      </c>
      <c r="I77" s="323">
        <f>IFERROR('調查資料(OUT)'!$O$1*'調查資料(OUT)'!O83,0)+IFERROR('調查資料(OUT)'!$S$1*'調查資料(OUT)'!S83,0)+IFERROR('調查資料(OUT)'!$W$1*'調查資料(OUT)'!W83,0)</f>
        <v>0</v>
      </c>
      <c r="J77" s="323">
        <f>IFERROR('調查資料(OUT)'!$P$1*'調查資料(OUT)'!P83,0)+IFERROR('調查資料(OUT)'!$T$1*'調查資料(OUT)'!T83,0)+IFERROR('調查資料(OUT)'!$X$1*'調查資料(OUT)'!X83,0)</f>
        <v>0</v>
      </c>
      <c r="K77" s="324">
        <f>IFERROR('調查資料(OUT)'!$Q$1*'調查資料(OUT)'!Q83,0)+IFERROR('調查資料(OUT)'!$U$1*'調查資料(OUT)'!U83,0)+IFERROR('調查資料(OUT)'!$Y$1*'調查資料(OUT)'!Y83,0)</f>
        <v>0</v>
      </c>
      <c r="L77" s="323">
        <f t="shared" si="240"/>
        <v>0</v>
      </c>
      <c r="M77" s="323">
        <f>IFERROR('調查資料(OUT)'!$Z$1*'調查資料(OUT)'!Z83,0)+IFERROR('調查資料(OUT)'!$AD$1*'調查資料(OUT)'!AD83,0)+IFERROR('調查資料(OUT)'!$AH$1*'調查資料(OUT)'!AH83,0)</f>
        <v>0</v>
      </c>
      <c r="N77" s="323">
        <f>IFERROR('調查資料(OUT)'!$AA$1*'調查資料(OUT)'!AA83,0)+IFERROR('調查資料(OUT)'!$AE$1*'調查資料(OUT)'!AE83,0)+IFERROR('調查資料(OUT)'!$AI$1*'調查資料(OUT)'!AI83,0)</f>
        <v>0</v>
      </c>
      <c r="O77" s="323">
        <f>IFERROR('調查資料(OUT)'!$AB$1*'調查資料(OUT)'!AB83,0)+IFERROR('調查資料(OUT)'!$AF$1*'調查資料(OUT)'!AF83,0)+IFERROR('調查資料(OUT)'!$AJ$1*'調查資料(OUT)'!AJ83,0)</f>
        <v>0</v>
      </c>
      <c r="P77" s="324">
        <f>IFERROR('調查資料(OUT)'!$AC$1*'調查資料(OUT)'!AC83,0)+IFERROR('調查資料(OUT)'!$AG$1*'調查資料(OUT)'!AG83,0)+IFERROR('調查資料(OUT)'!$AK$1*'調查資料(OUT)'!AK83,0)</f>
        <v>0</v>
      </c>
      <c r="Q77" s="323">
        <f t="shared" si="241"/>
        <v>0</v>
      </c>
      <c r="R77" s="323">
        <f>IFERROR('調查資料(OUT)'!$AL$1*'調查資料(OUT)'!AL83,0)+IFERROR('調查資料(OUT)'!$AP$1*'調查資料(OUT)'!AP83,0)+IFERROR('調查資料(OUT)'!$AT$1*'調查資料(OUT)'!AT83,0)</f>
        <v>0</v>
      </c>
      <c r="S77" s="323">
        <f>IFERROR('調查資料(OUT)'!$AM$1*'調查資料(OUT)'!AM83,0)+IFERROR('調查資料(OUT)'!$AQ$1*'調查資料(OUT)'!AQ83,0)+IFERROR('調查資料(OUT)'!$AU$1*'調查資料(OUT)'!AU83,0)</f>
        <v>0</v>
      </c>
      <c r="T77" s="323">
        <f>IFERROR('調查資料(OUT)'!$AN$1*'調查資料(OUT)'!AN83,0)+IFERROR('調查資料(OUT)'!$AR$1*'調查資料(OUT)'!AR83,0)+IFERROR('調查資料(OUT)'!$AV$1*'調查資料(OUT)'!AV83,0)</f>
        <v>0</v>
      </c>
      <c r="U77" s="324">
        <f>IFERROR('調查資料(OUT)'!$AO$1*'調查資料(OUT)'!AO83,0)+IFERROR('調查資料(OUT)'!$AS$1*'調查資料(OUT)'!AS83,0)+IFERROR('調查資料(OUT)'!$AW$1*'調查資料(OUT)'!AW83,0)</f>
        <v>0</v>
      </c>
      <c r="V77" s="323">
        <f t="shared" si="242"/>
        <v>0</v>
      </c>
      <c r="W77" s="323">
        <f>IFERROR('調查資料(OUT)'!$AX$1*'調查資料(OUT)'!AX83,0)+IFERROR('調查資料(OUT)'!$BB$1*'調查資料(OUT)'!BB83,0)+IFERROR('調查資料(OUT)'!$BF$1*'調查資料(OUT)'!BF83,0)</f>
        <v>0</v>
      </c>
      <c r="X77" s="323">
        <f>IFERROR('調查資料(OUT)'!$AY$1*'調查資料(OUT)'!AY83,0)+IFERROR('調查資料(OUT)'!$BC$1*'調查資料(OUT)'!BC83,0)+IFERROR('調查資料(OUT)'!$BG$1*'調查資料(OUT)'!BG83,0)</f>
        <v>0</v>
      </c>
      <c r="Y77" s="323">
        <f>IFERROR('調查資料(OUT)'!$AZ$1*'調查資料(OUT)'!AZ83,0)+IFERROR('調查資料(OUT)'!$BD$1*'調查資料(OUT)'!BD83,0)+IFERROR('調查資料(OUT)'!$BH$1*'調查資料(OUT)'!BH83,0)</f>
        <v>0</v>
      </c>
      <c r="Z77" s="324">
        <f>IFERROR('調查資料(OUT)'!$BA$1*'調查資料(OUT)'!BA83,0)+IFERROR('調查資料(OUT)'!$BE$1*'調查資料(OUT)'!BE83,0)+IFERROR('調查資料(OUT)'!$BI$1*'調查資料(OUT)'!BI83,0)</f>
        <v>0</v>
      </c>
      <c r="AA77" s="325">
        <f t="shared" si="243"/>
        <v>0</v>
      </c>
      <c r="AC77" s="363">
        <f>'調查資料(OUT)'!A83</f>
        <v>1800</v>
      </c>
      <c r="AD77" s="364">
        <f t="shared" si="244"/>
        <v>1900</v>
      </c>
      <c r="AE77" s="323">
        <f t="shared" si="254"/>
        <v>0</v>
      </c>
      <c r="AF77" s="323"/>
      <c r="AG77" s="323">
        <f t="shared" si="356"/>
        <v>0</v>
      </c>
      <c r="AH77" s="366" t="e">
        <f t="shared" si="357"/>
        <v>#DIV/0!</v>
      </c>
      <c r="AI77" s="366" t="e">
        <f t="shared" si="358"/>
        <v>#DIV/0!</v>
      </c>
      <c r="AJ77" s="366" t="e">
        <f t="shared" si="359"/>
        <v>#DIV/0!</v>
      </c>
      <c r="AK77" s="366" t="e">
        <f t="shared" si="360"/>
        <v>#DIV/0!</v>
      </c>
      <c r="AL77" s="366" t="e">
        <f t="shared" si="361"/>
        <v>#DIV/0!</v>
      </c>
      <c r="AM77" s="368"/>
      <c r="AN77" s="323">
        <f t="shared" si="362"/>
        <v>1800</v>
      </c>
      <c r="AO77" s="324">
        <f t="shared" si="363"/>
        <v>1900</v>
      </c>
      <c r="AP77" s="50">
        <f t="shared" si="245"/>
        <v>0</v>
      </c>
      <c r="AQ77" s="50">
        <f>IF($AN77="N","N",SUM('調查資料(OUT)'!B83:B86))</f>
        <v>0</v>
      </c>
      <c r="AR77" s="50">
        <f>IF($AN77="N","N",SUM('調查資料(OUT)'!F83:F86))</f>
        <v>0</v>
      </c>
      <c r="AS77" s="50">
        <f>IF($AN77="N","N",SUM('調查資料(OUT)'!J83:J86))</f>
        <v>0</v>
      </c>
      <c r="AT77" s="56" t="e">
        <f t="shared" si="309"/>
        <v>#DIV/0!</v>
      </c>
      <c r="AU77" s="50">
        <f t="shared" si="310"/>
        <v>0</v>
      </c>
      <c r="AV77" s="50">
        <f>IF($AN77="N","N",SUM('調查資料(OUT)'!C83:C86))</f>
        <v>0</v>
      </c>
      <c r="AW77" s="50">
        <f>IF($AN77="N","N",SUM('調查資料(OUT)'!G83:G86))</f>
        <v>0</v>
      </c>
      <c r="AX77" s="50">
        <f>IF($AN77="N","N",SUM('調查資料(OUT)'!K83:K86))</f>
        <v>0</v>
      </c>
      <c r="AY77" s="56" t="e">
        <f t="shared" si="311"/>
        <v>#DIV/0!</v>
      </c>
      <c r="AZ77" s="50">
        <f t="shared" si="312"/>
        <v>0</v>
      </c>
      <c r="BA77" s="50">
        <f>IF($AN77="N","N",SUM('調查資料(OUT)'!D83:D86))</f>
        <v>0</v>
      </c>
      <c r="BB77" s="50">
        <f>IF($AN77="N","N",SUM('調查資料(OUT)'!H83:H86))</f>
        <v>0</v>
      </c>
      <c r="BC77" s="50">
        <f>IF($AN77="N","N",SUM('調查資料(OUT)'!L83:L86))</f>
        <v>0</v>
      </c>
      <c r="BD77" s="56" t="e">
        <f t="shared" si="313"/>
        <v>#DIV/0!</v>
      </c>
      <c r="BE77" s="50">
        <f t="shared" si="314"/>
        <v>0</v>
      </c>
      <c r="BF77" s="50">
        <f>IF($AN77="N","N",SUM('調查資料(OUT)'!E83:E86))</f>
        <v>0</v>
      </c>
      <c r="BG77" s="50">
        <f>IF($AN77="N","N",SUM('調查資料(OUT)'!I83:I86))</f>
        <v>0</v>
      </c>
      <c r="BH77" s="50">
        <f>IF($AN77="N","N",SUM('調查資料(OUT)'!M83:M86))</f>
        <v>0</v>
      </c>
      <c r="BI77" s="56" t="e">
        <f t="shared" si="315"/>
        <v>#DIV/0!</v>
      </c>
      <c r="BJ77" s="50">
        <f t="shared" si="255"/>
        <v>0</v>
      </c>
      <c r="BK77" s="56" t="e">
        <f t="shared" si="256"/>
        <v>#DIV/0!</v>
      </c>
      <c r="BL77" s="50">
        <f t="shared" si="257"/>
        <v>0</v>
      </c>
      <c r="BM77" s="56" t="e">
        <f t="shared" si="258"/>
        <v>#DIV/0!</v>
      </c>
      <c r="BN77" s="50">
        <f t="shared" si="259"/>
        <v>0</v>
      </c>
      <c r="BO77" s="56" t="e">
        <f t="shared" si="260"/>
        <v>#DIV/0!</v>
      </c>
      <c r="BP77" s="50">
        <f t="shared" si="261"/>
        <v>0</v>
      </c>
      <c r="BQ77" s="50">
        <f t="shared" si="316"/>
        <v>0</v>
      </c>
      <c r="BR77" s="50">
        <f>IF($AN77="N","N",SUM('調查資料(OUT)'!N83:N86))</f>
        <v>0</v>
      </c>
      <c r="BS77" s="50">
        <f>IF($AN77="N","N",SUM('調查資料(OUT)'!R83:R86))</f>
        <v>0</v>
      </c>
      <c r="BT77" s="50">
        <f>IF($AN77="N","N",SUM('調查資料(OUT)'!V83:V86))</f>
        <v>0</v>
      </c>
      <c r="BU77" s="56" t="e">
        <f t="shared" si="317"/>
        <v>#DIV/0!</v>
      </c>
      <c r="BV77" s="50">
        <f t="shared" si="318"/>
        <v>0</v>
      </c>
      <c r="BW77" s="50">
        <f>IF($AN77="N","N",SUM('調查資料(OUT)'!O83:O86))</f>
        <v>0</v>
      </c>
      <c r="BX77" s="50">
        <f>IF($AN77="N","N",SUM('調查資料(OUT)'!S83:S86))</f>
        <v>0</v>
      </c>
      <c r="BY77" s="50">
        <f>IF($AN77="N","N",SUM('調查資料(OUT)'!W83:W86))</f>
        <v>0</v>
      </c>
      <c r="BZ77" s="56" t="e">
        <f t="shared" si="319"/>
        <v>#DIV/0!</v>
      </c>
      <c r="CA77" s="50">
        <f t="shared" si="320"/>
        <v>0</v>
      </c>
      <c r="CB77" s="50">
        <f>IF($AN77="N","N",SUM('調查資料(OUT)'!P83:P86))</f>
        <v>0</v>
      </c>
      <c r="CC77" s="50">
        <f>IF($AN77="N","N",SUM('調查資料(OUT)'!T83:T86))</f>
        <v>0</v>
      </c>
      <c r="CD77" s="50">
        <f>IF($AN77="N","N",SUM('調查資料(OUT)'!X83:X86))</f>
        <v>0</v>
      </c>
      <c r="CE77" s="56" t="e">
        <f t="shared" si="321"/>
        <v>#DIV/0!</v>
      </c>
      <c r="CF77" s="50">
        <f t="shared" si="322"/>
        <v>0</v>
      </c>
      <c r="CG77" s="50">
        <f>IF($AN77="N","N",SUM('調查資料(OUT)'!Q83:Q86))</f>
        <v>0</v>
      </c>
      <c r="CH77" s="50">
        <f>IF($AN77="N","N",SUM('調查資料(OUT)'!U83:U86))</f>
        <v>0</v>
      </c>
      <c r="CI77" s="50">
        <f>IF($AN77="N","N",SUM('調查資料(OUT)'!Y83:Y86))</f>
        <v>0</v>
      </c>
      <c r="CJ77" s="56" t="e">
        <f t="shared" si="323"/>
        <v>#DIV/0!</v>
      </c>
      <c r="CK77" s="50">
        <f t="shared" si="262"/>
        <v>0</v>
      </c>
      <c r="CL77" s="56" t="e">
        <f t="shared" si="263"/>
        <v>#DIV/0!</v>
      </c>
      <c r="CM77" s="50">
        <f t="shared" si="264"/>
        <v>0</v>
      </c>
      <c r="CN77" s="56" t="e">
        <f t="shared" si="265"/>
        <v>#DIV/0!</v>
      </c>
      <c r="CO77" s="50">
        <f t="shared" si="266"/>
        <v>0</v>
      </c>
      <c r="CP77" s="56" t="e">
        <f t="shared" si="267"/>
        <v>#DIV/0!</v>
      </c>
      <c r="CQ77" s="50">
        <f t="shared" si="268"/>
        <v>0</v>
      </c>
      <c r="CR77" s="50">
        <f t="shared" si="324"/>
        <v>0</v>
      </c>
      <c r="CS77" s="50">
        <f>IF($AN77="N","N",SUM('調查資料(OUT)'!Z83:Z86))</f>
        <v>0</v>
      </c>
      <c r="CT77" s="50">
        <f>IF($AN77="N","N",SUM('調查資料(OUT)'!AD83:AD86))</f>
        <v>0</v>
      </c>
      <c r="CU77" s="50">
        <f>IF($AN77="N","N",SUM('調查資料(OUT)'!AH83:AH86))</f>
        <v>0</v>
      </c>
      <c r="CV77" s="56" t="e">
        <f t="shared" si="325"/>
        <v>#DIV/0!</v>
      </c>
      <c r="CW77" s="50">
        <f t="shared" si="326"/>
        <v>0</v>
      </c>
      <c r="CX77" s="50">
        <f>IF($AN77="N","N",SUM('調查資料(OUT)'!AA83:AA86))</f>
        <v>0</v>
      </c>
      <c r="CY77" s="50">
        <f>IF($AN77="N","N",SUM('調查資料(OUT)'!AE83:AE86))</f>
        <v>0</v>
      </c>
      <c r="CZ77" s="50">
        <f>IF($AN77="N","N",SUM('調查資料(OUT)'!AI83:AI86))</f>
        <v>0</v>
      </c>
      <c r="DA77" s="56" t="e">
        <f t="shared" si="327"/>
        <v>#DIV/0!</v>
      </c>
      <c r="DB77" s="50">
        <f t="shared" si="328"/>
        <v>0</v>
      </c>
      <c r="DC77" s="50">
        <f>IF($AN77="N","N",SUM('調查資料(OUT)'!AB83:AB86))</f>
        <v>0</v>
      </c>
      <c r="DD77" s="50">
        <f>IF($AN77="N","N",SUM('調查資料(OUT)'!AF83:AF86))</f>
        <v>0</v>
      </c>
      <c r="DE77" s="50">
        <f>IF($AN77="N","N",SUM('調查資料(OUT)'!AJ83:AJ86))</f>
        <v>0</v>
      </c>
      <c r="DF77" s="56" t="e">
        <f t="shared" si="329"/>
        <v>#DIV/0!</v>
      </c>
      <c r="DG77" s="50">
        <f t="shared" si="330"/>
        <v>0</v>
      </c>
      <c r="DH77" s="50">
        <f>IF($AN77="N","N",SUM('調查資料(OUT)'!AC83:AC86))</f>
        <v>0</v>
      </c>
      <c r="DI77" s="50">
        <f>IF($AN77="N","N",SUM('調查資料(OUT)'!AG83:AG86))</f>
        <v>0</v>
      </c>
      <c r="DJ77" s="50">
        <f>IF($AN77="N","N",SUM('調查資料(OUT)'!AK83:AK86))</f>
        <v>0</v>
      </c>
      <c r="DK77" s="56" t="e">
        <f t="shared" si="331"/>
        <v>#DIV/0!</v>
      </c>
      <c r="DL77" s="50">
        <f t="shared" si="269"/>
        <v>0</v>
      </c>
      <c r="DM77" s="56" t="e">
        <f t="shared" si="270"/>
        <v>#DIV/0!</v>
      </c>
      <c r="DN77" s="50">
        <f t="shared" si="271"/>
        <v>0</v>
      </c>
      <c r="DO77" s="56" t="e">
        <f t="shared" si="272"/>
        <v>#DIV/0!</v>
      </c>
      <c r="DP77" s="50">
        <f t="shared" si="273"/>
        <v>0</v>
      </c>
      <c r="DQ77" s="56" t="e">
        <f t="shared" si="274"/>
        <v>#DIV/0!</v>
      </c>
      <c r="DR77" s="50">
        <f t="shared" si="275"/>
        <v>0</v>
      </c>
      <c r="DS77" s="50">
        <f t="shared" si="332"/>
        <v>0</v>
      </c>
      <c r="DT77" s="50">
        <f>IF($AN77="N","N",SUM('調查資料(OUT)'!AL83:AL86))</f>
        <v>0</v>
      </c>
      <c r="DU77" s="50">
        <f>IF($AN77="N","N",SUM('調查資料(OUT)'!AP83:AP86))</f>
        <v>0</v>
      </c>
      <c r="DV77" s="50">
        <f>IF($AN77="N","N",SUM('調查資料(OUT)'!AT83:AT86))</f>
        <v>0</v>
      </c>
      <c r="DW77" s="56" t="e">
        <f t="shared" si="333"/>
        <v>#DIV/0!</v>
      </c>
      <c r="DX77" s="50">
        <f t="shared" si="334"/>
        <v>0</v>
      </c>
      <c r="DY77" s="50">
        <f>IF($AN77="N","N",SUM('調查資料(OUT)'!AM83:AM86))</f>
        <v>0</v>
      </c>
      <c r="DZ77" s="50">
        <f>IF($AN77="N","N",SUM('調查資料(OUT)'!AQ83:AQ86))</f>
        <v>0</v>
      </c>
      <c r="EA77" s="50">
        <f>IF($AN77="N","N",SUM('調查資料(OUT)'!AU83:AU86))</f>
        <v>0</v>
      </c>
      <c r="EB77" s="56" t="e">
        <f t="shared" si="335"/>
        <v>#DIV/0!</v>
      </c>
      <c r="EC77" s="50">
        <f t="shared" si="336"/>
        <v>0</v>
      </c>
      <c r="ED77" s="50">
        <f>IF($AN77="N","N",SUM('調查資料(OUT)'!AN83:AN86))</f>
        <v>0</v>
      </c>
      <c r="EE77" s="50">
        <f>IF($AN77="N","N",SUM('調查資料(OUT)'!AR83:AR86))</f>
        <v>0</v>
      </c>
      <c r="EF77" s="50">
        <f>IF($AN77="N","N",SUM('調查資料(OUT)'!AV83:AV86))</f>
        <v>0</v>
      </c>
      <c r="EG77" s="56" t="e">
        <f t="shared" si="337"/>
        <v>#DIV/0!</v>
      </c>
      <c r="EH77" s="50">
        <f t="shared" si="338"/>
        <v>0</v>
      </c>
      <c r="EI77" s="50">
        <f>IF($AN77="N","N",SUM('調查資料(OUT)'!AO83:AO86))</f>
        <v>0</v>
      </c>
      <c r="EJ77" s="50">
        <f>IF($AN77="N","N",SUM('調查資料(OUT)'!AS83:AS86))</f>
        <v>0</v>
      </c>
      <c r="EK77" s="50">
        <f>IF($AN77="N","N",SUM('調查資料(OUT)'!AW83:AW86))</f>
        <v>0</v>
      </c>
      <c r="EL77" s="56" t="e">
        <f t="shared" si="339"/>
        <v>#DIV/0!</v>
      </c>
      <c r="EM77" s="50">
        <f t="shared" si="276"/>
        <v>0</v>
      </c>
      <c r="EN77" s="56" t="e">
        <f t="shared" si="277"/>
        <v>#DIV/0!</v>
      </c>
      <c r="EO77" s="50">
        <f t="shared" si="278"/>
        <v>0</v>
      </c>
      <c r="EP77" s="56" t="e">
        <f t="shared" si="279"/>
        <v>#DIV/0!</v>
      </c>
      <c r="EQ77" s="50">
        <f t="shared" si="280"/>
        <v>0</v>
      </c>
      <c r="ER77" s="56" t="e">
        <f t="shared" si="281"/>
        <v>#DIV/0!</v>
      </c>
      <c r="ES77" s="50">
        <f t="shared" si="282"/>
        <v>0</v>
      </c>
      <c r="ET77" s="50">
        <f t="shared" si="340"/>
        <v>0</v>
      </c>
      <c r="EU77" s="50">
        <f>IF($AN77="N","N",SUM('調查資料(OUT)'!AX83:AX86))</f>
        <v>0</v>
      </c>
      <c r="EV77" s="50">
        <f>IF($AN77="N","N",SUM('調查資料(OUT)'!BB83:BB86))</f>
        <v>0</v>
      </c>
      <c r="EW77" s="50">
        <f>IF($AN77="N","N",SUM('調查資料(OUT)'!BF83:BF86))</f>
        <v>0</v>
      </c>
      <c r="EX77" s="56" t="e">
        <f t="shared" si="341"/>
        <v>#DIV/0!</v>
      </c>
      <c r="EY77" s="50">
        <f t="shared" si="342"/>
        <v>0</v>
      </c>
      <c r="EZ77" s="50">
        <f>IF($AN77="N","N",SUM('調查資料(OUT)'!AY83:AY86))</f>
        <v>0</v>
      </c>
      <c r="FA77" s="50">
        <f>IF($AN77="N","N",SUM('調查資料(OUT)'!BC83:BC86))</f>
        <v>0</v>
      </c>
      <c r="FB77" s="50">
        <f>IF($AN77="N","N",SUM('調查資料(OUT)'!BG83:BG86))</f>
        <v>0</v>
      </c>
      <c r="FC77" s="56" t="e">
        <f t="shared" si="343"/>
        <v>#DIV/0!</v>
      </c>
      <c r="FD77" s="50">
        <f t="shared" si="344"/>
        <v>0</v>
      </c>
      <c r="FE77" s="50">
        <f>IF($AN77="N","N",SUM('調查資料(OUT)'!AZ83:AZ86))</f>
        <v>0</v>
      </c>
      <c r="FF77" s="50">
        <f>IF($AN77="N","N",SUM('調查資料(OUT)'!BD83:BD86))</f>
        <v>0</v>
      </c>
      <c r="FG77" s="50">
        <f>IF($AN77="N","N",SUM('調查資料(OUT)'!BH83:BH86))</f>
        <v>0</v>
      </c>
      <c r="FH77" s="56" t="e">
        <f t="shared" si="345"/>
        <v>#DIV/0!</v>
      </c>
      <c r="FI77" s="50">
        <f t="shared" si="346"/>
        <v>0</v>
      </c>
      <c r="FJ77" s="50">
        <f>IF($AN77="N","N",SUM('調查資料(OUT)'!BA83:BA86))</f>
        <v>0</v>
      </c>
      <c r="FK77" s="50">
        <f>IF($AN77="N","N",SUM('調查資料(OUT)'!BE83:BE86))</f>
        <v>0</v>
      </c>
      <c r="FL77" s="50">
        <f>IF($AN77="N","N",SUM('調查資料(OUT)'!BI83:BI86))</f>
        <v>0</v>
      </c>
      <c r="FM77" s="56" t="e">
        <f t="shared" si="347"/>
        <v>#DIV/0!</v>
      </c>
      <c r="FN77" s="50">
        <f t="shared" si="246"/>
        <v>0</v>
      </c>
      <c r="FO77" s="56" t="e">
        <f t="shared" si="247"/>
        <v>#DIV/0!</v>
      </c>
      <c r="FP77" s="50">
        <f t="shared" si="248"/>
        <v>0</v>
      </c>
      <c r="FQ77" s="56" t="e">
        <f t="shared" si="249"/>
        <v>#DIV/0!</v>
      </c>
      <c r="FR77" s="50">
        <f t="shared" si="250"/>
        <v>0</v>
      </c>
      <c r="FS77" s="56" t="e">
        <f t="shared" si="251"/>
        <v>#DIV/0!</v>
      </c>
      <c r="FT77" s="50">
        <f t="shared" si="252"/>
        <v>0</v>
      </c>
    </row>
    <row r="78" spans="1:176">
      <c r="A78" s="322">
        <f>'調查資料(OUT)'!A84</f>
        <v>1815</v>
      </c>
      <c r="B78" s="323">
        <f t="shared" si="238"/>
        <v>0</v>
      </c>
      <c r="C78" s="323">
        <f>IFERROR('調查資料(OUT)'!$B$1*'調查資料(OUT)'!B84,0)+IFERROR('調查資料(OUT)'!$F$1*'調查資料(OUT)'!F84,0)+IFERROR('調查資料(OUT)'!$J$1*'調查資料(OUT)'!J84,0)</f>
        <v>0</v>
      </c>
      <c r="D78" s="323">
        <f>IFERROR('調查資料(OUT)'!$C$1*'調查資料(OUT)'!C84,0)+IFERROR('調查資料(OUT)'!$G$1*'調查資料(OUT)'!G84,0)+IFERROR('調查資料(OUT)'!$K$1*'調查資料(OUT)'!K84,0)</f>
        <v>0</v>
      </c>
      <c r="E78" s="323">
        <f>IFERROR('調查資料(OUT)'!$D$1*'調查資料(OUT)'!D84,0)+IFERROR('調查資料(OUT)'!$H$1*'調查資料(OUT)'!H84,0)+IFERROR('調查資料(OUT)'!$L$1*'調查資料(OUT)'!L84,0)</f>
        <v>0</v>
      </c>
      <c r="F78" s="324">
        <f>IFERROR('調查資料(OUT)'!$E$1*'調查資料(OUT)'!E84,0)+IFERROR('調查資料(OUT)'!$I$1*'調查資料(OUT)'!I84,0)+IFERROR('調查資料(OUT)'!$M$1*'調查資料(OUT)'!M84,0)</f>
        <v>0</v>
      </c>
      <c r="G78" s="323">
        <f t="shared" si="239"/>
        <v>0</v>
      </c>
      <c r="H78" s="323">
        <f>IFERROR('調查資料(OUT)'!$N$1*'調查資料(OUT)'!N84,0)+IFERROR('調查資料(OUT)'!$R$1*'調查資料(OUT)'!R84,0)+IFERROR('調查資料(OUT)'!$V$1*'調查資料(OUT)'!V84,0)</f>
        <v>0</v>
      </c>
      <c r="I78" s="323">
        <f>IFERROR('調查資料(OUT)'!$O$1*'調查資料(OUT)'!O84,0)+IFERROR('調查資料(OUT)'!$S$1*'調查資料(OUT)'!S84,0)+IFERROR('調查資料(OUT)'!$W$1*'調查資料(OUT)'!W84,0)</f>
        <v>0</v>
      </c>
      <c r="J78" s="323">
        <f>IFERROR('調查資料(OUT)'!$P$1*'調查資料(OUT)'!P84,0)+IFERROR('調查資料(OUT)'!$T$1*'調查資料(OUT)'!T84,0)+IFERROR('調查資料(OUT)'!$X$1*'調查資料(OUT)'!X84,0)</f>
        <v>0</v>
      </c>
      <c r="K78" s="324">
        <f>IFERROR('調查資料(OUT)'!$Q$1*'調查資料(OUT)'!Q84,0)+IFERROR('調查資料(OUT)'!$U$1*'調查資料(OUT)'!U84,0)+IFERROR('調查資料(OUT)'!$Y$1*'調查資料(OUT)'!Y84,0)</f>
        <v>0</v>
      </c>
      <c r="L78" s="323">
        <f t="shared" si="240"/>
        <v>0</v>
      </c>
      <c r="M78" s="323">
        <f>IFERROR('調查資料(OUT)'!$Z$1*'調查資料(OUT)'!Z84,0)+IFERROR('調查資料(OUT)'!$AD$1*'調查資料(OUT)'!AD84,0)+IFERROR('調查資料(OUT)'!$AH$1*'調查資料(OUT)'!AH84,0)</f>
        <v>0</v>
      </c>
      <c r="N78" s="323">
        <f>IFERROR('調查資料(OUT)'!$AA$1*'調查資料(OUT)'!AA84,0)+IFERROR('調查資料(OUT)'!$AE$1*'調查資料(OUT)'!AE84,0)+IFERROR('調查資料(OUT)'!$AI$1*'調查資料(OUT)'!AI84,0)</f>
        <v>0</v>
      </c>
      <c r="O78" s="323">
        <f>IFERROR('調查資料(OUT)'!$AB$1*'調查資料(OUT)'!AB84,0)+IFERROR('調查資料(OUT)'!$AF$1*'調查資料(OUT)'!AF84,0)+IFERROR('調查資料(OUT)'!$AJ$1*'調查資料(OUT)'!AJ84,0)</f>
        <v>0</v>
      </c>
      <c r="P78" s="324">
        <f>IFERROR('調查資料(OUT)'!$AC$1*'調查資料(OUT)'!AC84,0)+IFERROR('調查資料(OUT)'!$AG$1*'調查資料(OUT)'!AG84,0)+IFERROR('調查資料(OUT)'!$AK$1*'調查資料(OUT)'!AK84,0)</f>
        <v>0</v>
      </c>
      <c r="Q78" s="323">
        <f t="shared" si="241"/>
        <v>0</v>
      </c>
      <c r="R78" s="323">
        <f>IFERROR('調查資料(OUT)'!$AL$1*'調查資料(OUT)'!AL84,0)+IFERROR('調查資料(OUT)'!$AP$1*'調查資料(OUT)'!AP84,0)+IFERROR('調查資料(OUT)'!$AT$1*'調查資料(OUT)'!AT84,0)</f>
        <v>0</v>
      </c>
      <c r="S78" s="323">
        <f>IFERROR('調查資料(OUT)'!$AM$1*'調查資料(OUT)'!AM84,0)+IFERROR('調查資料(OUT)'!$AQ$1*'調查資料(OUT)'!AQ84,0)+IFERROR('調查資料(OUT)'!$AU$1*'調查資料(OUT)'!AU84,0)</f>
        <v>0</v>
      </c>
      <c r="T78" s="323">
        <f>IFERROR('調查資料(OUT)'!$AN$1*'調查資料(OUT)'!AN84,0)+IFERROR('調查資料(OUT)'!$AR$1*'調查資料(OUT)'!AR84,0)+IFERROR('調查資料(OUT)'!$AV$1*'調查資料(OUT)'!AV84,0)</f>
        <v>0</v>
      </c>
      <c r="U78" s="324">
        <f>IFERROR('調查資料(OUT)'!$AO$1*'調查資料(OUT)'!AO84,0)+IFERROR('調查資料(OUT)'!$AS$1*'調查資料(OUT)'!AS84,0)+IFERROR('調查資料(OUT)'!$AW$1*'調查資料(OUT)'!AW84,0)</f>
        <v>0</v>
      </c>
      <c r="V78" s="323">
        <f t="shared" si="242"/>
        <v>0</v>
      </c>
      <c r="W78" s="323">
        <f>IFERROR('調查資料(OUT)'!$AX$1*'調查資料(OUT)'!AX84,0)+IFERROR('調查資料(OUT)'!$BB$1*'調查資料(OUT)'!BB84,0)+IFERROR('調查資料(OUT)'!$BF$1*'調查資料(OUT)'!BF84,0)</f>
        <v>0</v>
      </c>
      <c r="X78" s="323">
        <f>IFERROR('調查資料(OUT)'!$AY$1*'調查資料(OUT)'!AY84,0)+IFERROR('調查資料(OUT)'!$BC$1*'調查資料(OUT)'!BC84,0)+IFERROR('調查資料(OUT)'!$BG$1*'調查資料(OUT)'!BG84,0)</f>
        <v>0</v>
      </c>
      <c r="Y78" s="323">
        <f>IFERROR('調查資料(OUT)'!$AZ$1*'調查資料(OUT)'!AZ84,0)+IFERROR('調查資料(OUT)'!$BD$1*'調查資料(OUT)'!BD84,0)+IFERROR('調查資料(OUT)'!$BH$1*'調查資料(OUT)'!BH84,0)</f>
        <v>0</v>
      </c>
      <c r="Z78" s="324">
        <f>IFERROR('調查資料(OUT)'!$BA$1*'調查資料(OUT)'!BA84,0)+IFERROR('調查資料(OUT)'!$BE$1*'調查資料(OUT)'!BE84,0)+IFERROR('調查資料(OUT)'!$BI$1*'調查資料(OUT)'!BI84,0)</f>
        <v>0</v>
      </c>
      <c r="AA78" s="325">
        <f t="shared" si="243"/>
        <v>0</v>
      </c>
      <c r="AC78" s="363">
        <f>'調查資料(OUT)'!A84</f>
        <v>1815</v>
      </c>
      <c r="AD78" s="364">
        <f t="shared" si="244"/>
        <v>1915</v>
      </c>
      <c r="AE78" s="323">
        <f t="shared" si="254"/>
        <v>0</v>
      </c>
      <c r="AF78" s="323"/>
      <c r="AG78" s="323">
        <f t="shared" si="356"/>
        <v>0</v>
      </c>
      <c r="AH78" s="366" t="e">
        <f t="shared" si="357"/>
        <v>#DIV/0!</v>
      </c>
      <c r="AI78" s="366" t="e">
        <f t="shared" si="358"/>
        <v>#DIV/0!</v>
      </c>
      <c r="AJ78" s="366" t="e">
        <f t="shared" si="359"/>
        <v>#DIV/0!</v>
      </c>
      <c r="AK78" s="366" t="e">
        <f t="shared" si="360"/>
        <v>#DIV/0!</v>
      </c>
      <c r="AL78" s="366" t="e">
        <f t="shared" si="361"/>
        <v>#DIV/0!</v>
      </c>
      <c r="AM78" s="368"/>
      <c r="AN78" s="323">
        <f t="shared" si="362"/>
        <v>1815</v>
      </c>
      <c r="AO78" s="324">
        <f t="shared" si="363"/>
        <v>1915</v>
      </c>
      <c r="AP78" s="50">
        <f t="shared" si="245"/>
        <v>0</v>
      </c>
      <c r="AQ78" s="50">
        <f>IF($AN78="N","N",SUM('調查資料(OUT)'!B84:B87))</f>
        <v>0</v>
      </c>
      <c r="AR78" s="50">
        <f>IF($AN78="N","N",SUM('調查資料(OUT)'!F84:F87))</f>
        <v>0</v>
      </c>
      <c r="AS78" s="50">
        <f>IF($AN78="N","N",SUM('調查資料(OUT)'!J84:J87))</f>
        <v>0</v>
      </c>
      <c r="AT78" s="56" t="e">
        <f t="shared" si="309"/>
        <v>#DIV/0!</v>
      </c>
      <c r="AU78" s="50">
        <f t="shared" si="310"/>
        <v>0</v>
      </c>
      <c r="AV78" s="50">
        <f>IF($AN78="N","N",SUM('調查資料(OUT)'!C84:C87))</f>
        <v>0</v>
      </c>
      <c r="AW78" s="50">
        <f>IF($AN78="N","N",SUM('調查資料(OUT)'!G84:G87))</f>
        <v>0</v>
      </c>
      <c r="AX78" s="50">
        <f>IF($AN78="N","N",SUM('調查資料(OUT)'!K84:K87))</f>
        <v>0</v>
      </c>
      <c r="AY78" s="56" t="e">
        <f t="shared" si="311"/>
        <v>#DIV/0!</v>
      </c>
      <c r="AZ78" s="50">
        <f t="shared" si="312"/>
        <v>0</v>
      </c>
      <c r="BA78" s="50">
        <f>IF($AN78="N","N",SUM('調查資料(OUT)'!D84:D87))</f>
        <v>0</v>
      </c>
      <c r="BB78" s="50">
        <f>IF($AN78="N","N",SUM('調查資料(OUT)'!H84:H87))</f>
        <v>0</v>
      </c>
      <c r="BC78" s="50">
        <f>IF($AN78="N","N",SUM('調查資料(OUT)'!L84:L87))</f>
        <v>0</v>
      </c>
      <c r="BD78" s="56" t="e">
        <f t="shared" si="313"/>
        <v>#DIV/0!</v>
      </c>
      <c r="BE78" s="50">
        <f t="shared" si="314"/>
        <v>0</v>
      </c>
      <c r="BF78" s="50">
        <f>IF($AN78="N","N",SUM('調查資料(OUT)'!E84:E87))</f>
        <v>0</v>
      </c>
      <c r="BG78" s="50">
        <f>IF($AN78="N","N",SUM('調查資料(OUT)'!I84:I87))</f>
        <v>0</v>
      </c>
      <c r="BH78" s="50">
        <f>IF($AN78="N","N",SUM('調查資料(OUT)'!M84:M87))</f>
        <v>0</v>
      </c>
      <c r="BI78" s="56" t="e">
        <f t="shared" si="315"/>
        <v>#DIV/0!</v>
      </c>
      <c r="BJ78" s="50">
        <f t="shared" si="255"/>
        <v>0</v>
      </c>
      <c r="BK78" s="56" t="e">
        <f t="shared" si="256"/>
        <v>#DIV/0!</v>
      </c>
      <c r="BL78" s="50">
        <f t="shared" si="257"/>
        <v>0</v>
      </c>
      <c r="BM78" s="56" t="e">
        <f t="shared" si="258"/>
        <v>#DIV/0!</v>
      </c>
      <c r="BN78" s="50">
        <f t="shared" si="259"/>
        <v>0</v>
      </c>
      <c r="BO78" s="56" t="e">
        <f t="shared" si="260"/>
        <v>#DIV/0!</v>
      </c>
      <c r="BP78" s="50">
        <f t="shared" si="261"/>
        <v>0</v>
      </c>
      <c r="BQ78" s="50">
        <f t="shared" si="316"/>
        <v>0</v>
      </c>
      <c r="BR78" s="50">
        <f>IF($AN78="N","N",SUM('調查資料(OUT)'!N84:N87))</f>
        <v>0</v>
      </c>
      <c r="BS78" s="50">
        <f>IF($AN78="N","N",SUM('調查資料(OUT)'!R84:R87))</f>
        <v>0</v>
      </c>
      <c r="BT78" s="50">
        <f>IF($AN78="N","N",SUM('調查資料(OUT)'!V84:V87))</f>
        <v>0</v>
      </c>
      <c r="BU78" s="56" t="e">
        <f t="shared" si="317"/>
        <v>#DIV/0!</v>
      </c>
      <c r="BV78" s="50">
        <f t="shared" si="318"/>
        <v>0</v>
      </c>
      <c r="BW78" s="50">
        <f>IF($AN78="N","N",SUM('調查資料(OUT)'!O84:O87))</f>
        <v>0</v>
      </c>
      <c r="BX78" s="50">
        <f>IF($AN78="N","N",SUM('調查資料(OUT)'!S84:S87))</f>
        <v>0</v>
      </c>
      <c r="BY78" s="50">
        <f>IF($AN78="N","N",SUM('調查資料(OUT)'!W84:W87))</f>
        <v>0</v>
      </c>
      <c r="BZ78" s="56" t="e">
        <f t="shared" si="319"/>
        <v>#DIV/0!</v>
      </c>
      <c r="CA78" s="50">
        <f t="shared" si="320"/>
        <v>0</v>
      </c>
      <c r="CB78" s="50">
        <f>IF($AN78="N","N",SUM('調查資料(OUT)'!P84:P87))</f>
        <v>0</v>
      </c>
      <c r="CC78" s="50">
        <f>IF($AN78="N","N",SUM('調查資料(OUT)'!T84:T87))</f>
        <v>0</v>
      </c>
      <c r="CD78" s="50">
        <f>IF($AN78="N","N",SUM('調查資料(OUT)'!X84:X87))</f>
        <v>0</v>
      </c>
      <c r="CE78" s="56" t="e">
        <f t="shared" si="321"/>
        <v>#DIV/0!</v>
      </c>
      <c r="CF78" s="50">
        <f t="shared" si="322"/>
        <v>0</v>
      </c>
      <c r="CG78" s="50">
        <f>IF($AN78="N","N",SUM('調查資料(OUT)'!Q84:Q87))</f>
        <v>0</v>
      </c>
      <c r="CH78" s="50">
        <f>IF($AN78="N","N",SUM('調查資料(OUT)'!U84:U87))</f>
        <v>0</v>
      </c>
      <c r="CI78" s="50">
        <f>IF($AN78="N","N",SUM('調查資料(OUT)'!Y84:Y87))</f>
        <v>0</v>
      </c>
      <c r="CJ78" s="56" t="e">
        <f t="shared" si="323"/>
        <v>#DIV/0!</v>
      </c>
      <c r="CK78" s="50">
        <f t="shared" si="262"/>
        <v>0</v>
      </c>
      <c r="CL78" s="56" t="e">
        <f t="shared" si="263"/>
        <v>#DIV/0!</v>
      </c>
      <c r="CM78" s="50">
        <f t="shared" si="264"/>
        <v>0</v>
      </c>
      <c r="CN78" s="56" t="e">
        <f t="shared" si="265"/>
        <v>#DIV/0!</v>
      </c>
      <c r="CO78" s="50">
        <f t="shared" si="266"/>
        <v>0</v>
      </c>
      <c r="CP78" s="56" t="e">
        <f t="shared" si="267"/>
        <v>#DIV/0!</v>
      </c>
      <c r="CQ78" s="50">
        <f t="shared" si="268"/>
        <v>0</v>
      </c>
      <c r="CR78" s="50">
        <f t="shared" si="324"/>
        <v>0</v>
      </c>
      <c r="CS78" s="50">
        <f>IF($AN78="N","N",SUM('調查資料(OUT)'!Z84:Z87))</f>
        <v>0</v>
      </c>
      <c r="CT78" s="50">
        <f>IF($AN78="N","N",SUM('調查資料(OUT)'!AD84:AD87))</f>
        <v>0</v>
      </c>
      <c r="CU78" s="50">
        <f>IF($AN78="N","N",SUM('調查資料(OUT)'!AH84:AH87))</f>
        <v>0</v>
      </c>
      <c r="CV78" s="56" t="e">
        <f t="shared" si="325"/>
        <v>#DIV/0!</v>
      </c>
      <c r="CW78" s="50">
        <f t="shared" si="326"/>
        <v>0</v>
      </c>
      <c r="CX78" s="50">
        <f>IF($AN78="N","N",SUM('調查資料(OUT)'!AA84:AA87))</f>
        <v>0</v>
      </c>
      <c r="CY78" s="50">
        <f>IF($AN78="N","N",SUM('調查資料(OUT)'!AE84:AE87))</f>
        <v>0</v>
      </c>
      <c r="CZ78" s="50">
        <f>IF($AN78="N","N",SUM('調查資料(OUT)'!AI84:AI87))</f>
        <v>0</v>
      </c>
      <c r="DA78" s="56" t="e">
        <f t="shared" si="327"/>
        <v>#DIV/0!</v>
      </c>
      <c r="DB78" s="50">
        <f t="shared" si="328"/>
        <v>0</v>
      </c>
      <c r="DC78" s="50">
        <f>IF($AN78="N","N",SUM('調查資料(OUT)'!AB84:AB87))</f>
        <v>0</v>
      </c>
      <c r="DD78" s="50">
        <f>IF($AN78="N","N",SUM('調查資料(OUT)'!AF84:AF87))</f>
        <v>0</v>
      </c>
      <c r="DE78" s="50">
        <f>IF($AN78="N","N",SUM('調查資料(OUT)'!AJ84:AJ87))</f>
        <v>0</v>
      </c>
      <c r="DF78" s="56" t="e">
        <f t="shared" si="329"/>
        <v>#DIV/0!</v>
      </c>
      <c r="DG78" s="50">
        <f t="shared" si="330"/>
        <v>0</v>
      </c>
      <c r="DH78" s="50">
        <f>IF($AN78="N","N",SUM('調查資料(OUT)'!AC84:AC87))</f>
        <v>0</v>
      </c>
      <c r="DI78" s="50">
        <f>IF($AN78="N","N",SUM('調查資料(OUT)'!AG84:AG87))</f>
        <v>0</v>
      </c>
      <c r="DJ78" s="50">
        <f>IF($AN78="N","N",SUM('調查資料(OUT)'!AK84:AK87))</f>
        <v>0</v>
      </c>
      <c r="DK78" s="56" t="e">
        <f t="shared" si="331"/>
        <v>#DIV/0!</v>
      </c>
      <c r="DL78" s="50">
        <f t="shared" si="269"/>
        <v>0</v>
      </c>
      <c r="DM78" s="56" t="e">
        <f t="shared" si="270"/>
        <v>#DIV/0!</v>
      </c>
      <c r="DN78" s="50">
        <f t="shared" si="271"/>
        <v>0</v>
      </c>
      <c r="DO78" s="56" t="e">
        <f t="shared" si="272"/>
        <v>#DIV/0!</v>
      </c>
      <c r="DP78" s="50">
        <f t="shared" si="273"/>
        <v>0</v>
      </c>
      <c r="DQ78" s="56" t="e">
        <f t="shared" si="274"/>
        <v>#DIV/0!</v>
      </c>
      <c r="DR78" s="50">
        <f t="shared" si="275"/>
        <v>0</v>
      </c>
      <c r="DS78" s="50">
        <f t="shared" si="332"/>
        <v>0</v>
      </c>
      <c r="DT78" s="50">
        <f>IF($AN78="N","N",SUM('調查資料(OUT)'!AL84:AL87))</f>
        <v>0</v>
      </c>
      <c r="DU78" s="50">
        <f>IF($AN78="N","N",SUM('調查資料(OUT)'!AP84:AP87))</f>
        <v>0</v>
      </c>
      <c r="DV78" s="50">
        <f>IF($AN78="N","N",SUM('調查資料(OUT)'!AT84:AT87))</f>
        <v>0</v>
      </c>
      <c r="DW78" s="56" t="e">
        <f t="shared" si="333"/>
        <v>#DIV/0!</v>
      </c>
      <c r="DX78" s="50">
        <f t="shared" si="334"/>
        <v>0</v>
      </c>
      <c r="DY78" s="50">
        <f>IF($AN78="N","N",SUM('調查資料(OUT)'!AM84:AM87))</f>
        <v>0</v>
      </c>
      <c r="DZ78" s="50">
        <f>IF($AN78="N","N",SUM('調查資料(OUT)'!AQ84:AQ87))</f>
        <v>0</v>
      </c>
      <c r="EA78" s="50">
        <f>IF($AN78="N","N",SUM('調查資料(OUT)'!AU84:AU87))</f>
        <v>0</v>
      </c>
      <c r="EB78" s="56" t="e">
        <f t="shared" si="335"/>
        <v>#DIV/0!</v>
      </c>
      <c r="EC78" s="50">
        <f t="shared" si="336"/>
        <v>0</v>
      </c>
      <c r="ED78" s="50">
        <f>IF($AN78="N","N",SUM('調查資料(OUT)'!AN84:AN87))</f>
        <v>0</v>
      </c>
      <c r="EE78" s="50">
        <f>IF($AN78="N","N",SUM('調查資料(OUT)'!AR84:AR87))</f>
        <v>0</v>
      </c>
      <c r="EF78" s="50">
        <f>IF($AN78="N","N",SUM('調查資料(OUT)'!AV84:AV87))</f>
        <v>0</v>
      </c>
      <c r="EG78" s="56" t="e">
        <f t="shared" si="337"/>
        <v>#DIV/0!</v>
      </c>
      <c r="EH78" s="50">
        <f t="shared" si="338"/>
        <v>0</v>
      </c>
      <c r="EI78" s="50">
        <f>IF($AN78="N","N",SUM('調查資料(OUT)'!AO84:AO87))</f>
        <v>0</v>
      </c>
      <c r="EJ78" s="50">
        <f>IF($AN78="N","N",SUM('調查資料(OUT)'!AS84:AS87))</f>
        <v>0</v>
      </c>
      <c r="EK78" s="50">
        <f>IF($AN78="N","N",SUM('調查資料(OUT)'!AW84:AW87))</f>
        <v>0</v>
      </c>
      <c r="EL78" s="56" t="e">
        <f t="shared" si="339"/>
        <v>#DIV/0!</v>
      </c>
      <c r="EM78" s="50">
        <f t="shared" si="276"/>
        <v>0</v>
      </c>
      <c r="EN78" s="56" t="e">
        <f t="shared" si="277"/>
        <v>#DIV/0!</v>
      </c>
      <c r="EO78" s="50">
        <f t="shared" si="278"/>
        <v>0</v>
      </c>
      <c r="EP78" s="56" t="e">
        <f t="shared" si="279"/>
        <v>#DIV/0!</v>
      </c>
      <c r="EQ78" s="50">
        <f t="shared" si="280"/>
        <v>0</v>
      </c>
      <c r="ER78" s="56" t="e">
        <f t="shared" si="281"/>
        <v>#DIV/0!</v>
      </c>
      <c r="ES78" s="50">
        <f t="shared" si="282"/>
        <v>0</v>
      </c>
      <c r="ET78" s="50">
        <f t="shared" si="340"/>
        <v>0</v>
      </c>
      <c r="EU78" s="50">
        <f>IF($AN78="N","N",SUM('調查資料(OUT)'!AX84:AX87))</f>
        <v>0</v>
      </c>
      <c r="EV78" s="50">
        <f>IF($AN78="N","N",SUM('調查資料(OUT)'!BB84:BB87))</f>
        <v>0</v>
      </c>
      <c r="EW78" s="50">
        <f>IF($AN78="N","N",SUM('調查資料(OUT)'!BF84:BF87))</f>
        <v>0</v>
      </c>
      <c r="EX78" s="56" t="e">
        <f t="shared" si="341"/>
        <v>#DIV/0!</v>
      </c>
      <c r="EY78" s="50">
        <f t="shared" si="342"/>
        <v>0</v>
      </c>
      <c r="EZ78" s="50">
        <f>IF($AN78="N","N",SUM('調查資料(OUT)'!AY84:AY87))</f>
        <v>0</v>
      </c>
      <c r="FA78" s="50">
        <f>IF($AN78="N","N",SUM('調查資料(OUT)'!BC84:BC87))</f>
        <v>0</v>
      </c>
      <c r="FB78" s="50">
        <f>IF($AN78="N","N",SUM('調查資料(OUT)'!BG84:BG87))</f>
        <v>0</v>
      </c>
      <c r="FC78" s="56" t="e">
        <f t="shared" si="343"/>
        <v>#DIV/0!</v>
      </c>
      <c r="FD78" s="50">
        <f t="shared" si="344"/>
        <v>0</v>
      </c>
      <c r="FE78" s="50">
        <f>IF($AN78="N","N",SUM('調查資料(OUT)'!AZ84:AZ87))</f>
        <v>0</v>
      </c>
      <c r="FF78" s="50">
        <f>IF($AN78="N","N",SUM('調查資料(OUT)'!BD84:BD87))</f>
        <v>0</v>
      </c>
      <c r="FG78" s="50">
        <f>IF($AN78="N","N",SUM('調查資料(OUT)'!BH84:BH87))</f>
        <v>0</v>
      </c>
      <c r="FH78" s="56" t="e">
        <f t="shared" si="345"/>
        <v>#DIV/0!</v>
      </c>
      <c r="FI78" s="50">
        <f t="shared" si="346"/>
        <v>0</v>
      </c>
      <c r="FJ78" s="50">
        <f>IF($AN78="N","N",SUM('調查資料(OUT)'!BA84:BA87))</f>
        <v>0</v>
      </c>
      <c r="FK78" s="50">
        <f>IF($AN78="N","N",SUM('調查資料(OUT)'!BE84:BE87))</f>
        <v>0</v>
      </c>
      <c r="FL78" s="50">
        <f>IF($AN78="N","N",SUM('調查資料(OUT)'!BI84:BI87))</f>
        <v>0</v>
      </c>
      <c r="FM78" s="56" t="e">
        <f t="shared" si="347"/>
        <v>#DIV/0!</v>
      </c>
      <c r="FN78" s="50">
        <f t="shared" si="246"/>
        <v>0</v>
      </c>
      <c r="FO78" s="56" t="e">
        <f t="shared" si="247"/>
        <v>#DIV/0!</v>
      </c>
      <c r="FP78" s="50">
        <f t="shared" si="248"/>
        <v>0</v>
      </c>
      <c r="FQ78" s="56" t="e">
        <f t="shared" si="249"/>
        <v>#DIV/0!</v>
      </c>
      <c r="FR78" s="50">
        <f t="shared" si="250"/>
        <v>0</v>
      </c>
      <c r="FS78" s="56" t="e">
        <f t="shared" si="251"/>
        <v>#DIV/0!</v>
      </c>
      <c r="FT78" s="50">
        <f t="shared" si="252"/>
        <v>0</v>
      </c>
    </row>
    <row r="79" spans="1:176">
      <c r="A79" s="322">
        <f>'調查資料(OUT)'!A85</f>
        <v>1830</v>
      </c>
      <c r="B79" s="323">
        <f t="shared" si="238"/>
        <v>0</v>
      </c>
      <c r="C79" s="323">
        <f>IFERROR('調查資料(OUT)'!$B$1*'調查資料(OUT)'!B85,0)+IFERROR('調查資料(OUT)'!$F$1*'調查資料(OUT)'!F85,0)+IFERROR('調查資料(OUT)'!$J$1*'調查資料(OUT)'!J85,0)</f>
        <v>0</v>
      </c>
      <c r="D79" s="323">
        <f>IFERROR('調查資料(OUT)'!$C$1*'調查資料(OUT)'!C85,0)+IFERROR('調查資料(OUT)'!$G$1*'調查資料(OUT)'!G85,0)+IFERROR('調查資料(OUT)'!$K$1*'調查資料(OUT)'!K85,0)</f>
        <v>0</v>
      </c>
      <c r="E79" s="323">
        <f>IFERROR('調查資料(OUT)'!$D$1*'調查資料(OUT)'!D85,0)+IFERROR('調查資料(OUT)'!$H$1*'調查資料(OUT)'!H85,0)+IFERROR('調查資料(OUT)'!$L$1*'調查資料(OUT)'!L85,0)</f>
        <v>0</v>
      </c>
      <c r="F79" s="324">
        <f>IFERROR('調查資料(OUT)'!$E$1*'調查資料(OUT)'!E85,0)+IFERROR('調查資料(OUT)'!$I$1*'調查資料(OUT)'!I85,0)+IFERROR('調查資料(OUT)'!$M$1*'調查資料(OUT)'!M85,0)</f>
        <v>0</v>
      </c>
      <c r="G79" s="323">
        <f t="shared" si="239"/>
        <v>0</v>
      </c>
      <c r="H79" s="323">
        <f>IFERROR('調查資料(OUT)'!$N$1*'調查資料(OUT)'!N85,0)+IFERROR('調查資料(OUT)'!$R$1*'調查資料(OUT)'!R85,0)+IFERROR('調查資料(OUT)'!$V$1*'調查資料(OUT)'!V85,0)</f>
        <v>0</v>
      </c>
      <c r="I79" s="323">
        <f>IFERROR('調查資料(OUT)'!$O$1*'調查資料(OUT)'!O85,0)+IFERROR('調查資料(OUT)'!$S$1*'調查資料(OUT)'!S85,0)+IFERROR('調查資料(OUT)'!$W$1*'調查資料(OUT)'!W85,0)</f>
        <v>0</v>
      </c>
      <c r="J79" s="323">
        <f>IFERROR('調查資料(OUT)'!$P$1*'調查資料(OUT)'!P85,0)+IFERROR('調查資料(OUT)'!$T$1*'調查資料(OUT)'!T85,0)+IFERROR('調查資料(OUT)'!$X$1*'調查資料(OUT)'!X85,0)</f>
        <v>0</v>
      </c>
      <c r="K79" s="324">
        <f>IFERROR('調查資料(OUT)'!$Q$1*'調查資料(OUT)'!Q85,0)+IFERROR('調查資料(OUT)'!$U$1*'調查資料(OUT)'!U85,0)+IFERROR('調查資料(OUT)'!$Y$1*'調查資料(OUT)'!Y85,0)</f>
        <v>0</v>
      </c>
      <c r="L79" s="323">
        <f t="shared" si="240"/>
        <v>0</v>
      </c>
      <c r="M79" s="323">
        <f>IFERROR('調查資料(OUT)'!$Z$1*'調查資料(OUT)'!Z85,0)+IFERROR('調查資料(OUT)'!$AD$1*'調查資料(OUT)'!AD85,0)+IFERROR('調查資料(OUT)'!$AH$1*'調查資料(OUT)'!AH85,0)</f>
        <v>0</v>
      </c>
      <c r="N79" s="323">
        <f>IFERROR('調查資料(OUT)'!$AA$1*'調查資料(OUT)'!AA85,0)+IFERROR('調查資料(OUT)'!$AE$1*'調查資料(OUT)'!AE85,0)+IFERROR('調查資料(OUT)'!$AI$1*'調查資料(OUT)'!AI85,0)</f>
        <v>0</v>
      </c>
      <c r="O79" s="323">
        <f>IFERROR('調查資料(OUT)'!$AB$1*'調查資料(OUT)'!AB85,0)+IFERROR('調查資料(OUT)'!$AF$1*'調查資料(OUT)'!AF85,0)+IFERROR('調查資料(OUT)'!$AJ$1*'調查資料(OUT)'!AJ85,0)</f>
        <v>0</v>
      </c>
      <c r="P79" s="324">
        <f>IFERROR('調查資料(OUT)'!$AC$1*'調查資料(OUT)'!AC85,0)+IFERROR('調查資料(OUT)'!$AG$1*'調查資料(OUT)'!AG85,0)+IFERROR('調查資料(OUT)'!$AK$1*'調查資料(OUT)'!AK85,0)</f>
        <v>0</v>
      </c>
      <c r="Q79" s="323">
        <f t="shared" si="241"/>
        <v>0</v>
      </c>
      <c r="R79" s="323">
        <f>IFERROR('調查資料(OUT)'!$AL$1*'調查資料(OUT)'!AL85,0)+IFERROR('調查資料(OUT)'!$AP$1*'調查資料(OUT)'!AP85,0)+IFERROR('調查資料(OUT)'!$AT$1*'調查資料(OUT)'!AT85,0)</f>
        <v>0</v>
      </c>
      <c r="S79" s="323">
        <f>IFERROR('調查資料(OUT)'!$AM$1*'調查資料(OUT)'!AM85,0)+IFERROR('調查資料(OUT)'!$AQ$1*'調查資料(OUT)'!AQ85,0)+IFERROR('調查資料(OUT)'!$AU$1*'調查資料(OUT)'!AU85,0)</f>
        <v>0</v>
      </c>
      <c r="T79" s="323">
        <f>IFERROR('調查資料(OUT)'!$AN$1*'調查資料(OUT)'!AN85,0)+IFERROR('調查資料(OUT)'!$AR$1*'調查資料(OUT)'!AR85,0)+IFERROR('調查資料(OUT)'!$AV$1*'調查資料(OUT)'!AV85,0)</f>
        <v>0</v>
      </c>
      <c r="U79" s="324">
        <f>IFERROR('調查資料(OUT)'!$AO$1*'調查資料(OUT)'!AO85,0)+IFERROR('調查資料(OUT)'!$AS$1*'調查資料(OUT)'!AS85,0)+IFERROR('調查資料(OUT)'!$AW$1*'調查資料(OUT)'!AW85,0)</f>
        <v>0</v>
      </c>
      <c r="V79" s="323">
        <f t="shared" si="242"/>
        <v>0</v>
      </c>
      <c r="W79" s="323">
        <f>IFERROR('調查資料(OUT)'!$AX$1*'調查資料(OUT)'!AX85,0)+IFERROR('調查資料(OUT)'!$BB$1*'調查資料(OUT)'!BB85,0)+IFERROR('調查資料(OUT)'!$BF$1*'調查資料(OUT)'!BF85,0)</f>
        <v>0</v>
      </c>
      <c r="X79" s="323">
        <f>IFERROR('調查資料(OUT)'!$AY$1*'調查資料(OUT)'!AY85,0)+IFERROR('調查資料(OUT)'!$BC$1*'調查資料(OUT)'!BC85,0)+IFERROR('調查資料(OUT)'!$BG$1*'調查資料(OUT)'!BG85,0)</f>
        <v>0</v>
      </c>
      <c r="Y79" s="323">
        <f>IFERROR('調查資料(OUT)'!$AZ$1*'調查資料(OUT)'!AZ85,0)+IFERROR('調查資料(OUT)'!$BD$1*'調查資料(OUT)'!BD85,0)+IFERROR('調查資料(OUT)'!$BH$1*'調查資料(OUT)'!BH85,0)</f>
        <v>0</v>
      </c>
      <c r="Z79" s="324">
        <f>IFERROR('調查資料(OUT)'!$BA$1*'調查資料(OUT)'!BA85,0)+IFERROR('調查資料(OUT)'!$BE$1*'調查資料(OUT)'!BE85,0)+IFERROR('調查資料(OUT)'!$BI$1*'調查資料(OUT)'!BI85,0)</f>
        <v>0</v>
      </c>
      <c r="AA79" s="325">
        <f t="shared" si="243"/>
        <v>0</v>
      </c>
      <c r="AC79" s="363">
        <f>'調查資料(OUT)'!A85</f>
        <v>1830</v>
      </c>
      <c r="AD79" s="364">
        <f t="shared" si="244"/>
        <v>1930</v>
      </c>
      <c r="AE79" s="323">
        <f t="shared" si="254"/>
        <v>0</v>
      </c>
      <c r="AF79" s="323"/>
      <c r="AG79" s="323">
        <f t="shared" si="356"/>
        <v>0</v>
      </c>
      <c r="AH79" s="366" t="e">
        <f t="shared" si="357"/>
        <v>#DIV/0!</v>
      </c>
      <c r="AI79" s="366" t="e">
        <f t="shared" si="358"/>
        <v>#DIV/0!</v>
      </c>
      <c r="AJ79" s="366" t="e">
        <f t="shared" si="359"/>
        <v>#DIV/0!</v>
      </c>
      <c r="AK79" s="366" t="e">
        <f t="shared" si="360"/>
        <v>#DIV/0!</v>
      </c>
      <c r="AL79" s="366" t="e">
        <f t="shared" si="361"/>
        <v>#DIV/0!</v>
      </c>
      <c r="AM79" s="368"/>
      <c r="AN79" s="323">
        <f t="shared" si="362"/>
        <v>1830</v>
      </c>
      <c r="AO79" s="324">
        <f t="shared" si="363"/>
        <v>1930</v>
      </c>
      <c r="AP79" s="50">
        <f t="shared" si="245"/>
        <v>0</v>
      </c>
      <c r="AQ79" s="50">
        <f>IF($AN79="N","N",SUM('調查資料(OUT)'!B85:B88))</f>
        <v>0</v>
      </c>
      <c r="AR79" s="50">
        <f>IF($AN79="N","N",SUM('調查資料(OUT)'!F85:F88))</f>
        <v>0</v>
      </c>
      <c r="AS79" s="50">
        <f>IF($AN79="N","N",SUM('調查資料(OUT)'!J85:J88))</f>
        <v>0</v>
      </c>
      <c r="AT79" s="56" t="e">
        <f t="shared" si="309"/>
        <v>#DIV/0!</v>
      </c>
      <c r="AU79" s="50">
        <f t="shared" si="310"/>
        <v>0</v>
      </c>
      <c r="AV79" s="50">
        <f>IF($AN79="N","N",SUM('調查資料(OUT)'!C85:C88))</f>
        <v>0</v>
      </c>
      <c r="AW79" s="50">
        <f>IF($AN79="N","N",SUM('調查資料(OUT)'!G85:G88))</f>
        <v>0</v>
      </c>
      <c r="AX79" s="50">
        <f>IF($AN79="N","N",SUM('調查資料(OUT)'!K85:K88))</f>
        <v>0</v>
      </c>
      <c r="AY79" s="56" t="e">
        <f t="shared" si="311"/>
        <v>#DIV/0!</v>
      </c>
      <c r="AZ79" s="50">
        <f t="shared" si="312"/>
        <v>0</v>
      </c>
      <c r="BA79" s="50">
        <f>IF($AN79="N","N",SUM('調查資料(OUT)'!D85:D88))</f>
        <v>0</v>
      </c>
      <c r="BB79" s="50">
        <f>IF($AN79="N","N",SUM('調查資料(OUT)'!H85:H88))</f>
        <v>0</v>
      </c>
      <c r="BC79" s="50">
        <f>IF($AN79="N","N",SUM('調查資料(OUT)'!L85:L88))</f>
        <v>0</v>
      </c>
      <c r="BD79" s="56" t="e">
        <f t="shared" si="313"/>
        <v>#DIV/0!</v>
      </c>
      <c r="BE79" s="50">
        <f t="shared" si="314"/>
        <v>0</v>
      </c>
      <c r="BF79" s="50">
        <f>IF($AN79="N","N",SUM('調查資料(OUT)'!E85:E88))</f>
        <v>0</v>
      </c>
      <c r="BG79" s="50">
        <f>IF($AN79="N","N",SUM('調查資料(OUT)'!I85:I88))</f>
        <v>0</v>
      </c>
      <c r="BH79" s="50">
        <f>IF($AN79="N","N",SUM('調查資料(OUT)'!M85:M88))</f>
        <v>0</v>
      </c>
      <c r="BI79" s="56" t="e">
        <f t="shared" si="315"/>
        <v>#DIV/0!</v>
      </c>
      <c r="BJ79" s="50">
        <f t="shared" si="255"/>
        <v>0</v>
      </c>
      <c r="BK79" s="56" t="e">
        <f t="shared" si="256"/>
        <v>#DIV/0!</v>
      </c>
      <c r="BL79" s="50">
        <f t="shared" si="257"/>
        <v>0</v>
      </c>
      <c r="BM79" s="56" t="e">
        <f t="shared" si="258"/>
        <v>#DIV/0!</v>
      </c>
      <c r="BN79" s="50">
        <f t="shared" si="259"/>
        <v>0</v>
      </c>
      <c r="BO79" s="56" t="e">
        <f t="shared" si="260"/>
        <v>#DIV/0!</v>
      </c>
      <c r="BP79" s="50">
        <f t="shared" si="261"/>
        <v>0</v>
      </c>
      <c r="BQ79" s="50">
        <f t="shared" si="316"/>
        <v>0</v>
      </c>
      <c r="BR79" s="50">
        <f>IF($AN79="N","N",SUM('調查資料(OUT)'!N85:N88))</f>
        <v>0</v>
      </c>
      <c r="BS79" s="50">
        <f>IF($AN79="N","N",SUM('調查資料(OUT)'!R85:R88))</f>
        <v>0</v>
      </c>
      <c r="BT79" s="50">
        <f>IF($AN79="N","N",SUM('調查資料(OUT)'!V85:V88))</f>
        <v>0</v>
      </c>
      <c r="BU79" s="56" t="e">
        <f t="shared" si="317"/>
        <v>#DIV/0!</v>
      </c>
      <c r="BV79" s="50">
        <f t="shared" si="318"/>
        <v>0</v>
      </c>
      <c r="BW79" s="50">
        <f>IF($AN79="N","N",SUM('調查資料(OUT)'!O85:O88))</f>
        <v>0</v>
      </c>
      <c r="BX79" s="50">
        <f>IF($AN79="N","N",SUM('調查資料(OUT)'!S85:S88))</f>
        <v>0</v>
      </c>
      <c r="BY79" s="50">
        <f>IF($AN79="N","N",SUM('調查資料(OUT)'!W85:W88))</f>
        <v>0</v>
      </c>
      <c r="BZ79" s="56" t="e">
        <f t="shared" si="319"/>
        <v>#DIV/0!</v>
      </c>
      <c r="CA79" s="50">
        <f t="shared" si="320"/>
        <v>0</v>
      </c>
      <c r="CB79" s="50">
        <f>IF($AN79="N","N",SUM('調查資料(OUT)'!P85:P88))</f>
        <v>0</v>
      </c>
      <c r="CC79" s="50">
        <f>IF($AN79="N","N",SUM('調查資料(OUT)'!T85:T88))</f>
        <v>0</v>
      </c>
      <c r="CD79" s="50">
        <f>IF($AN79="N","N",SUM('調查資料(OUT)'!X85:X88))</f>
        <v>0</v>
      </c>
      <c r="CE79" s="56" t="e">
        <f t="shared" si="321"/>
        <v>#DIV/0!</v>
      </c>
      <c r="CF79" s="50">
        <f t="shared" si="322"/>
        <v>0</v>
      </c>
      <c r="CG79" s="50">
        <f>IF($AN79="N","N",SUM('調查資料(OUT)'!Q85:Q88))</f>
        <v>0</v>
      </c>
      <c r="CH79" s="50">
        <f>IF($AN79="N","N",SUM('調查資料(OUT)'!U85:U88))</f>
        <v>0</v>
      </c>
      <c r="CI79" s="50">
        <f>IF($AN79="N","N",SUM('調查資料(OUT)'!Y85:Y88))</f>
        <v>0</v>
      </c>
      <c r="CJ79" s="56" t="e">
        <f t="shared" si="323"/>
        <v>#DIV/0!</v>
      </c>
      <c r="CK79" s="50">
        <f t="shared" si="262"/>
        <v>0</v>
      </c>
      <c r="CL79" s="56" t="e">
        <f t="shared" si="263"/>
        <v>#DIV/0!</v>
      </c>
      <c r="CM79" s="50">
        <f t="shared" si="264"/>
        <v>0</v>
      </c>
      <c r="CN79" s="56" t="e">
        <f t="shared" si="265"/>
        <v>#DIV/0!</v>
      </c>
      <c r="CO79" s="50">
        <f t="shared" si="266"/>
        <v>0</v>
      </c>
      <c r="CP79" s="56" t="e">
        <f t="shared" si="267"/>
        <v>#DIV/0!</v>
      </c>
      <c r="CQ79" s="50">
        <f t="shared" si="268"/>
        <v>0</v>
      </c>
      <c r="CR79" s="50">
        <f t="shared" si="324"/>
        <v>0</v>
      </c>
      <c r="CS79" s="50">
        <f>IF($AN79="N","N",SUM('調查資料(OUT)'!Z85:Z88))</f>
        <v>0</v>
      </c>
      <c r="CT79" s="50">
        <f>IF($AN79="N","N",SUM('調查資料(OUT)'!AD85:AD88))</f>
        <v>0</v>
      </c>
      <c r="CU79" s="50">
        <f>IF($AN79="N","N",SUM('調查資料(OUT)'!AH85:AH88))</f>
        <v>0</v>
      </c>
      <c r="CV79" s="56" t="e">
        <f t="shared" si="325"/>
        <v>#DIV/0!</v>
      </c>
      <c r="CW79" s="50">
        <f t="shared" si="326"/>
        <v>0</v>
      </c>
      <c r="CX79" s="50">
        <f>IF($AN79="N","N",SUM('調查資料(OUT)'!AA85:AA88))</f>
        <v>0</v>
      </c>
      <c r="CY79" s="50">
        <f>IF($AN79="N","N",SUM('調查資料(OUT)'!AE85:AE88))</f>
        <v>0</v>
      </c>
      <c r="CZ79" s="50">
        <f>IF($AN79="N","N",SUM('調查資料(OUT)'!AI85:AI88))</f>
        <v>0</v>
      </c>
      <c r="DA79" s="56" t="e">
        <f t="shared" si="327"/>
        <v>#DIV/0!</v>
      </c>
      <c r="DB79" s="50">
        <f t="shared" si="328"/>
        <v>0</v>
      </c>
      <c r="DC79" s="50">
        <f>IF($AN79="N","N",SUM('調查資料(OUT)'!AB85:AB88))</f>
        <v>0</v>
      </c>
      <c r="DD79" s="50">
        <f>IF($AN79="N","N",SUM('調查資料(OUT)'!AF85:AF88))</f>
        <v>0</v>
      </c>
      <c r="DE79" s="50">
        <f>IF($AN79="N","N",SUM('調查資料(OUT)'!AJ85:AJ88))</f>
        <v>0</v>
      </c>
      <c r="DF79" s="56" t="e">
        <f t="shared" si="329"/>
        <v>#DIV/0!</v>
      </c>
      <c r="DG79" s="50">
        <f t="shared" si="330"/>
        <v>0</v>
      </c>
      <c r="DH79" s="50">
        <f>IF($AN79="N","N",SUM('調查資料(OUT)'!AC85:AC88))</f>
        <v>0</v>
      </c>
      <c r="DI79" s="50">
        <f>IF($AN79="N","N",SUM('調查資料(OUT)'!AG85:AG88))</f>
        <v>0</v>
      </c>
      <c r="DJ79" s="50">
        <f>IF($AN79="N","N",SUM('調查資料(OUT)'!AK85:AK88))</f>
        <v>0</v>
      </c>
      <c r="DK79" s="56" t="e">
        <f t="shared" si="331"/>
        <v>#DIV/0!</v>
      </c>
      <c r="DL79" s="50">
        <f t="shared" si="269"/>
        <v>0</v>
      </c>
      <c r="DM79" s="56" t="e">
        <f t="shared" si="270"/>
        <v>#DIV/0!</v>
      </c>
      <c r="DN79" s="50">
        <f t="shared" si="271"/>
        <v>0</v>
      </c>
      <c r="DO79" s="56" t="e">
        <f t="shared" si="272"/>
        <v>#DIV/0!</v>
      </c>
      <c r="DP79" s="50">
        <f t="shared" si="273"/>
        <v>0</v>
      </c>
      <c r="DQ79" s="56" t="e">
        <f t="shared" si="274"/>
        <v>#DIV/0!</v>
      </c>
      <c r="DR79" s="50">
        <f t="shared" si="275"/>
        <v>0</v>
      </c>
      <c r="DS79" s="50">
        <f t="shared" si="332"/>
        <v>0</v>
      </c>
      <c r="DT79" s="50">
        <f>IF($AN79="N","N",SUM('調查資料(OUT)'!AL85:AL88))</f>
        <v>0</v>
      </c>
      <c r="DU79" s="50">
        <f>IF($AN79="N","N",SUM('調查資料(OUT)'!AP85:AP88))</f>
        <v>0</v>
      </c>
      <c r="DV79" s="50">
        <f>IF($AN79="N","N",SUM('調查資料(OUT)'!AT85:AT88))</f>
        <v>0</v>
      </c>
      <c r="DW79" s="56" t="e">
        <f t="shared" si="333"/>
        <v>#DIV/0!</v>
      </c>
      <c r="DX79" s="50">
        <f t="shared" si="334"/>
        <v>0</v>
      </c>
      <c r="DY79" s="50">
        <f>IF($AN79="N","N",SUM('調查資料(OUT)'!AM85:AM88))</f>
        <v>0</v>
      </c>
      <c r="DZ79" s="50">
        <f>IF($AN79="N","N",SUM('調查資料(OUT)'!AQ85:AQ88))</f>
        <v>0</v>
      </c>
      <c r="EA79" s="50">
        <f>IF($AN79="N","N",SUM('調查資料(OUT)'!AU85:AU88))</f>
        <v>0</v>
      </c>
      <c r="EB79" s="56" t="e">
        <f t="shared" si="335"/>
        <v>#DIV/0!</v>
      </c>
      <c r="EC79" s="50">
        <f t="shared" si="336"/>
        <v>0</v>
      </c>
      <c r="ED79" s="50">
        <f>IF($AN79="N","N",SUM('調查資料(OUT)'!AN85:AN88))</f>
        <v>0</v>
      </c>
      <c r="EE79" s="50">
        <f>IF($AN79="N","N",SUM('調查資料(OUT)'!AR85:AR88))</f>
        <v>0</v>
      </c>
      <c r="EF79" s="50">
        <f>IF($AN79="N","N",SUM('調查資料(OUT)'!AV85:AV88))</f>
        <v>0</v>
      </c>
      <c r="EG79" s="56" t="e">
        <f t="shared" si="337"/>
        <v>#DIV/0!</v>
      </c>
      <c r="EH79" s="50">
        <f t="shared" si="338"/>
        <v>0</v>
      </c>
      <c r="EI79" s="50">
        <f>IF($AN79="N","N",SUM('調查資料(OUT)'!AO85:AO88))</f>
        <v>0</v>
      </c>
      <c r="EJ79" s="50">
        <f>IF($AN79="N","N",SUM('調查資料(OUT)'!AS85:AS88))</f>
        <v>0</v>
      </c>
      <c r="EK79" s="50">
        <f>IF($AN79="N","N",SUM('調查資料(OUT)'!AW85:AW88))</f>
        <v>0</v>
      </c>
      <c r="EL79" s="56" t="e">
        <f t="shared" si="339"/>
        <v>#DIV/0!</v>
      </c>
      <c r="EM79" s="50">
        <f t="shared" si="276"/>
        <v>0</v>
      </c>
      <c r="EN79" s="56" t="e">
        <f t="shared" si="277"/>
        <v>#DIV/0!</v>
      </c>
      <c r="EO79" s="50">
        <f t="shared" si="278"/>
        <v>0</v>
      </c>
      <c r="EP79" s="56" t="e">
        <f t="shared" si="279"/>
        <v>#DIV/0!</v>
      </c>
      <c r="EQ79" s="50">
        <f t="shared" si="280"/>
        <v>0</v>
      </c>
      <c r="ER79" s="56" t="e">
        <f t="shared" si="281"/>
        <v>#DIV/0!</v>
      </c>
      <c r="ES79" s="50">
        <f t="shared" si="282"/>
        <v>0</v>
      </c>
      <c r="ET79" s="50">
        <f t="shared" si="340"/>
        <v>0</v>
      </c>
      <c r="EU79" s="50">
        <f>IF($AN79="N","N",SUM('調查資料(OUT)'!AX85:AX88))</f>
        <v>0</v>
      </c>
      <c r="EV79" s="50">
        <f>IF($AN79="N","N",SUM('調查資料(OUT)'!BB85:BB88))</f>
        <v>0</v>
      </c>
      <c r="EW79" s="50">
        <f>IF($AN79="N","N",SUM('調查資料(OUT)'!BF85:BF88))</f>
        <v>0</v>
      </c>
      <c r="EX79" s="56" t="e">
        <f t="shared" si="341"/>
        <v>#DIV/0!</v>
      </c>
      <c r="EY79" s="50">
        <f t="shared" si="342"/>
        <v>0</v>
      </c>
      <c r="EZ79" s="50">
        <f>IF($AN79="N","N",SUM('調查資料(OUT)'!AY85:AY88))</f>
        <v>0</v>
      </c>
      <c r="FA79" s="50">
        <f>IF($AN79="N","N",SUM('調查資料(OUT)'!BC85:BC88))</f>
        <v>0</v>
      </c>
      <c r="FB79" s="50">
        <f>IF($AN79="N","N",SUM('調查資料(OUT)'!BG85:BG88))</f>
        <v>0</v>
      </c>
      <c r="FC79" s="56" t="e">
        <f t="shared" si="343"/>
        <v>#DIV/0!</v>
      </c>
      <c r="FD79" s="50">
        <f t="shared" si="344"/>
        <v>0</v>
      </c>
      <c r="FE79" s="50">
        <f>IF($AN79="N","N",SUM('調查資料(OUT)'!AZ85:AZ88))</f>
        <v>0</v>
      </c>
      <c r="FF79" s="50">
        <f>IF($AN79="N","N",SUM('調查資料(OUT)'!BD85:BD88))</f>
        <v>0</v>
      </c>
      <c r="FG79" s="50">
        <f>IF($AN79="N","N",SUM('調查資料(OUT)'!BH85:BH88))</f>
        <v>0</v>
      </c>
      <c r="FH79" s="56" t="e">
        <f t="shared" si="345"/>
        <v>#DIV/0!</v>
      </c>
      <c r="FI79" s="50">
        <f t="shared" si="346"/>
        <v>0</v>
      </c>
      <c r="FJ79" s="50">
        <f>IF($AN79="N","N",SUM('調查資料(OUT)'!BA85:BA88))</f>
        <v>0</v>
      </c>
      <c r="FK79" s="50">
        <f>IF($AN79="N","N",SUM('調查資料(OUT)'!BE85:BE88))</f>
        <v>0</v>
      </c>
      <c r="FL79" s="50">
        <f>IF($AN79="N","N",SUM('調查資料(OUT)'!BI85:BI88))</f>
        <v>0</v>
      </c>
      <c r="FM79" s="56" t="e">
        <f t="shared" si="347"/>
        <v>#DIV/0!</v>
      </c>
      <c r="FN79" s="50">
        <f t="shared" si="246"/>
        <v>0</v>
      </c>
      <c r="FO79" s="56" t="e">
        <f t="shared" si="247"/>
        <v>#DIV/0!</v>
      </c>
      <c r="FP79" s="50">
        <f t="shared" si="248"/>
        <v>0</v>
      </c>
      <c r="FQ79" s="56" t="e">
        <f t="shared" si="249"/>
        <v>#DIV/0!</v>
      </c>
      <c r="FR79" s="50">
        <f t="shared" si="250"/>
        <v>0</v>
      </c>
      <c r="FS79" s="56" t="e">
        <f t="shared" si="251"/>
        <v>#DIV/0!</v>
      </c>
      <c r="FT79" s="50">
        <f t="shared" si="252"/>
        <v>0</v>
      </c>
    </row>
    <row r="80" spans="1:176">
      <c r="A80" s="322">
        <f>'調查資料(OUT)'!A86</f>
        <v>1845</v>
      </c>
      <c r="B80" s="323">
        <f t="shared" si="238"/>
        <v>0</v>
      </c>
      <c r="C80" s="323">
        <f>IFERROR('調查資料(OUT)'!$B$1*'調查資料(OUT)'!B86,0)+IFERROR('調查資料(OUT)'!$F$1*'調查資料(OUT)'!F86,0)+IFERROR('調查資料(OUT)'!$J$1*'調查資料(OUT)'!J86,0)</f>
        <v>0</v>
      </c>
      <c r="D80" s="323">
        <f>IFERROR('調查資料(OUT)'!$C$1*'調查資料(OUT)'!C86,0)+IFERROR('調查資料(OUT)'!$G$1*'調查資料(OUT)'!G86,0)+IFERROR('調查資料(OUT)'!$K$1*'調查資料(OUT)'!K86,0)</f>
        <v>0</v>
      </c>
      <c r="E80" s="323">
        <f>IFERROR('調查資料(OUT)'!$D$1*'調查資料(OUT)'!D86,0)+IFERROR('調查資料(OUT)'!$H$1*'調查資料(OUT)'!H86,0)+IFERROR('調查資料(OUT)'!$L$1*'調查資料(OUT)'!L86,0)</f>
        <v>0</v>
      </c>
      <c r="F80" s="324">
        <f>IFERROR('調查資料(OUT)'!$E$1*'調查資料(OUT)'!E86,0)+IFERROR('調查資料(OUT)'!$I$1*'調查資料(OUT)'!I86,0)+IFERROR('調查資料(OUT)'!$M$1*'調查資料(OUT)'!M86,0)</f>
        <v>0</v>
      </c>
      <c r="G80" s="323">
        <f t="shared" si="239"/>
        <v>0</v>
      </c>
      <c r="H80" s="323">
        <f>IFERROR('調查資料(OUT)'!$N$1*'調查資料(OUT)'!N86,0)+IFERROR('調查資料(OUT)'!$R$1*'調查資料(OUT)'!R86,0)+IFERROR('調查資料(OUT)'!$V$1*'調查資料(OUT)'!V86,0)</f>
        <v>0</v>
      </c>
      <c r="I80" s="323">
        <f>IFERROR('調查資料(OUT)'!$O$1*'調查資料(OUT)'!O86,0)+IFERROR('調查資料(OUT)'!$S$1*'調查資料(OUT)'!S86,0)+IFERROR('調查資料(OUT)'!$W$1*'調查資料(OUT)'!W86,0)</f>
        <v>0</v>
      </c>
      <c r="J80" s="323">
        <f>IFERROR('調查資料(OUT)'!$P$1*'調查資料(OUT)'!P86,0)+IFERROR('調查資料(OUT)'!$T$1*'調查資料(OUT)'!T86,0)+IFERROR('調查資料(OUT)'!$X$1*'調查資料(OUT)'!X86,0)</f>
        <v>0</v>
      </c>
      <c r="K80" s="324">
        <f>IFERROR('調查資料(OUT)'!$Q$1*'調查資料(OUT)'!Q86,0)+IFERROR('調查資料(OUT)'!$U$1*'調查資料(OUT)'!U86,0)+IFERROR('調查資料(OUT)'!$Y$1*'調查資料(OUT)'!Y86,0)</f>
        <v>0</v>
      </c>
      <c r="L80" s="323">
        <f t="shared" si="240"/>
        <v>0</v>
      </c>
      <c r="M80" s="323">
        <f>IFERROR('調查資料(OUT)'!$Z$1*'調查資料(OUT)'!Z86,0)+IFERROR('調查資料(OUT)'!$AD$1*'調查資料(OUT)'!AD86,0)+IFERROR('調查資料(OUT)'!$AH$1*'調查資料(OUT)'!AH86,0)</f>
        <v>0</v>
      </c>
      <c r="N80" s="323">
        <f>IFERROR('調查資料(OUT)'!$AA$1*'調查資料(OUT)'!AA86,0)+IFERROR('調查資料(OUT)'!$AE$1*'調查資料(OUT)'!AE86,0)+IFERROR('調查資料(OUT)'!$AI$1*'調查資料(OUT)'!AI86,0)</f>
        <v>0</v>
      </c>
      <c r="O80" s="323">
        <f>IFERROR('調查資料(OUT)'!$AB$1*'調查資料(OUT)'!AB86,0)+IFERROR('調查資料(OUT)'!$AF$1*'調查資料(OUT)'!AF86,0)+IFERROR('調查資料(OUT)'!$AJ$1*'調查資料(OUT)'!AJ86,0)</f>
        <v>0</v>
      </c>
      <c r="P80" s="324">
        <f>IFERROR('調查資料(OUT)'!$AC$1*'調查資料(OUT)'!AC86,0)+IFERROR('調查資料(OUT)'!$AG$1*'調查資料(OUT)'!AG86,0)+IFERROR('調查資料(OUT)'!$AK$1*'調查資料(OUT)'!AK86,0)</f>
        <v>0</v>
      </c>
      <c r="Q80" s="323">
        <f t="shared" si="241"/>
        <v>0</v>
      </c>
      <c r="R80" s="323">
        <f>IFERROR('調查資料(OUT)'!$AL$1*'調查資料(OUT)'!AL86,0)+IFERROR('調查資料(OUT)'!$AP$1*'調查資料(OUT)'!AP86,0)+IFERROR('調查資料(OUT)'!$AT$1*'調查資料(OUT)'!AT86,0)</f>
        <v>0</v>
      </c>
      <c r="S80" s="323">
        <f>IFERROR('調查資料(OUT)'!$AM$1*'調查資料(OUT)'!AM86,0)+IFERROR('調查資料(OUT)'!$AQ$1*'調查資料(OUT)'!AQ86,0)+IFERROR('調查資料(OUT)'!$AU$1*'調查資料(OUT)'!AU86,0)</f>
        <v>0</v>
      </c>
      <c r="T80" s="323">
        <f>IFERROR('調查資料(OUT)'!$AN$1*'調查資料(OUT)'!AN86,0)+IFERROR('調查資料(OUT)'!$AR$1*'調查資料(OUT)'!AR86,0)+IFERROR('調查資料(OUT)'!$AV$1*'調查資料(OUT)'!AV86,0)</f>
        <v>0</v>
      </c>
      <c r="U80" s="324">
        <f>IFERROR('調查資料(OUT)'!$AO$1*'調查資料(OUT)'!AO86,0)+IFERROR('調查資料(OUT)'!$AS$1*'調查資料(OUT)'!AS86,0)+IFERROR('調查資料(OUT)'!$AW$1*'調查資料(OUT)'!AW86,0)</f>
        <v>0</v>
      </c>
      <c r="V80" s="323">
        <f t="shared" si="242"/>
        <v>0</v>
      </c>
      <c r="W80" s="323">
        <f>IFERROR('調查資料(OUT)'!$AX$1*'調查資料(OUT)'!AX86,0)+IFERROR('調查資料(OUT)'!$BB$1*'調查資料(OUT)'!BB86,0)+IFERROR('調查資料(OUT)'!$BF$1*'調查資料(OUT)'!BF86,0)</f>
        <v>0</v>
      </c>
      <c r="X80" s="323">
        <f>IFERROR('調查資料(OUT)'!$AY$1*'調查資料(OUT)'!AY86,0)+IFERROR('調查資料(OUT)'!$BC$1*'調查資料(OUT)'!BC86,0)+IFERROR('調查資料(OUT)'!$BG$1*'調查資料(OUT)'!BG86,0)</f>
        <v>0</v>
      </c>
      <c r="Y80" s="323">
        <f>IFERROR('調查資料(OUT)'!$AZ$1*'調查資料(OUT)'!AZ86,0)+IFERROR('調查資料(OUT)'!$BD$1*'調查資料(OUT)'!BD86,0)+IFERROR('調查資料(OUT)'!$BH$1*'調查資料(OUT)'!BH86,0)</f>
        <v>0</v>
      </c>
      <c r="Z80" s="324">
        <f>IFERROR('調查資料(OUT)'!$BA$1*'調查資料(OUT)'!BA86,0)+IFERROR('調查資料(OUT)'!$BE$1*'調查資料(OUT)'!BE86,0)+IFERROR('調查資料(OUT)'!$BI$1*'調查資料(OUT)'!BI86,0)</f>
        <v>0</v>
      </c>
      <c r="AA80" s="325">
        <f t="shared" si="243"/>
        <v>0</v>
      </c>
      <c r="AC80" s="363">
        <f>'調查資料(OUT)'!A86</f>
        <v>1845</v>
      </c>
      <c r="AD80" s="364">
        <f t="shared" si="244"/>
        <v>1945</v>
      </c>
      <c r="AE80" s="323">
        <f t="shared" si="254"/>
        <v>0</v>
      </c>
      <c r="AF80" s="323"/>
      <c r="AG80" s="323">
        <f t="shared" si="356"/>
        <v>0</v>
      </c>
      <c r="AH80" s="366" t="e">
        <f t="shared" si="357"/>
        <v>#DIV/0!</v>
      </c>
      <c r="AI80" s="366" t="e">
        <f t="shared" si="358"/>
        <v>#DIV/0!</v>
      </c>
      <c r="AJ80" s="366" t="e">
        <f t="shared" si="359"/>
        <v>#DIV/0!</v>
      </c>
      <c r="AK80" s="366" t="e">
        <f t="shared" si="360"/>
        <v>#DIV/0!</v>
      </c>
      <c r="AL80" s="366" t="e">
        <f t="shared" si="361"/>
        <v>#DIV/0!</v>
      </c>
      <c r="AM80" s="368"/>
      <c r="AN80" s="323">
        <f t="shared" si="362"/>
        <v>1845</v>
      </c>
      <c r="AO80" s="324">
        <f t="shared" si="363"/>
        <v>1945</v>
      </c>
      <c r="AP80" s="50">
        <f t="shared" si="245"/>
        <v>0</v>
      </c>
      <c r="AQ80" s="50">
        <f>IF($AN80="N","N",SUM('調查資料(OUT)'!B86:B89))</f>
        <v>0</v>
      </c>
      <c r="AR80" s="50">
        <f>IF($AN80="N","N",SUM('調查資料(OUT)'!F86:F89))</f>
        <v>0</v>
      </c>
      <c r="AS80" s="50">
        <f>IF($AN80="N","N",SUM('調查資料(OUT)'!J86:J89))</f>
        <v>0</v>
      </c>
      <c r="AT80" s="56" t="e">
        <f t="shared" si="309"/>
        <v>#DIV/0!</v>
      </c>
      <c r="AU80" s="50">
        <f t="shared" si="310"/>
        <v>0</v>
      </c>
      <c r="AV80" s="50">
        <f>IF($AN80="N","N",SUM('調查資料(OUT)'!C86:C89))</f>
        <v>0</v>
      </c>
      <c r="AW80" s="50">
        <f>IF($AN80="N","N",SUM('調查資料(OUT)'!G86:G89))</f>
        <v>0</v>
      </c>
      <c r="AX80" s="50">
        <f>IF($AN80="N","N",SUM('調查資料(OUT)'!K86:K89))</f>
        <v>0</v>
      </c>
      <c r="AY80" s="56" t="e">
        <f t="shared" si="311"/>
        <v>#DIV/0!</v>
      </c>
      <c r="AZ80" s="50">
        <f t="shared" si="312"/>
        <v>0</v>
      </c>
      <c r="BA80" s="50">
        <f>IF($AN80="N","N",SUM('調查資料(OUT)'!D86:D89))</f>
        <v>0</v>
      </c>
      <c r="BB80" s="50">
        <f>IF($AN80="N","N",SUM('調查資料(OUT)'!H86:H89))</f>
        <v>0</v>
      </c>
      <c r="BC80" s="50">
        <f>IF($AN80="N","N",SUM('調查資料(OUT)'!L86:L89))</f>
        <v>0</v>
      </c>
      <c r="BD80" s="56" t="e">
        <f t="shared" si="313"/>
        <v>#DIV/0!</v>
      </c>
      <c r="BE80" s="50">
        <f t="shared" si="314"/>
        <v>0</v>
      </c>
      <c r="BF80" s="50">
        <f>IF($AN80="N","N",SUM('調查資料(OUT)'!E86:E89))</f>
        <v>0</v>
      </c>
      <c r="BG80" s="50">
        <f>IF($AN80="N","N",SUM('調查資料(OUT)'!I86:I89))</f>
        <v>0</v>
      </c>
      <c r="BH80" s="50">
        <f>IF($AN80="N","N",SUM('調查資料(OUT)'!M86:M89))</f>
        <v>0</v>
      </c>
      <c r="BI80" s="56" t="e">
        <f t="shared" si="315"/>
        <v>#DIV/0!</v>
      </c>
      <c r="BJ80" s="50">
        <f t="shared" si="255"/>
        <v>0</v>
      </c>
      <c r="BK80" s="56" t="e">
        <f t="shared" si="256"/>
        <v>#DIV/0!</v>
      </c>
      <c r="BL80" s="50">
        <f t="shared" si="257"/>
        <v>0</v>
      </c>
      <c r="BM80" s="56" t="e">
        <f t="shared" si="258"/>
        <v>#DIV/0!</v>
      </c>
      <c r="BN80" s="50">
        <f t="shared" si="259"/>
        <v>0</v>
      </c>
      <c r="BO80" s="56" t="e">
        <f t="shared" si="260"/>
        <v>#DIV/0!</v>
      </c>
      <c r="BP80" s="50">
        <f t="shared" si="261"/>
        <v>0</v>
      </c>
      <c r="BQ80" s="50">
        <f t="shared" si="316"/>
        <v>0</v>
      </c>
      <c r="BR80" s="50">
        <f>IF($AN80="N","N",SUM('調查資料(OUT)'!N86:N89))</f>
        <v>0</v>
      </c>
      <c r="BS80" s="50">
        <f>IF($AN80="N","N",SUM('調查資料(OUT)'!R86:R89))</f>
        <v>0</v>
      </c>
      <c r="BT80" s="50">
        <f>IF($AN80="N","N",SUM('調查資料(OUT)'!V86:V89))</f>
        <v>0</v>
      </c>
      <c r="BU80" s="56" t="e">
        <f t="shared" si="317"/>
        <v>#DIV/0!</v>
      </c>
      <c r="BV80" s="50">
        <f t="shared" si="318"/>
        <v>0</v>
      </c>
      <c r="BW80" s="50">
        <f>IF($AN80="N","N",SUM('調查資料(OUT)'!O86:O89))</f>
        <v>0</v>
      </c>
      <c r="BX80" s="50">
        <f>IF($AN80="N","N",SUM('調查資料(OUT)'!S86:S89))</f>
        <v>0</v>
      </c>
      <c r="BY80" s="50">
        <f>IF($AN80="N","N",SUM('調查資料(OUT)'!W86:W89))</f>
        <v>0</v>
      </c>
      <c r="BZ80" s="56" t="e">
        <f t="shared" si="319"/>
        <v>#DIV/0!</v>
      </c>
      <c r="CA80" s="50">
        <f t="shared" si="320"/>
        <v>0</v>
      </c>
      <c r="CB80" s="50">
        <f>IF($AN80="N","N",SUM('調查資料(OUT)'!P86:P89))</f>
        <v>0</v>
      </c>
      <c r="CC80" s="50">
        <f>IF($AN80="N","N",SUM('調查資料(OUT)'!T86:T89))</f>
        <v>0</v>
      </c>
      <c r="CD80" s="50">
        <f>IF($AN80="N","N",SUM('調查資料(OUT)'!X86:X89))</f>
        <v>0</v>
      </c>
      <c r="CE80" s="56" t="e">
        <f t="shared" si="321"/>
        <v>#DIV/0!</v>
      </c>
      <c r="CF80" s="50">
        <f t="shared" si="322"/>
        <v>0</v>
      </c>
      <c r="CG80" s="50">
        <f>IF($AN80="N","N",SUM('調查資料(OUT)'!Q86:Q89))</f>
        <v>0</v>
      </c>
      <c r="CH80" s="50">
        <f>IF($AN80="N","N",SUM('調查資料(OUT)'!U86:U89))</f>
        <v>0</v>
      </c>
      <c r="CI80" s="50">
        <f>IF($AN80="N","N",SUM('調查資料(OUT)'!Y86:Y89))</f>
        <v>0</v>
      </c>
      <c r="CJ80" s="56" t="e">
        <f t="shared" si="323"/>
        <v>#DIV/0!</v>
      </c>
      <c r="CK80" s="50">
        <f t="shared" si="262"/>
        <v>0</v>
      </c>
      <c r="CL80" s="56" t="e">
        <f t="shared" si="263"/>
        <v>#DIV/0!</v>
      </c>
      <c r="CM80" s="50">
        <f t="shared" si="264"/>
        <v>0</v>
      </c>
      <c r="CN80" s="56" t="e">
        <f t="shared" si="265"/>
        <v>#DIV/0!</v>
      </c>
      <c r="CO80" s="50">
        <f t="shared" si="266"/>
        <v>0</v>
      </c>
      <c r="CP80" s="56" t="e">
        <f t="shared" si="267"/>
        <v>#DIV/0!</v>
      </c>
      <c r="CQ80" s="50">
        <f t="shared" si="268"/>
        <v>0</v>
      </c>
      <c r="CR80" s="50">
        <f t="shared" si="324"/>
        <v>0</v>
      </c>
      <c r="CS80" s="50">
        <f>IF($AN80="N","N",SUM('調查資料(OUT)'!Z86:Z89))</f>
        <v>0</v>
      </c>
      <c r="CT80" s="50">
        <f>IF($AN80="N","N",SUM('調查資料(OUT)'!AD86:AD89))</f>
        <v>0</v>
      </c>
      <c r="CU80" s="50">
        <f>IF($AN80="N","N",SUM('調查資料(OUT)'!AH86:AH89))</f>
        <v>0</v>
      </c>
      <c r="CV80" s="56" t="e">
        <f t="shared" si="325"/>
        <v>#DIV/0!</v>
      </c>
      <c r="CW80" s="50">
        <f t="shared" si="326"/>
        <v>0</v>
      </c>
      <c r="CX80" s="50">
        <f>IF($AN80="N","N",SUM('調查資料(OUT)'!AA86:AA89))</f>
        <v>0</v>
      </c>
      <c r="CY80" s="50">
        <f>IF($AN80="N","N",SUM('調查資料(OUT)'!AE86:AE89))</f>
        <v>0</v>
      </c>
      <c r="CZ80" s="50">
        <f>IF($AN80="N","N",SUM('調查資料(OUT)'!AI86:AI89))</f>
        <v>0</v>
      </c>
      <c r="DA80" s="56" t="e">
        <f t="shared" si="327"/>
        <v>#DIV/0!</v>
      </c>
      <c r="DB80" s="50">
        <f t="shared" si="328"/>
        <v>0</v>
      </c>
      <c r="DC80" s="50">
        <f>IF($AN80="N","N",SUM('調查資料(OUT)'!AB86:AB89))</f>
        <v>0</v>
      </c>
      <c r="DD80" s="50">
        <f>IF($AN80="N","N",SUM('調查資料(OUT)'!AF86:AF89))</f>
        <v>0</v>
      </c>
      <c r="DE80" s="50">
        <f>IF($AN80="N","N",SUM('調查資料(OUT)'!AJ86:AJ89))</f>
        <v>0</v>
      </c>
      <c r="DF80" s="56" t="e">
        <f t="shared" si="329"/>
        <v>#DIV/0!</v>
      </c>
      <c r="DG80" s="50">
        <f t="shared" si="330"/>
        <v>0</v>
      </c>
      <c r="DH80" s="50">
        <f>IF($AN80="N","N",SUM('調查資料(OUT)'!AC86:AC89))</f>
        <v>0</v>
      </c>
      <c r="DI80" s="50">
        <f>IF($AN80="N","N",SUM('調查資料(OUT)'!AG86:AG89))</f>
        <v>0</v>
      </c>
      <c r="DJ80" s="50">
        <f>IF($AN80="N","N",SUM('調查資料(OUT)'!AK86:AK89))</f>
        <v>0</v>
      </c>
      <c r="DK80" s="56" t="e">
        <f t="shared" si="331"/>
        <v>#DIV/0!</v>
      </c>
      <c r="DL80" s="50">
        <f t="shared" si="269"/>
        <v>0</v>
      </c>
      <c r="DM80" s="56" t="e">
        <f t="shared" si="270"/>
        <v>#DIV/0!</v>
      </c>
      <c r="DN80" s="50">
        <f t="shared" si="271"/>
        <v>0</v>
      </c>
      <c r="DO80" s="56" t="e">
        <f t="shared" si="272"/>
        <v>#DIV/0!</v>
      </c>
      <c r="DP80" s="50">
        <f t="shared" si="273"/>
        <v>0</v>
      </c>
      <c r="DQ80" s="56" t="e">
        <f t="shared" si="274"/>
        <v>#DIV/0!</v>
      </c>
      <c r="DR80" s="50">
        <f t="shared" si="275"/>
        <v>0</v>
      </c>
      <c r="DS80" s="50">
        <f t="shared" si="332"/>
        <v>0</v>
      </c>
      <c r="DT80" s="50">
        <f>IF($AN80="N","N",SUM('調查資料(OUT)'!AL86:AL89))</f>
        <v>0</v>
      </c>
      <c r="DU80" s="50">
        <f>IF($AN80="N","N",SUM('調查資料(OUT)'!AP86:AP89))</f>
        <v>0</v>
      </c>
      <c r="DV80" s="50">
        <f>IF($AN80="N","N",SUM('調查資料(OUT)'!AT86:AT89))</f>
        <v>0</v>
      </c>
      <c r="DW80" s="56" t="e">
        <f t="shared" si="333"/>
        <v>#DIV/0!</v>
      </c>
      <c r="DX80" s="50">
        <f t="shared" si="334"/>
        <v>0</v>
      </c>
      <c r="DY80" s="50">
        <f>IF($AN80="N","N",SUM('調查資料(OUT)'!AM86:AM89))</f>
        <v>0</v>
      </c>
      <c r="DZ80" s="50">
        <f>IF($AN80="N","N",SUM('調查資料(OUT)'!AQ86:AQ89))</f>
        <v>0</v>
      </c>
      <c r="EA80" s="50">
        <f>IF($AN80="N","N",SUM('調查資料(OUT)'!AU86:AU89))</f>
        <v>0</v>
      </c>
      <c r="EB80" s="56" t="e">
        <f t="shared" si="335"/>
        <v>#DIV/0!</v>
      </c>
      <c r="EC80" s="50">
        <f t="shared" si="336"/>
        <v>0</v>
      </c>
      <c r="ED80" s="50">
        <f>IF($AN80="N","N",SUM('調查資料(OUT)'!AN86:AN89))</f>
        <v>0</v>
      </c>
      <c r="EE80" s="50">
        <f>IF($AN80="N","N",SUM('調查資料(OUT)'!AR86:AR89))</f>
        <v>0</v>
      </c>
      <c r="EF80" s="50">
        <f>IF($AN80="N","N",SUM('調查資料(OUT)'!AV86:AV89))</f>
        <v>0</v>
      </c>
      <c r="EG80" s="56" t="e">
        <f t="shared" si="337"/>
        <v>#DIV/0!</v>
      </c>
      <c r="EH80" s="50">
        <f t="shared" si="338"/>
        <v>0</v>
      </c>
      <c r="EI80" s="50">
        <f>IF($AN80="N","N",SUM('調查資料(OUT)'!AO86:AO89))</f>
        <v>0</v>
      </c>
      <c r="EJ80" s="50">
        <f>IF($AN80="N","N",SUM('調查資料(OUT)'!AS86:AS89))</f>
        <v>0</v>
      </c>
      <c r="EK80" s="50">
        <f>IF($AN80="N","N",SUM('調查資料(OUT)'!AW86:AW89))</f>
        <v>0</v>
      </c>
      <c r="EL80" s="56" t="e">
        <f t="shared" si="339"/>
        <v>#DIV/0!</v>
      </c>
      <c r="EM80" s="50">
        <f t="shared" si="276"/>
        <v>0</v>
      </c>
      <c r="EN80" s="56" t="e">
        <f t="shared" si="277"/>
        <v>#DIV/0!</v>
      </c>
      <c r="EO80" s="50">
        <f t="shared" si="278"/>
        <v>0</v>
      </c>
      <c r="EP80" s="56" t="e">
        <f t="shared" si="279"/>
        <v>#DIV/0!</v>
      </c>
      <c r="EQ80" s="50">
        <f t="shared" si="280"/>
        <v>0</v>
      </c>
      <c r="ER80" s="56" t="e">
        <f t="shared" si="281"/>
        <v>#DIV/0!</v>
      </c>
      <c r="ES80" s="50">
        <f t="shared" si="282"/>
        <v>0</v>
      </c>
      <c r="ET80" s="50">
        <f t="shared" si="340"/>
        <v>0</v>
      </c>
      <c r="EU80" s="50">
        <f>IF($AN80="N","N",SUM('調查資料(OUT)'!AX86:AX89))</f>
        <v>0</v>
      </c>
      <c r="EV80" s="50">
        <f>IF($AN80="N","N",SUM('調查資料(OUT)'!BB86:BB89))</f>
        <v>0</v>
      </c>
      <c r="EW80" s="50">
        <f>IF($AN80="N","N",SUM('調查資料(OUT)'!BF86:BF89))</f>
        <v>0</v>
      </c>
      <c r="EX80" s="56" t="e">
        <f t="shared" si="341"/>
        <v>#DIV/0!</v>
      </c>
      <c r="EY80" s="50">
        <f t="shared" si="342"/>
        <v>0</v>
      </c>
      <c r="EZ80" s="50">
        <f>IF($AN80="N","N",SUM('調查資料(OUT)'!AY86:AY89))</f>
        <v>0</v>
      </c>
      <c r="FA80" s="50">
        <f>IF($AN80="N","N",SUM('調查資料(OUT)'!BC86:BC89))</f>
        <v>0</v>
      </c>
      <c r="FB80" s="50">
        <f>IF($AN80="N","N",SUM('調查資料(OUT)'!BG86:BG89))</f>
        <v>0</v>
      </c>
      <c r="FC80" s="56" t="e">
        <f t="shared" si="343"/>
        <v>#DIV/0!</v>
      </c>
      <c r="FD80" s="50">
        <f t="shared" si="344"/>
        <v>0</v>
      </c>
      <c r="FE80" s="50">
        <f>IF($AN80="N","N",SUM('調查資料(OUT)'!AZ86:AZ89))</f>
        <v>0</v>
      </c>
      <c r="FF80" s="50">
        <f>IF($AN80="N","N",SUM('調查資料(OUT)'!BD86:BD89))</f>
        <v>0</v>
      </c>
      <c r="FG80" s="50">
        <f>IF($AN80="N","N",SUM('調查資料(OUT)'!BH86:BH89))</f>
        <v>0</v>
      </c>
      <c r="FH80" s="56" t="e">
        <f t="shared" si="345"/>
        <v>#DIV/0!</v>
      </c>
      <c r="FI80" s="50">
        <f t="shared" si="346"/>
        <v>0</v>
      </c>
      <c r="FJ80" s="50">
        <f>IF($AN80="N","N",SUM('調查資料(OUT)'!BA86:BA89))</f>
        <v>0</v>
      </c>
      <c r="FK80" s="50">
        <f>IF($AN80="N","N",SUM('調查資料(OUT)'!BE86:BE89))</f>
        <v>0</v>
      </c>
      <c r="FL80" s="50">
        <f>IF($AN80="N","N",SUM('調查資料(OUT)'!BI86:BI89))</f>
        <v>0</v>
      </c>
      <c r="FM80" s="56" t="e">
        <f t="shared" si="347"/>
        <v>#DIV/0!</v>
      </c>
      <c r="FN80" s="50">
        <f t="shared" si="246"/>
        <v>0</v>
      </c>
      <c r="FO80" s="56" t="e">
        <f t="shared" si="247"/>
        <v>#DIV/0!</v>
      </c>
      <c r="FP80" s="50">
        <f t="shared" si="248"/>
        <v>0</v>
      </c>
      <c r="FQ80" s="56" t="e">
        <f t="shared" si="249"/>
        <v>#DIV/0!</v>
      </c>
      <c r="FR80" s="50">
        <f t="shared" si="250"/>
        <v>0</v>
      </c>
      <c r="FS80" s="56" t="e">
        <f t="shared" si="251"/>
        <v>#DIV/0!</v>
      </c>
      <c r="FT80" s="50">
        <f t="shared" si="252"/>
        <v>0</v>
      </c>
    </row>
    <row r="81" spans="1:176">
      <c r="A81" s="322">
        <f>'調查資料(OUT)'!A87</f>
        <v>1900</v>
      </c>
      <c r="B81" s="323">
        <f t="shared" si="238"/>
        <v>0</v>
      </c>
      <c r="C81" s="323">
        <f>IFERROR('調查資料(OUT)'!$B$1*'調查資料(OUT)'!B87,0)+IFERROR('調查資料(OUT)'!$F$1*'調查資料(OUT)'!F87,0)+IFERROR('調查資料(OUT)'!$J$1*'調查資料(OUT)'!J87,0)</f>
        <v>0</v>
      </c>
      <c r="D81" s="323">
        <f>IFERROR('調查資料(OUT)'!$C$1*'調查資料(OUT)'!C87,0)+IFERROR('調查資料(OUT)'!$G$1*'調查資料(OUT)'!G87,0)+IFERROR('調查資料(OUT)'!$K$1*'調查資料(OUT)'!K87,0)</f>
        <v>0</v>
      </c>
      <c r="E81" s="323">
        <f>IFERROR('調查資料(OUT)'!$D$1*'調查資料(OUT)'!D87,0)+IFERROR('調查資料(OUT)'!$H$1*'調查資料(OUT)'!H87,0)+IFERROR('調查資料(OUT)'!$L$1*'調查資料(OUT)'!L87,0)</f>
        <v>0</v>
      </c>
      <c r="F81" s="324">
        <f>IFERROR('調查資料(OUT)'!$E$1*'調查資料(OUT)'!E87,0)+IFERROR('調查資料(OUT)'!$I$1*'調查資料(OUT)'!I87,0)+IFERROR('調查資料(OUT)'!$M$1*'調查資料(OUT)'!M87,0)</f>
        <v>0</v>
      </c>
      <c r="G81" s="323">
        <f t="shared" si="239"/>
        <v>0</v>
      </c>
      <c r="H81" s="323">
        <f>IFERROR('調查資料(OUT)'!$N$1*'調查資料(OUT)'!N87,0)+IFERROR('調查資料(OUT)'!$R$1*'調查資料(OUT)'!R87,0)+IFERROR('調查資料(OUT)'!$V$1*'調查資料(OUT)'!V87,0)</f>
        <v>0</v>
      </c>
      <c r="I81" s="323">
        <f>IFERROR('調查資料(OUT)'!$O$1*'調查資料(OUT)'!O87,0)+IFERROR('調查資料(OUT)'!$S$1*'調查資料(OUT)'!S87,0)+IFERROR('調查資料(OUT)'!$W$1*'調查資料(OUT)'!W87,0)</f>
        <v>0</v>
      </c>
      <c r="J81" s="323">
        <f>IFERROR('調查資料(OUT)'!$P$1*'調查資料(OUT)'!P87,0)+IFERROR('調查資料(OUT)'!$T$1*'調查資料(OUT)'!T87,0)+IFERROR('調查資料(OUT)'!$X$1*'調查資料(OUT)'!X87,0)</f>
        <v>0</v>
      </c>
      <c r="K81" s="324">
        <f>IFERROR('調查資料(OUT)'!$Q$1*'調查資料(OUT)'!Q87,0)+IFERROR('調查資料(OUT)'!$U$1*'調查資料(OUT)'!U87,0)+IFERROR('調查資料(OUT)'!$Y$1*'調查資料(OUT)'!Y87,0)</f>
        <v>0</v>
      </c>
      <c r="L81" s="323">
        <f t="shared" si="240"/>
        <v>0</v>
      </c>
      <c r="M81" s="323">
        <f>IFERROR('調查資料(OUT)'!$Z$1*'調查資料(OUT)'!Z87,0)+IFERROR('調查資料(OUT)'!$AD$1*'調查資料(OUT)'!AD87,0)+IFERROR('調查資料(OUT)'!$AH$1*'調查資料(OUT)'!AH87,0)</f>
        <v>0</v>
      </c>
      <c r="N81" s="323">
        <f>IFERROR('調查資料(OUT)'!$AA$1*'調查資料(OUT)'!AA87,0)+IFERROR('調查資料(OUT)'!$AE$1*'調查資料(OUT)'!AE87,0)+IFERROR('調查資料(OUT)'!$AI$1*'調查資料(OUT)'!AI87,0)</f>
        <v>0</v>
      </c>
      <c r="O81" s="323">
        <f>IFERROR('調查資料(OUT)'!$AB$1*'調查資料(OUT)'!AB87,0)+IFERROR('調查資料(OUT)'!$AF$1*'調查資料(OUT)'!AF87,0)+IFERROR('調查資料(OUT)'!$AJ$1*'調查資料(OUT)'!AJ87,0)</f>
        <v>0</v>
      </c>
      <c r="P81" s="324">
        <f>IFERROR('調查資料(OUT)'!$AC$1*'調查資料(OUT)'!AC87,0)+IFERROR('調查資料(OUT)'!$AG$1*'調查資料(OUT)'!AG87,0)+IFERROR('調查資料(OUT)'!$AK$1*'調查資料(OUT)'!AK87,0)</f>
        <v>0</v>
      </c>
      <c r="Q81" s="323">
        <f t="shared" si="241"/>
        <v>0</v>
      </c>
      <c r="R81" s="323">
        <f>IFERROR('調查資料(OUT)'!$AL$1*'調查資料(OUT)'!AL87,0)+IFERROR('調查資料(OUT)'!$AP$1*'調查資料(OUT)'!AP87,0)+IFERROR('調查資料(OUT)'!$AT$1*'調查資料(OUT)'!AT87,0)</f>
        <v>0</v>
      </c>
      <c r="S81" s="323">
        <f>IFERROR('調查資料(OUT)'!$AM$1*'調查資料(OUT)'!AM87,0)+IFERROR('調查資料(OUT)'!$AQ$1*'調查資料(OUT)'!AQ87,0)+IFERROR('調查資料(OUT)'!$AU$1*'調查資料(OUT)'!AU87,0)</f>
        <v>0</v>
      </c>
      <c r="T81" s="323">
        <f>IFERROR('調查資料(OUT)'!$AN$1*'調查資料(OUT)'!AN87,0)+IFERROR('調查資料(OUT)'!$AR$1*'調查資料(OUT)'!AR87,0)+IFERROR('調查資料(OUT)'!$AV$1*'調查資料(OUT)'!AV87,0)</f>
        <v>0</v>
      </c>
      <c r="U81" s="324">
        <f>IFERROR('調查資料(OUT)'!$AO$1*'調查資料(OUT)'!AO87,0)+IFERROR('調查資料(OUT)'!$AS$1*'調查資料(OUT)'!AS87,0)+IFERROR('調查資料(OUT)'!$AW$1*'調查資料(OUT)'!AW87,0)</f>
        <v>0</v>
      </c>
      <c r="V81" s="323">
        <f t="shared" si="242"/>
        <v>0</v>
      </c>
      <c r="W81" s="323">
        <f>IFERROR('調查資料(OUT)'!$AX$1*'調查資料(OUT)'!AX87,0)+IFERROR('調查資料(OUT)'!$BB$1*'調查資料(OUT)'!BB87,0)+IFERROR('調查資料(OUT)'!$BF$1*'調查資料(OUT)'!BF87,0)</f>
        <v>0</v>
      </c>
      <c r="X81" s="323">
        <f>IFERROR('調查資料(OUT)'!$AY$1*'調查資料(OUT)'!AY87,0)+IFERROR('調查資料(OUT)'!$BC$1*'調查資料(OUT)'!BC87,0)+IFERROR('調查資料(OUT)'!$BG$1*'調查資料(OUT)'!BG87,0)</f>
        <v>0</v>
      </c>
      <c r="Y81" s="323">
        <f>IFERROR('調查資料(OUT)'!$AZ$1*'調查資料(OUT)'!AZ87,0)+IFERROR('調查資料(OUT)'!$BD$1*'調查資料(OUT)'!BD87,0)+IFERROR('調查資料(OUT)'!$BH$1*'調查資料(OUT)'!BH87,0)</f>
        <v>0</v>
      </c>
      <c r="Z81" s="324">
        <f>IFERROR('調查資料(OUT)'!$BA$1*'調查資料(OUT)'!BA87,0)+IFERROR('調查資料(OUT)'!$BE$1*'調查資料(OUT)'!BE87,0)+IFERROR('調查資料(OUT)'!$BI$1*'調查資料(OUT)'!BI87,0)</f>
        <v>0</v>
      </c>
      <c r="AA81" s="325">
        <f t="shared" si="243"/>
        <v>0</v>
      </c>
      <c r="AC81" s="363">
        <f>'調查資料(OUT)'!A87</f>
        <v>1900</v>
      </c>
      <c r="AD81" s="364">
        <f t="shared" si="244"/>
        <v>2000</v>
      </c>
      <c r="AE81" s="323">
        <f t="shared" si="254"/>
        <v>0</v>
      </c>
      <c r="AF81" s="323"/>
      <c r="AG81" s="323">
        <f t="shared" si="356"/>
        <v>0</v>
      </c>
      <c r="AH81" s="366" t="e">
        <f>IF($AE81=AF$69,SUM(B81:B84)/(4*(MAX(B81:B84))),0)</f>
        <v>#DIV/0!</v>
      </c>
      <c r="AI81" s="366" t="e">
        <f t="shared" si="358"/>
        <v>#DIV/0!</v>
      </c>
      <c r="AJ81" s="366" t="e">
        <f t="shared" si="359"/>
        <v>#DIV/0!</v>
      </c>
      <c r="AK81" s="366" t="e">
        <f>IF($AE81=AF$69,SUM(Q81:Q84)/(4*(MAX(Q81:Q84))),0)</f>
        <v>#DIV/0!</v>
      </c>
      <c r="AL81" s="366" t="e">
        <f>IF($AE81=AF$69,SUM(V81:V84)/(4*(MAX(V81:V84))),0)</f>
        <v>#DIV/0!</v>
      </c>
      <c r="AM81" s="368"/>
      <c r="AN81" s="323">
        <f>IF(AE81=AF$69,$AC81,"N")</f>
        <v>1900</v>
      </c>
      <c r="AO81" s="324">
        <f>IF(AE81=AF$69,$AD81,"N")</f>
        <v>2000</v>
      </c>
      <c r="AP81" s="50">
        <f t="shared" si="245"/>
        <v>0</v>
      </c>
      <c r="AQ81" s="50">
        <f>IF($AN81="N","N",SUM('調查資料(OUT)'!B87:B90))</f>
        <v>0</v>
      </c>
      <c r="AR81" s="50">
        <f>IF($AN81="N","N",SUM('調查資料(OUT)'!F87:F90))</f>
        <v>0</v>
      </c>
      <c r="AS81" s="50">
        <f>IF($AN81="N","N",SUM('調查資料(OUT)'!J87:J90))</f>
        <v>0</v>
      </c>
      <c r="AT81" s="56" t="e">
        <f t="shared" si="309"/>
        <v>#DIV/0!</v>
      </c>
      <c r="AU81" s="50">
        <f t="shared" si="310"/>
        <v>0</v>
      </c>
      <c r="AV81" s="50">
        <f>IF($AN81="N","N",SUM('調查資料(OUT)'!C87:C90))</f>
        <v>0</v>
      </c>
      <c r="AW81" s="50">
        <f>IF($AN81="N","N",SUM('調查資料(OUT)'!G87:G90))</f>
        <v>0</v>
      </c>
      <c r="AX81" s="50">
        <f>IF($AN81="N","N",SUM('調查資料(OUT)'!K87:K90))</f>
        <v>0</v>
      </c>
      <c r="AY81" s="56" t="e">
        <f t="shared" si="311"/>
        <v>#DIV/0!</v>
      </c>
      <c r="AZ81" s="50">
        <f t="shared" si="312"/>
        <v>0</v>
      </c>
      <c r="BA81" s="50">
        <f>IF($AN81="N","N",SUM('調查資料(OUT)'!D87:D90))</f>
        <v>0</v>
      </c>
      <c r="BB81" s="50">
        <f>IF($AN81="N","N",SUM('調查資料(OUT)'!H87:H90))</f>
        <v>0</v>
      </c>
      <c r="BC81" s="50">
        <f>IF($AN81="N","N",SUM('調查資料(OUT)'!L87:L90))</f>
        <v>0</v>
      </c>
      <c r="BD81" s="56" t="e">
        <f t="shared" si="313"/>
        <v>#DIV/0!</v>
      </c>
      <c r="BE81" s="50">
        <f t="shared" si="314"/>
        <v>0</v>
      </c>
      <c r="BF81" s="50">
        <f>IF($AN81="N","N",SUM('調查資料(OUT)'!E87:E90))</f>
        <v>0</v>
      </c>
      <c r="BG81" s="50">
        <f>IF($AN81="N","N",SUM('調查資料(OUT)'!I87:I90))</f>
        <v>0</v>
      </c>
      <c r="BH81" s="50">
        <f>IF($AN81="N","N",SUM('調查資料(OUT)'!M87:M90))</f>
        <v>0</v>
      </c>
      <c r="BI81" s="56" t="e">
        <f t="shared" si="315"/>
        <v>#DIV/0!</v>
      </c>
      <c r="BJ81" s="50">
        <f t="shared" si="255"/>
        <v>0</v>
      </c>
      <c r="BK81" s="56" t="e">
        <f t="shared" si="256"/>
        <v>#DIV/0!</v>
      </c>
      <c r="BL81" s="50">
        <f t="shared" si="257"/>
        <v>0</v>
      </c>
      <c r="BM81" s="56" t="e">
        <f t="shared" si="258"/>
        <v>#DIV/0!</v>
      </c>
      <c r="BN81" s="50">
        <f t="shared" si="259"/>
        <v>0</v>
      </c>
      <c r="BO81" s="56" t="e">
        <f t="shared" si="260"/>
        <v>#DIV/0!</v>
      </c>
      <c r="BP81" s="50">
        <f t="shared" si="261"/>
        <v>0</v>
      </c>
      <c r="BQ81" s="50">
        <f t="shared" si="316"/>
        <v>0</v>
      </c>
      <c r="BR81" s="50">
        <f>IF($AN81="N","N",SUM('調查資料(OUT)'!N87:N90))</f>
        <v>0</v>
      </c>
      <c r="BS81" s="50">
        <f>IF($AN81="N","N",SUM('調查資料(OUT)'!R87:R90))</f>
        <v>0</v>
      </c>
      <c r="BT81" s="50">
        <f>IF($AN81="N","N",SUM('調查資料(OUT)'!V87:V90))</f>
        <v>0</v>
      </c>
      <c r="BU81" s="56" t="e">
        <f t="shared" si="317"/>
        <v>#DIV/0!</v>
      </c>
      <c r="BV81" s="50">
        <f t="shared" si="318"/>
        <v>0</v>
      </c>
      <c r="BW81" s="50">
        <f>IF($AN81="N","N",SUM('調查資料(OUT)'!O87:O90))</f>
        <v>0</v>
      </c>
      <c r="BX81" s="50">
        <f>IF($AN81="N","N",SUM('調查資料(OUT)'!S87:S90))</f>
        <v>0</v>
      </c>
      <c r="BY81" s="50">
        <f>IF($AN81="N","N",SUM('調查資料(OUT)'!W87:W90))</f>
        <v>0</v>
      </c>
      <c r="BZ81" s="56" t="e">
        <f t="shared" si="319"/>
        <v>#DIV/0!</v>
      </c>
      <c r="CA81" s="50">
        <f t="shared" si="320"/>
        <v>0</v>
      </c>
      <c r="CB81" s="50">
        <f>IF($AN81="N","N",SUM('調查資料(OUT)'!P87:P90))</f>
        <v>0</v>
      </c>
      <c r="CC81" s="50">
        <f>IF($AN81="N","N",SUM('調查資料(OUT)'!T87:T90))</f>
        <v>0</v>
      </c>
      <c r="CD81" s="50">
        <f>IF($AN81="N","N",SUM('調查資料(OUT)'!X87:X90))</f>
        <v>0</v>
      </c>
      <c r="CE81" s="56" t="e">
        <f t="shared" si="321"/>
        <v>#DIV/0!</v>
      </c>
      <c r="CF81" s="50">
        <f t="shared" si="322"/>
        <v>0</v>
      </c>
      <c r="CG81" s="50">
        <f>IF($AN81="N","N",SUM('調查資料(OUT)'!Q87:Q90))</f>
        <v>0</v>
      </c>
      <c r="CH81" s="50">
        <f>IF($AN81="N","N",SUM('調查資料(OUT)'!U87:U90))</f>
        <v>0</v>
      </c>
      <c r="CI81" s="50">
        <f>IF($AN81="N","N",SUM('調查資料(OUT)'!Y87:Y90))</f>
        <v>0</v>
      </c>
      <c r="CJ81" s="56" t="e">
        <f t="shared" si="323"/>
        <v>#DIV/0!</v>
      </c>
      <c r="CK81" s="50">
        <f t="shared" si="262"/>
        <v>0</v>
      </c>
      <c r="CL81" s="56" t="e">
        <f t="shared" si="263"/>
        <v>#DIV/0!</v>
      </c>
      <c r="CM81" s="50">
        <f t="shared" si="264"/>
        <v>0</v>
      </c>
      <c r="CN81" s="56" t="e">
        <f t="shared" si="265"/>
        <v>#DIV/0!</v>
      </c>
      <c r="CO81" s="50">
        <f t="shared" si="266"/>
        <v>0</v>
      </c>
      <c r="CP81" s="56" t="e">
        <f t="shared" si="267"/>
        <v>#DIV/0!</v>
      </c>
      <c r="CQ81" s="50">
        <f t="shared" si="268"/>
        <v>0</v>
      </c>
      <c r="CR81" s="50">
        <f t="shared" si="324"/>
        <v>0</v>
      </c>
      <c r="CS81" s="50">
        <f>IF($AN81="N","N",SUM('調查資料(OUT)'!Z87:Z90))</f>
        <v>0</v>
      </c>
      <c r="CT81" s="50">
        <f>IF($AN81="N","N",SUM('調查資料(OUT)'!AD87:AD90))</f>
        <v>0</v>
      </c>
      <c r="CU81" s="50">
        <f>IF($AN81="N","N",SUM('調查資料(OUT)'!AH87:AH90))</f>
        <v>0</v>
      </c>
      <c r="CV81" s="56" t="e">
        <f t="shared" si="325"/>
        <v>#DIV/0!</v>
      </c>
      <c r="CW81" s="50">
        <f t="shared" si="326"/>
        <v>0</v>
      </c>
      <c r="CX81" s="50">
        <f>IF($AN81="N","N",SUM('調查資料(OUT)'!AA87:AA90))</f>
        <v>0</v>
      </c>
      <c r="CY81" s="50">
        <f>IF($AN81="N","N",SUM('調查資料(OUT)'!AE87:AE90))</f>
        <v>0</v>
      </c>
      <c r="CZ81" s="50">
        <f>IF($AN81="N","N",SUM('調查資料(OUT)'!AI87:AI90))</f>
        <v>0</v>
      </c>
      <c r="DA81" s="56" t="e">
        <f t="shared" si="327"/>
        <v>#DIV/0!</v>
      </c>
      <c r="DB81" s="50">
        <f t="shared" si="328"/>
        <v>0</v>
      </c>
      <c r="DC81" s="50">
        <f>IF($AN81="N","N",SUM('調查資料(OUT)'!AB87:AB90))</f>
        <v>0</v>
      </c>
      <c r="DD81" s="50">
        <f>IF($AN81="N","N",SUM('調查資料(OUT)'!AF87:AF90))</f>
        <v>0</v>
      </c>
      <c r="DE81" s="50">
        <f>IF($AN81="N","N",SUM('調查資料(OUT)'!AJ87:AJ90))</f>
        <v>0</v>
      </c>
      <c r="DF81" s="56" t="e">
        <f t="shared" si="329"/>
        <v>#DIV/0!</v>
      </c>
      <c r="DG81" s="50">
        <f t="shared" si="330"/>
        <v>0</v>
      </c>
      <c r="DH81" s="50">
        <f>IF($AN81="N","N",SUM('調查資料(OUT)'!AC87:AC90))</f>
        <v>0</v>
      </c>
      <c r="DI81" s="50">
        <f>IF($AN81="N","N",SUM('調查資料(OUT)'!AG87:AG90))</f>
        <v>0</v>
      </c>
      <c r="DJ81" s="50">
        <f>IF($AN81="N","N",SUM('調查資料(OUT)'!AK87:AK90))</f>
        <v>0</v>
      </c>
      <c r="DK81" s="56" t="e">
        <f t="shared" si="331"/>
        <v>#DIV/0!</v>
      </c>
      <c r="DL81" s="50">
        <f t="shared" si="269"/>
        <v>0</v>
      </c>
      <c r="DM81" s="56" t="e">
        <f t="shared" si="270"/>
        <v>#DIV/0!</v>
      </c>
      <c r="DN81" s="50">
        <f t="shared" si="271"/>
        <v>0</v>
      </c>
      <c r="DO81" s="56" t="e">
        <f t="shared" si="272"/>
        <v>#DIV/0!</v>
      </c>
      <c r="DP81" s="50">
        <f t="shared" si="273"/>
        <v>0</v>
      </c>
      <c r="DQ81" s="56" t="e">
        <f t="shared" si="274"/>
        <v>#DIV/0!</v>
      </c>
      <c r="DR81" s="50">
        <f t="shared" si="275"/>
        <v>0</v>
      </c>
      <c r="DS81" s="50">
        <f t="shared" si="332"/>
        <v>0</v>
      </c>
      <c r="DT81" s="50">
        <f>IF($AN81="N","N",SUM('調查資料(OUT)'!AL87:AL90))</f>
        <v>0</v>
      </c>
      <c r="DU81" s="50">
        <f>IF($AN81="N","N",SUM('調查資料(OUT)'!AP87:AP90))</f>
        <v>0</v>
      </c>
      <c r="DV81" s="50">
        <f>IF($AN81="N","N",SUM('調查資料(OUT)'!AT87:AT90))</f>
        <v>0</v>
      </c>
      <c r="DW81" s="56" t="e">
        <f t="shared" si="333"/>
        <v>#DIV/0!</v>
      </c>
      <c r="DX81" s="50">
        <f t="shared" si="334"/>
        <v>0</v>
      </c>
      <c r="DY81" s="50">
        <f>IF($AN81="N","N",SUM('調查資料(OUT)'!AM87:AM90))</f>
        <v>0</v>
      </c>
      <c r="DZ81" s="50">
        <f>IF($AN81="N","N",SUM('調查資料(OUT)'!AQ87:AQ90))</f>
        <v>0</v>
      </c>
      <c r="EA81" s="50">
        <f>IF($AN81="N","N",SUM('調查資料(OUT)'!AU87:AU90))</f>
        <v>0</v>
      </c>
      <c r="EB81" s="56" t="e">
        <f t="shared" si="335"/>
        <v>#DIV/0!</v>
      </c>
      <c r="EC81" s="50">
        <f t="shared" si="336"/>
        <v>0</v>
      </c>
      <c r="ED81" s="50">
        <f>IF($AN81="N","N",SUM('調查資料(OUT)'!AN87:AN90))</f>
        <v>0</v>
      </c>
      <c r="EE81" s="50">
        <f>IF($AN81="N","N",SUM('調查資料(OUT)'!AR87:AR90))</f>
        <v>0</v>
      </c>
      <c r="EF81" s="50">
        <f>IF($AN81="N","N",SUM('調查資料(OUT)'!AV87:AV90))</f>
        <v>0</v>
      </c>
      <c r="EG81" s="56" t="e">
        <f t="shared" si="337"/>
        <v>#DIV/0!</v>
      </c>
      <c r="EH81" s="50">
        <f t="shared" si="338"/>
        <v>0</v>
      </c>
      <c r="EI81" s="50">
        <f>IF($AN81="N","N",SUM('調查資料(OUT)'!AO87:AO90))</f>
        <v>0</v>
      </c>
      <c r="EJ81" s="50">
        <f>IF($AN81="N","N",SUM('調查資料(OUT)'!AS87:AS90))</f>
        <v>0</v>
      </c>
      <c r="EK81" s="50">
        <f>IF($AN81="N","N",SUM('調查資料(OUT)'!AW87:AW90))</f>
        <v>0</v>
      </c>
      <c r="EL81" s="56" t="e">
        <f t="shared" si="339"/>
        <v>#DIV/0!</v>
      </c>
      <c r="EM81" s="50">
        <f t="shared" si="276"/>
        <v>0</v>
      </c>
      <c r="EN81" s="56" t="e">
        <f t="shared" si="277"/>
        <v>#DIV/0!</v>
      </c>
      <c r="EO81" s="50">
        <f t="shared" si="278"/>
        <v>0</v>
      </c>
      <c r="EP81" s="56" t="e">
        <f t="shared" si="279"/>
        <v>#DIV/0!</v>
      </c>
      <c r="EQ81" s="50">
        <f t="shared" si="280"/>
        <v>0</v>
      </c>
      <c r="ER81" s="56" t="e">
        <f t="shared" si="281"/>
        <v>#DIV/0!</v>
      </c>
      <c r="ES81" s="50">
        <f t="shared" si="282"/>
        <v>0</v>
      </c>
      <c r="ET81" s="50">
        <f t="shared" si="340"/>
        <v>0</v>
      </c>
      <c r="EU81" s="50">
        <f>IF($AN81="N","N",SUM('調查資料(OUT)'!AX87:AX90))</f>
        <v>0</v>
      </c>
      <c r="EV81" s="50">
        <f>IF($AN81="N","N",SUM('調查資料(OUT)'!BB87:BB90))</f>
        <v>0</v>
      </c>
      <c r="EW81" s="50">
        <f>IF($AN81="N","N",SUM('調查資料(OUT)'!BF87:BF90))</f>
        <v>0</v>
      </c>
      <c r="EX81" s="56" t="e">
        <f t="shared" si="341"/>
        <v>#DIV/0!</v>
      </c>
      <c r="EY81" s="50">
        <f t="shared" si="342"/>
        <v>0</v>
      </c>
      <c r="EZ81" s="50">
        <f>IF($AN81="N","N",SUM('調查資料(OUT)'!AY87:AY90))</f>
        <v>0</v>
      </c>
      <c r="FA81" s="50">
        <f>IF($AN81="N","N",SUM('調查資料(OUT)'!BC87:BC90))</f>
        <v>0</v>
      </c>
      <c r="FB81" s="50">
        <f>IF($AN81="N","N",SUM('調查資料(OUT)'!BG87:BG90))</f>
        <v>0</v>
      </c>
      <c r="FC81" s="56" t="e">
        <f t="shared" si="343"/>
        <v>#DIV/0!</v>
      </c>
      <c r="FD81" s="50">
        <f t="shared" si="344"/>
        <v>0</v>
      </c>
      <c r="FE81" s="50">
        <f>IF($AN81="N","N",SUM('調查資料(OUT)'!AZ87:AZ90))</f>
        <v>0</v>
      </c>
      <c r="FF81" s="50">
        <f>IF($AN81="N","N",SUM('調查資料(OUT)'!BD87:BD90))</f>
        <v>0</v>
      </c>
      <c r="FG81" s="50">
        <f>IF($AN81="N","N",SUM('調查資料(OUT)'!BH87:BH90))</f>
        <v>0</v>
      </c>
      <c r="FH81" s="56" t="e">
        <f t="shared" si="345"/>
        <v>#DIV/0!</v>
      </c>
      <c r="FI81" s="50">
        <f t="shared" si="346"/>
        <v>0</v>
      </c>
      <c r="FJ81" s="50">
        <f>IF($AN81="N","N",SUM('調查資料(OUT)'!BA87:BA90))</f>
        <v>0</v>
      </c>
      <c r="FK81" s="50">
        <f>IF($AN81="N","N",SUM('調查資料(OUT)'!BE87:BE90))</f>
        <v>0</v>
      </c>
      <c r="FL81" s="50">
        <f>IF($AN81="N","N",SUM('調查資料(OUT)'!BI87:BI90))</f>
        <v>0</v>
      </c>
      <c r="FM81" s="56" t="e">
        <f t="shared" si="347"/>
        <v>#DIV/0!</v>
      </c>
      <c r="FN81" s="50">
        <f t="shared" si="246"/>
        <v>0</v>
      </c>
      <c r="FO81" s="56" t="e">
        <f t="shared" si="247"/>
        <v>#DIV/0!</v>
      </c>
      <c r="FP81" s="50">
        <f t="shared" si="248"/>
        <v>0</v>
      </c>
      <c r="FQ81" s="56" t="e">
        <f t="shared" si="249"/>
        <v>#DIV/0!</v>
      </c>
      <c r="FR81" s="50">
        <f t="shared" si="250"/>
        <v>0</v>
      </c>
      <c r="FS81" s="56" t="e">
        <f t="shared" si="251"/>
        <v>#DIV/0!</v>
      </c>
      <c r="FT81" s="50">
        <f t="shared" si="252"/>
        <v>0</v>
      </c>
    </row>
    <row r="82" spans="1:176">
      <c r="A82" s="274">
        <f>'調查資料(OUT)'!A88</f>
        <v>1915</v>
      </c>
      <c r="B82" s="50">
        <f t="shared" si="238"/>
        <v>0</v>
      </c>
      <c r="C82" s="50">
        <f>IFERROR('調查資料(OUT)'!$B$1*'調查資料(OUT)'!B88,0)+IFERROR('調查資料(OUT)'!$F$1*'調查資料(OUT)'!F88,0)+IFERROR('調查資料(OUT)'!$J$1*'調查資料(OUT)'!J88,0)</f>
        <v>0</v>
      </c>
      <c r="D82" s="50">
        <f>IFERROR('調查資料(OUT)'!$C$1*'調查資料(OUT)'!C88,0)+IFERROR('調查資料(OUT)'!$G$1*'調查資料(OUT)'!G88,0)+IFERROR('調查資料(OUT)'!$K$1*'調查資料(OUT)'!K88,0)</f>
        <v>0</v>
      </c>
      <c r="E82" s="50">
        <f>IFERROR('調查資料(OUT)'!$D$1*'調查資料(OUT)'!D88,0)+IFERROR('調查資料(OUT)'!$H$1*'調查資料(OUT)'!H88,0)+IFERROR('調查資料(OUT)'!$L$1*'調查資料(OUT)'!L88,0)</f>
        <v>0</v>
      </c>
      <c r="F82" s="252">
        <f>IFERROR('調查資料(OUT)'!$E$1*'調查資料(OUT)'!E88,0)+IFERROR('調查資料(OUT)'!$I$1*'調查資料(OUT)'!I88,0)+IFERROR('調查資料(OUT)'!$M$1*'調查資料(OUT)'!M88,0)</f>
        <v>0</v>
      </c>
      <c r="G82" s="50">
        <f t="shared" si="239"/>
        <v>0</v>
      </c>
      <c r="H82" s="50">
        <f>IFERROR('調查資料(OUT)'!$N$1*'調查資料(OUT)'!N88,0)+IFERROR('調查資料(OUT)'!$R$1*'調查資料(OUT)'!R88,0)+IFERROR('調查資料(OUT)'!$V$1*'調查資料(OUT)'!V88,0)</f>
        <v>0</v>
      </c>
      <c r="I82" s="50">
        <f>IFERROR('調查資料(OUT)'!$O$1*'調查資料(OUT)'!O88,0)+IFERROR('調查資料(OUT)'!$S$1*'調查資料(OUT)'!S88,0)+IFERROR('調查資料(OUT)'!$W$1*'調查資料(OUT)'!W88,0)</f>
        <v>0</v>
      </c>
      <c r="J82" s="50">
        <f>IFERROR('調查資料(OUT)'!$P$1*'調查資料(OUT)'!P88,0)+IFERROR('調查資料(OUT)'!$T$1*'調查資料(OUT)'!T88,0)+IFERROR('調查資料(OUT)'!$X$1*'調查資料(OUT)'!X88,0)</f>
        <v>0</v>
      </c>
      <c r="K82" s="252">
        <f>IFERROR('調查資料(OUT)'!$Q$1*'調查資料(OUT)'!Q88,0)+IFERROR('調查資料(OUT)'!$U$1*'調查資料(OUT)'!U88,0)+IFERROR('調查資料(OUT)'!$Y$1*'調查資料(OUT)'!Y88,0)</f>
        <v>0</v>
      </c>
      <c r="L82" s="50">
        <f t="shared" si="240"/>
        <v>0</v>
      </c>
      <c r="M82" s="50">
        <f>IFERROR('調查資料(OUT)'!$Z$1*'調查資料(OUT)'!Z88,0)+IFERROR('調查資料(OUT)'!$AD$1*'調查資料(OUT)'!AD88,0)+IFERROR('調查資料(OUT)'!$AH$1*'調查資料(OUT)'!AH88,0)</f>
        <v>0</v>
      </c>
      <c r="N82" s="50">
        <f>IFERROR('調查資料(OUT)'!$AA$1*'調查資料(OUT)'!AA88,0)+IFERROR('調查資料(OUT)'!$AE$1*'調查資料(OUT)'!AE88,0)+IFERROR('調查資料(OUT)'!$AI$1*'調查資料(OUT)'!AI88,0)</f>
        <v>0</v>
      </c>
      <c r="O82" s="50">
        <f>IFERROR('調查資料(OUT)'!$AB$1*'調查資料(OUT)'!AB88,0)+IFERROR('調查資料(OUT)'!$AF$1*'調查資料(OUT)'!AF88,0)+IFERROR('調查資料(OUT)'!$AJ$1*'調查資料(OUT)'!AJ88,0)</f>
        <v>0</v>
      </c>
      <c r="P82" s="252">
        <f>IFERROR('調查資料(OUT)'!$AC$1*'調查資料(OUT)'!AC88,0)+IFERROR('調查資料(OUT)'!$AG$1*'調查資料(OUT)'!AG88,0)+IFERROR('調查資料(OUT)'!$AK$1*'調查資料(OUT)'!AK88,0)</f>
        <v>0</v>
      </c>
      <c r="Q82" s="50">
        <f t="shared" si="241"/>
        <v>0</v>
      </c>
      <c r="R82" s="50">
        <f>IFERROR('調查資料(OUT)'!$AL$1*'調查資料(OUT)'!AL88,0)+IFERROR('調查資料(OUT)'!$AP$1*'調查資料(OUT)'!AP88,0)+IFERROR('調查資料(OUT)'!$AT$1*'調查資料(OUT)'!AT88,0)</f>
        <v>0</v>
      </c>
      <c r="S82" s="50">
        <f>IFERROR('調查資料(OUT)'!$AM$1*'調查資料(OUT)'!AM88,0)+IFERROR('調查資料(OUT)'!$AQ$1*'調查資料(OUT)'!AQ88,0)+IFERROR('調查資料(OUT)'!$AU$1*'調查資料(OUT)'!AU88,0)</f>
        <v>0</v>
      </c>
      <c r="T82" s="50">
        <f>IFERROR('調查資料(OUT)'!$AN$1*'調查資料(OUT)'!AN88,0)+IFERROR('調查資料(OUT)'!$AR$1*'調查資料(OUT)'!AR88,0)+IFERROR('調查資料(OUT)'!$AV$1*'調查資料(OUT)'!AV88,0)</f>
        <v>0</v>
      </c>
      <c r="U82" s="252">
        <f>IFERROR('調查資料(OUT)'!$AO$1*'調查資料(OUT)'!AO88,0)+IFERROR('調查資料(OUT)'!$AS$1*'調查資料(OUT)'!AS88,0)+IFERROR('調查資料(OUT)'!$AW$1*'調查資料(OUT)'!AW88,0)</f>
        <v>0</v>
      </c>
      <c r="V82" s="50">
        <f t="shared" si="242"/>
        <v>0</v>
      </c>
      <c r="W82" s="50">
        <f>IFERROR('調查資料(OUT)'!$AX$1*'調查資料(OUT)'!AX88,0)+IFERROR('調查資料(OUT)'!$BB$1*'調查資料(OUT)'!BB88,0)+IFERROR('調查資料(OUT)'!$BF$1*'調查資料(OUT)'!BF88,0)</f>
        <v>0</v>
      </c>
      <c r="X82" s="50">
        <f>IFERROR('調查資料(OUT)'!$AY$1*'調查資料(OUT)'!AY88,0)+IFERROR('調查資料(OUT)'!$BC$1*'調查資料(OUT)'!BC88,0)+IFERROR('調查資料(OUT)'!$BG$1*'調查資料(OUT)'!BG88,0)</f>
        <v>0</v>
      </c>
      <c r="Y82" s="50">
        <f>IFERROR('調查資料(OUT)'!$AZ$1*'調查資料(OUT)'!AZ88,0)+IFERROR('調查資料(OUT)'!$BD$1*'調查資料(OUT)'!BD88,0)+IFERROR('調查資料(OUT)'!$BH$1*'調查資料(OUT)'!BH88,0)</f>
        <v>0</v>
      </c>
      <c r="Z82" s="252">
        <f>IFERROR('調查資料(OUT)'!$BA$1*'調查資料(OUT)'!BA88,0)+IFERROR('調查資料(OUT)'!$BE$1*'調查資料(OUT)'!BE88,0)+IFERROR('調查資料(OUT)'!$BI$1*'調查資料(OUT)'!BI88,0)</f>
        <v>0</v>
      </c>
      <c r="AA82" s="253">
        <f t="shared" si="243"/>
        <v>0</v>
      </c>
      <c r="AC82" s="251">
        <f>'調查資料(OUT)'!A88</f>
        <v>1915</v>
      </c>
      <c r="AD82" s="254">
        <f t="shared" si="244"/>
        <v>2015</v>
      </c>
      <c r="AE82" s="50">
        <f>SUM(AA82:AA85)</f>
        <v>0</v>
      </c>
      <c r="AF82" s="255"/>
      <c r="AG82" s="50">
        <f t="shared" ref="AG82:AG97" si="364">IF($AE82=$AF$69,MAX(AA82:AA85),0)</f>
        <v>0</v>
      </c>
      <c r="AH82" s="256" t="e">
        <f>IF($AE82=AF$69,SUM(B82:B85)/(4*(MAX(B82:B85))),0)</f>
        <v>#DIV/0!</v>
      </c>
      <c r="AI82" s="256" t="e">
        <f t="shared" ref="AI82:AI97" si="365">IF($AE82=AF$69,SUM(G82:G85)/(4*(MAX(G82:G85))),0)</f>
        <v>#DIV/0!</v>
      </c>
      <c r="AJ82" s="256" t="e">
        <f t="shared" ref="AJ82:AJ97" si="366">IF($AE82=AF$69,SUM(L82:L85)/(4*(MAX(L82:L85))),0)</f>
        <v>#DIV/0!</v>
      </c>
      <c r="AK82" s="256" t="e">
        <f t="shared" ref="AK82:AK97" si="367">IF($AE82=AF$69,SUM(Q82:Q85)/(4*(MAX(Q82:Q85))),0)</f>
        <v>#DIV/0!</v>
      </c>
      <c r="AL82" s="256" t="e">
        <f t="shared" ref="AL82:AL97" si="368">IF($AE82=AF$69,SUM(V82:V85)/(4*(MAX(V82:V85))),0)</f>
        <v>#DIV/0!</v>
      </c>
      <c r="AM82" s="257"/>
      <c r="AN82" s="50">
        <f t="shared" ref="AN82:AN97" si="369">IF(AE82=AF$69,$AC82,"N")</f>
        <v>1915</v>
      </c>
      <c r="AO82" s="252">
        <f t="shared" ref="AO82:AO97" si="370">IF(AE82=AF$69,$AD82,"N")</f>
        <v>2015</v>
      </c>
      <c r="AP82" s="50">
        <f>IF($AN82="N","N",SUM(C82:C85))</f>
        <v>0</v>
      </c>
      <c r="AQ82" s="50">
        <f>IF($AN82="N","N",SUM('調查資料(OUT)'!B88:B91))</f>
        <v>0</v>
      </c>
      <c r="AR82" s="50">
        <f>IF($AN82="N","N",SUM('調查資料(OUT)'!F88:F91))</f>
        <v>0</v>
      </c>
      <c r="AS82" s="50">
        <f>IF($AN82="N","N",SUM('調查資料(OUT)'!J88:J91))</f>
        <v>0</v>
      </c>
      <c r="AT82" s="56" t="e">
        <f t="shared" si="309"/>
        <v>#DIV/0!</v>
      </c>
      <c r="AU82" s="50">
        <f t="shared" si="310"/>
        <v>0</v>
      </c>
      <c r="AV82" s="50">
        <f>IF($AN82="N","N",SUM('調查資料(OUT)'!C88:C91))</f>
        <v>0</v>
      </c>
      <c r="AW82" s="50">
        <f>IF($AN82="N","N",SUM('調查資料(OUT)'!G88:G91))</f>
        <v>0</v>
      </c>
      <c r="AX82" s="50">
        <f>IF($AN82="N","N",SUM('調查資料(OUT)'!K88:K91))</f>
        <v>0</v>
      </c>
      <c r="AY82" s="56" t="e">
        <f t="shared" si="311"/>
        <v>#DIV/0!</v>
      </c>
      <c r="AZ82" s="50">
        <f t="shared" si="312"/>
        <v>0</v>
      </c>
      <c r="BA82" s="50">
        <f>IF($AN82="N","N",SUM('調查資料(OUT)'!D88:D91))</f>
        <v>0</v>
      </c>
      <c r="BB82" s="50">
        <f>IF($AN82="N","N",SUM('調查資料(OUT)'!H88:H91))</f>
        <v>0</v>
      </c>
      <c r="BC82" s="50">
        <f>IF($AN82="N","N",SUM('調查資料(OUT)'!L88:L91))</f>
        <v>0</v>
      </c>
      <c r="BD82" s="56" t="e">
        <f t="shared" si="313"/>
        <v>#DIV/0!</v>
      </c>
      <c r="BE82" s="50">
        <f t="shared" si="314"/>
        <v>0</v>
      </c>
      <c r="BF82" s="50">
        <f>IF($AN82="N","N",SUM('調查資料(OUT)'!E88:E91))</f>
        <v>0</v>
      </c>
      <c r="BG82" s="50">
        <f>IF($AN82="N","N",SUM('調查資料(OUT)'!I88:I91))</f>
        <v>0</v>
      </c>
      <c r="BH82" s="50">
        <f>IF($AN82="N","N",SUM('調查資料(OUT)'!M88:M91))</f>
        <v>0</v>
      </c>
      <c r="BI82" s="56" t="e">
        <f t="shared" si="315"/>
        <v>#DIV/0!</v>
      </c>
      <c r="BJ82" s="50">
        <f t="shared" si="255"/>
        <v>0</v>
      </c>
      <c r="BK82" s="56" t="e">
        <f t="shared" si="256"/>
        <v>#DIV/0!</v>
      </c>
      <c r="BL82" s="50">
        <f t="shared" si="257"/>
        <v>0</v>
      </c>
      <c r="BM82" s="56" t="e">
        <f t="shared" si="258"/>
        <v>#DIV/0!</v>
      </c>
      <c r="BN82" s="50">
        <f t="shared" si="259"/>
        <v>0</v>
      </c>
      <c r="BO82" s="56" t="e">
        <f t="shared" si="260"/>
        <v>#DIV/0!</v>
      </c>
      <c r="BP82" s="50">
        <f t="shared" si="261"/>
        <v>0</v>
      </c>
      <c r="BQ82" s="50">
        <f t="shared" si="316"/>
        <v>0</v>
      </c>
      <c r="BR82" s="50">
        <f>IF($AN82="N","N",SUM('調查資料(OUT)'!N88:N91))</f>
        <v>0</v>
      </c>
      <c r="BS82" s="50">
        <f>IF($AN82="N","N",SUM('調查資料(OUT)'!R88:R91))</f>
        <v>0</v>
      </c>
      <c r="BT82" s="50">
        <f>IF($AN82="N","N",SUM('調查資料(OUT)'!V88:V91))</f>
        <v>0</v>
      </c>
      <c r="BU82" s="56" t="e">
        <f t="shared" si="317"/>
        <v>#DIV/0!</v>
      </c>
      <c r="BV82" s="50">
        <f t="shared" si="318"/>
        <v>0</v>
      </c>
      <c r="BW82" s="50">
        <f>IF($AN82="N","N",SUM('調查資料(OUT)'!O88:O91))</f>
        <v>0</v>
      </c>
      <c r="BX82" s="50">
        <f>IF($AN82="N","N",SUM('調查資料(OUT)'!S88:S91))</f>
        <v>0</v>
      </c>
      <c r="BY82" s="50">
        <f>IF($AN82="N","N",SUM('調查資料(OUT)'!W88:W91))</f>
        <v>0</v>
      </c>
      <c r="BZ82" s="56" t="e">
        <f t="shared" si="319"/>
        <v>#DIV/0!</v>
      </c>
      <c r="CA82" s="50">
        <f t="shared" si="320"/>
        <v>0</v>
      </c>
      <c r="CB82" s="50">
        <f>IF($AN82="N","N",SUM('調查資料(OUT)'!P88:P91))</f>
        <v>0</v>
      </c>
      <c r="CC82" s="50">
        <f>IF($AN82="N","N",SUM('調查資料(OUT)'!T88:T91))</f>
        <v>0</v>
      </c>
      <c r="CD82" s="50">
        <f>IF($AN82="N","N",SUM('調查資料(OUT)'!X88:X91))</f>
        <v>0</v>
      </c>
      <c r="CE82" s="56" t="e">
        <f t="shared" si="321"/>
        <v>#DIV/0!</v>
      </c>
      <c r="CF82" s="50">
        <f t="shared" si="322"/>
        <v>0</v>
      </c>
      <c r="CG82" s="50">
        <f>IF($AN82="N","N",SUM('調查資料(OUT)'!Q88:Q91))</f>
        <v>0</v>
      </c>
      <c r="CH82" s="50">
        <f>IF($AN82="N","N",SUM('調查資料(OUT)'!U88:U91))</f>
        <v>0</v>
      </c>
      <c r="CI82" s="50">
        <f>IF($AN82="N","N",SUM('調查資料(OUT)'!Y88:Y91))</f>
        <v>0</v>
      </c>
      <c r="CJ82" s="56" t="e">
        <f t="shared" si="323"/>
        <v>#DIV/0!</v>
      </c>
      <c r="CK82" s="50">
        <f t="shared" si="262"/>
        <v>0</v>
      </c>
      <c r="CL82" s="56" t="e">
        <f t="shared" si="263"/>
        <v>#DIV/0!</v>
      </c>
      <c r="CM82" s="50">
        <f t="shared" si="264"/>
        <v>0</v>
      </c>
      <c r="CN82" s="56" t="e">
        <f t="shared" si="265"/>
        <v>#DIV/0!</v>
      </c>
      <c r="CO82" s="50">
        <f t="shared" si="266"/>
        <v>0</v>
      </c>
      <c r="CP82" s="56" t="e">
        <f t="shared" si="267"/>
        <v>#DIV/0!</v>
      </c>
      <c r="CQ82" s="50">
        <f t="shared" si="268"/>
        <v>0</v>
      </c>
      <c r="CR82" s="50">
        <f t="shared" si="324"/>
        <v>0</v>
      </c>
      <c r="CS82" s="50">
        <f>IF($AN82="N","N",SUM('調查資料(OUT)'!Z88:Z91))</f>
        <v>0</v>
      </c>
      <c r="CT82" s="50">
        <f>IF($AN82="N","N",SUM('調查資料(OUT)'!AD88:AD91))</f>
        <v>0</v>
      </c>
      <c r="CU82" s="50">
        <f>IF($AN82="N","N",SUM('調查資料(OUT)'!AH88:AH91))</f>
        <v>0</v>
      </c>
      <c r="CV82" s="56" t="e">
        <f t="shared" si="325"/>
        <v>#DIV/0!</v>
      </c>
      <c r="CW82" s="50">
        <f t="shared" si="326"/>
        <v>0</v>
      </c>
      <c r="CX82" s="50">
        <f>IF($AN82="N","N",SUM('調查資料(OUT)'!AA88:AA91))</f>
        <v>0</v>
      </c>
      <c r="CY82" s="50">
        <f>IF($AN82="N","N",SUM('調查資料(OUT)'!AE88:AE91))</f>
        <v>0</v>
      </c>
      <c r="CZ82" s="50">
        <f>IF($AN82="N","N",SUM('調查資料(OUT)'!AI88:AI91))</f>
        <v>0</v>
      </c>
      <c r="DA82" s="56" t="e">
        <f t="shared" si="327"/>
        <v>#DIV/0!</v>
      </c>
      <c r="DB82" s="50">
        <f t="shared" si="328"/>
        <v>0</v>
      </c>
      <c r="DC82" s="50">
        <f>IF($AN82="N","N",SUM('調查資料(OUT)'!AB88:AB91))</f>
        <v>0</v>
      </c>
      <c r="DD82" s="50">
        <f>IF($AN82="N","N",SUM('調查資料(OUT)'!AF88:AF91))</f>
        <v>0</v>
      </c>
      <c r="DE82" s="50">
        <f>IF($AN82="N","N",SUM('調查資料(OUT)'!AJ88:AJ91))</f>
        <v>0</v>
      </c>
      <c r="DF82" s="56" t="e">
        <f t="shared" si="329"/>
        <v>#DIV/0!</v>
      </c>
      <c r="DG82" s="50">
        <f t="shared" si="330"/>
        <v>0</v>
      </c>
      <c r="DH82" s="50">
        <f>IF($AN82="N","N",SUM('調查資料(OUT)'!AC88:AC91))</f>
        <v>0</v>
      </c>
      <c r="DI82" s="50">
        <f>IF($AN82="N","N",SUM('調查資料(OUT)'!AG88:AG91))</f>
        <v>0</v>
      </c>
      <c r="DJ82" s="50">
        <f>IF($AN82="N","N",SUM('調查資料(OUT)'!AK88:AK91))</f>
        <v>0</v>
      </c>
      <c r="DK82" s="56" t="e">
        <f t="shared" si="331"/>
        <v>#DIV/0!</v>
      </c>
      <c r="DL82" s="50">
        <f t="shared" si="269"/>
        <v>0</v>
      </c>
      <c r="DM82" s="56" t="e">
        <f t="shared" si="270"/>
        <v>#DIV/0!</v>
      </c>
      <c r="DN82" s="50">
        <f t="shared" si="271"/>
        <v>0</v>
      </c>
      <c r="DO82" s="56" t="e">
        <f t="shared" si="272"/>
        <v>#DIV/0!</v>
      </c>
      <c r="DP82" s="50">
        <f t="shared" si="273"/>
        <v>0</v>
      </c>
      <c r="DQ82" s="56" t="e">
        <f t="shared" si="274"/>
        <v>#DIV/0!</v>
      </c>
      <c r="DR82" s="50">
        <f t="shared" si="275"/>
        <v>0</v>
      </c>
      <c r="DS82" s="50">
        <f t="shared" si="332"/>
        <v>0</v>
      </c>
      <c r="DT82" s="50">
        <f>IF($AN82="N","N",SUM('調查資料(OUT)'!AL88:AL91))</f>
        <v>0</v>
      </c>
      <c r="DU82" s="50">
        <f>IF($AN82="N","N",SUM('調查資料(OUT)'!AP88:AP91))</f>
        <v>0</v>
      </c>
      <c r="DV82" s="50">
        <f>IF($AN82="N","N",SUM('調查資料(OUT)'!AT88:AT91))</f>
        <v>0</v>
      </c>
      <c r="DW82" s="56" t="e">
        <f t="shared" si="333"/>
        <v>#DIV/0!</v>
      </c>
      <c r="DX82" s="50">
        <f t="shared" si="334"/>
        <v>0</v>
      </c>
      <c r="DY82" s="50">
        <f>IF($AN82="N","N",SUM('調查資料(OUT)'!AM88:AM91))</f>
        <v>0</v>
      </c>
      <c r="DZ82" s="50">
        <f>IF($AN82="N","N",SUM('調查資料(OUT)'!AQ88:AQ91))</f>
        <v>0</v>
      </c>
      <c r="EA82" s="50">
        <f>IF($AN82="N","N",SUM('調查資料(OUT)'!AU88:AU91))</f>
        <v>0</v>
      </c>
      <c r="EB82" s="56" t="e">
        <f t="shared" si="335"/>
        <v>#DIV/0!</v>
      </c>
      <c r="EC82" s="50">
        <f t="shared" si="336"/>
        <v>0</v>
      </c>
      <c r="ED82" s="50">
        <f>IF($AN82="N","N",SUM('調查資料(OUT)'!AN88:AN91))</f>
        <v>0</v>
      </c>
      <c r="EE82" s="50">
        <f>IF($AN82="N","N",SUM('調查資料(OUT)'!AR88:AR91))</f>
        <v>0</v>
      </c>
      <c r="EF82" s="50">
        <f>IF($AN82="N","N",SUM('調查資料(OUT)'!AV88:AV91))</f>
        <v>0</v>
      </c>
      <c r="EG82" s="56" t="e">
        <f t="shared" si="337"/>
        <v>#DIV/0!</v>
      </c>
      <c r="EH82" s="50">
        <f t="shared" si="338"/>
        <v>0</v>
      </c>
      <c r="EI82" s="50">
        <f>IF($AN82="N","N",SUM('調查資料(OUT)'!AO88:AO91))</f>
        <v>0</v>
      </c>
      <c r="EJ82" s="50">
        <f>IF($AN82="N","N",SUM('調查資料(OUT)'!AS88:AS91))</f>
        <v>0</v>
      </c>
      <c r="EK82" s="50">
        <f>IF($AN82="N","N",SUM('調查資料(OUT)'!AW88:AW91))</f>
        <v>0</v>
      </c>
      <c r="EL82" s="56" t="e">
        <f t="shared" si="339"/>
        <v>#DIV/0!</v>
      </c>
      <c r="EM82" s="50">
        <f t="shared" si="276"/>
        <v>0</v>
      </c>
      <c r="EN82" s="56" t="e">
        <f t="shared" si="277"/>
        <v>#DIV/0!</v>
      </c>
      <c r="EO82" s="50">
        <f t="shared" si="278"/>
        <v>0</v>
      </c>
      <c r="EP82" s="56" t="e">
        <f t="shared" si="279"/>
        <v>#DIV/0!</v>
      </c>
      <c r="EQ82" s="50">
        <f t="shared" si="280"/>
        <v>0</v>
      </c>
      <c r="ER82" s="56" t="e">
        <f t="shared" si="281"/>
        <v>#DIV/0!</v>
      </c>
      <c r="ES82" s="50">
        <f t="shared" si="282"/>
        <v>0</v>
      </c>
      <c r="ET82" s="50">
        <f t="shared" si="340"/>
        <v>0</v>
      </c>
      <c r="EU82" s="50">
        <f>IF($AN82="N","N",SUM('調查資料(OUT)'!AX88:AX91))</f>
        <v>0</v>
      </c>
      <c r="EV82" s="50">
        <f>IF($AN82="N","N",SUM('調查資料(OUT)'!BB88:BB91))</f>
        <v>0</v>
      </c>
      <c r="EW82" s="50">
        <f>IF($AN82="N","N",SUM('調查資料(OUT)'!BF88:BF91))</f>
        <v>0</v>
      </c>
      <c r="EX82" s="56" t="e">
        <f t="shared" si="341"/>
        <v>#DIV/0!</v>
      </c>
      <c r="EY82" s="50">
        <f t="shared" si="342"/>
        <v>0</v>
      </c>
      <c r="EZ82" s="50">
        <f>IF($AN82="N","N",SUM('調查資料(OUT)'!AY88:AY91))</f>
        <v>0</v>
      </c>
      <c r="FA82" s="50">
        <f>IF($AN82="N","N",SUM('調查資料(OUT)'!BC88:BC91))</f>
        <v>0</v>
      </c>
      <c r="FB82" s="50">
        <f>IF($AN82="N","N",SUM('調查資料(OUT)'!BG88:BG91))</f>
        <v>0</v>
      </c>
      <c r="FC82" s="56" t="e">
        <f t="shared" si="343"/>
        <v>#DIV/0!</v>
      </c>
      <c r="FD82" s="50">
        <f t="shared" si="344"/>
        <v>0</v>
      </c>
      <c r="FE82" s="50">
        <f>IF($AN82="N","N",SUM('調查資料(OUT)'!AZ88:AZ91))</f>
        <v>0</v>
      </c>
      <c r="FF82" s="50">
        <f>IF($AN82="N","N",SUM('調查資料(OUT)'!BD88:BD91))</f>
        <v>0</v>
      </c>
      <c r="FG82" s="50">
        <f>IF($AN82="N","N",SUM('調查資料(OUT)'!BH88:BH91))</f>
        <v>0</v>
      </c>
      <c r="FH82" s="56" t="e">
        <f t="shared" si="345"/>
        <v>#DIV/0!</v>
      </c>
      <c r="FI82" s="50">
        <f t="shared" si="346"/>
        <v>0</v>
      </c>
      <c r="FJ82" s="50">
        <f>IF($AN82="N","N",SUM('調查資料(OUT)'!BA88:BA91))</f>
        <v>0</v>
      </c>
      <c r="FK82" s="50">
        <f>IF($AN82="N","N",SUM('調查資料(OUT)'!BE88:BE91))</f>
        <v>0</v>
      </c>
      <c r="FL82" s="50">
        <f>IF($AN82="N","N",SUM('調查資料(OUT)'!BI88:BI91))</f>
        <v>0</v>
      </c>
      <c r="FM82" s="56" t="e">
        <f t="shared" si="347"/>
        <v>#DIV/0!</v>
      </c>
      <c r="FN82" s="50">
        <f t="shared" si="246"/>
        <v>0</v>
      </c>
      <c r="FO82" s="56" t="e">
        <f t="shared" si="247"/>
        <v>#DIV/0!</v>
      </c>
      <c r="FP82" s="50">
        <f t="shared" si="248"/>
        <v>0</v>
      </c>
      <c r="FQ82" s="56" t="e">
        <f t="shared" si="249"/>
        <v>#DIV/0!</v>
      </c>
      <c r="FR82" s="50">
        <f t="shared" si="250"/>
        <v>0</v>
      </c>
      <c r="FS82" s="56" t="e">
        <f t="shared" si="251"/>
        <v>#DIV/0!</v>
      </c>
      <c r="FT82" s="50">
        <f t="shared" si="252"/>
        <v>0</v>
      </c>
    </row>
    <row r="83" spans="1:176">
      <c r="A83" s="274">
        <f>'調查資料(OUT)'!A89</f>
        <v>1930</v>
      </c>
      <c r="B83" s="50">
        <f t="shared" si="238"/>
        <v>0</v>
      </c>
      <c r="C83" s="50">
        <f>IFERROR('調查資料(OUT)'!$B$1*'調查資料(OUT)'!B89,0)+IFERROR('調查資料(OUT)'!$F$1*'調查資料(OUT)'!F89,0)+IFERROR('調查資料(OUT)'!$J$1*'調查資料(OUT)'!J89,0)</f>
        <v>0</v>
      </c>
      <c r="D83" s="50">
        <f>IFERROR('調查資料(OUT)'!$C$1*'調查資料(OUT)'!C89,0)+IFERROR('調查資料(OUT)'!$G$1*'調查資料(OUT)'!G89,0)+IFERROR('調查資料(OUT)'!$K$1*'調查資料(OUT)'!K89,0)</f>
        <v>0</v>
      </c>
      <c r="E83" s="50">
        <f>IFERROR('調查資料(OUT)'!$D$1*'調查資料(OUT)'!D89,0)+IFERROR('調查資料(OUT)'!$H$1*'調查資料(OUT)'!H89,0)+IFERROR('調查資料(OUT)'!$L$1*'調查資料(OUT)'!L89,0)</f>
        <v>0</v>
      </c>
      <c r="F83" s="252">
        <f>IFERROR('調查資料(OUT)'!$E$1*'調查資料(OUT)'!E89,0)+IFERROR('調查資料(OUT)'!$I$1*'調查資料(OUT)'!I89,0)+IFERROR('調查資料(OUT)'!$M$1*'調查資料(OUT)'!M89,0)</f>
        <v>0</v>
      </c>
      <c r="G83" s="50">
        <f t="shared" si="239"/>
        <v>0</v>
      </c>
      <c r="H83" s="50">
        <f>IFERROR('調查資料(OUT)'!$N$1*'調查資料(OUT)'!N89,0)+IFERROR('調查資料(OUT)'!$R$1*'調查資料(OUT)'!R89,0)+IFERROR('調查資料(OUT)'!$V$1*'調查資料(OUT)'!V89,0)</f>
        <v>0</v>
      </c>
      <c r="I83" s="50">
        <f>IFERROR('調查資料(OUT)'!$O$1*'調查資料(OUT)'!O89,0)+IFERROR('調查資料(OUT)'!$S$1*'調查資料(OUT)'!S89,0)+IFERROR('調查資料(OUT)'!$W$1*'調查資料(OUT)'!W89,0)</f>
        <v>0</v>
      </c>
      <c r="J83" s="50">
        <f>IFERROR('調查資料(OUT)'!$P$1*'調查資料(OUT)'!P89,0)+IFERROR('調查資料(OUT)'!$T$1*'調查資料(OUT)'!T89,0)+IFERROR('調查資料(OUT)'!$X$1*'調查資料(OUT)'!X89,0)</f>
        <v>0</v>
      </c>
      <c r="K83" s="252">
        <f>IFERROR('調查資料(OUT)'!$Q$1*'調查資料(OUT)'!Q89,0)+IFERROR('調查資料(OUT)'!$U$1*'調查資料(OUT)'!U89,0)+IFERROR('調查資料(OUT)'!$Y$1*'調查資料(OUT)'!Y89,0)</f>
        <v>0</v>
      </c>
      <c r="L83" s="50">
        <f t="shared" si="240"/>
        <v>0</v>
      </c>
      <c r="M83" s="50">
        <f>IFERROR('調查資料(OUT)'!$Z$1*'調查資料(OUT)'!Z89,0)+IFERROR('調查資料(OUT)'!$AD$1*'調查資料(OUT)'!AD89,0)+IFERROR('調查資料(OUT)'!$AH$1*'調查資料(OUT)'!AH89,0)</f>
        <v>0</v>
      </c>
      <c r="N83" s="50">
        <f>IFERROR('調查資料(OUT)'!$AA$1*'調查資料(OUT)'!AA89,0)+IFERROR('調查資料(OUT)'!$AE$1*'調查資料(OUT)'!AE89,0)+IFERROR('調查資料(OUT)'!$AI$1*'調查資料(OUT)'!AI89,0)</f>
        <v>0</v>
      </c>
      <c r="O83" s="50">
        <f>IFERROR('調查資料(OUT)'!$AB$1*'調查資料(OUT)'!AB89,0)+IFERROR('調查資料(OUT)'!$AF$1*'調查資料(OUT)'!AF89,0)+IFERROR('調查資料(OUT)'!$AJ$1*'調查資料(OUT)'!AJ89,0)</f>
        <v>0</v>
      </c>
      <c r="P83" s="252">
        <f>IFERROR('調查資料(OUT)'!$AC$1*'調查資料(OUT)'!AC89,0)+IFERROR('調查資料(OUT)'!$AG$1*'調查資料(OUT)'!AG89,0)+IFERROR('調查資料(OUT)'!$AK$1*'調查資料(OUT)'!AK89,0)</f>
        <v>0</v>
      </c>
      <c r="Q83" s="50">
        <f t="shared" si="241"/>
        <v>0</v>
      </c>
      <c r="R83" s="50">
        <f>IFERROR('調查資料(OUT)'!$AL$1*'調查資料(OUT)'!AL89,0)+IFERROR('調查資料(OUT)'!$AP$1*'調查資料(OUT)'!AP89,0)+IFERROR('調查資料(OUT)'!$AT$1*'調查資料(OUT)'!AT89,0)</f>
        <v>0</v>
      </c>
      <c r="S83" s="50">
        <f>IFERROR('調查資料(OUT)'!$AM$1*'調查資料(OUT)'!AM89,0)+IFERROR('調查資料(OUT)'!$AQ$1*'調查資料(OUT)'!AQ89,0)+IFERROR('調查資料(OUT)'!$AU$1*'調查資料(OUT)'!AU89,0)</f>
        <v>0</v>
      </c>
      <c r="T83" s="50">
        <f>IFERROR('調查資料(OUT)'!$AN$1*'調查資料(OUT)'!AN89,0)+IFERROR('調查資料(OUT)'!$AR$1*'調查資料(OUT)'!AR89,0)+IFERROR('調查資料(OUT)'!$AV$1*'調查資料(OUT)'!AV89,0)</f>
        <v>0</v>
      </c>
      <c r="U83" s="252">
        <f>IFERROR('調查資料(OUT)'!$AO$1*'調查資料(OUT)'!AO89,0)+IFERROR('調查資料(OUT)'!$AS$1*'調查資料(OUT)'!AS89,0)+IFERROR('調查資料(OUT)'!$AW$1*'調查資料(OUT)'!AW89,0)</f>
        <v>0</v>
      </c>
      <c r="V83" s="50">
        <f t="shared" si="242"/>
        <v>0</v>
      </c>
      <c r="W83" s="50">
        <f>IFERROR('調查資料(OUT)'!$AX$1*'調查資料(OUT)'!AX89,0)+IFERROR('調查資料(OUT)'!$BB$1*'調查資料(OUT)'!BB89,0)+IFERROR('調查資料(OUT)'!$BF$1*'調查資料(OUT)'!BF89,0)</f>
        <v>0</v>
      </c>
      <c r="X83" s="50">
        <f>IFERROR('調查資料(OUT)'!$AY$1*'調查資料(OUT)'!AY89,0)+IFERROR('調查資料(OUT)'!$BC$1*'調查資料(OUT)'!BC89,0)+IFERROR('調查資料(OUT)'!$BG$1*'調查資料(OUT)'!BG89,0)</f>
        <v>0</v>
      </c>
      <c r="Y83" s="50">
        <f>IFERROR('調查資料(OUT)'!$AZ$1*'調查資料(OUT)'!AZ89,0)+IFERROR('調查資料(OUT)'!$BD$1*'調查資料(OUT)'!BD89,0)+IFERROR('調查資料(OUT)'!$BH$1*'調查資料(OUT)'!BH89,0)</f>
        <v>0</v>
      </c>
      <c r="Z83" s="252">
        <f>IFERROR('調查資料(OUT)'!$BA$1*'調查資料(OUT)'!BA89,0)+IFERROR('調查資料(OUT)'!$BE$1*'調查資料(OUT)'!BE89,0)+IFERROR('調查資料(OUT)'!$BI$1*'調查資料(OUT)'!BI89,0)</f>
        <v>0</v>
      </c>
      <c r="AA83" s="253">
        <f t="shared" si="243"/>
        <v>0</v>
      </c>
      <c r="AC83" s="251">
        <f>'調查資料(OUT)'!A89</f>
        <v>1930</v>
      </c>
      <c r="AD83" s="254">
        <f t="shared" si="244"/>
        <v>2030</v>
      </c>
      <c r="AE83" s="50">
        <f t="shared" si="254"/>
        <v>0</v>
      </c>
      <c r="AG83" s="50">
        <f t="shared" si="364"/>
        <v>0</v>
      </c>
      <c r="AH83" s="256" t="e">
        <f t="shared" ref="AH83:AH97" si="371">IF($AE83=AF$69,SUM(B83:B86)/(4*(MAX(B83:B86))),0)</f>
        <v>#DIV/0!</v>
      </c>
      <c r="AI83" s="256" t="e">
        <f t="shared" si="365"/>
        <v>#DIV/0!</v>
      </c>
      <c r="AJ83" s="256" t="e">
        <f t="shared" si="366"/>
        <v>#DIV/0!</v>
      </c>
      <c r="AK83" s="256" t="e">
        <f t="shared" si="367"/>
        <v>#DIV/0!</v>
      </c>
      <c r="AL83" s="256" t="e">
        <f t="shared" si="368"/>
        <v>#DIV/0!</v>
      </c>
      <c r="AN83" s="50">
        <f t="shared" si="369"/>
        <v>1930</v>
      </c>
      <c r="AO83" s="252">
        <f t="shared" si="370"/>
        <v>2030</v>
      </c>
      <c r="AP83" s="50">
        <f t="shared" si="245"/>
        <v>0</v>
      </c>
      <c r="AQ83" s="50">
        <f>IF($AN83="N","N",SUM('調查資料(OUT)'!B89:B92))</f>
        <v>0</v>
      </c>
      <c r="AR83" s="50">
        <f>IF($AN83="N","N",SUM('調查資料(OUT)'!F89:F92))</f>
        <v>0</v>
      </c>
      <c r="AS83" s="50">
        <f>IF($AN83="N","N",SUM('調查資料(OUT)'!J89:J92))</f>
        <v>0</v>
      </c>
      <c r="AT83" s="56" t="e">
        <f t="shared" si="309"/>
        <v>#DIV/0!</v>
      </c>
      <c r="AU83" s="50">
        <f t="shared" si="310"/>
        <v>0</v>
      </c>
      <c r="AV83" s="50">
        <f>IF($AN83="N","N",SUM('調查資料(OUT)'!C89:C92))</f>
        <v>0</v>
      </c>
      <c r="AW83" s="50">
        <f>IF($AN83="N","N",SUM('調查資料(OUT)'!G89:G92))</f>
        <v>0</v>
      </c>
      <c r="AX83" s="50">
        <f>IF($AN83="N","N",SUM('調查資料(OUT)'!K89:K92))</f>
        <v>0</v>
      </c>
      <c r="AY83" s="56" t="e">
        <f t="shared" si="311"/>
        <v>#DIV/0!</v>
      </c>
      <c r="AZ83" s="50">
        <f t="shared" si="312"/>
        <v>0</v>
      </c>
      <c r="BA83" s="50">
        <f>IF($AN83="N","N",SUM('調查資料(OUT)'!D89:D92))</f>
        <v>0</v>
      </c>
      <c r="BB83" s="50">
        <f>IF($AN83="N","N",SUM('調查資料(OUT)'!H89:H92))</f>
        <v>0</v>
      </c>
      <c r="BC83" s="50">
        <f>IF($AN83="N","N",SUM('調查資料(OUT)'!L89:L92))</f>
        <v>0</v>
      </c>
      <c r="BD83" s="56" t="e">
        <f t="shared" si="313"/>
        <v>#DIV/0!</v>
      </c>
      <c r="BE83" s="50">
        <f t="shared" si="314"/>
        <v>0</v>
      </c>
      <c r="BF83" s="50">
        <f>IF($AN83="N","N",SUM('調查資料(OUT)'!E89:E92))</f>
        <v>0</v>
      </c>
      <c r="BG83" s="50">
        <f>IF($AN83="N","N",SUM('調查資料(OUT)'!I89:I92))</f>
        <v>0</v>
      </c>
      <c r="BH83" s="50">
        <f>IF($AN83="N","N",SUM('調查資料(OUT)'!M89:M92))</f>
        <v>0</v>
      </c>
      <c r="BI83" s="56" t="e">
        <f t="shared" si="315"/>
        <v>#DIV/0!</v>
      </c>
      <c r="BJ83" s="50">
        <f t="shared" si="255"/>
        <v>0</v>
      </c>
      <c r="BK83" s="56" t="e">
        <f t="shared" si="256"/>
        <v>#DIV/0!</v>
      </c>
      <c r="BL83" s="50">
        <f t="shared" si="257"/>
        <v>0</v>
      </c>
      <c r="BM83" s="56" t="e">
        <f t="shared" si="258"/>
        <v>#DIV/0!</v>
      </c>
      <c r="BN83" s="50">
        <f t="shared" si="259"/>
        <v>0</v>
      </c>
      <c r="BO83" s="56" t="e">
        <f t="shared" si="260"/>
        <v>#DIV/0!</v>
      </c>
      <c r="BP83" s="50">
        <f t="shared" si="261"/>
        <v>0</v>
      </c>
      <c r="BQ83" s="50">
        <f t="shared" si="316"/>
        <v>0</v>
      </c>
      <c r="BR83" s="50">
        <f>IF($AN83="N","N",SUM('調查資料(OUT)'!N89:N92))</f>
        <v>0</v>
      </c>
      <c r="BS83" s="50">
        <f>IF($AN83="N","N",SUM('調查資料(OUT)'!R89:R92))</f>
        <v>0</v>
      </c>
      <c r="BT83" s="50">
        <f>IF($AN83="N","N",SUM('調查資料(OUT)'!V89:V92))</f>
        <v>0</v>
      </c>
      <c r="BU83" s="56" t="e">
        <f t="shared" si="317"/>
        <v>#DIV/0!</v>
      </c>
      <c r="BV83" s="50">
        <f t="shared" si="318"/>
        <v>0</v>
      </c>
      <c r="BW83" s="50">
        <f>IF($AN83="N","N",SUM('調查資料(OUT)'!O89:O92))</f>
        <v>0</v>
      </c>
      <c r="BX83" s="50">
        <f>IF($AN83="N","N",SUM('調查資料(OUT)'!S89:S92))</f>
        <v>0</v>
      </c>
      <c r="BY83" s="50">
        <f>IF($AN83="N","N",SUM('調查資料(OUT)'!W89:W92))</f>
        <v>0</v>
      </c>
      <c r="BZ83" s="56" t="e">
        <f t="shared" si="319"/>
        <v>#DIV/0!</v>
      </c>
      <c r="CA83" s="50">
        <f t="shared" si="320"/>
        <v>0</v>
      </c>
      <c r="CB83" s="50">
        <f>IF($AN83="N","N",SUM('調查資料(OUT)'!P89:P92))</f>
        <v>0</v>
      </c>
      <c r="CC83" s="50">
        <f>IF($AN83="N","N",SUM('調查資料(OUT)'!T89:T92))</f>
        <v>0</v>
      </c>
      <c r="CD83" s="50">
        <f>IF($AN83="N","N",SUM('調查資料(OUT)'!X89:X92))</f>
        <v>0</v>
      </c>
      <c r="CE83" s="56" t="e">
        <f t="shared" si="321"/>
        <v>#DIV/0!</v>
      </c>
      <c r="CF83" s="50">
        <f t="shared" si="322"/>
        <v>0</v>
      </c>
      <c r="CG83" s="50">
        <f>IF($AN83="N","N",SUM('調查資料(OUT)'!Q89:Q92))</f>
        <v>0</v>
      </c>
      <c r="CH83" s="50">
        <f>IF($AN83="N","N",SUM('調查資料(OUT)'!U89:U92))</f>
        <v>0</v>
      </c>
      <c r="CI83" s="50">
        <f>IF($AN83="N","N",SUM('調查資料(OUT)'!Y89:Y92))</f>
        <v>0</v>
      </c>
      <c r="CJ83" s="56" t="e">
        <f t="shared" si="323"/>
        <v>#DIV/0!</v>
      </c>
      <c r="CK83" s="50">
        <f t="shared" si="262"/>
        <v>0</v>
      </c>
      <c r="CL83" s="56" t="e">
        <f t="shared" si="263"/>
        <v>#DIV/0!</v>
      </c>
      <c r="CM83" s="50">
        <f t="shared" si="264"/>
        <v>0</v>
      </c>
      <c r="CN83" s="56" t="e">
        <f t="shared" si="265"/>
        <v>#DIV/0!</v>
      </c>
      <c r="CO83" s="50">
        <f t="shared" si="266"/>
        <v>0</v>
      </c>
      <c r="CP83" s="56" t="e">
        <f t="shared" si="267"/>
        <v>#DIV/0!</v>
      </c>
      <c r="CQ83" s="50">
        <f t="shared" si="268"/>
        <v>0</v>
      </c>
      <c r="CR83" s="50">
        <f t="shared" si="324"/>
        <v>0</v>
      </c>
      <c r="CS83" s="50">
        <f>IF($AN83="N","N",SUM('調查資料(OUT)'!Z89:Z92))</f>
        <v>0</v>
      </c>
      <c r="CT83" s="50">
        <f>IF($AN83="N","N",SUM('調查資料(OUT)'!AD89:AD92))</f>
        <v>0</v>
      </c>
      <c r="CU83" s="50">
        <f>IF($AN83="N","N",SUM('調查資料(OUT)'!AH89:AH92))</f>
        <v>0</v>
      </c>
      <c r="CV83" s="56" t="e">
        <f t="shared" si="325"/>
        <v>#DIV/0!</v>
      </c>
      <c r="CW83" s="50">
        <f t="shared" si="326"/>
        <v>0</v>
      </c>
      <c r="CX83" s="50">
        <f>IF($AN83="N","N",SUM('調查資料(OUT)'!AA89:AA92))</f>
        <v>0</v>
      </c>
      <c r="CY83" s="50">
        <f>IF($AN83="N","N",SUM('調查資料(OUT)'!AE89:AE92))</f>
        <v>0</v>
      </c>
      <c r="CZ83" s="50">
        <f>IF($AN83="N","N",SUM('調查資料(OUT)'!AI89:AI92))</f>
        <v>0</v>
      </c>
      <c r="DA83" s="56" t="e">
        <f t="shared" si="327"/>
        <v>#DIV/0!</v>
      </c>
      <c r="DB83" s="50">
        <f t="shared" si="328"/>
        <v>0</v>
      </c>
      <c r="DC83" s="50">
        <f>IF($AN83="N","N",SUM('調查資料(OUT)'!AB89:AB92))</f>
        <v>0</v>
      </c>
      <c r="DD83" s="50">
        <f>IF($AN83="N","N",SUM('調查資料(OUT)'!AF89:AF92))</f>
        <v>0</v>
      </c>
      <c r="DE83" s="50">
        <f>IF($AN83="N","N",SUM('調查資料(OUT)'!AJ89:AJ92))</f>
        <v>0</v>
      </c>
      <c r="DF83" s="56" t="e">
        <f t="shared" si="329"/>
        <v>#DIV/0!</v>
      </c>
      <c r="DG83" s="50">
        <f t="shared" si="330"/>
        <v>0</v>
      </c>
      <c r="DH83" s="50">
        <f>IF($AN83="N","N",SUM('調查資料(OUT)'!AC89:AC92))</f>
        <v>0</v>
      </c>
      <c r="DI83" s="50">
        <f>IF($AN83="N","N",SUM('調查資料(OUT)'!AG89:AG92))</f>
        <v>0</v>
      </c>
      <c r="DJ83" s="50">
        <f>IF($AN83="N","N",SUM('調查資料(OUT)'!AK89:AK92))</f>
        <v>0</v>
      </c>
      <c r="DK83" s="56" t="e">
        <f t="shared" si="331"/>
        <v>#DIV/0!</v>
      </c>
      <c r="DL83" s="50">
        <f t="shared" si="269"/>
        <v>0</v>
      </c>
      <c r="DM83" s="56" t="e">
        <f t="shared" si="270"/>
        <v>#DIV/0!</v>
      </c>
      <c r="DN83" s="50">
        <f t="shared" si="271"/>
        <v>0</v>
      </c>
      <c r="DO83" s="56" t="e">
        <f t="shared" si="272"/>
        <v>#DIV/0!</v>
      </c>
      <c r="DP83" s="50">
        <f t="shared" si="273"/>
        <v>0</v>
      </c>
      <c r="DQ83" s="56" t="e">
        <f t="shared" si="274"/>
        <v>#DIV/0!</v>
      </c>
      <c r="DR83" s="50">
        <f t="shared" si="275"/>
        <v>0</v>
      </c>
      <c r="DS83" s="50">
        <f t="shared" si="332"/>
        <v>0</v>
      </c>
      <c r="DT83" s="50">
        <f>IF($AN83="N","N",SUM('調查資料(OUT)'!AL89:AL92))</f>
        <v>0</v>
      </c>
      <c r="DU83" s="50">
        <f>IF($AN83="N","N",SUM('調查資料(OUT)'!AP89:AP92))</f>
        <v>0</v>
      </c>
      <c r="DV83" s="50">
        <f>IF($AN83="N","N",SUM('調查資料(OUT)'!AT89:AT92))</f>
        <v>0</v>
      </c>
      <c r="DW83" s="56" t="e">
        <f t="shared" si="333"/>
        <v>#DIV/0!</v>
      </c>
      <c r="DX83" s="50">
        <f t="shared" si="334"/>
        <v>0</v>
      </c>
      <c r="DY83" s="50">
        <f>IF($AN83="N","N",SUM('調查資料(OUT)'!AM89:AM92))</f>
        <v>0</v>
      </c>
      <c r="DZ83" s="50">
        <f>IF($AN83="N","N",SUM('調查資料(OUT)'!AQ89:AQ92))</f>
        <v>0</v>
      </c>
      <c r="EA83" s="50">
        <f>IF($AN83="N","N",SUM('調查資料(OUT)'!AU89:AU92))</f>
        <v>0</v>
      </c>
      <c r="EB83" s="56" t="e">
        <f t="shared" si="335"/>
        <v>#DIV/0!</v>
      </c>
      <c r="EC83" s="50">
        <f t="shared" si="336"/>
        <v>0</v>
      </c>
      <c r="ED83" s="50">
        <f>IF($AN83="N","N",SUM('調查資料(OUT)'!AN89:AN92))</f>
        <v>0</v>
      </c>
      <c r="EE83" s="50">
        <f>IF($AN83="N","N",SUM('調查資料(OUT)'!AR89:AR92))</f>
        <v>0</v>
      </c>
      <c r="EF83" s="50">
        <f>IF($AN83="N","N",SUM('調查資料(OUT)'!AV89:AV92))</f>
        <v>0</v>
      </c>
      <c r="EG83" s="56" t="e">
        <f t="shared" si="337"/>
        <v>#DIV/0!</v>
      </c>
      <c r="EH83" s="50">
        <f t="shared" si="338"/>
        <v>0</v>
      </c>
      <c r="EI83" s="50">
        <f>IF($AN83="N","N",SUM('調查資料(OUT)'!AO89:AO92))</f>
        <v>0</v>
      </c>
      <c r="EJ83" s="50">
        <f>IF($AN83="N","N",SUM('調查資料(OUT)'!AS89:AS92))</f>
        <v>0</v>
      </c>
      <c r="EK83" s="50">
        <f>IF($AN83="N","N",SUM('調查資料(OUT)'!AW89:AW92))</f>
        <v>0</v>
      </c>
      <c r="EL83" s="56" t="e">
        <f t="shared" si="339"/>
        <v>#DIV/0!</v>
      </c>
      <c r="EM83" s="50">
        <f t="shared" si="276"/>
        <v>0</v>
      </c>
      <c r="EN83" s="56" t="e">
        <f t="shared" si="277"/>
        <v>#DIV/0!</v>
      </c>
      <c r="EO83" s="50">
        <f t="shared" si="278"/>
        <v>0</v>
      </c>
      <c r="EP83" s="56" t="e">
        <f t="shared" si="279"/>
        <v>#DIV/0!</v>
      </c>
      <c r="EQ83" s="50">
        <f t="shared" si="280"/>
        <v>0</v>
      </c>
      <c r="ER83" s="56" t="e">
        <f t="shared" si="281"/>
        <v>#DIV/0!</v>
      </c>
      <c r="ES83" s="50">
        <f t="shared" si="282"/>
        <v>0</v>
      </c>
      <c r="ET83" s="50">
        <f t="shared" si="340"/>
        <v>0</v>
      </c>
      <c r="EU83" s="50">
        <f>IF($AN83="N","N",SUM('調查資料(OUT)'!AX89:AX92))</f>
        <v>0</v>
      </c>
      <c r="EV83" s="50">
        <f>IF($AN83="N","N",SUM('調查資料(OUT)'!BB89:BB92))</f>
        <v>0</v>
      </c>
      <c r="EW83" s="50">
        <f>IF($AN83="N","N",SUM('調查資料(OUT)'!BF89:BF92))</f>
        <v>0</v>
      </c>
      <c r="EX83" s="56" t="e">
        <f t="shared" si="341"/>
        <v>#DIV/0!</v>
      </c>
      <c r="EY83" s="50">
        <f t="shared" si="342"/>
        <v>0</v>
      </c>
      <c r="EZ83" s="50">
        <f>IF($AN83="N","N",SUM('調查資料(OUT)'!AY89:AY92))</f>
        <v>0</v>
      </c>
      <c r="FA83" s="50">
        <f>IF($AN83="N","N",SUM('調查資料(OUT)'!BC89:BC92))</f>
        <v>0</v>
      </c>
      <c r="FB83" s="50">
        <f>IF($AN83="N","N",SUM('調查資料(OUT)'!BG89:BG92))</f>
        <v>0</v>
      </c>
      <c r="FC83" s="56" t="e">
        <f t="shared" si="343"/>
        <v>#DIV/0!</v>
      </c>
      <c r="FD83" s="50">
        <f t="shared" si="344"/>
        <v>0</v>
      </c>
      <c r="FE83" s="50">
        <f>IF($AN83="N","N",SUM('調查資料(OUT)'!AZ89:AZ92))</f>
        <v>0</v>
      </c>
      <c r="FF83" s="50">
        <f>IF($AN83="N","N",SUM('調查資料(OUT)'!BD89:BD92))</f>
        <v>0</v>
      </c>
      <c r="FG83" s="50">
        <f>IF($AN83="N","N",SUM('調查資料(OUT)'!BH89:BH92))</f>
        <v>0</v>
      </c>
      <c r="FH83" s="56" t="e">
        <f t="shared" si="345"/>
        <v>#DIV/0!</v>
      </c>
      <c r="FI83" s="50">
        <f t="shared" si="346"/>
        <v>0</v>
      </c>
      <c r="FJ83" s="50">
        <f>IF($AN83="N","N",SUM('調查資料(OUT)'!BA89:BA92))</f>
        <v>0</v>
      </c>
      <c r="FK83" s="50">
        <f>IF($AN83="N","N",SUM('調查資料(OUT)'!BE89:BE92))</f>
        <v>0</v>
      </c>
      <c r="FL83" s="50">
        <f>IF($AN83="N","N",SUM('調查資料(OUT)'!BI89:BI92))</f>
        <v>0</v>
      </c>
      <c r="FM83" s="56" t="e">
        <f t="shared" si="347"/>
        <v>#DIV/0!</v>
      </c>
      <c r="FN83" s="50">
        <f t="shared" si="246"/>
        <v>0</v>
      </c>
      <c r="FO83" s="56" t="e">
        <f t="shared" si="247"/>
        <v>#DIV/0!</v>
      </c>
      <c r="FP83" s="50">
        <f t="shared" si="248"/>
        <v>0</v>
      </c>
      <c r="FQ83" s="56" t="e">
        <f t="shared" si="249"/>
        <v>#DIV/0!</v>
      </c>
      <c r="FR83" s="50">
        <f t="shared" si="250"/>
        <v>0</v>
      </c>
      <c r="FS83" s="56" t="e">
        <f t="shared" si="251"/>
        <v>#DIV/0!</v>
      </c>
      <c r="FT83" s="50">
        <f t="shared" si="252"/>
        <v>0</v>
      </c>
    </row>
    <row r="84" spans="1:176">
      <c r="A84" s="274">
        <f>'調查資料(OUT)'!A90</f>
        <v>1945</v>
      </c>
      <c r="B84" s="50">
        <f t="shared" si="238"/>
        <v>0</v>
      </c>
      <c r="C84" s="50">
        <f>IFERROR('調查資料(OUT)'!$B$1*'調查資料(OUT)'!B90,0)+IFERROR('調查資料(OUT)'!$F$1*'調查資料(OUT)'!F90,0)+IFERROR('調查資料(OUT)'!$J$1*'調查資料(OUT)'!J90,0)</f>
        <v>0</v>
      </c>
      <c r="D84" s="50">
        <f>IFERROR('調查資料(OUT)'!$C$1*'調查資料(OUT)'!C90,0)+IFERROR('調查資料(OUT)'!$G$1*'調查資料(OUT)'!G90,0)+IFERROR('調查資料(OUT)'!$K$1*'調查資料(OUT)'!K90,0)</f>
        <v>0</v>
      </c>
      <c r="E84" s="50">
        <f>IFERROR('調查資料(OUT)'!$D$1*'調查資料(OUT)'!D90,0)+IFERROR('調查資料(OUT)'!$H$1*'調查資料(OUT)'!H90,0)+IFERROR('調查資料(OUT)'!$L$1*'調查資料(OUT)'!L90,0)</f>
        <v>0</v>
      </c>
      <c r="F84" s="252">
        <f>IFERROR('調查資料(OUT)'!$E$1*'調查資料(OUT)'!E90,0)+IFERROR('調查資料(OUT)'!$I$1*'調查資料(OUT)'!I90,0)+IFERROR('調查資料(OUT)'!$M$1*'調查資料(OUT)'!M90,0)</f>
        <v>0</v>
      </c>
      <c r="G84" s="50">
        <f t="shared" si="239"/>
        <v>0</v>
      </c>
      <c r="H84" s="50">
        <f>IFERROR('調查資料(OUT)'!$N$1*'調查資料(OUT)'!N90,0)+IFERROR('調查資料(OUT)'!$R$1*'調查資料(OUT)'!R90,0)+IFERROR('調查資料(OUT)'!$V$1*'調查資料(OUT)'!V90,0)</f>
        <v>0</v>
      </c>
      <c r="I84" s="50">
        <f>IFERROR('調查資料(OUT)'!$O$1*'調查資料(OUT)'!O90,0)+IFERROR('調查資料(OUT)'!$S$1*'調查資料(OUT)'!S90,0)+IFERROR('調查資料(OUT)'!$W$1*'調查資料(OUT)'!W90,0)</f>
        <v>0</v>
      </c>
      <c r="J84" s="50">
        <f>IFERROR('調查資料(OUT)'!$P$1*'調查資料(OUT)'!P90,0)+IFERROR('調查資料(OUT)'!$T$1*'調查資料(OUT)'!T90,0)+IFERROR('調查資料(OUT)'!$X$1*'調查資料(OUT)'!X90,0)</f>
        <v>0</v>
      </c>
      <c r="K84" s="252">
        <f>IFERROR('調查資料(OUT)'!$Q$1*'調查資料(OUT)'!Q90,0)+IFERROR('調查資料(OUT)'!$U$1*'調查資料(OUT)'!U90,0)+IFERROR('調查資料(OUT)'!$Y$1*'調查資料(OUT)'!Y90,0)</f>
        <v>0</v>
      </c>
      <c r="L84" s="50">
        <f t="shared" si="240"/>
        <v>0</v>
      </c>
      <c r="M84" s="50">
        <f>IFERROR('調查資料(OUT)'!$Z$1*'調查資料(OUT)'!Z90,0)+IFERROR('調查資料(OUT)'!$AD$1*'調查資料(OUT)'!AD90,0)+IFERROR('調查資料(OUT)'!$AH$1*'調查資料(OUT)'!AH90,0)</f>
        <v>0</v>
      </c>
      <c r="N84" s="50">
        <f>IFERROR('調查資料(OUT)'!$AA$1*'調查資料(OUT)'!AA90,0)+IFERROR('調查資料(OUT)'!$AE$1*'調查資料(OUT)'!AE90,0)+IFERROR('調查資料(OUT)'!$AI$1*'調查資料(OUT)'!AI90,0)</f>
        <v>0</v>
      </c>
      <c r="O84" s="50">
        <f>IFERROR('調查資料(OUT)'!$AB$1*'調查資料(OUT)'!AB90,0)+IFERROR('調查資料(OUT)'!$AF$1*'調查資料(OUT)'!AF90,0)+IFERROR('調查資料(OUT)'!$AJ$1*'調查資料(OUT)'!AJ90,0)</f>
        <v>0</v>
      </c>
      <c r="P84" s="252">
        <f>IFERROR('調查資料(OUT)'!$AC$1*'調查資料(OUT)'!AC90,0)+IFERROR('調查資料(OUT)'!$AG$1*'調查資料(OUT)'!AG90,0)+IFERROR('調查資料(OUT)'!$AK$1*'調查資料(OUT)'!AK90,0)</f>
        <v>0</v>
      </c>
      <c r="Q84" s="50">
        <f t="shared" si="241"/>
        <v>0</v>
      </c>
      <c r="R84" s="50">
        <f>IFERROR('調查資料(OUT)'!$AL$1*'調查資料(OUT)'!AL90,0)+IFERROR('調查資料(OUT)'!$AP$1*'調查資料(OUT)'!AP90,0)+IFERROR('調查資料(OUT)'!$AT$1*'調查資料(OUT)'!AT90,0)</f>
        <v>0</v>
      </c>
      <c r="S84" s="50">
        <f>IFERROR('調查資料(OUT)'!$AM$1*'調查資料(OUT)'!AM90,0)+IFERROR('調查資料(OUT)'!$AQ$1*'調查資料(OUT)'!AQ90,0)+IFERROR('調查資料(OUT)'!$AU$1*'調查資料(OUT)'!AU90,0)</f>
        <v>0</v>
      </c>
      <c r="T84" s="50">
        <f>IFERROR('調查資料(OUT)'!$AN$1*'調查資料(OUT)'!AN90,0)+IFERROR('調查資料(OUT)'!$AR$1*'調查資料(OUT)'!AR90,0)+IFERROR('調查資料(OUT)'!$AV$1*'調查資料(OUT)'!AV90,0)</f>
        <v>0</v>
      </c>
      <c r="U84" s="252">
        <f>IFERROR('調查資料(OUT)'!$AO$1*'調查資料(OUT)'!AO90,0)+IFERROR('調查資料(OUT)'!$AS$1*'調查資料(OUT)'!AS90,0)+IFERROR('調查資料(OUT)'!$AW$1*'調查資料(OUT)'!AW90,0)</f>
        <v>0</v>
      </c>
      <c r="V84" s="50">
        <f t="shared" si="242"/>
        <v>0</v>
      </c>
      <c r="W84" s="50">
        <f>IFERROR('調查資料(OUT)'!$AX$1*'調查資料(OUT)'!AX90,0)+IFERROR('調查資料(OUT)'!$BB$1*'調查資料(OUT)'!BB90,0)+IFERROR('調查資料(OUT)'!$BF$1*'調查資料(OUT)'!BF90,0)</f>
        <v>0</v>
      </c>
      <c r="X84" s="50">
        <f>IFERROR('調查資料(OUT)'!$AY$1*'調查資料(OUT)'!AY90,0)+IFERROR('調查資料(OUT)'!$BC$1*'調查資料(OUT)'!BC90,0)+IFERROR('調查資料(OUT)'!$BG$1*'調查資料(OUT)'!BG90,0)</f>
        <v>0</v>
      </c>
      <c r="Y84" s="50">
        <f>IFERROR('調查資料(OUT)'!$AZ$1*'調查資料(OUT)'!AZ90,0)+IFERROR('調查資料(OUT)'!$BD$1*'調查資料(OUT)'!BD90,0)+IFERROR('調查資料(OUT)'!$BH$1*'調查資料(OUT)'!BH90,0)</f>
        <v>0</v>
      </c>
      <c r="Z84" s="252">
        <f>IFERROR('調查資料(OUT)'!$BA$1*'調查資料(OUT)'!BA90,0)+IFERROR('調查資料(OUT)'!$BE$1*'調查資料(OUT)'!BE90,0)+IFERROR('調查資料(OUT)'!$BI$1*'調查資料(OUT)'!BI90,0)</f>
        <v>0</v>
      </c>
      <c r="AA84" s="253">
        <f t="shared" si="243"/>
        <v>0</v>
      </c>
      <c r="AC84" s="251">
        <f>'調查資料(OUT)'!A90</f>
        <v>1945</v>
      </c>
      <c r="AD84" s="254">
        <f t="shared" si="244"/>
        <v>2045</v>
      </c>
      <c r="AE84" s="50">
        <f t="shared" si="254"/>
        <v>0</v>
      </c>
      <c r="AG84" s="50">
        <f t="shared" si="364"/>
        <v>0</v>
      </c>
      <c r="AH84" s="256" t="e">
        <f t="shared" si="371"/>
        <v>#DIV/0!</v>
      </c>
      <c r="AI84" s="256" t="e">
        <f t="shared" si="365"/>
        <v>#DIV/0!</v>
      </c>
      <c r="AJ84" s="256" t="e">
        <f t="shared" si="366"/>
        <v>#DIV/0!</v>
      </c>
      <c r="AK84" s="256" t="e">
        <f t="shared" si="367"/>
        <v>#DIV/0!</v>
      </c>
      <c r="AL84" s="256" t="e">
        <f t="shared" si="368"/>
        <v>#DIV/0!</v>
      </c>
      <c r="AN84" s="50">
        <f t="shared" si="369"/>
        <v>1945</v>
      </c>
      <c r="AO84" s="252">
        <f t="shared" si="370"/>
        <v>2045</v>
      </c>
      <c r="AP84" s="50">
        <f t="shared" si="245"/>
        <v>0</v>
      </c>
      <c r="AQ84" s="50">
        <f>IF($AN84="N","N",SUM('調查資料(OUT)'!B90:B93))</f>
        <v>0</v>
      </c>
      <c r="AR84" s="50">
        <f>IF($AN84="N","N",SUM('調查資料(OUT)'!F90:F93))</f>
        <v>0</v>
      </c>
      <c r="AS84" s="50">
        <f>IF($AN84="N","N",SUM('調查資料(OUT)'!J90:J93))</f>
        <v>0</v>
      </c>
      <c r="AT84" s="56" t="e">
        <f t="shared" si="309"/>
        <v>#DIV/0!</v>
      </c>
      <c r="AU84" s="50">
        <f t="shared" si="310"/>
        <v>0</v>
      </c>
      <c r="AV84" s="50">
        <f>IF($AN84="N","N",SUM('調查資料(OUT)'!C90:C93))</f>
        <v>0</v>
      </c>
      <c r="AW84" s="50">
        <f>IF($AN84="N","N",SUM('調查資料(OUT)'!G90:G93))</f>
        <v>0</v>
      </c>
      <c r="AX84" s="50">
        <f>IF($AN84="N","N",SUM('調查資料(OUT)'!K90:K93))</f>
        <v>0</v>
      </c>
      <c r="AY84" s="56" t="e">
        <f t="shared" si="311"/>
        <v>#DIV/0!</v>
      </c>
      <c r="AZ84" s="50">
        <f t="shared" si="312"/>
        <v>0</v>
      </c>
      <c r="BA84" s="50">
        <f>IF($AN84="N","N",SUM('調查資料(OUT)'!D90:D93))</f>
        <v>0</v>
      </c>
      <c r="BB84" s="50">
        <f>IF($AN84="N","N",SUM('調查資料(OUT)'!H90:H93))</f>
        <v>0</v>
      </c>
      <c r="BC84" s="50">
        <f>IF($AN84="N","N",SUM('調查資料(OUT)'!L90:L93))</f>
        <v>0</v>
      </c>
      <c r="BD84" s="56" t="e">
        <f t="shared" si="313"/>
        <v>#DIV/0!</v>
      </c>
      <c r="BE84" s="50">
        <f t="shared" si="314"/>
        <v>0</v>
      </c>
      <c r="BF84" s="50">
        <f>IF($AN84="N","N",SUM('調查資料(OUT)'!E90:E93))</f>
        <v>0</v>
      </c>
      <c r="BG84" s="50">
        <f>IF($AN84="N","N",SUM('調查資料(OUT)'!I90:I93))</f>
        <v>0</v>
      </c>
      <c r="BH84" s="50">
        <f>IF($AN84="N","N",SUM('調查資料(OUT)'!M90:M93))</f>
        <v>0</v>
      </c>
      <c r="BI84" s="56" t="e">
        <f t="shared" si="315"/>
        <v>#DIV/0!</v>
      </c>
      <c r="BJ84" s="50">
        <f t="shared" si="255"/>
        <v>0</v>
      </c>
      <c r="BK84" s="56" t="e">
        <f t="shared" si="256"/>
        <v>#DIV/0!</v>
      </c>
      <c r="BL84" s="50">
        <f t="shared" si="257"/>
        <v>0</v>
      </c>
      <c r="BM84" s="56" t="e">
        <f t="shared" si="258"/>
        <v>#DIV/0!</v>
      </c>
      <c r="BN84" s="50">
        <f t="shared" si="259"/>
        <v>0</v>
      </c>
      <c r="BO84" s="56" t="e">
        <f t="shared" si="260"/>
        <v>#DIV/0!</v>
      </c>
      <c r="BP84" s="50">
        <f t="shared" si="261"/>
        <v>0</v>
      </c>
      <c r="BQ84" s="50">
        <f t="shared" si="316"/>
        <v>0</v>
      </c>
      <c r="BR84" s="50">
        <f>IF($AN84="N","N",SUM('調查資料(OUT)'!N90:N93))</f>
        <v>0</v>
      </c>
      <c r="BS84" s="50">
        <f>IF($AN84="N","N",SUM('調查資料(OUT)'!R90:R93))</f>
        <v>0</v>
      </c>
      <c r="BT84" s="50">
        <f>IF($AN84="N","N",SUM('調查資料(OUT)'!V90:V93))</f>
        <v>0</v>
      </c>
      <c r="BU84" s="56" t="e">
        <f t="shared" si="317"/>
        <v>#DIV/0!</v>
      </c>
      <c r="BV84" s="50">
        <f t="shared" si="318"/>
        <v>0</v>
      </c>
      <c r="BW84" s="50">
        <f>IF($AN84="N","N",SUM('調查資料(OUT)'!O90:O93))</f>
        <v>0</v>
      </c>
      <c r="BX84" s="50">
        <f>IF($AN84="N","N",SUM('調查資料(OUT)'!S90:S93))</f>
        <v>0</v>
      </c>
      <c r="BY84" s="50">
        <f>IF($AN84="N","N",SUM('調查資料(OUT)'!W90:W93))</f>
        <v>0</v>
      </c>
      <c r="BZ84" s="56" t="e">
        <f t="shared" si="319"/>
        <v>#DIV/0!</v>
      </c>
      <c r="CA84" s="50">
        <f t="shared" si="320"/>
        <v>0</v>
      </c>
      <c r="CB84" s="50">
        <f>IF($AN84="N","N",SUM('調查資料(OUT)'!P90:P93))</f>
        <v>0</v>
      </c>
      <c r="CC84" s="50">
        <f>IF($AN84="N","N",SUM('調查資料(OUT)'!T90:T93))</f>
        <v>0</v>
      </c>
      <c r="CD84" s="50">
        <f>IF($AN84="N","N",SUM('調查資料(OUT)'!X90:X93))</f>
        <v>0</v>
      </c>
      <c r="CE84" s="56" t="e">
        <f t="shared" si="321"/>
        <v>#DIV/0!</v>
      </c>
      <c r="CF84" s="50">
        <f t="shared" si="322"/>
        <v>0</v>
      </c>
      <c r="CG84" s="50">
        <f>IF($AN84="N","N",SUM('調查資料(OUT)'!Q90:Q93))</f>
        <v>0</v>
      </c>
      <c r="CH84" s="50">
        <f>IF($AN84="N","N",SUM('調查資料(OUT)'!U90:U93))</f>
        <v>0</v>
      </c>
      <c r="CI84" s="50">
        <f>IF($AN84="N","N",SUM('調查資料(OUT)'!Y90:Y93))</f>
        <v>0</v>
      </c>
      <c r="CJ84" s="56" t="e">
        <f t="shared" si="323"/>
        <v>#DIV/0!</v>
      </c>
      <c r="CK84" s="50">
        <f t="shared" si="262"/>
        <v>0</v>
      </c>
      <c r="CL84" s="56" t="e">
        <f t="shared" si="263"/>
        <v>#DIV/0!</v>
      </c>
      <c r="CM84" s="50">
        <f t="shared" si="264"/>
        <v>0</v>
      </c>
      <c r="CN84" s="56" t="e">
        <f t="shared" si="265"/>
        <v>#DIV/0!</v>
      </c>
      <c r="CO84" s="50">
        <f t="shared" si="266"/>
        <v>0</v>
      </c>
      <c r="CP84" s="56" t="e">
        <f t="shared" si="267"/>
        <v>#DIV/0!</v>
      </c>
      <c r="CQ84" s="50">
        <f t="shared" si="268"/>
        <v>0</v>
      </c>
      <c r="CR84" s="50">
        <f t="shared" si="324"/>
        <v>0</v>
      </c>
      <c r="CS84" s="50">
        <f>IF($AN84="N","N",SUM('調查資料(OUT)'!Z90:Z93))</f>
        <v>0</v>
      </c>
      <c r="CT84" s="50">
        <f>IF($AN84="N","N",SUM('調查資料(OUT)'!AD90:AD93))</f>
        <v>0</v>
      </c>
      <c r="CU84" s="50">
        <f>IF($AN84="N","N",SUM('調查資料(OUT)'!AH90:AH93))</f>
        <v>0</v>
      </c>
      <c r="CV84" s="56" t="e">
        <f t="shared" si="325"/>
        <v>#DIV/0!</v>
      </c>
      <c r="CW84" s="50">
        <f t="shared" si="326"/>
        <v>0</v>
      </c>
      <c r="CX84" s="50">
        <f>IF($AN84="N","N",SUM('調查資料(OUT)'!AA90:AA93))</f>
        <v>0</v>
      </c>
      <c r="CY84" s="50">
        <f>IF($AN84="N","N",SUM('調查資料(OUT)'!AE90:AE93))</f>
        <v>0</v>
      </c>
      <c r="CZ84" s="50">
        <f>IF($AN84="N","N",SUM('調查資料(OUT)'!AI90:AI93))</f>
        <v>0</v>
      </c>
      <c r="DA84" s="56" t="e">
        <f t="shared" si="327"/>
        <v>#DIV/0!</v>
      </c>
      <c r="DB84" s="50">
        <f t="shared" si="328"/>
        <v>0</v>
      </c>
      <c r="DC84" s="50">
        <f>IF($AN84="N","N",SUM('調查資料(OUT)'!AB90:AB93))</f>
        <v>0</v>
      </c>
      <c r="DD84" s="50">
        <f>IF($AN84="N","N",SUM('調查資料(OUT)'!AF90:AF93))</f>
        <v>0</v>
      </c>
      <c r="DE84" s="50">
        <f>IF($AN84="N","N",SUM('調查資料(OUT)'!AJ90:AJ93))</f>
        <v>0</v>
      </c>
      <c r="DF84" s="56" t="e">
        <f t="shared" si="329"/>
        <v>#DIV/0!</v>
      </c>
      <c r="DG84" s="50">
        <f t="shared" si="330"/>
        <v>0</v>
      </c>
      <c r="DH84" s="50">
        <f>IF($AN84="N","N",SUM('調查資料(OUT)'!AC90:AC93))</f>
        <v>0</v>
      </c>
      <c r="DI84" s="50">
        <f>IF($AN84="N","N",SUM('調查資料(OUT)'!AG90:AG93))</f>
        <v>0</v>
      </c>
      <c r="DJ84" s="50">
        <f>IF($AN84="N","N",SUM('調查資料(OUT)'!AK90:AK93))</f>
        <v>0</v>
      </c>
      <c r="DK84" s="56" t="e">
        <f t="shared" si="331"/>
        <v>#DIV/0!</v>
      </c>
      <c r="DL84" s="50">
        <f t="shared" si="269"/>
        <v>0</v>
      </c>
      <c r="DM84" s="56" t="e">
        <f t="shared" si="270"/>
        <v>#DIV/0!</v>
      </c>
      <c r="DN84" s="50">
        <f t="shared" si="271"/>
        <v>0</v>
      </c>
      <c r="DO84" s="56" t="e">
        <f t="shared" si="272"/>
        <v>#DIV/0!</v>
      </c>
      <c r="DP84" s="50">
        <f t="shared" si="273"/>
        <v>0</v>
      </c>
      <c r="DQ84" s="56" t="e">
        <f t="shared" si="274"/>
        <v>#DIV/0!</v>
      </c>
      <c r="DR84" s="50">
        <f t="shared" si="275"/>
        <v>0</v>
      </c>
      <c r="DS84" s="50">
        <f t="shared" si="332"/>
        <v>0</v>
      </c>
      <c r="DT84" s="50">
        <f>IF($AN84="N","N",SUM('調查資料(OUT)'!AL90:AL93))</f>
        <v>0</v>
      </c>
      <c r="DU84" s="50">
        <f>IF($AN84="N","N",SUM('調查資料(OUT)'!AP90:AP93))</f>
        <v>0</v>
      </c>
      <c r="DV84" s="50">
        <f>IF($AN84="N","N",SUM('調查資料(OUT)'!AT90:AT93))</f>
        <v>0</v>
      </c>
      <c r="DW84" s="56" t="e">
        <f t="shared" si="333"/>
        <v>#DIV/0!</v>
      </c>
      <c r="DX84" s="50">
        <f t="shared" si="334"/>
        <v>0</v>
      </c>
      <c r="DY84" s="50">
        <f>IF($AN84="N","N",SUM('調查資料(OUT)'!AM90:AM93))</f>
        <v>0</v>
      </c>
      <c r="DZ84" s="50">
        <f>IF($AN84="N","N",SUM('調查資料(OUT)'!AQ90:AQ93))</f>
        <v>0</v>
      </c>
      <c r="EA84" s="50">
        <f>IF($AN84="N","N",SUM('調查資料(OUT)'!AU90:AU93))</f>
        <v>0</v>
      </c>
      <c r="EB84" s="56" t="e">
        <f t="shared" si="335"/>
        <v>#DIV/0!</v>
      </c>
      <c r="EC84" s="50">
        <f t="shared" si="336"/>
        <v>0</v>
      </c>
      <c r="ED84" s="50">
        <f>IF($AN84="N","N",SUM('調查資料(OUT)'!AN90:AN93))</f>
        <v>0</v>
      </c>
      <c r="EE84" s="50">
        <f>IF($AN84="N","N",SUM('調查資料(OUT)'!AR90:AR93))</f>
        <v>0</v>
      </c>
      <c r="EF84" s="50">
        <f>IF($AN84="N","N",SUM('調查資料(OUT)'!AV90:AV93))</f>
        <v>0</v>
      </c>
      <c r="EG84" s="56" t="e">
        <f t="shared" si="337"/>
        <v>#DIV/0!</v>
      </c>
      <c r="EH84" s="50">
        <f t="shared" si="338"/>
        <v>0</v>
      </c>
      <c r="EI84" s="50">
        <f>IF($AN84="N","N",SUM('調查資料(OUT)'!AO90:AO93))</f>
        <v>0</v>
      </c>
      <c r="EJ84" s="50">
        <f>IF($AN84="N","N",SUM('調查資料(OUT)'!AS90:AS93))</f>
        <v>0</v>
      </c>
      <c r="EK84" s="50">
        <f>IF($AN84="N","N",SUM('調查資料(OUT)'!AW90:AW93))</f>
        <v>0</v>
      </c>
      <c r="EL84" s="56" t="e">
        <f t="shared" si="339"/>
        <v>#DIV/0!</v>
      </c>
      <c r="EM84" s="50">
        <f t="shared" si="276"/>
        <v>0</v>
      </c>
      <c r="EN84" s="56" t="e">
        <f t="shared" si="277"/>
        <v>#DIV/0!</v>
      </c>
      <c r="EO84" s="50">
        <f t="shared" si="278"/>
        <v>0</v>
      </c>
      <c r="EP84" s="56" t="e">
        <f t="shared" si="279"/>
        <v>#DIV/0!</v>
      </c>
      <c r="EQ84" s="50">
        <f t="shared" si="280"/>
        <v>0</v>
      </c>
      <c r="ER84" s="56" t="e">
        <f t="shared" si="281"/>
        <v>#DIV/0!</v>
      </c>
      <c r="ES84" s="50">
        <f t="shared" si="282"/>
        <v>0</v>
      </c>
      <c r="ET84" s="50">
        <f t="shared" si="340"/>
        <v>0</v>
      </c>
      <c r="EU84" s="50">
        <f>IF($AN84="N","N",SUM('調查資料(OUT)'!AX90:AX93))</f>
        <v>0</v>
      </c>
      <c r="EV84" s="50">
        <f>IF($AN84="N","N",SUM('調查資料(OUT)'!BB90:BB93))</f>
        <v>0</v>
      </c>
      <c r="EW84" s="50">
        <f>IF($AN84="N","N",SUM('調查資料(OUT)'!BF90:BF93))</f>
        <v>0</v>
      </c>
      <c r="EX84" s="56" t="e">
        <f t="shared" si="341"/>
        <v>#DIV/0!</v>
      </c>
      <c r="EY84" s="50">
        <f t="shared" si="342"/>
        <v>0</v>
      </c>
      <c r="EZ84" s="50">
        <f>IF($AN84="N","N",SUM('調查資料(OUT)'!AY90:AY93))</f>
        <v>0</v>
      </c>
      <c r="FA84" s="50">
        <f>IF($AN84="N","N",SUM('調查資料(OUT)'!BC90:BC93))</f>
        <v>0</v>
      </c>
      <c r="FB84" s="50">
        <f>IF($AN84="N","N",SUM('調查資料(OUT)'!BG90:BG93))</f>
        <v>0</v>
      </c>
      <c r="FC84" s="56" t="e">
        <f t="shared" si="343"/>
        <v>#DIV/0!</v>
      </c>
      <c r="FD84" s="50">
        <f t="shared" si="344"/>
        <v>0</v>
      </c>
      <c r="FE84" s="50">
        <f>IF($AN84="N","N",SUM('調查資料(OUT)'!AZ90:AZ93))</f>
        <v>0</v>
      </c>
      <c r="FF84" s="50">
        <f>IF($AN84="N","N",SUM('調查資料(OUT)'!BD90:BD93))</f>
        <v>0</v>
      </c>
      <c r="FG84" s="50">
        <f>IF($AN84="N","N",SUM('調查資料(OUT)'!BH90:BH93))</f>
        <v>0</v>
      </c>
      <c r="FH84" s="56" t="e">
        <f t="shared" si="345"/>
        <v>#DIV/0!</v>
      </c>
      <c r="FI84" s="50">
        <f t="shared" si="346"/>
        <v>0</v>
      </c>
      <c r="FJ84" s="50">
        <f>IF($AN84="N","N",SUM('調查資料(OUT)'!BA90:BA93))</f>
        <v>0</v>
      </c>
      <c r="FK84" s="50">
        <f>IF($AN84="N","N",SUM('調查資料(OUT)'!BE90:BE93))</f>
        <v>0</v>
      </c>
      <c r="FL84" s="50">
        <f>IF($AN84="N","N",SUM('調查資料(OUT)'!BI90:BI93))</f>
        <v>0</v>
      </c>
      <c r="FM84" s="56" t="e">
        <f t="shared" si="347"/>
        <v>#DIV/0!</v>
      </c>
      <c r="FN84" s="50">
        <f t="shared" si="246"/>
        <v>0</v>
      </c>
      <c r="FO84" s="56" t="e">
        <f t="shared" si="247"/>
        <v>#DIV/0!</v>
      </c>
      <c r="FP84" s="50">
        <f t="shared" si="248"/>
        <v>0</v>
      </c>
      <c r="FQ84" s="56" t="e">
        <f t="shared" si="249"/>
        <v>#DIV/0!</v>
      </c>
      <c r="FR84" s="50">
        <f t="shared" si="250"/>
        <v>0</v>
      </c>
      <c r="FS84" s="56" t="e">
        <f t="shared" si="251"/>
        <v>#DIV/0!</v>
      </c>
      <c r="FT84" s="50">
        <f t="shared" si="252"/>
        <v>0</v>
      </c>
    </row>
    <row r="85" spans="1:176">
      <c r="A85" s="274">
        <f>'調查資料(OUT)'!A91</f>
        <v>2000</v>
      </c>
      <c r="B85" s="50">
        <f t="shared" si="238"/>
        <v>0</v>
      </c>
      <c r="C85" s="50">
        <f>IFERROR('調查資料(OUT)'!$B$1*'調查資料(OUT)'!B91,0)+IFERROR('調查資料(OUT)'!$F$1*'調查資料(OUT)'!F91,0)+IFERROR('調查資料(OUT)'!$J$1*'調查資料(OUT)'!J91,0)</f>
        <v>0</v>
      </c>
      <c r="D85" s="50">
        <f>IFERROR('調查資料(OUT)'!$C$1*'調查資料(OUT)'!C91,0)+IFERROR('調查資料(OUT)'!$G$1*'調查資料(OUT)'!G91,0)+IFERROR('調查資料(OUT)'!$K$1*'調查資料(OUT)'!K91,0)</f>
        <v>0</v>
      </c>
      <c r="E85" s="50">
        <f>IFERROR('調查資料(OUT)'!$D$1*'調查資料(OUT)'!D91,0)+IFERROR('調查資料(OUT)'!$H$1*'調查資料(OUT)'!H91,0)+IFERROR('調查資料(OUT)'!$L$1*'調查資料(OUT)'!L91,0)</f>
        <v>0</v>
      </c>
      <c r="F85" s="252">
        <f>IFERROR('調查資料(OUT)'!$E$1*'調查資料(OUT)'!E91,0)+IFERROR('調查資料(OUT)'!$I$1*'調查資料(OUT)'!I91,0)+IFERROR('調查資料(OUT)'!$M$1*'調查資料(OUT)'!M91,0)</f>
        <v>0</v>
      </c>
      <c r="G85" s="50">
        <f t="shared" si="239"/>
        <v>0</v>
      </c>
      <c r="H85" s="50">
        <f>IFERROR('調查資料(OUT)'!$N$1*'調查資料(OUT)'!N91,0)+IFERROR('調查資料(OUT)'!$R$1*'調查資料(OUT)'!R91,0)+IFERROR('調查資料(OUT)'!$V$1*'調查資料(OUT)'!V91,0)</f>
        <v>0</v>
      </c>
      <c r="I85" s="50">
        <f>IFERROR('調查資料(OUT)'!$O$1*'調查資料(OUT)'!O91,0)+IFERROR('調查資料(OUT)'!$S$1*'調查資料(OUT)'!S91,0)+IFERROR('調查資料(OUT)'!$W$1*'調查資料(OUT)'!W91,0)</f>
        <v>0</v>
      </c>
      <c r="J85" s="50">
        <f>IFERROR('調查資料(OUT)'!$P$1*'調查資料(OUT)'!P91,0)+IFERROR('調查資料(OUT)'!$T$1*'調查資料(OUT)'!T91,0)+IFERROR('調查資料(OUT)'!$X$1*'調查資料(OUT)'!X91,0)</f>
        <v>0</v>
      </c>
      <c r="K85" s="252">
        <f>IFERROR('調查資料(OUT)'!$Q$1*'調查資料(OUT)'!Q91,0)+IFERROR('調查資料(OUT)'!$U$1*'調查資料(OUT)'!U91,0)+IFERROR('調查資料(OUT)'!$Y$1*'調查資料(OUT)'!Y91,0)</f>
        <v>0</v>
      </c>
      <c r="L85" s="50">
        <f t="shared" si="240"/>
        <v>0</v>
      </c>
      <c r="M85" s="50">
        <f>IFERROR('調查資料(OUT)'!$Z$1*'調查資料(OUT)'!Z91,0)+IFERROR('調查資料(OUT)'!$AD$1*'調查資料(OUT)'!AD91,0)+IFERROR('調查資料(OUT)'!$AH$1*'調查資料(OUT)'!AH91,0)</f>
        <v>0</v>
      </c>
      <c r="N85" s="50">
        <f>IFERROR('調查資料(OUT)'!$AA$1*'調查資料(OUT)'!AA91,0)+IFERROR('調查資料(OUT)'!$AE$1*'調查資料(OUT)'!AE91,0)+IFERROR('調查資料(OUT)'!$AI$1*'調查資料(OUT)'!AI91,0)</f>
        <v>0</v>
      </c>
      <c r="O85" s="50">
        <f>IFERROR('調查資料(OUT)'!$AB$1*'調查資料(OUT)'!AB91,0)+IFERROR('調查資料(OUT)'!$AF$1*'調查資料(OUT)'!AF91,0)+IFERROR('調查資料(OUT)'!$AJ$1*'調查資料(OUT)'!AJ91,0)</f>
        <v>0</v>
      </c>
      <c r="P85" s="252">
        <f>IFERROR('調查資料(OUT)'!$AC$1*'調查資料(OUT)'!AC91,0)+IFERROR('調查資料(OUT)'!$AG$1*'調查資料(OUT)'!AG91,0)+IFERROR('調查資料(OUT)'!$AK$1*'調查資料(OUT)'!AK91,0)</f>
        <v>0</v>
      </c>
      <c r="Q85" s="50">
        <f t="shared" si="241"/>
        <v>0</v>
      </c>
      <c r="R85" s="50">
        <f>IFERROR('調查資料(OUT)'!$AL$1*'調查資料(OUT)'!AL91,0)+IFERROR('調查資料(OUT)'!$AP$1*'調查資料(OUT)'!AP91,0)+IFERROR('調查資料(OUT)'!$AT$1*'調查資料(OUT)'!AT91,0)</f>
        <v>0</v>
      </c>
      <c r="S85" s="50">
        <f>IFERROR('調查資料(OUT)'!$AM$1*'調查資料(OUT)'!AM91,0)+IFERROR('調查資料(OUT)'!$AQ$1*'調查資料(OUT)'!AQ91,0)+IFERROR('調查資料(OUT)'!$AU$1*'調查資料(OUT)'!AU91,0)</f>
        <v>0</v>
      </c>
      <c r="T85" s="50">
        <f>IFERROR('調查資料(OUT)'!$AN$1*'調查資料(OUT)'!AN91,0)+IFERROR('調查資料(OUT)'!$AR$1*'調查資料(OUT)'!AR91,0)+IFERROR('調查資料(OUT)'!$AV$1*'調查資料(OUT)'!AV91,0)</f>
        <v>0</v>
      </c>
      <c r="U85" s="252">
        <f>IFERROR('調查資料(OUT)'!$AO$1*'調查資料(OUT)'!AO91,0)+IFERROR('調查資料(OUT)'!$AS$1*'調查資料(OUT)'!AS91,0)+IFERROR('調查資料(OUT)'!$AW$1*'調查資料(OUT)'!AW91,0)</f>
        <v>0</v>
      </c>
      <c r="V85" s="50">
        <f t="shared" si="242"/>
        <v>0</v>
      </c>
      <c r="W85" s="50">
        <f>IFERROR('調查資料(OUT)'!$AX$1*'調查資料(OUT)'!AX91,0)+IFERROR('調查資料(OUT)'!$BB$1*'調查資料(OUT)'!BB91,0)+IFERROR('調查資料(OUT)'!$BF$1*'調查資料(OUT)'!BF91,0)</f>
        <v>0</v>
      </c>
      <c r="X85" s="50">
        <f>IFERROR('調查資料(OUT)'!$AY$1*'調查資料(OUT)'!AY91,0)+IFERROR('調查資料(OUT)'!$BC$1*'調查資料(OUT)'!BC91,0)+IFERROR('調查資料(OUT)'!$BG$1*'調查資料(OUT)'!BG91,0)</f>
        <v>0</v>
      </c>
      <c r="Y85" s="50">
        <f>IFERROR('調查資料(OUT)'!$AZ$1*'調查資料(OUT)'!AZ91,0)+IFERROR('調查資料(OUT)'!$BD$1*'調查資料(OUT)'!BD91,0)+IFERROR('調查資料(OUT)'!$BH$1*'調查資料(OUT)'!BH91,0)</f>
        <v>0</v>
      </c>
      <c r="Z85" s="252">
        <f>IFERROR('調查資料(OUT)'!$BA$1*'調查資料(OUT)'!BA91,0)+IFERROR('調查資料(OUT)'!$BE$1*'調查資料(OUT)'!BE91,0)+IFERROR('調查資料(OUT)'!$BI$1*'調查資料(OUT)'!BI91,0)</f>
        <v>0</v>
      </c>
      <c r="AA85" s="253">
        <f t="shared" si="243"/>
        <v>0</v>
      </c>
      <c r="AC85" s="251">
        <f>'調查資料(OUT)'!A91</f>
        <v>2000</v>
      </c>
      <c r="AD85" s="254">
        <f t="shared" si="244"/>
        <v>2100</v>
      </c>
      <c r="AE85" s="50">
        <f t="shared" si="254"/>
        <v>0</v>
      </c>
      <c r="AF85" s="51"/>
      <c r="AG85" s="50">
        <f t="shared" si="364"/>
        <v>0</v>
      </c>
      <c r="AH85" s="256" t="e">
        <f t="shared" si="371"/>
        <v>#DIV/0!</v>
      </c>
      <c r="AI85" s="256" t="e">
        <f t="shared" si="365"/>
        <v>#DIV/0!</v>
      </c>
      <c r="AJ85" s="256" t="e">
        <f t="shared" si="366"/>
        <v>#DIV/0!</v>
      </c>
      <c r="AK85" s="256" t="e">
        <f t="shared" si="367"/>
        <v>#DIV/0!</v>
      </c>
      <c r="AL85" s="256" t="e">
        <f t="shared" si="368"/>
        <v>#DIV/0!</v>
      </c>
      <c r="AN85" s="50">
        <f t="shared" si="369"/>
        <v>2000</v>
      </c>
      <c r="AO85" s="252">
        <f t="shared" si="370"/>
        <v>2100</v>
      </c>
      <c r="AP85" s="50">
        <f t="shared" si="245"/>
        <v>0</v>
      </c>
      <c r="AQ85" s="50">
        <f>IF($AN85="N","N",SUM('調查資料(OUT)'!B91:B94))</f>
        <v>0</v>
      </c>
      <c r="AR85" s="50">
        <f>IF($AN85="N","N",SUM('調查資料(OUT)'!F91:F94))</f>
        <v>0</v>
      </c>
      <c r="AS85" s="50">
        <f>IF($AN85="N","N",SUM('調查資料(OUT)'!J91:J94))</f>
        <v>0</v>
      </c>
      <c r="AT85" s="56" t="e">
        <f t="shared" si="309"/>
        <v>#DIV/0!</v>
      </c>
      <c r="AU85" s="50">
        <f t="shared" si="310"/>
        <v>0</v>
      </c>
      <c r="AV85" s="50">
        <f>IF($AN85="N","N",SUM('調查資料(OUT)'!C91:C94))</f>
        <v>0</v>
      </c>
      <c r="AW85" s="50">
        <f>IF($AN85="N","N",SUM('調查資料(OUT)'!G91:G94))</f>
        <v>0</v>
      </c>
      <c r="AX85" s="50">
        <f>IF($AN85="N","N",SUM('調查資料(OUT)'!K91:K94))</f>
        <v>0</v>
      </c>
      <c r="AY85" s="56" t="e">
        <f t="shared" si="311"/>
        <v>#DIV/0!</v>
      </c>
      <c r="AZ85" s="50">
        <f t="shared" si="312"/>
        <v>0</v>
      </c>
      <c r="BA85" s="50">
        <f>IF($AN85="N","N",SUM('調查資料(OUT)'!D91:D94))</f>
        <v>0</v>
      </c>
      <c r="BB85" s="50">
        <f>IF($AN85="N","N",SUM('調查資料(OUT)'!H91:H94))</f>
        <v>0</v>
      </c>
      <c r="BC85" s="50">
        <f>IF($AN85="N","N",SUM('調查資料(OUT)'!L91:L94))</f>
        <v>0</v>
      </c>
      <c r="BD85" s="56" t="e">
        <f t="shared" si="313"/>
        <v>#DIV/0!</v>
      </c>
      <c r="BE85" s="50">
        <f t="shared" si="314"/>
        <v>0</v>
      </c>
      <c r="BF85" s="50">
        <f>IF($AN85="N","N",SUM('調查資料(OUT)'!E91:E94))</f>
        <v>0</v>
      </c>
      <c r="BG85" s="50">
        <f>IF($AN85="N","N",SUM('調查資料(OUT)'!I91:I94))</f>
        <v>0</v>
      </c>
      <c r="BH85" s="50">
        <f>IF($AN85="N","N",SUM('調查資料(OUT)'!M91:M94))</f>
        <v>0</v>
      </c>
      <c r="BI85" s="56" t="e">
        <f t="shared" si="315"/>
        <v>#DIV/0!</v>
      </c>
      <c r="BJ85" s="50">
        <f t="shared" si="255"/>
        <v>0</v>
      </c>
      <c r="BK85" s="56" t="e">
        <f t="shared" si="256"/>
        <v>#DIV/0!</v>
      </c>
      <c r="BL85" s="50">
        <f t="shared" si="257"/>
        <v>0</v>
      </c>
      <c r="BM85" s="56" t="e">
        <f t="shared" si="258"/>
        <v>#DIV/0!</v>
      </c>
      <c r="BN85" s="50">
        <f t="shared" si="259"/>
        <v>0</v>
      </c>
      <c r="BO85" s="56" t="e">
        <f t="shared" si="260"/>
        <v>#DIV/0!</v>
      </c>
      <c r="BP85" s="50">
        <f t="shared" si="261"/>
        <v>0</v>
      </c>
      <c r="BQ85" s="50">
        <f t="shared" si="316"/>
        <v>0</v>
      </c>
      <c r="BR85" s="50">
        <f>IF($AN85="N","N",SUM('調查資料(OUT)'!N91:N94))</f>
        <v>0</v>
      </c>
      <c r="BS85" s="50">
        <f>IF($AN85="N","N",SUM('調查資料(OUT)'!R91:R94))</f>
        <v>0</v>
      </c>
      <c r="BT85" s="50">
        <f>IF($AN85="N","N",SUM('調查資料(OUT)'!V91:V94))</f>
        <v>0</v>
      </c>
      <c r="BU85" s="56" t="e">
        <f t="shared" si="317"/>
        <v>#DIV/0!</v>
      </c>
      <c r="BV85" s="50">
        <f t="shared" si="318"/>
        <v>0</v>
      </c>
      <c r="BW85" s="50">
        <f>IF($AN85="N","N",SUM('調查資料(OUT)'!O91:O94))</f>
        <v>0</v>
      </c>
      <c r="BX85" s="50">
        <f>IF($AN85="N","N",SUM('調查資料(OUT)'!S91:S94))</f>
        <v>0</v>
      </c>
      <c r="BY85" s="50">
        <f>IF($AN85="N","N",SUM('調查資料(OUT)'!W91:W94))</f>
        <v>0</v>
      </c>
      <c r="BZ85" s="56" t="e">
        <f t="shared" si="319"/>
        <v>#DIV/0!</v>
      </c>
      <c r="CA85" s="50">
        <f t="shared" si="320"/>
        <v>0</v>
      </c>
      <c r="CB85" s="50">
        <f>IF($AN85="N","N",SUM('調查資料(OUT)'!P91:P94))</f>
        <v>0</v>
      </c>
      <c r="CC85" s="50">
        <f>IF($AN85="N","N",SUM('調查資料(OUT)'!T91:T94))</f>
        <v>0</v>
      </c>
      <c r="CD85" s="50">
        <f>IF($AN85="N","N",SUM('調查資料(OUT)'!X91:X94))</f>
        <v>0</v>
      </c>
      <c r="CE85" s="56" t="e">
        <f t="shared" si="321"/>
        <v>#DIV/0!</v>
      </c>
      <c r="CF85" s="50">
        <f t="shared" si="322"/>
        <v>0</v>
      </c>
      <c r="CG85" s="50">
        <f>IF($AN85="N","N",SUM('調查資料(OUT)'!Q91:Q94))</f>
        <v>0</v>
      </c>
      <c r="CH85" s="50">
        <f>IF($AN85="N","N",SUM('調查資料(OUT)'!U91:U94))</f>
        <v>0</v>
      </c>
      <c r="CI85" s="50">
        <f>IF($AN85="N","N",SUM('調查資料(OUT)'!Y91:Y94))</f>
        <v>0</v>
      </c>
      <c r="CJ85" s="56" t="e">
        <f t="shared" si="323"/>
        <v>#DIV/0!</v>
      </c>
      <c r="CK85" s="50">
        <f t="shared" si="262"/>
        <v>0</v>
      </c>
      <c r="CL85" s="56" t="e">
        <f t="shared" si="263"/>
        <v>#DIV/0!</v>
      </c>
      <c r="CM85" s="50">
        <f t="shared" si="264"/>
        <v>0</v>
      </c>
      <c r="CN85" s="56" t="e">
        <f t="shared" si="265"/>
        <v>#DIV/0!</v>
      </c>
      <c r="CO85" s="50">
        <f t="shared" si="266"/>
        <v>0</v>
      </c>
      <c r="CP85" s="56" t="e">
        <f t="shared" si="267"/>
        <v>#DIV/0!</v>
      </c>
      <c r="CQ85" s="50">
        <f t="shared" si="268"/>
        <v>0</v>
      </c>
      <c r="CR85" s="50">
        <f t="shared" si="324"/>
        <v>0</v>
      </c>
      <c r="CS85" s="50">
        <f>IF($AN85="N","N",SUM('調查資料(OUT)'!Z91:Z94))</f>
        <v>0</v>
      </c>
      <c r="CT85" s="50">
        <f>IF($AN85="N","N",SUM('調查資料(OUT)'!AD91:AD94))</f>
        <v>0</v>
      </c>
      <c r="CU85" s="50">
        <f>IF($AN85="N","N",SUM('調查資料(OUT)'!AH91:AH94))</f>
        <v>0</v>
      </c>
      <c r="CV85" s="56" t="e">
        <f t="shared" si="325"/>
        <v>#DIV/0!</v>
      </c>
      <c r="CW85" s="50">
        <f t="shared" si="326"/>
        <v>0</v>
      </c>
      <c r="CX85" s="50">
        <f>IF($AN85="N","N",SUM('調查資料(OUT)'!AA91:AA94))</f>
        <v>0</v>
      </c>
      <c r="CY85" s="50">
        <f>IF($AN85="N","N",SUM('調查資料(OUT)'!AE91:AE94))</f>
        <v>0</v>
      </c>
      <c r="CZ85" s="50">
        <f>IF($AN85="N","N",SUM('調查資料(OUT)'!AI91:AI94))</f>
        <v>0</v>
      </c>
      <c r="DA85" s="56" t="e">
        <f t="shared" si="327"/>
        <v>#DIV/0!</v>
      </c>
      <c r="DB85" s="50">
        <f t="shared" si="328"/>
        <v>0</v>
      </c>
      <c r="DC85" s="50">
        <f>IF($AN85="N","N",SUM('調查資料(OUT)'!AB91:AB94))</f>
        <v>0</v>
      </c>
      <c r="DD85" s="50">
        <f>IF($AN85="N","N",SUM('調查資料(OUT)'!AF91:AF94))</f>
        <v>0</v>
      </c>
      <c r="DE85" s="50">
        <f>IF($AN85="N","N",SUM('調查資料(OUT)'!AJ91:AJ94))</f>
        <v>0</v>
      </c>
      <c r="DF85" s="56" t="e">
        <f t="shared" si="329"/>
        <v>#DIV/0!</v>
      </c>
      <c r="DG85" s="50">
        <f t="shared" si="330"/>
        <v>0</v>
      </c>
      <c r="DH85" s="50">
        <f>IF($AN85="N","N",SUM('調查資料(OUT)'!AC91:AC94))</f>
        <v>0</v>
      </c>
      <c r="DI85" s="50">
        <f>IF($AN85="N","N",SUM('調查資料(OUT)'!AG91:AG94))</f>
        <v>0</v>
      </c>
      <c r="DJ85" s="50">
        <f>IF($AN85="N","N",SUM('調查資料(OUT)'!AK91:AK94))</f>
        <v>0</v>
      </c>
      <c r="DK85" s="56" t="e">
        <f t="shared" si="331"/>
        <v>#DIV/0!</v>
      </c>
      <c r="DL85" s="50">
        <f t="shared" si="269"/>
        <v>0</v>
      </c>
      <c r="DM85" s="56" t="e">
        <f t="shared" si="270"/>
        <v>#DIV/0!</v>
      </c>
      <c r="DN85" s="50">
        <f t="shared" si="271"/>
        <v>0</v>
      </c>
      <c r="DO85" s="56" t="e">
        <f t="shared" si="272"/>
        <v>#DIV/0!</v>
      </c>
      <c r="DP85" s="50">
        <f t="shared" si="273"/>
        <v>0</v>
      </c>
      <c r="DQ85" s="56" t="e">
        <f t="shared" si="274"/>
        <v>#DIV/0!</v>
      </c>
      <c r="DR85" s="50">
        <f t="shared" si="275"/>
        <v>0</v>
      </c>
      <c r="DS85" s="50">
        <f t="shared" si="332"/>
        <v>0</v>
      </c>
      <c r="DT85" s="50">
        <f>IF($AN85="N","N",SUM('調查資料(OUT)'!AL91:AL94))</f>
        <v>0</v>
      </c>
      <c r="DU85" s="50">
        <f>IF($AN85="N","N",SUM('調查資料(OUT)'!AP91:AP94))</f>
        <v>0</v>
      </c>
      <c r="DV85" s="50">
        <f>IF($AN85="N","N",SUM('調查資料(OUT)'!AT91:AT94))</f>
        <v>0</v>
      </c>
      <c r="DW85" s="56" t="e">
        <f t="shared" si="333"/>
        <v>#DIV/0!</v>
      </c>
      <c r="DX85" s="50">
        <f t="shared" si="334"/>
        <v>0</v>
      </c>
      <c r="DY85" s="50">
        <f>IF($AN85="N","N",SUM('調查資料(OUT)'!AM91:AM94))</f>
        <v>0</v>
      </c>
      <c r="DZ85" s="50">
        <f>IF($AN85="N","N",SUM('調查資料(OUT)'!AQ91:AQ94))</f>
        <v>0</v>
      </c>
      <c r="EA85" s="50">
        <f>IF($AN85="N","N",SUM('調查資料(OUT)'!AU91:AU94))</f>
        <v>0</v>
      </c>
      <c r="EB85" s="56" t="e">
        <f t="shared" si="335"/>
        <v>#DIV/0!</v>
      </c>
      <c r="EC85" s="50">
        <f t="shared" si="336"/>
        <v>0</v>
      </c>
      <c r="ED85" s="50">
        <f>IF($AN85="N","N",SUM('調查資料(OUT)'!AN91:AN94))</f>
        <v>0</v>
      </c>
      <c r="EE85" s="50">
        <f>IF($AN85="N","N",SUM('調查資料(OUT)'!AR91:AR94))</f>
        <v>0</v>
      </c>
      <c r="EF85" s="50">
        <f>IF($AN85="N","N",SUM('調查資料(OUT)'!AV91:AV94))</f>
        <v>0</v>
      </c>
      <c r="EG85" s="56" t="e">
        <f t="shared" si="337"/>
        <v>#DIV/0!</v>
      </c>
      <c r="EH85" s="50">
        <f t="shared" si="338"/>
        <v>0</v>
      </c>
      <c r="EI85" s="50">
        <f>IF($AN85="N","N",SUM('調查資料(OUT)'!AO91:AO94))</f>
        <v>0</v>
      </c>
      <c r="EJ85" s="50">
        <f>IF($AN85="N","N",SUM('調查資料(OUT)'!AS91:AS94))</f>
        <v>0</v>
      </c>
      <c r="EK85" s="50">
        <f>IF($AN85="N","N",SUM('調查資料(OUT)'!AW91:AW94))</f>
        <v>0</v>
      </c>
      <c r="EL85" s="56" t="e">
        <f t="shared" si="339"/>
        <v>#DIV/0!</v>
      </c>
      <c r="EM85" s="50">
        <f t="shared" si="276"/>
        <v>0</v>
      </c>
      <c r="EN85" s="56" t="e">
        <f t="shared" si="277"/>
        <v>#DIV/0!</v>
      </c>
      <c r="EO85" s="50">
        <f t="shared" si="278"/>
        <v>0</v>
      </c>
      <c r="EP85" s="56" t="e">
        <f t="shared" si="279"/>
        <v>#DIV/0!</v>
      </c>
      <c r="EQ85" s="50">
        <f t="shared" si="280"/>
        <v>0</v>
      </c>
      <c r="ER85" s="56" t="e">
        <f t="shared" si="281"/>
        <v>#DIV/0!</v>
      </c>
      <c r="ES85" s="50">
        <f t="shared" si="282"/>
        <v>0</v>
      </c>
      <c r="ET85" s="50">
        <f t="shared" si="340"/>
        <v>0</v>
      </c>
      <c r="EU85" s="50">
        <f>IF($AN85="N","N",SUM('調查資料(OUT)'!AX91:AX94))</f>
        <v>0</v>
      </c>
      <c r="EV85" s="50">
        <f>IF($AN85="N","N",SUM('調查資料(OUT)'!BB91:BB94))</f>
        <v>0</v>
      </c>
      <c r="EW85" s="50">
        <f>IF($AN85="N","N",SUM('調查資料(OUT)'!BF91:BF94))</f>
        <v>0</v>
      </c>
      <c r="EX85" s="56" t="e">
        <f t="shared" si="341"/>
        <v>#DIV/0!</v>
      </c>
      <c r="EY85" s="50">
        <f t="shared" si="342"/>
        <v>0</v>
      </c>
      <c r="EZ85" s="50">
        <f>IF($AN85="N","N",SUM('調查資料(OUT)'!AY91:AY94))</f>
        <v>0</v>
      </c>
      <c r="FA85" s="50">
        <f>IF($AN85="N","N",SUM('調查資料(OUT)'!BC91:BC94))</f>
        <v>0</v>
      </c>
      <c r="FB85" s="50">
        <f>IF($AN85="N","N",SUM('調查資料(OUT)'!BG91:BG94))</f>
        <v>0</v>
      </c>
      <c r="FC85" s="56" t="e">
        <f t="shared" si="343"/>
        <v>#DIV/0!</v>
      </c>
      <c r="FD85" s="50">
        <f t="shared" si="344"/>
        <v>0</v>
      </c>
      <c r="FE85" s="50">
        <f>IF($AN85="N","N",SUM('調查資料(OUT)'!AZ91:AZ94))</f>
        <v>0</v>
      </c>
      <c r="FF85" s="50">
        <f>IF($AN85="N","N",SUM('調查資料(OUT)'!BD91:BD94))</f>
        <v>0</v>
      </c>
      <c r="FG85" s="50">
        <f>IF($AN85="N","N",SUM('調查資料(OUT)'!BH91:BH94))</f>
        <v>0</v>
      </c>
      <c r="FH85" s="56" t="e">
        <f t="shared" si="345"/>
        <v>#DIV/0!</v>
      </c>
      <c r="FI85" s="50">
        <f t="shared" si="346"/>
        <v>0</v>
      </c>
      <c r="FJ85" s="50">
        <f>IF($AN85="N","N",SUM('調查資料(OUT)'!BA91:BA94))</f>
        <v>0</v>
      </c>
      <c r="FK85" s="50">
        <f>IF($AN85="N","N",SUM('調查資料(OUT)'!BE91:BE94))</f>
        <v>0</v>
      </c>
      <c r="FL85" s="50">
        <f>IF($AN85="N","N",SUM('調查資料(OUT)'!BI91:BI94))</f>
        <v>0</v>
      </c>
      <c r="FM85" s="56" t="e">
        <f t="shared" si="347"/>
        <v>#DIV/0!</v>
      </c>
      <c r="FN85" s="50">
        <f t="shared" si="246"/>
        <v>0</v>
      </c>
      <c r="FO85" s="56" t="e">
        <f t="shared" si="247"/>
        <v>#DIV/0!</v>
      </c>
      <c r="FP85" s="50">
        <f t="shared" si="248"/>
        <v>0</v>
      </c>
      <c r="FQ85" s="56" t="e">
        <f t="shared" si="249"/>
        <v>#DIV/0!</v>
      </c>
      <c r="FR85" s="50">
        <f t="shared" si="250"/>
        <v>0</v>
      </c>
      <c r="FS85" s="56" t="e">
        <f t="shared" si="251"/>
        <v>#DIV/0!</v>
      </c>
      <c r="FT85" s="50">
        <f t="shared" si="252"/>
        <v>0</v>
      </c>
    </row>
    <row r="86" spans="1:176">
      <c r="A86" s="274">
        <f>'調查資料(OUT)'!A92</f>
        <v>2015</v>
      </c>
      <c r="B86" s="50">
        <f t="shared" si="238"/>
        <v>0</v>
      </c>
      <c r="C86" s="50">
        <f>IFERROR('調查資料(OUT)'!$B$1*'調查資料(OUT)'!B92,0)+IFERROR('調查資料(OUT)'!$F$1*'調查資料(OUT)'!F92,0)+IFERROR('調查資料(OUT)'!$J$1*'調查資料(OUT)'!J92,0)</f>
        <v>0</v>
      </c>
      <c r="D86" s="50">
        <f>IFERROR('調查資料(OUT)'!$C$1*'調查資料(OUT)'!C92,0)+IFERROR('調查資料(OUT)'!$G$1*'調查資料(OUT)'!G92,0)+IFERROR('調查資料(OUT)'!$K$1*'調查資料(OUT)'!K92,0)</f>
        <v>0</v>
      </c>
      <c r="E86" s="50">
        <f>IFERROR('調查資料(OUT)'!$D$1*'調查資料(OUT)'!D92,0)+IFERROR('調查資料(OUT)'!$H$1*'調查資料(OUT)'!H92,0)+IFERROR('調查資料(OUT)'!$L$1*'調查資料(OUT)'!L92,0)</f>
        <v>0</v>
      </c>
      <c r="F86" s="252">
        <f>IFERROR('調查資料(OUT)'!$E$1*'調查資料(OUT)'!E92,0)+IFERROR('調查資料(OUT)'!$I$1*'調查資料(OUT)'!I92,0)+IFERROR('調查資料(OUT)'!$M$1*'調查資料(OUT)'!M92,0)</f>
        <v>0</v>
      </c>
      <c r="G86" s="50">
        <f t="shared" si="239"/>
        <v>0</v>
      </c>
      <c r="H86" s="50">
        <f>IFERROR('調查資料(OUT)'!$N$1*'調查資料(OUT)'!N92,0)+IFERROR('調查資料(OUT)'!$R$1*'調查資料(OUT)'!R92,0)+IFERROR('調查資料(OUT)'!$V$1*'調查資料(OUT)'!V92,0)</f>
        <v>0</v>
      </c>
      <c r="I86" s="50">
        <f>IFERROR('調查資料(OUT)'!$O$1*'調查資料(OUT)'!O92,0)+IFERROR('調查資料(OUT)'!$S$1*'調查資料(OUT)'!S92,0)+IFERROR('調查資料(OUT)'!$W$1*'調查資料(OUT)'!W92,0)</f>
        <v>0</v>
      </c>
      <c r="J86" s="50">
        <f>IFERROR('調查資料(OUT)'!$P$1*'調查資料(OUT)'!P92,0)+IFERROR('調查資料(OUT)'!$T$1*'調查資料(OUT)'!T92,0)+IFERROR('調查資料(OUT)'!$X$1*'調查資料(OUT)'!X92,0)</f>
        <v>0</v>
      </c>
      <c r="K86" s="252">
        <f>IFERROR('調查資料(OUT)'!$Q$1*'調查資料(OUT)'!Q92,0)+IFERROR('調查資料(OUT)'!$U$1*'調查資料(OUT)'!U92,0)+IFERROR('調查資料(OUT)'!$Y$1*'調查資料(OUT)'!Y92,0)</f>
        <v>0</v>
      </c>
      <c r="L86" s="50">
        <f t="shared" si="240"/>
        <v>0</v>
      </c>
      <c r="M86" s="50">
        <f>IFERROR('調查資料(OUT)'!$Z$1*'調查資料(OUT)'!Z92,0)+IFERROR('調查資料(OUT)'!$AD$1*'調查資料(OUT)'!AD92,0)+IFERROR('調查資料(OUT)'!$AH$1*'調查資料(OUT)'!AH92,0)</f>
        <v>0</v>
      </c>
      <c r="N86" s="50">
        <f>IFERROR('調查資料(OUT)'!$AA$1*'調查資料(OUT)'!AA92,0)+IFERROR('調查資料(OUT)'!$AE$1*'調查資料(OUT)'!AE92,0)+IFERROR('調查資料(OUT)'!$AI$1*'調查資料(OUT)'!AI92,0)</f>
        <v>0</v>
      </c>
      <c r="O86" s="50">
        <f>IFERROR('調查資料(OUT)'!$AB$1*'調查資料(OUT)'!AB92,0)+IFERROR('調查資料(OUT)'!$AF$1*'調查資料(OUT)'!AF92,0)+IFERROR('調查資料(OUT)'!$AJ$1*'調查資料(OUT)'!AJ92,0)</f>
        <v>0</v>
      </c>
      <c r="P86" s="252">
        <f>IFERROR('調查資料(OUT)'!$AC$1*'調查資料(OUT)'!AC92,0)+IFERROR('調查資料(OUT)'!$AG$1*'調查資料(OUT)'!AG92,0)+IFERROR('調查資料(OUT)'!$AK$1*'調查資料(OUT)'!AK92,0)</f>
        <v>0</v>
      </c>
      <c r="Q86" s="50">
        <f t="shared" si="241"/>
        <v>0</v>
      </c>
      <c r="R86" s="50">
        <f>IFERROR('調查資料(OUT)'!$AL$1*'調查資料(OUT)'!AL92,0)+IFERROR('調查資料(OUT)'!$AP$1*'調查資料(OUT)'!AP92,0)+IFERROR('調查資料(OUT)'!$AT$1*'調查資料(OUT)'!AT92,0)</f>
        <v>0</v>
      </c>
      <c r="S86" s="50">
        <f>IFERROR('調查資料(OUT)'!$AM$1*'調查資料(OUT)'!AM92,0)+IFERROR('調查資料(OUT)'!$AQ$1*'調查資料(OUT)'!AQ92,0)+IFERROR('調查資料(OUT)'!$AU$1*'調查資料(OUT)'!AU92,0)</f>
        <v>0</v>
      </c>
      <c r="T86" s="50">
        <f>IFERROR('調查資料(OUT)'!$AN$1*'調查資料(OUT)'!AN92,0)+IFERROR('調查資料(OUT)'!$AR$1*'調查資料(OUT)'!AR92,0)+IFERROR('調查資料(OUT)'!$AV$1*'調查資料(OUT)'!AV92,0)</f>
        <v>0</v>
      </c>
      <c r="U86" s="252">
        <f>IFERROR('調查資料(OUT)'!$AO$1*'調查資料(OUT)'!AO92,0)+IFERROR('調查資料(OUT)'!$AS$1*'調查資料(OUT)'!AS92,0)+IFERROR('調查資料(OUT)'!$AW$1*'調查資料(OUT)'!AW92,0)</f>
        <v>0</v>
      </c>
      <c r="V86" s="50">
        <f t="shared" si="242"/>
        <v>0</v>
      </c>
      <c r="W86" s="50">
        <f>IFERROR('調查資料(OUT)'!$AX$1*'調查資料(OUT)'!AX92,0)+IFERROR('調查資料(OUT)'!$BB$1*'調查資料(OUT)'!BB92,0)+IFERROR('調查資料(OUT)'!$BF$1*'調查資料(OUT)'!BF92,0)</f>
        <v>0</v>
      </c>
      <c r="X86" s="50">
        <f>IFERROR('調查資料(OUT)'!$AY$1*'調查資料(OUT)'!AY92,0)+IFERROR('調查資料(OUT)'!$BC$1*'調查資料(OUT)'!BC92,0)+IFERROR('調查資料(OUT)'!$BG$1*'調查資料(OUT)'!BG92,0)</f>
        <v>0</v>
      </c>
      <c r="Y86" s="50">
        <f>IFERROR('調查資料(OUT)'!$AZ$1*'調查資料(OUT)'!AZ92,0)+IFERROR('調查資料(OUT)'!$BD$1*'調查資料(OUT)'!BD92,0)+IFERROR('調查資料(OUT)'!$BH$1*'調查資料(OUT)'!BH92,0)</f>
        <v>0</v>
      </c>
      <c r="Z86" s="252">
        <f>IFERROR('調查資料(OUT)'!$BA$1*'調查資料(OUT)'!BA92,0)+IFERROR('調查資料(OUT)'!$BE$1*'調查資料(OUT)'!BE92,0)+IFERROR('調查資料(OUT)'!$BI$1*'調查資料(OUT)'!BI92,0)</f>
        <v>0</v>
      </c>
      <c r="AA86" s="253">
        <f t="shared" si="243"/>
        <v>0</v>
      </c>
      <c r="AC86" s="251">
        <f>'調查資料(OUT)'!A92</f>
        <v>2015</v>
      </c>
      <c r="AD86" s="254">
        <f t="shared" si="244"/>
        <v>2115</v>
      </c>
      <c r="AE86" s="50">
        <f t="shared" si="254"/>
        <v>0</v>
      </c>
      <c r="AG86" s="50">
        <f t="shared" si="364"/>
        <v>0</v>
      </c>
      <c r="AH86" s="256" t="e">
        <f t="shared" si="371"/>
        <v>#DIV/0!</v>
      </c>
      <c r="AI86" s="256" t="e">
        <f t="shared" si="365"/>
        <v>#DIV/0!</v>
      </c>
      <c r="AJ86" s="256" t="e">
        <f t="shared" si="366"/>
        <v>#DIV/0!</v>
      </c>
      <c r="AK86" s="256" t="e">
        <f t="shared" si="367"/>
        <v>#DIV/0!</v>
      </c>
      <c r="AL86" s="256" t="e">
        <f t="shared" si="368"/>
        <v>#DIV/0!</v>
      </c>
      <c r="AN86" s="50">
        <f t="shared" si="369"/>
        <v>2015</v>
      </c>
      <c r="AO86" s="252">
        <f t="shared" si="370"/>
        <v>2115</v>
      </c>
      <c r="AP86" s="50">
        <f t="shared" si="245"/>
        <v>0</v>
      </c>
      <c r="AQ86" s="50">
        <f>IF($AN86="N","N",SUM('調查資料(OUT)'!B92:B95))</f>
        <v>0</v>
      </c>
      <c r="AR86" s="50">
        <f>IF($AN86="N","N",SUM('調查資料(OUT)'!F92:F95))</f>
        <v>0</v>
      </c>
      <c r="AS86" s="50">
        <f>IF($AN86="N","N",SUM('調查資料(OUT)'!J92:J95))</f>
        <v>0</v>
      </c>
      <c r="AT86" s="56" t="e">
        <f t="shared" si="309"/>
        <v>#DIV/0!</v>
      </c>
      <c r="AU86" s="50">
        <f t="shared" si="310"/>
        <v>0</v>
      </c>
      <c r="AV86" s="50">
        <f>IF($AN86="N","N",SUM('調查資料(OUT)'!C92:C95))</f>
        <v>0</v>
      </c>
      <c r="AW86" s="50">
        <f>IF($AN86="N","N",SUM('調查資料(OUT)'!G92:G95))</f>
        <v>0</v>
      </c>
      <c r="AX86" s="50">
        <f>IF($AN86="N","N",SUM('調查資料(OUT)'!K92:K95))</f>
        <v>0</v>
      </c>
      <c r="AY86" s="56" t="e">
        <f t="shared" si="311"/>
        <v>#DIV/0!</v>
      </c>
      <c r="AZ86" s="50">
        <f t="shared" si="312"/>
        <v>0</v>
      </c>
      <c r="BA86" s="50">
        <f>IF($AN86="N","N",SUM('調查資料(OUT)'!D92:D95))</f>
        <v>0</v>
      </c>
      <c r="BB86" s="50">
        <f>IF($AN86="N","N",SUM('調查資料(OUT)'!H92:H95))</f>
        <v>0</v>
      </c>
      <c r="BC86" s="50">
        <f>IF($AN86="N","N",SUM('調查資料(OUT)'!L92:L95))</f>
        <v>0</v>
      </c>
      <c r="BD86" s="56" t="e">
        <f t="shared" si="313"/>
        <v>#DIV/0!</v>
      </c>
      <c r="BE86" s="50">
        <f t="shared" si="314"/>
        <v>0</v>
      </c>
      <c r="BF86" s="50">
        <f>IF($AN86="N","N",SUM('調查資料(OUT)'!E92:E95))</f>
        <v>0</v>
      </c>
      <c r="BG86" s="50">
        <f>IF($AN86="N","N",SUM('調查資料(OUT)'!I92:I95))</f>
        <v>0</v>
      </c>
      <c r="BH86" s="50">
        <f>IF($AN86="N","N",SUM('調查資料(OUT)'!M92:M95))</f>
        <v>0</v>
      </c>
      <c r="BI86" s="56" t="e">
        <f t="shared" si="315"/>
        <v>#DIV/0!</v>
      </c>
      <c r="BJ86" s="50">
        <f t="shared" si="255"/>
        <v>0</v>
      </c>
      <c r="BK86" s="56" t="e">
        <f t="shared" si="256"/>
        <v>#DIV/0!</v>
      </c>
      <c r="BL86" s="50">
        <f t="shared" si="257"/>
        <v>0</v>
      </c>
      <c r="BM86" s="56" t="e">
        <f t="shared" si="258"/>
        <v>#DIV/0!</v>
      </c>
      <c r="BN86" s="50">
        <f t="shared" si="259"/>
        <v>0</v>
      </c>
      <c r="BO86" s="56" t="e">
        <f t="shared" si="260"/>
        <v>#DIV/0!</v>
      </c>
      <c r="BP86" s="50">
        <f t="shared" si="261"/>
        <v>0</v>
      </c>
      <c r="BQ86" s="50">
        <f t="shared" si="316"/>
        <v>0</v>
      </c>
      <c r="BR86" s="50">
        <f>IF($AN86="N","N",SUM('調查資料(OUT)'!N92:N95))</f>
        <v>0</v>
      </c>
      <c r="BS86" s="50">
        <f>IF($AN86="N","N",SUM('調查資料(OUT)'!R92:R95))</f>
        <v>0</v>
      </c>
      <c r="BT86" s="50">
        <f>IF($AN86="N","N",SUM('調查資料(OUT)'!V92:V95))</f>
        <v>0</v>
      </c>
      <c r="BU86" s="56" t="e">
        <f t="shared" si="317"/>
        <v>#DIV/0!</v>
      </c>
      <c r="BV86" s="50">
        <f t="shared" si="318"/>
        <v>0</v>
      </c>
      <c r="BW86" s="50">
        <f>IF($AN86="N","N",SUM('調查資料(OUT)'!O92:O95))</f>
        <v>0</v>
      </c>
      <c r="BX86" s="50">
        <f>IF($AN86="N","N",SUM('調查資料(OUT)'!S92:S95))</f>
        <v>0</v>
      </c>
      <c r="BY86" s="50">
        <f>IF($AN86="N","N",SUM('調查資料(OUT)'!W92:W95))</f>
        <v>0</v>
      </c>
      <c r="BZ86" s="56" t="e">
        <f t="shared" si="319"/>
        <v>#DIV/0!</v>
      </c>
      <c r="CA86" s="50">
        <f t="shared" si="320"/>
        <v>0</v>
      </c>
      <c r="CB86" s="50">
        <f>IF($AN86="N","N",SUM('調查資料(OUT)'!P92:P95))</f>
        <v>0</v>
      </c>
      <c r="CC86" s="50">
        <f>IF($AN86="N","N",SUM('調查資料(OUT)'!T92:T95))</f>
        <v>0</v>
      </c>
      <c r="CD86" s="50">
        <f>IF($AN86="N","N",SUM('調查資料(OUT)'!X92:X95))</f>
        <v>0</v>
      </c>
      <c r="CE86" s="56" t="e">
        <f t="shared" si="321"/>
        <v>#DIV/0!</v>
      </c>
      <c r="CF86" s="50">
        <f t="shared" si="322"/>
        <v>0</v>
      </c>
      <c r="CG86" s="50">
        <f>IF($AN86="N","N",SUM('調查資料(OUT)'!Q92:Q95))</f>
        <v>0</v>
      </c>
      <c r="CH86" s="50">
        <f>IF($AN86="N","N",SUM('調查資料(OUT)'!U92:U95))</f>
        <v>0</v>
      </c>
      <c r="CI86" s="50">
        <f>IF($AN86="N","N",SUM('調查資料(OUT)'!Y92:Y95))</f>
        <v>0</v>
      </c>
      <c r="CJ86" s="56" t="e">
        <f t="shared" si="323"/>
        <v>#DIV/0!</v>
      </c>
      <c r="CK86" s="50">
        <f t="shared" si="262"/>
        <v>0</v>
      </c>
      <c r="CL86" s="56" t="e">
        <f t="shared" si="263"/>
        <v>#DIV/0!</v>
      </c>
      <c r="CM86" s="50">
        <f t="shared" si="264"/>
        <v>0</v>
      </c>
      <c r="CN86" s="56" t="e">
        <f t="shared" si="265"/>
        <v>#DIV/0!</v>
      </c>
      <c r="CO86" s="50">
        <f t="shared" si="266"/>
        <v>0</v>
      </c>
      <c r="CP86" s="56" t="e">
        <f t="shared" si="267"/>
        <v>#DIV/0!</v>
      </c>
      <c r="CQ86" s="50">
        <f t="shared" si="268"/>
        <v>0</v>
      </c>
      <c r="CR86" s="50">
        <f t="shared" si="324"/>
        <v>0</v>
      </c>
      <c r="CS86" s="50">
        <f>IF($AN86="N","N",SUM('調查資料(OUT)'!Z92:Z95))</f>
        <v>0</v>
      </c>
      <c r="CT86" s="50">
        <f>IF($AN86="N","N",SUM('調查資料(OUT)'!AD92:AD95))</f>
        <v>0</v>
      </c>
      <c r="CU86" s="50">
        <f>IF($AN86="N","N",SUM('調查資料(OUT)'!AH92:AH95))</f>
        <v>0</v>
      </c>
      <c r="CV86" s="56" t="e">
        <f t="shared" si="325"/>
        <v>#DIV/0!</v>
      </c>
      <c r="CW86" s="50">
        <f t="shared" si="326"/>
        <v>0</v>
      </c>
      <c r="CX86" s="50">
        <f>IF($AN86="N","N",SUM('調查資料(OUT)'!AA92:AA95))</f>
        <v>0</v>
      </c>
      <c r="CY86" s="50">
        <f>IF($AN86="N","N",SUM('調查資料(OUT)'!AE92:AE95))</f>
        <v>0</v>
      </c>
      <c r="CZ86" s="50">
        <f>IF($AN86="N","N",SUM('調查資料(OUT)'!AI92:AI95))</f>
        <v>0</v>
      </c>
      <c r="DA86" s="56" t="e">
        <f t="shared" si="327"/>
        <v>#DIV/0!</v>
      </c>
      <c r="DB86" s="50">
        <f t="shared" si="328"/>
        <v>0</v>
      </c>
      <c r="DC86" s="50">
        <f>IF($AN86="N","N",SUM('調查資料(OUT)'!AB92:AB95))</f>
        <v>0</v>
      </c>
      <c r="DD86" s="50">
        <f>IF($AN86="N","N",SUM('調查資料(OUT)'!AF92:AF95))</f>
        <v>0</v>
      </c>
      <c r="DE86" s="50">
        <f>IF($AN86="N","N",SUM('調查資料(OUT)'!AJ92:AJ95))</f>
        <v>0</v>
      </c>
      <c r="DF86" s="56" t="e">
        <f t="shared" si="329"/>
        <v>#DIV/0!</v>
      </c>
      <c r="DG86" s="50">
        <f t="shared" si="330"/>
        <v>0</v>
      </c>
      <c r="DH86" s="50">
        <f>IF($AN86="N","N",SUM('調查資料(OUT)'!AC92:AC95))</f>
        <v>0</v>
      </c>
      <c r="DI86" s="50">
        <f>IF($AN86="N","N",SUM('調查資料(OUT)'!AG92:AG95))</f>
        <v>0</v>
      </c>
      <c r="DJ86" s="50">
        <f>IF($AN86="N","N",SUM('調查資料(OUT)'!AK92:AK95))</f>
        <v>0</v>
      </c>
      <c r="DK86" s="56" t="e">
        <f t="shared" si="331"/>
        <v>#DIV/0!</v>
      </c>
      <c r="DL86" s="50">
        <f t="shared" si="269"/>
        <v>0</v>
      </c>
      <c r="DM86" s="56" t="e">
        <f t="shared" si="270"/>
        <v>#DIV/0!</v>
      </c>
      <c r="DN86" s="50">
        <f t="shared" si="271"/>
        <v>0</v>
      </c>
      <c r="DO86" s="56" t="e">
        <f t="shared" si="272"/>
        <v>#DIV/0!</v>
      </c>
      <c r="DP86" s="50">
        <f t="shared" si="273"/>
        <v>0</v>
      </c>
      <c r="DQ86" s="56" t="e">
        <f t="shared" si="274"/>
        <v>#DIV/0!</v>
      </c>
      <c r="DR86" s="50">
        <f t="shared" si="275"/>
        <v>0</v>
      </c>
      <c r="DS86" s="50">
        <f t="shared" si="332"/>
        <v>0</v>
      </c>
      <c r="DT86" s="50">
        <f>IF($AN86="N","N",SUM('調查資料(OUT)'!AL92:AL95))</f>
        <v>0</v>
      </c>
      <c r="DU86" s="50">
        <f>IF($AN86="N","N",SUM('調查資料(OUT)'!AP92:AP95))</f>
        <v>0</v>
      </c>
      <c r="DV86" s="50">
        <f>IF($AN86="N","N",SUM('調查資料(OUT)'!AT92:AT95))</f>
        <v>0</v>
      </c>
      <c r="DW86" s="56" t="e">
        <f t="shared" si="333"/>
        <v>#DIV/0!</v>
      </c>
      <c r="DX86" s="50">
        <f t="shared" si="334"/>
        <v>0</v>
      </c>
      <c r="DY86" s="50">
        <f>IF($AN86="N","N",SUM('調查資料(OUT)'!AM92:AM95))</f>
        <v>0</v>
      </c>
      <c r="DZ86" s="50">
        <f>IF($AN86="N","N",SUM('調查資料(OUT)'!AQ92:AQ95))</f>
        <v>0</v>
      </c>
      <c r="EA86" s="50">
        <f>IF($AN86="N","N",SUM('調查資料(OUT)'!AU92:AU95))</f>
        <v>0</v>
      </c>
      <c r="EB86" s="56" t="e">
        <f t="shared" si="335"/>
        <v>#DIV/0!</v>
      </c>
      <c r="EC86" s="50">
        <f t="shared" si="336"/>
        <v>0</v>
      </c>
      <c r="ED86" s="50">
        <f>IF($AN86="N","N",SUM('調查資料(OUT)'!AN92:AN95))</f>
        <v>0</v>
      </c>
      <c r="EE86" s="50">
        <f>IF($AN86="N","N",SUM('調查資料(OUT)'!AR92:AR95))</f>
        <v>0</v>
      </c>
      <c r="EF86" s="50">
        <f>IF($AN86="N","N",SUM('調查資料(OUT)'!AV92:AV95))</f>
        <v>0</v>
      </c>
      <c r="EG86" s="56" t="e">
        <f t="shared" si="337"/>
        <v>#DIV/0!</v>
      </c>
      <c r="EH86" s="50">
        <f t="shared" si="338"/>
        <v>0</v>
      </c>
      <c r="EI86" s="50">
        <f>IF($AN86="N","N",SUM('調查資料(OUT)'!AO92:AO95))</f>
        <v>0</v>
      </c>
      <c r="EJ86" s="50">
        <f>IF($AN86="N","N",SUM('調查資料(OUT)'!AS92:AS95))</f>
        <v>0</v>
      </c>
      <c r="EK86" s="50">
        <f>IF($AN86="N","N",SUM('調查資料(OUT)'!AW92:AW95))</f>
        <v>0</v>
      </c>
      <c r="EL86" s="56" t="e">
        <f t="shared" si="339"/>
        <v>#DIV/0!</v>
      </c>
      <c r="EM86" s="50">
        <f t="shared" si="276"/>
        <v>0</v>
      </c>
      <c r="EN86" s="56" t="e">
        <f t="shared" si="277"/>
        <v>#DIV/0!</v>
      </c>
      <c r="EO86" s="50">
        <f t="shared" si="278"/>
        <v>0</v>
      </c>
      <c r="EP86" s="56" t="e">
        <f t="shared" si="279"/>
        <v>#DIV/0!</v>
      </c>
      <c r="EQ86" s="50">
        <f t="shared" si="280"/>
        <v>0</v>
      </c>
      <c r="ER86" s="56" t="e">
        <f t="shared" si="281"/>
        <v>#DIV/0!</v>
      </c>
      <c r="ES86" s="50">
        <f t="shared" si="282"/>
        <v>0</v>
      </c>
      <c r="ET86" s="50">
        <f t="shared" si="340"/>
        <v>0</v>
      </c>
      <c r="EU86" s="50">
        <f>IF($AN86="N","N",SUM('調查資料(OUT)'!AX92:AX95))</f>
        <v>0</v>
      </c>
      <c r="EV86" s="50">
        <f>IF($AN86="N","N",SUM('調查資料(OUT)'!BB92:BB95))</f>
        <v>0</v>
      </c>
      <c r="EW86" s="50">
        <f>IF($AN86="N","N",SUM('調查資料(OUT)'!BF92:BF95))</f>
        <v>0</v>
      </c>
      <c r="EX86" s="56" t="e">
        <f t="shared" si="341"/>
        <v>#DIV/0!</v>
      </c>
      <c r="EY86" s="50">
        <f t="shared" si="342"/>
        <v>0</v>
      </c>
      <c r="EZ86" s="50">
        <f>IF($AN86="N","N",SUM('調查資料(OUT)'!AY92:AY95))</f>
        <v>0</v>
      </c>
      <c r="FA86" s="50">
        <f>IF($AN86="N","N",SUM('調查資料(OUT)'!BC92:BC95))</f>
        <v>0</v>
      </c>
      <c r="FB86" s="50">
        <f>IF($AN86="N","N",SUM('調查資料(OUT)'!BG92:BG95))</f>
        <v>0</v>
      </c>
      <c r="FC86" s="56" t="e">
        <f t="shared" si="343"/>
        <v>#DIV/0!</v>
      </c>
      <c r="FD86" s="50">
        <f t="shared" si="344"/>
        <v>0</v>
      </c>
      <c r="FE86" s="50">
        <f>IF($AN86="N","N",SUM('調查資料(OUT)'!AZ92:AZ95))</f>
        <v>0</v>
      </c>
      <c r="FF86" s="50">
        <f>IF($AN86="N","N",SUM('調查資料(OUT)'!BD92:BD95))</f>
        <v>0</v>
      </c>
      <c r="FG86" s="50">
        <f>IF($AN86="N","N",SUM('調查資料(OUT)'!BH92:BH95))</f>
        <v>0</v>
      </c>
      <c r="FH86" s="56" t="e">
        <f t="shared" si="345"/>
        <v>#DIV/0!</v>
      </c>
      <c r="FI86" s="50">
        <f t="shared" si="346"/>
        <v>0</v>
      </c>
      <c r="FJ86" s="50">
        <f>IF($AN86="N","N",SUM('調查資料(OUT)'!BA92:BA95))</f>
        <v>0</v>
      </c>
      <c r="FK86" s="50">
        <f>IF($AN86="N","N",SUM('調查資料(OUT)'!BE92:BE95))</f>
        <v>0</v>
      </c>
      <c r="FL86" s="50">
        <f>IF($AN86="N","N",SUM('調查資料(OUT)'!BI92:BI95))</f>
        <v>0</v>
      </c>
      <c r="FM86" s="56" t="e">
        <f t="shared" si="347"/>
        <v>#DIV/0!</v>
      </c>
      <c r="FN86" s="50">
        <f t="shared" si="246"/>
        <v>0</v>
      </c>
      <c r="FO86" s="56" t="e">
        <f t="shared" si="247"/>
        <v>#DIV/0!</v>
      </c>
      <c r="FP86" s="50">
        <f t="shared" si="248"/>
        <v>0</v>
      </c>
      <c r="FQ86" s="56" t="e">
        <f t="shared" si="249"/>
        <v>#DIV/0!</v>
      </c>
      <c r="FR86" s="50">
        <f t="shared" si="250"/>
        <v>0</v>
      </c>
      <c r="FS86" s="56" t="e">
        <f t="shared" si="251"/>
        <v>#DIV/0!</v>
      </c>
      <c r="FT86" s="50">
        <f t="shared" si="252"/>
        <v>0</v>
      </c>
    </row>
    <row r="87" spans="1:176">
      <c r="A87" s="274">
        <f>'調查資料(OUT)'!A93</f>
        <v>2030</v>
      </c>
      <c r="B87" s="50">
        <f t="shared" si="238"/>
        <v>0</v>
      </c>
      <c r="C87" s="50">
        <f>IFERROR('調查資料(OUT)'!$B$1*'調查資料(OUT)'!B93,0)+IFERROR('調查資料(OUT)'!$F$1*'調查資料(OUT)'!F93,0)+IFERROR('調查資料(OUT)'!$J$1*'調查資料(OUT)'!J93,0)</f>
        <v>0</v>
      </c>
      <c r="D87" s="50">
        <f>IFERROR('調查資料(OUT)'!$C$1*'調查資料(OUT)'!C93,0)+IFERROR('調查資料(OUT)'!$G$1*'調查資料(OUT)'!G93,0)+IFERROR('調查資料(OUT)'!$K$1*'調查資料(OUT)'!K93,0)</f>
        <v>0</v>
      </c>
      <c r="E87" s="50">
        <f>IFERROR('調查資料(OUT)'!$D$1*'調查資料(OUT)'!D93,0)+IFERROR('調查資料(OUT)'!$H$1*'調查資料(OUT)'!H93,0)+IFERROR('調查資料(OUT)'!$L$1*'調查資料(OUT)'!L93,0)</f>
        <v>0</v>
      </c>
      <c r="F87" s="252">
        <f>IFERROR('調查資料(OUT)'!$E$1*'調查資料(OUT)'!E93,0)+IFERROR('調查資料(OUT)'!$I$1*'調查資料(OUT)'!I93,0)+IFERROR('調查資料(OUT)'!$M$1*'調查資料(OUT)'!M93,0)</f>
        <v>0</v>
      </c>
      <c r="G87" s="50">
        <f t="shared" si="239"/>
        <v>0</v>
      </c>
      <c r="H87" s="50">
        <f>IFERROR('調查資料(OUT)'!$N$1*'調查資料(OUT)'!N93,0)+IFERROR('調查資料(OUT)'!$R$1*'調查資料(OUT)'!R93,0)+IFERROR('調查資料(OUT)'!$V$1*'調查資料(OUT)'!V93,0)</f>
        <v>0</v>
      </c>
      <c r="I87" s="50">
        <f>IFERROR('調查資料(OUT)'!$O$1*'調查資料(OUT)'!O93,0)+IFERROR('調查資料(OUT)'!$S$1*'調查資料(OUT)'!S93,0)+IFERROR('調查資料(OUT)'!$W$1*'調查資料(OUT)'!W93,0)</f>
        <v>0</v>
      </c>
      <c r="J87" s="50">
        <f>IFERROR('調查資料(OUT)'!$P$1*'調查資料(OUT)'!P93,0)+IFERROR('調查資料(OUT)'!$T$1*'調查資料(OUT)'!T93,0)+IFERROR('調查資料(OUT)'!$X$1*'調查資料(OUT)'!X93,0)</f>
        <v>0</v>
      </c>
      <c r="K87" s="252">
        <f>IFERROR('調查資料(OUT)'!$Q$1*'調查資料(OUT)'!Q93,0)+IFERROR('調查資料(OUT)'!$U$1*'調查資料(OUT)'!U93,0)+IFERROR('調查資料(OUT)'!$Y$1*'調查資料(OUT)'!Y93,0)</f>
        <v>0</v>
      </c>
      <c r="L87" s="50">
        <f t="shared" si="240"/>
        <v>0</v>
      </c>
      <c r="M87" s="50">
        <f>IFERROR('調查資料(OUT)'!$Z$1*'調查資料(OUT)'!Z93,0)+IFERROR('調查資料(OUT)'!$AD$1*'調查資料(OUT)'!AD93,0)+IFERROR('調查資料(OUT)'!$AH$1*'調查資料(OUT)'!AH93,0)</f>
        <v>0</v>
      </c>
      <c r="N87" s="50">
        <f>IFERROR('調查資料(OUT)'!$AA$1*'調查資料(OUT)'!AA93,0)+IFERROR('調查資料(OUT)'!$AE$1*'調查資料(OUT)'!AE93,0)+IFERROR('調查資料(OUT)'!$AI$1*'調查資料(OUT)'!AI93,0)</f>
        <v>0</v>
      </c>
      <c r="O87" s="50">
        <f>IFERROR('調查資料(OUT)'!$AB$1*'調查資料(OUT)'!AB93,0)+IFERROR('調查資料(OUT)'!$AF$1*'調查資料(OUT)'!AF93,0)+IFERROR('調查資料(OUT)'!$AJ$1*'調查資料(OUT)'!AJ93,0)</f>
        <v>0</v>
      </c>
      <c r="P87" s="252">
        <f>IFERROR('調查資料(OUT)'!$AC$1*'調查資料(OUT)'!AC93,0)+IFERROR('調查資料(OUT)'!$AG$1*'調查資料(OUT)'!AG93,0)+IFERROR('調查資料(OUT)'!$AK$1*'調查資料(OUT)'!AK93,0)</f>
        <v>0</v>
      </c>
      <c r="Q87" s="50">
        <f t="shared" si="241"/>
        <v>0</v>
      </c>
      <c r="R87" s="50">
        <f>IFERROR('調查資料(OUT)'!$AL$1*'調查資料(OUT)'!AL93,0)+IFERROR('調查資料(OUT)'!$AP$1*'調查資料(OUT)'!AP93,0)+IFERROR('調查資料(OUT)'!$AT$1*'調查資料(OUT)'!AT93,0)</f>
        <v>0</v>
      </c>
      <c r="S87" s="50">
        <f>IFERROR('調查資料(OUT)'!$AM$1*'調查資料(OUT)'!AM93,0)+IFERROR('調查資料(OUT)'!$AQ$1*'調查資料(OUT)'!AQ93,0)+IFERROR('調查資料(OUT)'!$AU$1*'調查資料(OUT)'!AU93,0)</f>
        <v>0</v>
      </c>
      <c r="T87" s="50">
        <f>IFERROR('調查資料(OUT)'!$AN$1*'調查資料(OUT)'!AN93,0)+IFERROR('調查資料(OUT)'!$AR$1*'調查資料(OUT)'!AR93,0)+IFERROR('調查資料(OUT)'!$AV$1*'調查資料(OUT)'!AV93,0)</f>
        <v>0</v>
      </c>
      <c r="U87" s="252">
        <f>IFERROR('調查資料(OUT)'!$AO$1*'調查資料(OUT)'!AO93,0)+IFERROR('調查資料(OUT)'!$AS$1*'調查資料(OUT)'!AS93,0)+IFERROR('調查資料(OUT)'!$AW$1*'調查資料(OUT)'!AW93,0)</f>
        <v>0</v>
      </c>
      <c r="V87" s="50">
        <f t="shared" si="242"/>
        <v>0</v>
      </c>
      <c r="W87" s="50">
        <f>IFERROR('調查資料(OUT)'!$AX$1*'調查資料(OUT)'!AX93,0)+IFERROR('調查資料(OUT)'!$BB$1*'調查資料(OUT)'!BB93,0)+IFERROR('調查資料(OUT)'!$BF$1*'調查資料(OUT)'!BF93,0)</f>
        <v>0</v>
      </c>
      <c r="X87" s="50">
        <f>IFERROR('調查資料(OUT)'!$AY$1*'調查資料(OUT)'!AY93,0)+IFERROR('調查資料(OUT)'!$BC$1*'調查資料(OUT)'!BC93,0)+IFERROR('調查資料(OUT)'!$BG$1*'調查資料(OUT)'!BG93,0)</f>
        <v>0</v>
      </c>
      <c r="Y87" s="50">
        <f>IFERROR('調查資料(OUT)'!$AZ$1*'調查資料(OUT)'!AZ93,0)+IFERROR('調查資料(OUT)'!$BD$1*'調查資料(OUT)'!BD93,0)+IFERROR('調查資料(OUT)'!$BH$1*'調查資料(OUT)'!BH93,0)</f>
        <v>0</v>
      </c>
      <c r="Z87" s="252">
        <f>IFERROR('調查資料(OUT)'!$BA$1*'調查資料(OUT)'!BA93,0)+IFERROR('調查資料(OUT)'!$BE$1*'調查資料(OUT)'!BE93,0)+IFERROR('調查資料(OUT)'!$BI$1*'調查資料(OUT)'!BI93,0)</f>
        <v>0</v>
      </c>
      <c r="AA87" s="253">
        <f t="shared" si="243"/>
        <v>0</v>
      </c>
      <c r="AC87" s="251">
        <f>'調查資料(OUT)'!A93</f>
        <v>2030</v>
      </c>
      <c r="AD87" s="254">
        <f t="shared" si="244"/>
        <v>2130</v>
      </c>
      <c r="AE87" s="50">
        <f t="shared" si="254"/>
        <v>0</v>
      </c>
      <c r="AG87" s="50">
        <f t="shared" si="364"/>
        <v>0</v>
      </c>
      <c r="AH87" s="256" t="e">
        <f t="shared" si="371"/>
        <v>#DIV/0!</v>
      </c>
      <c r="AI87" s="256" t="e">
        <f t="shared" si="365"/>
        <v>#DIV/0!</v>
      </c>
      <c r="AJ87" s="256" t="e">
        <f t="shared" si="366"/>
        <v>#DIV/0!</v>
      </c>
      <c r="AK87" s="256" t="e">
        <f t="shared" si="367"/>
        <v>#DIV/0!</v>
      </c>
      <c r="AL87" s="256" t="e">
        <f t="shared" si="368"/>
        <v>#DIV/0!</v>
      </c>
      <c r="AN87" s="50">
        <f t="shared" si="369"/>
        <v>2030</v>
      </c>
      <c r="AO87" s="252">
        <f t="shared" si="370"/>
        <v>2130</v>
      </c>
      <c r="AP87" s="50">
        <f t="shared" si="245"/>
        <v>0</v>
      </c>
      <c r="AQ87" s="50">
        <f>IF($AN87="N","N",SUM('調查資料(OUT)'!B93:B96))</f>
        <v>0</v>
      </c>
      <c r="AR87" s="50">
        <f>IF($AN87="N","N",SUM('調查資料(OUT)'!F93:F96))</f>
        <v>0</v>
      </c>
      <c r="AS87" s="50">
        <f>IF($AN87="N","N",SUM('調查資料(OUT)'!J93:J96))</f>
        <v>0</v>
      </c>
      <c r="AT87" s="56" t="e">
        <f t="shared" si="309"/>
        <v>#DIV/0!</v>
      </c>
      <c r="AU87" s="50">
        <f t="shared" si="310"/>
        <v>0</v>
      </c>
      <c r="AV87" s="50">
        <f>IF($AN87="N","N",SUM('調查資料(OUT)'!C93:C96))</f>
        <v>0</v>
      </c>
      <c r="AW87" s="50">
        <f>IF($AN87="N","N",SUM('調查資料(OUT)'!G93:G96))</f>
        <v>0</v>
      </c>
      <c r="AX87" s="50">
        <f>IF($AN87="N","N",SUM('調查資料(OUT)'!K93:K96))</f>
        <v>0</v>
      </c>
      <c r="AY87" s="56" t="e">
        <f t="shared" si="311"/>
        <v>#DIV/0!</v>
      </c>
      <c r="AZ87" s="50">
        <f t="shared" si="312"/>
        <v>0</v>
      </c>
      <c r="BA87" s="50">
        <f>IF($AN87="N","N",SUM('調查資料(OUT)'!D93:D96))</f>
        <v>0</v>
      </c>
      <c r="BB87" s="50">
        <f>IF($AN87="N","N",SUM('調查資料(OUT)'!H93:H96))</f>
        <v>0</v>
      </c>
      <c r="BC87" s="50">
        <f>IF($AN87="N","N",SUM('調查資料(OUT)'!L93:L96))</f>
        <v>0</v>
      </c>
      <c r="BD87" s="56" t="e">
        <f t="shared" si="313"/>
        <v>#DIV/0!</v>
      </c>
      <c r="BE87" s="50">
        <f t="shared" si="314"/>
        <v>0</v>
      </c>
      <c r="BF87" s="50">
        <f>IF($AN87="N","N",SUM('調查資料(OUT)'!E93:E96))</f>
        <v>0</v>
      </c>
      <c r="BG87" s="50">
        <f>IF($AN87="N","N",SUM('調查資料(OUT)'!I93:I96))</f>
        <v>0</v>
      </c>
      <c r="BH87" s="50">
        <f>IF($AN87="N","N",SUM('調查資料(OUT)'!M93:M96))</f>
        <v>0</v>
      </c>
      <c r="BI87" s="56" t="e">
        <f t="shared" si="315"/>
        <v>#DIV/0!</v>
      </c>
      <c r="BJ87" s="50">
        <f t="shared" si="255"/>
        <v>0</v>
      </c>
      <c r="BK87" s="56" t="e">
        <f t="shared" si="256"/>
        <v>#DIV/0!</v>
      </c>
      <c r="BL87" s="50">
        <f t="shared" si="257"/>
        <v>0</v>
      </c>
      <c r="BM87" s="56" t="e">
        <f t="shared" si="258"/>
        <v>#DIV/0!</v>
      </c>
      <c r="BN87" s="50">
        <f t="shared" si="259"/>
        <v>0</v>
      </c>
      <c r="BO87" s="56" t="e">
        <f t="shared" si="260"/>
        <v>#DIV/0!</v>
      </c>
      <c r="BP87" s="50">
        <f t="shared" si="261"/>
        <v>0</v>
      </c>
      <c r="BQ87" s="50">
        <f t="shared" si="316"/>
        <v>0</v>
      </c>
      <c r="BR87" s="50">
        <f>IF($AN87="N","N",SUM('調查資料(OUT)'!N93:N96))</f>
        <v>0</v>
      </c>
      <c r="BS87" s="50">
        <f>IF($AN87="N","N",SUM('調查資料(OUT)'!R93:R96))</f>
        <v>0</v>
      </c>
      <c r="BT87" s="50">
        <f>IF($AN87="N","N",SUM('調查資料(OUT)'!V93:V96))</f>
        <v>0</v>
      </c>
      <c r="BU87" s="56" t="e">
        <f t="shared" si="317"/>
        <v>#DIV/0!</v>
      </c>
      <c r="BV87" s="50">
        <f t="shared" si="318"/>
        <v>0</v>
      </c>
      <c r="BW87" s="50">
        <f>IF($AN87="N","N",SUM('調查資料(OUT)'!O93:O96))</f>
        <v>0</v>
      </c>
      <c r="BX87" s="50">
        <f>IF($AN87="N","N",SUM('調查資料(OUT)'!S93:S96))</f>
        <v>0</v>
      </c>
      <c r="BY87" s="50">
        <f>IF($AN87="N","N",SUM('調查資料(OUT)'!W93:W96))</f>
        <v>0</v>
      </c>
      <c r="BZ87" s="56" t="e">
        <f t="shared" si="319"/>
        <v>#DIV/0!</v>
      </c>
      <c r="CA87" s="50">
        <f t="shared" si="320"/>
        <v>0</v>
      </c>
      <c r="CB87" s="50">
        <f>IF($AN87="N","N",SUM('調查資料(OUT)'!P93:P96))</f>
        <v>0</v>
      </c>
      <c r="CC87" s="50">
        <f>IF($AN87="N","N",SUM('調查資料(OUT)'!T93:T96))</f>
        <v>0</v>
      </c>
      <c r="CD87" s="50">
        <f>IF($AN87="N","N",SUM('調查資料(OUT)'!X93:X96))</f>
        <v>0</v>
      </c>
      <c r="CE87" s="56" t="e">
        <f t="shared" si="321"/>
        <v>#DIV/0!</v>
      </c>
      <c r="CF87" s="50">
        <f t="shared" si="322"/>
        <v>0</v>
      </c>
      <c r="CG87" s="50">
        <f>IF($AN87="N","N",SUM('調查資料(OUT)'!Q93:Q96))</f>
        <v>0</v>
      </c>
      <c r="CH87" s="50">
        <f>IF($AN87="N","N",SUM('調查資料(OUT)'!U93:U96))</f>
        <v>0</v>
      </c>
      <c r="CI87" s="50">
        <f>IF($AN87="N","N",SUM('調查資料(OUT)'!Y93:Y96))</f>
        <v>0</v>
      </c>
      <c r="CJ87" s="56" t="e">
        <f t="shared" si="323"/>
        <v>#DIV/0!</v>
      </c>
      <c r="CK87" s="50">
        <f t="shared" si="262"/>
        <v>0</v>
      </c>
      <c r="CL87" s="56" t="e">
        <f t="shared" si="263"/>
        <v>#DIV/0!</v>
      </c>
      <c r="CM87" s="50">
        <f t="shared" si="264"/>
        <v>0</v>
      </c>
      <c r="CN87" s="56" t="e">
        <f t="shared" si="265"/>
        <v>#DIV/0!</v>
      </c>
      <c r="CO87" s="50">
        <f t="shared" si="266"/>
        <v>0</v>
      </c>
      <c r="CP87" s="56" t="e">
        <f t="shared" si="267"/>
        <v>#DIV/0!</v>
      </c>
      <c r="CQ87" s="50">
        <f t="shared" si="268"/>
        <v>0</v>
      </c>
      <c r="CR87" s="50">
        <f t="shared" si="324"/>
        <v>0</v>
      </c>
      <c r="CS87" s="50">
        <f>IF($AN87="N","N",SUM('調查資料(OUT)'!Z93:Z96))</f>
        <v>0</v>
      </c>
      <c r="CT87" s="50">
        <f>IF($AN87="N","N",SUM('調查資料(OUT)'!AD93:AD96))</f>
        <v>0</v>
      </c>
      <c r="CU87" s="50">
        <f>IF($AN87="N","N",SUM('調查資料(OUT)'!AH93:AH96))</f>
        <v>0</v>
      </c>
      <c r="CV87" s="56" t="e">
        <f t="shared" si="325"/>
        <v>#DIV/0!</v>
      </c>
      <c r="CW87" s="50">
        <f t="shared" si="326"/>
        <v>0</v>
      </c>
      <c r="CX87" s="50">
        <f>IF($AN87="N","N",SUM('調查資料(OUT)'!AA93:AA96))</f>
        <v>0</v>
      </c>
      <c r="CY87" s="50">
        <f>IF($AN87="N","N",SUM('調查資料(OUT)'!AE93:AE96))</f>
        <v>0</v>
      </c>
      <c r="CZ87" s="50">
        <f>IF($AN87="N","N",SUM('調查資料(OUT)'!AI93:AI96))</f>
        <v>0</v>
      </c>
      <c r="DA87" s="56" t="e">
        <f t="shared" si="327"/>
        <v>#DIV/0!</v>
      </c>
      <c r="DB87" s="50">
        <f t="shared" si="328"/>
        <v>0</v>
      </c>
      <c r="DC87" s="50">
        <f>IF($AN87="N","N",SUM('調查資料(OUT)'!AB93:AB96))</f>
        <v>0</v>
      </c>
      <c r="DD87" s="50">
        <f>IF($AN87="N","N",SUM('調查資料(OUT)'!AF93:AF96))</f>
        <v>0</v>
      </c>
      <c r="DE87" s="50">
        <f>IF($AN87="N","N",SUM('調查資料(OUT)'!AJ93:AJ96))</f>
        <v>0</v>
      </c>
      <c r="DF87" s="56" t="e">
        <f t="shared" si="329"/>
        <v>#DIV/0!</v>
      </c>
      <c r="DG87" s="50">
        <f t="shared" si="330"/>
        <v>0</v>
      </c>
      <c r="DH87" s="50">
        <f>IF($AN87="N","N",SUM('調查資料(OUT)'!AC93:AC96))</f>
        <v>0</v>
      </c>
      <c r="DI87" s="50">
        <f>IF($AN87="N","N",SUM('調查資料(OUT)'!AG93:AG96))</f>
        <v>0</v>
      </c>
      <c r="DJ87" s="50">
        <f>IF($AN87="N","N",SUM('調查資料(OUT)'!AK93:AK96))</f>
        <v>0</v>
      </c>
      <c r="DK87" s="56" t="e">
        <f t="shared" si="331"/>
        <v>#DIV/0!</v>
      </c>
      <c r="DL87" s="50">
        <f t="shared" si="269"/>
        <v>0</v>
      </c>
      <c r="DM87" s="56" t="e">
        <f t="shared" si="270"/>
        <v>#DIV/0!</v>
      </c>
      <c r="DN87" s="50">
        <f t="shared" si="271"/>
        <v>0</v>
      </c>
      <c r="DO87" s="56" t="e">
        <f t="shared" si="272"/>
        <v>#DIV/0!</v>
      </c>
      <c r="DP87" s="50">
        <f t="shared" si="273"/>
        <v>0</v>
      </c>
      <c r="DQ87" s="56" t="e">
        <f t="shared" si="274"/>
        <v>#DIV/0!</v>
      </c>
      <c r="DR87" s="50">
        <f t="shared" si="275"/>
        <v>0</v>
      </c>
      <c r="DS87" s="50">
        <f t="shared" si="332"/>
        <v>0</v>
      </c>
      <c r="DT87" s="50">
        <f>IF($AN87="N","N",SUM('調查資料(OUT)'!AL93:AL96))</f>
        <v>0</v>
      </c>
      <c r="DU87" s="50">
        <f>IF($AN87="N","N",SUM('調查資料(OUT)'!AP93:AP96))</f>
        <v>0</v>
      </c>
      <c r="DV87" s="50">
        <f>IF($AN87="N","N",SUM('調查資料(OUT)'!AT93:AT96))</f>
        <v>0</v>
      </c>
      <c r="DW87" s="56" t="e">
        <f t="shared" si="333"/>
        <v>#DIV/0!</v>
      </c>
      <c r="DX87" s="50">
        <f t="shared" si="334"/>
        <v>0</v>
      </c>
      <c r="DY87" s="50">
        <f>IF($AN87="N","N",SUM('調查資料(OUT)'!AM93:AM96))</f>
        <v>0</v>
      </c>
      <c r="DZ87" s="50">
        <f>IF($AN87="N","N",SUM('調查資料(OUT)'!AQ93:AQ96))</f>
        <v>0</v>
      </c>
      <c r="EA87" s="50">
        <f>IF($AN87="N","N",SUM('調查資料(OUT)'!AU93:AU96))</f>
        <v>0</v>
      </c>
      <c r="EB87" s="56" t="e">
        <f t="shared" si="335"/>
        <v>#DIV/0!</v>
      </c>
      <c r="EC87" s="50">
        <f t="shared" si="336"/>
        <v>0</v>
      </c>
      <c r="ED87" s="50">
        <f>IF($AN87="N","N",SUM('調查資料(OUT)'!AN93:AN96))</f>
        <v>0</v>
      </c>
      <c r="EE87" s="50">
        <f>IF($AN87="N","N",SUM('調查資料(OUT)'!AR93:AR96))</f>
        <v>0</v>
      </c>
      <c r="EF87" s="50">
        <f>IF($AN87="N","N",SUM('調查資料(OUT)'!AV93:AV96))</f>
        <v>0</v>
      </c>
      <c r="EG87" s="56" t="e">
        <f t="shared" si="337"/>
        <v>#DIV/0!</v>
      </c>
      <c r="EH87" s="50">
        <f t="shared" si="338"/>
        <v>0</v>
      </c>
      <c r="EI87" s="50">
        <f>IF($AN87="N","N",SUM('調查資料(OUT)'!AO93:AO96))</f>
        <v>0</v>
      </c>
      <c r="EJ87" s="50">
        <f>IF($AN87="N","N",SUM('調查資料(OUT)'!AS93:AS96))</f>
        <v>0</v>
      </c>
      <c r="EK87" s="50">
        <f>IF($AN87="N","N",SUM('調查資料(OUT)'!AW93:AW96))</f>
        <v>0</v>
      </c>
      <c r="EL87" s="56" t="e">
        <f t="shared" si="339"/>
        <v>#DIV/0!</v>
      </c>
      <c r="EM87" s="50">
        <f t="shared" si="276"/>
        <v>0</v>
      </c>
      <c r="EN87" s="56" t="e">
        <f t="shared" si="277"/>
        <v>#DIV/0!</v>
      </c>
      <c r="EO87" s="50">
        <f t="shared" si="278"/>
        <v>0</v>
      </c>
      <c r="EP87" s="56" t="e">
        <f t="shared" si="279"/>
        <v>#DIV/0!</v>
      </c>
      <c r="EQ87" s="50">
        <f t="shared" si="280"/>
        <v>0</v>
      </c>
      <c r="ER87" s="56" t="e">
        <f t="shared" si="281"/>
        <v>#DIV/0!</v>
      </c>
      <c r="ES87" s="50">
        <f t="shared" si="282"/>
        <v>0</v>
      </c>
      <c r="ET87" s="50">
        <f t="shared" si="340"/>
        <v>0</v>
      </c>
      <c r="EU87" s="50">
        <f>IF($AN87="N","N",SUM('調查資料(OUT)'!AX93:AX96))</f>
        <v>0</v>
      </c>
      <c r="EV87" s="50">
        <f>IF($AN87="N","N",SUM('調查資料(OUT)'!BB93:BB96))</f>
        <v>0</v>
      </c>
      <c r="EW87" s="50">
        <f>IF($AN87="N","N",SUM('調查資料(OUT)'!BF93:BF96))</f>
        <v>0</v>
      </c>
      <c r="EX87" s="56" t="e">
        <f t="shared" si="341"/>
        <v>#DIV/0!</v>
      </c>
      <c r="EY87" s="50">
        <f t="shared" si="342"/>
        <v>0</v>
      </c>
      <c r="EZ87" s="50">
        <f>IF($AN87="N","N",SUM('調查資料(OUT)'!AY93:AY96))</f>
        <v>0</v>
      </c>
      <c r="FA87" s="50">
        <f>IF($AN87="N","N",SUM('調查資料(OUT)'!BC93:BC96))</f>
        <v>0</v>
      </c>
      <c r="FB87" s="50">
        <f>IF($AN87="N","N",SUM('調查資料(OUT)'!BG93:BG96))</f>
        <v>0</v>
      </c>
      <c r="FC87" s="56" t="e">
        <f t="shared" si="343"/>
        <v>#DIV/0!</v>
      </c>
      <c r="FD87" s="50">
        <f t="shared" si="344"/>
        <v>0</v>
      </c>
      <c r="FE87" s="50">
        <f>IF($AN87="N","N",SUM('調查資料(OUT)'!AZ93:AZ96))</f>
        <v>0</v>
      </c>
      <c r="FF87" s="50">
        <f>IF($AN87="N","N",SUM('調查資料(OUT)'!BD93:BD96))</f>
        <v>0</v>
      </c>
      <c r="FG87" s="50">
        <f>IF($AN87="N","N",SUM('調查資料(OUT)'!BH93:BH96))</f>
        <v>0</v>
      </c>
      <c r="FH87" s="56" t="e">
        <f t="shared" si="345"/>
        <v>#DIV/0!</v>
      </c>
      <c r="FI87" s="50">
        <f t="shared" si="346"/>
        <v>0</v>
      </c>
      <c r="FJ87" s="50">
        <f>IF($AN87="N","N",SUM('調查資料(OUT)'!BA93:BA96))</f>
        <v>0</v>
      </c>
      <c r="FK87" s="50">
        <f>IF($AN87="N","N",SUM('調查資料(OUT)'!BE93:BE96))</f>
        <v>0</v>
      </c>
      <c r="FL87" s="50">
        <f>IF($AN87="N","N",SUM('調查資料(OUT)'!BI93:BI96))</f>
        <v>0</v>
      </c>
      <c r="FM87" s="56" t="e">
        <f t="shared" si="347"/>
        <v>#DIV/0!</v>
      </c>
      <c r="FN87" s="50">
        <f t="shared" si="246"/>
        <v>0</v>
      </c>
      <c r="FO87" s="56" t="e">
        <f t="shared" si="247"/>
        <v>#DIV/0!</v>
      </c>
      <c r="FP87" s="50">
        <f t="shared" si="248"/>
        <v>0</v>
      </c>
      <c r="FQ87" s="56" t="e">
        <f t="shared" si="249"/>
        <v>#DIV/0!</v>
      </c>
      <c r="FR87" s="50">
        <f t="shared" si="250"/>
        <v>0</v>
      </c>
      <c r="FS87" s="56" t="e">
        <f t="shared" si="251"/>
        <v>#DIV/0!</v>
      </c>
      <c r="FT87" s="50">
        <f t="shared" si="252"/>
        <v>0</v>
      </c>
    </row>
    <row r="88" spans="1:176">
      <c r="A88" s="274">
        <f>'調查資料(OUT)'!A94</f>
        <v>2045</v>
      </c>
      <c r="B88" s="50">
        <f t="shared" si="238"/>
        <v>0</v>
      </c>
      <c r="C88" s="50">
        <f>IFERROR('調查資料(OUT)'!$B$1*'調查資料(OUT)'!B94,0)+IFERROR('調查資料(OUT)'!$F$1*'調查資料(OUT)'!F94,0)+IFERROR('調查資料(OUT)'!$J$1*'調查資料(OUT)'!J94,0)</f>
        <v>0</v>
      </c>
      <c r="D88" s="50">
        <f>IFERROR('調查資料(OUT)'!$C$1*'調查資料(OUT)'!C94,0)+IFERROR('調查資料(OUT)'!$G$1*'調查資料(OUT)'!G94,0)+IFERROR('調查資料(OUT)'!$K$1*'調查資料(OUT)'!K94,0)</f>
        <v>0</v>
      </c>
      <c r="E88" s="50">
        <f>IFERROR('調查資料(OUT)'!$D$1*'調查資料(OUT)'!D94,0)+IFERROR('調查資料(OUT)'!$H$1*'調查資料(OUT)'!H94,0)+IFERROR('調查資料(OUT)'!$L$1*'調查資料(OUT)'!L94,0)</f>
        <v>0</v>
      </c>
      <c r="F88" s="252">
        <f>IFERROR('調查資料(OUT)'!$E$1*'調查資料(OUT)'!E94,0)+IFERROR('調查資料(OUT)'!$I$1*'調查資料(OUT)'!I94,0)+IFERROR('調查資料(OUT)'!$M$1*'調查資料(OUT)'!M94,0)</f>
        <v>0</v>
      </c>
      <c r="G88" s="50">
        <f t="shared" si="239"/>
        <v>0</v>
      </c>
      <c r="H88" s="50">
        <f>IFERROR('調查資料(OUT)'!$N$1*'調查資料(OUT)'!N94,0)+IFERROR('調查資料(OUT)'!$R$1*'調查資料(OUT)'!R94,0)+IFERROR('調查資料(OUT)'!$V$1*'調查資料(OUT)'!V94,0)</f>
        <v>0</v>
      </c>
      <c r="I88" s="50">
        <f>IFERROR('調查資料(OUT)'!$O$1*'調查資料(OUT)'!O94,0)+IFERROR('調查資料(OUT)'!$S$1*'調查資料(OUT)'!S94,0)+IFERROR('調查資料(OUT)'!$W$1*'調查資料(OUT)'!W94,0)</f>
        <v>0</v>
      </c>
      <c r="J88" s="50">
        <f>IFERROR('調查資料(OUT)'!$P$1*'調查資料(OUT)'!P94,0)+IFERROR('調查資料(OUT)'!$T$1*'調查資料(OUT)'!T94,0)+IFERROR('調查資料(OUT)'!$X$1*'調查資料(OUT)'!X94,0)</f>
        <v>0</v>
      </c>
      <c r="K88" s="252">
        <f>IFERROR('調查資料(OUT)'!$Q$1*'調查資料(OUT)'!Q94,0)+IFERROR('調查資料(OUT)'!$U$1*'調查資料(OUT)'!U94,0)+IFERROR('調查資料(OUT)'!$Y$1*'調查資料(OUT)'!Y94,0)</f>
        <v>0</v>
      </c>
      <c r="L88" s="50">
        <f t="shared" si="240"/>
        <v>0</v>
      </c>
      <c r="M88" s="50">
        <f>IFERROR('調查資料(OUT)'!$Z$1*'調查資料(OUT)'!Z94,0)+IFERROR('調查資料(OUT)'!$AD$1*'調查資料(OUT)'!AD94,0)+IFERROR('調查資料(OUT)'!$AH$1*'調查資料(OUT)'!AH94,0)</f>
        <v>0</v>
      </c>
      <c r="N88" s="50">
        <f>IFERROR('調查資料(OUT)'!$AA$1*'調查資料(OUT)'!AA94,0)+IFERROR('調查資料(OUT)'!$AE$1*'調查資料(OUT)'!AE94,0)+IFERROR('調查資料(OUT)'!$AI$1*'調查資料(OUT)'!AI94,0)</f>
        <v>0</v>
      </c>
      <c r="O88" s="50">
        <f>IFERROR('調查資料(OUT)'!$AB$1*'調查資料(OUT)'!AB94,0)+IFERROR('調查資料(OUT)'!$AF$1*'調查資料(OUT)'!AF94,0)+IFERROR('調查資料(OUT)'!$AJ$1*'調查資料(OUT)'!AJ94,0)</f>
        <v>0</v>
      </c>
      <c r="P88" s="252">
        <f>IFERROR('調查資料(OUT)'!$AC$1*'調查資料(OUT)'!AC94,0)+IFERROR('調查資料(OUT)'!$AG$1*'調查資料(OUT)'!AG94,0)+IFERROR('調查資料(OUT)'!$AK$1*'調查資料(OUT)'!AK94,0)</f>
        <v>0</v>
      </c>
      <c r="Q88" s="50">
        <f t="shared" si="241"/>
        <v>0</v>
      </c>
      <c r="R88" s="50">
        <f>IFERROR('調查資料(OUT)'!$AL$1*'調查資料(OUT)'!AL94,0)+IFERROR('調查資料(OUT)'!$AP$1*'調查資料(OUT)'!AP94,0)+IFERROR('調查資料(OUT)'!$AT$1*'調查資料(OUT)'!AT94,0)</f>
        <v>0</v>
      </c>
      <c r="S88" s="50">
        <f>IFERROR('調查資料(OUT)'!$AM$1*'調查資料(OUT)'!AM94,0)+IFERROR('調查資料(OUT)'!$AQ$1*'調查資料(OUT)'!AQ94,0)+IFERROR('調查資料(OUT)'!$AU$1*'調查資料(OUT)'!AU94,0)</f>
        <v>0</v>
      </c>
      <c r="T88" s="50">
        <f>IFERROR('調查資料(OUT)'!$AN$1*'調查資料(OUT)'!AN94,0)+IFERROR('調查資料(OUT)'!$AR$1*'調查資料(OUT)'!AR94,0)+IFERROR('調查資料(OUT)'!$AV$1*'調查資料(OUT)'!AV94,0)</f>
        <v>0</v>
      </c>
      <c r="U88" s="252">
        <f>IFERROR('調查資料(OUT)'!$AO$1*'調查資料(OUT)'!AO94,0)+IFERROR('調查資料(OUT)'!$AS$1*'調查資料(OUT)'!AS94,0)+IFERROR('調查資料(OUT)'!$AW$1*'調查資料(OUT)'!AW94,0)</f>
        <v>0</v>
      </c>
      <c r="V88" s="50">
        <f t="shared" si="242"/>
        <v>0</v>
      </c>
      <c r="W88" s="50">
        <f>IFERROR('調查資料(OUT)'!$AX$1*'調查資料(OUT)'!AX94,0)+IFERROR('調查資料(OUT)'!$BB$1*'調查資料(OUT)'!BB94,0)+IFERROR('調查資料(OUT)'!$BF$1*'調查資料(OUT)'!BF94,0)</f>
        <v>0</v>
      </c>
      <c r="X88" s="50">
        <f>IFERROR('調查資料(OUT)'!$AY$1*'調查資料(OUT)'!AY94,0)+IFERROR('調查資料(OUT)'!$BC$1*'調查資料(OUT)'!BC94,0)+IFERROR('調查資料(OUT)'!$BG$1*'調查資料(OUT)'!BG94,0)</f>
        <v>0</v>
      </c>
      <c r="Y88" s="50">
        <f>IFERROR('調查資料(OUT)'!$AZ$1*'調查資料(OUT)'!AZ94,0)+IFERROR('調查資料(OUT)'!$BD$1*'調查資料(OUT)'!BD94,0)+IFERROR('調查資料(OUT)'!$BH$1*'調查資料(OUT)'!BH94,0)</f>
        <v>0</v>
      </c>
      <c r="Z88" s="252">
        <f>IFERROR('調查資料(OUT)'!$BA$1*'調查資料(OUT)'!BA94,0)+IFERROR('調查資料(OUT)'!$BE$1*'調查資料(OUT)'!BE94,0)+IFERROR('調查資料(OUT)'!$BI$1*'調查資料(OUT)'!BI94,0)</f>
        <v>0</v>
      </c>
      <c r="AA88" s="253">
        <f t="shared" si="243"/>
        <v>0</v>
      </c>
      <c r="AC88" s="251">
        <f>'調查資料(OUT)'!A94</f>
        <v>2045</v>
      </c>
      <c r="AD88" s="254">
        <f t="shared" si="244"/>
        <v>2145</v>
      </c>
      <c r="AE88" s="50">
        <f t="shared" si="254"/>
        <v>0</v>
      </c>
      <c r="AG88" s="50">
        <f t="shared" si="364"/>
        <v>0</v>
      </c>
      <c r="AH88" s="256" t="e">
        <f t="shared" si="371"/>
        <v>#DIV/0!</v>
      </c>
      <c r="AI88" s="256" t="e">
        <f t="shared" si="365"/>
        <v>#DIV/0!</v>
      </c>
      <c r="AJ88" s="256" t="e">
        <f t="shared" si="366"/>
        <v>#DIV/0!</v>
      </c>
      <c r="AK88" s="256" t="e">
        <f t="shared" si="367"/>
        <v>#DIV/0!</v>
      </c>
      <c r="AL88" s="256" t="e">
        <f t="shared" si="368"/>
        <v>#DIV/0!</v>
      </c>
      <c r="AN88" s="50">
        <f t="shared" si="369"/>
        <v>2045</v>
      </c>
      <c r="AO88" s="252">
        <f t="shared" si="370"/>
        <v>2145</v>
      </c>
      <c r="AP88" s="50">
        <f t="shared" si="245"/>
        <v>0</v>
      </c>
      <c r="AQ88" s="50">
        <f>IF($AN88="N","N",SUM('調查資料(OUT)'!B94:B97))</f>
        <v>0</v>
      </c>
      <c r="AR88" s="50">
        <f>IF($AN88="N","N",SUM('調查資料(OUT)'!F94:F97))</f>
        <v>0</v>
      </c>
      <c r="AS88" s="50">
        <f>IF($AN88="N","N",SUM('調查資料(OUT)'!J94:J97))</f>
        <v>0</v>
      </c>
      <c r="AT88" s="56" t="e">
        <f t="shared" si="309"/>
        <v>#DIV/0!</v>
      </c>
      <c r="AU88" s="50">
        <f t="shared" si="310"/>
        <v>0</v>
      </c>
      <c r="AV88" s="50">
        <f>IF($AN88="N","N",SUM('調查資料(OUT)'!C94:C97))</f>
        <v>0</v>
      </c>
      <c r="AW88" s="50">
        <f>IF($AN88="N","N",SUM('調查資料(OUT)'!G94:G97))</f>
        <v>0</v>
      </c>
      <c r="AX88" s="50">
        <f>IF($AN88="N","N",SUM('調查資料(OUT)'!K94:K97))</f>
        <v>0</v>
      </c>
      <c r="AY88" s="56" t="e">
        <f t="shared" si="311"/>
        <v>#DIV/0!</v>
      </c>
      <c r="AZ88" s="50">
        <f t="shared" si="312"/>
        <v>0</v>
      </c>
      <c r="BA88" s="50">
        <f>IF($AN88="N","N",SUM('調查資料(OUT)'!D94:D97))</f>
        <v>0</v>
      </c>
      <c r="BB88" s="50">
        <f>IF($AN88="N","N",SUM('調查資料(OUT)'!H94:H97))</f>
        <v>0</v>
      </c>
      <c r="BC88" s="50">
        <f>IF($AN88="N","N",SUM('調查資料(OUT)'!L94:L97))</f>
        <v>0</v>
      </c>
      <c r="BD88" s="56" t="e">
        <f t="shared" si="313"/>
        <v>#DIV/0!</v>
      </c>
      <c r="BE88" s="50">
        <f t="shared" si="314"/>
        <v>0</v>
      </c>
      <c r="BF88" s="50">
        <f>IF($AN88="N","N",SUM('調查資料(OUT)'!E94:E97))</f>
        <v>0</v>
      </c>
      <c r="BG88" s="50">
        <f>IF($AN88="N","N",SUM('調查資料(OUT)'!I94:I97))</f>
        <v>0</v>
      </c>
      <c r="BH88" s="50">
        <f>IF($AN88="N","N",SUM('調查資料(OUT)'!M94:M97))</f>
        <v>0</v>
      </c>
      <c r="BI88" s="56" t="e">
        <f t="shared" si="315"/>
        <v>#DIV/0!</v>
      </c>
      <c r="BJ88" s="50">
        <f t="shared" si="255"/>
        <v>0</v>
      </c>
      <c r="BK88" s="56" t="e">
        <f t="shared" si="256"/>
        <v>#DIV/0!</v>
      </c>
      <c r="BL88" s="50">
        <f t="shared" si="257"/>
        <v>0</v>
      </c>
      <c r="BM88" s="56" t="e">
        <f t="shared" si="258"/>
        <v>#DIV/0!</v>
      </c>
      <c r="BN88" s="50">
        <f t="shared" si="259"/>
        <v>0</v>
      </c>
      <c r="BO88" s="56" t="e">
        <f t="shared" si="260"/>
        <v>#DIV/0!</v>
      </c>
      <c r="BP88" s="50">
        <f t="shared" si="261"/>
        <v>0</v>
      </c>
      <c r="BQ88" s="50">
        <f t="shared" si="316"/>
        <v>0</v>
      </c>
      <c r="BR88" s="50">
        <f>IF($AN88="N","N",SUM('調查資料(OUT)'!N94:N97))</f>
        <v>0</v>
      </c>
      <c r="BS88" s="50">
        <f>IF($AN88="N","N",SUM('調查資料(OUT)'!R94:R97))</f>
        <v>0</v>
      </c>
      <c r="BT88" s="50">
        <f>IF($AN88="N","N",SUM('調查資料(OUT)'!V94:V97))</f>
        <v>0</v>
      </c>
      <c r="BU88" s="56" t="e">
        <f t="shared" si="317"/>
        <v>#DIV/0!</v>
      </c>
      <c r="BV88" s="50">
        <f t="shared" si="318"/>
        <v>0</v>
      </c>
      <c r="BW88" s="50">
        <f>IF($AN88="N","N",SUM('調查資料(OUT)'!O94:O97))</f>
        <v>0</v>
      </c>
      <c r="BX88" s="50">
        <f>IF($AN88="N","N",SUM('調查資料(OUT)'!S94:S97))</f>
        <v>0</v>
      </c>
      <c r="BY88" s="50">
        <f>IF($AN88="N","N",SUM('調查資料(OUT)'!W94:W97))</f>
        <v>0</v>
      </c>
      <c r="BZ88" s="56" t="e">
        <f t="shared" si="319"/>
        <v>#DIV/0!</v>
      </c>
      <c r="CA88" s="50">
        <f t="shared" si="320"/>
        <v>0</v>
      </c>
      <c r="CB88" s="50">
        <f>IF($AN88="N","N",SUM('調查資料(OUT)'!P94:P97))</f>
        <v>0</v>
      </c>
      <c r="CC88" s="50">
        <f>IF($AN88="N","N",SUM('調查資料(OUT)'!T94:T97))</f>
        <v>0</v>
      </c>
      <c r="CD88" s="50">
        <f>IF($AN88="N","N",SUM('調查資料(OUT)'!X94:X97))</f>
        <v>0</v>
      </c>
      <c r="CE88" s="56" t="e">
        <f t="shared" si="321"/>
        <v>#DIV/0!</v>
      </c>
      <c r="CF88" s="50">
        <f t="shared" si="322"/>
        <v>0</v>
      </c>
      <c r="CG88" s="50">
        <f>IF($AN88="N","N",SUM('調查資料(OUT)'!Q94:Q97))</f>
        <v>0</v>
      </c>
      <c r="CH88" s="50">
        <f>IF($AN88="N","N",SUM('調查資料(OUT)'!U94:U97))</f>
        <v>0</v>
      </c>
      <c r="CI88" s="50">
        <f>IF($AN88="N","N",SUM('調查資料(OUT)'!Y94:Y97))</f>
        <v>0</v>
      </c>
      <c r="CJ88" s="56" t="e">
        <f t="shared" si="323"/>
        <v>#DIV/0!</v>
      </c>
      <c r="CK88" s="50">
        <f t="shared" si="262"/>
        <v>0</v>
      </c>
      <c r="CL88" s="56" t="e">
        <f t="shared" si="263"/>
        <v>#DIV/0!</v>
      </c>
      <c r="CM88" s="50">
        <f t="shared" si="264"/>
        <v>0</v>
      </c>
      <c r="CN88" s="56" t="e">
        <f t="shared" si="265"/>
        <v>#DIV/0!</v>
      </c>
      <c r="CO88" s="50">
        <f t="shared" si="266"/>
        <v>0</v>
      </c>
      <c r="CP88" s="56" t="e">
        <f t="shared" si="267"/>
        <v>#DIV/0!</v>
      </c>
      <c r="CQ88" s="50">
        <f t="shared" si="268"/>
        <v>0</v>
      </c>
      <c r="CR88" s="50">
        <f t="shared" si="324"/>
        <v>0</v>
      </c>
      <c r="CS88" s="50">
        <f>IF($AN88="N","N",SUM('調查資料(OUT)'!Z94:Z97))</f>
        <v>0</v>
      </c>
      <c r="CT88" s="50">
        <f>IF($AN88="N","N",SUM('調查資料(OUT)'!AD94:AD97))</f>
        <v>0</v>
      </c>
      <c r="CU88" s="50">
        <f>IF($AN88="N","N",SUM('調查資料(OUT)'!AH94:AH97))</f>
        <v>0</v>
      </c>
      <c r="CV88" s="56" t="e">
        <f t="shared" si="325"/>
        <v>#DIV/0!</v>
      </c>
      <c r="CW88" s="50">
        <f t="shared" si="326"/>
        <v>0</v>
      </c>
      <c r="CX88" s="50">
        <f>IF($AN88="N","N",SUM('調查資料(OUT)'!AA94:AA97))</f>
        <v>0</v>
      </c>
      <c r="CY88" s="50">
        <f>IF($AN88="N","N",SUM('調查資料(OUT)'!AE94:AE97))</f>
        <v>0</v>
      </c>
      <c r="CZ88" s="50">
        <f>IF($AN88="N","N",SUM('調查資料(OUT)'!AI94:AI97))</f>
        <v>0</v>
      </c>
      <c r="DA88" s="56" t="e">
        <f t="shared" si="327"/>
        <v>#DIV/0!</v>
      </c>
      <c r="DB88" s="50">
        <f t="shared" si="328"/>
        <v>0</v>
      </c>
      <c r="DC88" s="50">
        <f>IF($AN88="N","N",SUM('調查資料(OUT)'!AB94:AB97))</f>
        <v>0</v>
      </c>
      <c r="DD88" s="50">
        <f>IF($AN88="N","N",SUM('調查資料(OUT)'!AF94:AF97))</f>
        <v>0</v>
      </c>
      <c r="DE88" s="50">
        <f>IF($AN88="N","N",SUM('調查資料(OUT)'!AJ94:AJ97))</f>
        <v>0</v>
      </c>
      <c r="DF88" s="56" t="e">
        <f t="shared" si="329"/>
        <v>#DIV/0!</v>
      </c>
      <c r="DG88" s="50">
        <f t="shared" si="330"/>
        <v>0</v>
      </c>
      <c r="DH88" s="50">
        <f>IF($AN88="N","N",SUM('調查資料(OUT)'!AC94:AC97))</f>
        <v>0</v>
      </c>
      <c r="DI88" s="50">
        <f>IF($AN88="N","N",SUM('調查資料(OUT)'!AG94:AG97))</f>
        <v>0</v>
      </c>
      <c r="DJ88" s="50">
        <f>IF($AN88="N","N",SUM('調查資料(OUT)'!AK94:AK97))</f>
        <v>0</v>
      </c>
      <c r="DK88" s="56" t="e">
        <f t="shared" si="331"/>
        <v>#DIV/0!</v>
      </c>
      <c r="DL88" s="50">
        <f t="shared" si="269"/>
        <v>0</v>
      </c>
      <c r="DM88" s="56" t="e">
        <f t="shared" si="270"/>
        <v>#DIV/0!</v>
      </c>
      <c r="DN88" s="50">
        <f t="shared" si="271"/>
        <v>0</v>
      </c>
      <c r="DO88" s="56" t="e">
        <f t="shared" si="272"/>
        <v>#DIV/0!</v>
      </c>
      <c r="DP88" s="50">
        <f t="shared" si="273"/>
        <v>0</v>
      </c>
      <c r="DQ88" s="56" t="e">
        <f t="shared" si="274"/>
        <v>#DIV/0!</v>
      </c>
      <c r="DR88" s="50">
        <f t="shared" si="275"/>
        <v>0</v>
      </c>
      <c r="DS88" s="50">
        <f t="shared" si="332"/>
        <v>0</v>
      </c>
      <c r="DT88" s="50">
        <f>IF($AN88="N","N",SUM('調查資料(OUT)'!AL94:AL97))</f>
        <v>0</v>
      </c>
      <c r="DU88" s="50">
        <f>IF($AN88="N","N",SUM('調查資料(OUT)'!AP94:AP97))</f>
        <v>0</v>
      </c>
      <c r="DV88" s="50">
        <f>IF($AN88="N","N",SUM('調查資料(OUT)'!AT94:AT97))</f>
        <v>0</v>
      </c>
      <c r="DW88" s="56" t="e">
        <f t="shared" si="333"/>
        <v>#DIV/0!</v>
      </c>
      <c r="DX88" s="50">
        <f t="shared" si="334"/>
        <v>0</v>
      </c>
      <c r="DY88" s="50">
        <f>IF($AN88="N","N",SUM('調查資料(OUT)'!AM94:AM97))</f>
        <v>0</v>
      </c>
      <c r="DZ88" s="50">
        <f>IF($AN88="N","N",SUM('調查資料(OUT)'!AQ94:AQ97))</f>
        <v>0</v>
      </c>
      <c r="EA88" s="50">
        <f>IF($AN88="N","N",SUM('調查資料(OUT)'!AU94:AU97))</f>
        <v>0</v>
      </c>
      <c r="EB88" s="56" t="e">
        <f t="shared" si="335"/>
        <v>#DIV/0!</v>
      </c>
      <c r="EC88" s="50">
        <f t="shared" si="336"/>
        <v>0</v>
      </c>
      <c r="ED88" s="50">
        <f>IF($AN88="N","N",SUM('調查資料(OUT)'!AN94:AN97))</f>
        <v>0</v>
      </c>
      <c r="EE88" s="50">
        <f>IF($AN88="N","N",SUM('調查資料(OUT)'!AR94:AR97))</f>
        <v>0</v>
      </c>
      <c r="EF88" s="50">
        <f>IF($AN88="N","N",SUM('調查資料(OUT)'!AV94:AV97))</f>
        <v>0</v>
      </c>
      <c r="EG88" s="56" t="e">
        <f t="shared" si="337"/>
        <v>#DIV/0!</v>
      </c>
      <c r="EH88" s="50">
        <f t="shared" si="338"/>
        <v>0</v>
      </c>
      <c r="EI88" s="50">
        <f>IF($AN88="N","N",SUM('調查資料(OUT)'!AO94:AO97))</f>
        <v>0</v>
      </c>
      <c r="EJ88" s="50">
        <f>IF($AN88="N","N",SUM('調查資料(OUT)'!AS94:AS97))</f>
        <v>0</v>
      </c>
      <c r="EK88" s="50">
        <f>IF($AN88="N","N",SUM('調查資料(OUT)'!AW94:AW97))</f>
        <v>0</v>
      </c>
      <c r="EL88" s="56" t="e">
        <f t="shared" si="339"/>
        <v>#DIV/0!</v>
      </c>
      <c r="EM88" s="50">
        <f t="shared" si="276"/>
        <v>0</v>
      </c>
      <c r="EN88" s="56" t="e">
        <f t="shared" si="277"/>
        <v>#DIV/0!</v>
      </c>
      <c r="EO88" s="50">
        <f t="shared" si="278"/>
        <v>0</v>
      </c>
      <c r="EP88" s="56" t="e">
        <f t="shared" si="279"/>
        <v>#DIV/0!</v>
      </c>
      <c r="EQ88" s="50">
        <f t="shared" si="280"/>
        <v>0</v>
      </c>
      <c r="ER88" s="56" t="e">
        <f t="shared" si="281"/>
        <v>#DIV/0!</v>
      </c>
      <c r="ES88" s="50">
        <f t="shared" si="282"/>
        <v>0</v>
      </c>
      <c r="ET88" s="50">
        <f t="shared" si="340"/>
        <v>0</v>
      </c>
      <c r="EU88" s="50">
        <f>IF($AN88="N","N",SUM('調查資料(OUT)'!AX94:AX97))</f>
        <v>0</v>
      </c>
      <c r="EV88" s="50">
        <f>IF($AN88="N","N",SUM('調查資料(OUT)'!BB94:BB97))</f>
        <v>0</v>
      </c>
      <c r="EW88" s="50">
        <f>IF($AN88="N","N",SUM('調查資料(OUT)'!BF94:BF97))</f>
        <v>0</v>
      </c>
      <c r="EX88" s="56" t="e">
        <f t="shared" si="341"/>
        <v>#DIV/0!</v>
      </c>
      <c r="EY88" s="50">
        <f t="shared" si="342"/>
        <v>0</v>
      </c>
      <c r="EZ88" s="50">
        <f>IF($AN88="N","N",SUM('調查資料(OUT)'!AY94:AY97))</f>
        <v>0</v>
      </c>
      <c r="FA88" s="50">
        <f>IF($AN88="N","N",SUM('調查資料(OUT)'!BC94:BC97))</f>
        <v>0</v>
      </c>
      <c r="FB88" s="50">
        <f>IF($AN88="N","N",SUM('調查資料(OUT)'!BG94:BG97))</f>
        <v>0</v>
      </c>
      <c r="FC88" s="56" t="e">
        <f t="shared" si="343"/>
        <v>#DIV/0!</v>
      </c>
      <c r="FD88" s="50">
        <f t="shared" si="344"/>
        <v>0</v>
      </c>
      <c r="FE88" s="50">
        <f>IF($AN88="N","N",SUM('調查資料(OUT)'!AZ94:AZ97))</f>
        <v>0</v>
      </c>
      <c r="FF88" s="50">
        <f>IF($AN88="N","N",SUM('調查資料(OUT)'!BD94:BD97))</f>
        <v>0</v>
      </c>
      <c r="FG88" s="50">
        <f>IF($AN88="N","N",SUM('調查資料(OUT)'!BH94:BH97))</f>
        <v>0</v>
      </c>
      <c r="FH88" s="56" t="e">
        <f t="shared" si="345"/>
        <v>#DIV/0!</v>
      </c>
      <c r="FI88" s="50">
        <f t="shared" si="346"/>
        <v>0</v>
      </c>
      <c r="FJ88" s="50">
        <f>IF($AN88="N","N",SUM('調查資料(OUT)'!BA94:BA97))</f>
        <v>0</v>
      </c>
      <c r="FK88" s="50">
        <f>IF($AN88="N","N",SUM('調查資料(OUT)'!BE94:BE97))</f>
        <v>0</v>
      </c>
      <c r="FL88" s="50">
        <f>IF($AN88="N","N",SUM('調查資料(OUT)'!BI94:BI97))</f>
        <v>0</v>
      </c>
      <c r="FM88" s="56" t="e">
        <f t="shared" si="347"/>
        <v>#DIV/0!</v>
      </c>
      <c r="FN88" s="50">
        <f t="shared" si="246"/>
        <v>0</v>
      </c>
      <c r="FO88" s="56" t="e">
        <f t="shared" si="247"/>
        <v>#DIV/0!</v>
      </c>
      <c r="FP88" s="50">
        <f t="shared" si="248"/>
        <v>0</v>
      </c>
      <c r="FQ88" s="56" t="e">
        <f t="shared" si="249"/>
        <v>#DIV/0!</v>
      </c>
      <c r="FR88" s="50">
        <f t="shared" si="250"/>
        <v>0</v>
      </c>
      <c r="FS88" s="56" t="e">
        <f t="shared" si="251"/>
        <v>#DIV/0!</v>
      </c>
      <c r="FT88" s="50">
        <f t="shared" si="252"/>
        <v>0</v>
      </c>
    </row>
    <row r="89" spans="1:176">
      <c r="A89" s="274">
        <f>'調查資料(OUT)'!A95</f>
        <v>2100</v>
      </c>
      <c r="B89" s="50">
        <f t="shared" si="238"/>
        <v>0</v>
      </c>
      <c r="C89" s="50">
        <f>IFERROR('調查資料(OUT)'!$B$1*'調查資料(OUT)'!B95,0)+IFERROR('調查資料(OUT)'!$F$1*'調查資料(OUT)'!F95,0)+IFERROR('調查資料(OUT)'!$J$1*'調查資料(OUT)'!J95,0)</f>
        <v>0</v>
      </c>
      <c r="D89" s="50">
        <f>IFERROR('調查資料(OUT)'!$C$1*'調查資料(OUT)'!C95,0)+IFERROR('調查資料(OUT)'!$G$1*'調查資料(OUT)'!G95,0)+IFERROR('調查資料(OUT)'!$K$1*'調查資料(OUT)'!K95,0)</f>
        <v>0</v>
      </c>
      <c r="E89" s="50">
        <f>IFERROR('調查資料(OUT)'!$D$1*'調查資料(OUT)'!D95,0)+IFERROR('調查資料(OUT)'!$H$1*'調查資料(OUT)'!H95,0)+IFERROR('調查資料(OUT)'!$L$1*'調查資料(OUT)'!L95,0)</f>
        <v>0</v>
      </c>
      <c r="F89" s="252">
        <f>IFERROR('調查資料(OUT)'!$E$1*'調查資料(OUT)'!E95,0)+IFERROR('調查資料(OUT)'!$I$1*'調查資料(OUT)'!I95,0)+IFERROR('調查資料(OUT)'!$M$1*'調查資料(OUT)'!M95,0)</f>
        <v>0</v>
      </c>
      <c r="G89" s="50">
        <f t="shared" si="239"/>
        <v>0</v>
      </c>
      <c r="H89" s="50">
        <f>IFERROR('調查資料(OUT)'!$N$1*'調查資料(OUT)'!N95,0)+IFERROR('調查資料(OUT)'!$R$1*'調查資料(OUT)'!R95,0)+IFERROR('調查資料(OUT)'!$V$1*'調查資料(OUT)'!V95,0)</f>
        <v>0</v>
      </c>
      <c r="I89" s="50">
        <f>IFERROR('調查資料(OUT)'!$O$1*'調查資料(OUT)'!O95,0)+IFERROR('調查資料(OUT)'!$S$1*'調查資料(OUT)'!S95,0)+IFERROR('調查資料(OUT)'!$W$1*'調查資料(OUT)'!W95,0)</f>
        <v>0</v>
      </c>
      <c r="J89" s="50">
        <f>IFERROR('調查資料(OUT)'!$P$1*'調查資料(OUT)'!P95,0)+IFERROR('調查資料(OUT)'!$T$1*'調查資料(OUT)'!T95,0)+IFERROR('調查資料(OUT)'!$X$1*'調查資料(OUT)'!X95,0)</f>
        <v>0</v>
      </c>
      <c r="K89" s="252">
        <f>IFERROR('調查資料(OUT)'!$Q$1*'調查資料(OUT)'!Q95,0)+IFERROR('調查資料(OUT)'!$U$1*'調查資料(OUT)'!U95,0)+IFERROR('調查資料(OUT)'!$Y$1*'調查資料(OUT)'!Y95,0)</f>
        <v>0</v>
      </c>
      <c r="L89" s="50">
        <f t="shared" si="240"/>
        <v>0</v>
      </c>
      <c r="M89" s="50">
        <f>IFERROR('調查資料(OUT)'!$Z$1*'調查資料(OUT)'!Z95,0)+IFERROR('調查資料(OUT)'!$AD$1*'調查資料(OUT)'!AD95,0)+IFERROR('調查資料(OUT)'!$AH$1*'調查資料(OUT)'!AH95,0)</f>
        <v>0</v>
      </c>
      <c r="N89" s="50">
        <f>IFERROR('調查資料(OUT)'!$AA$1*'調查資料(OUT)'!AA95,0)+IFERROR('調查資料(OUT)'!$AE$1*'調查資料(OUT)'!AE95,0)+IFERROR('調查資料(OUT)'!$AI$1*'調查資料(OUT)'!AI95,0)</f>
        <v>0</v>
      </c>
      <c r="O89" s="50">
        <f>IFERROR('調查資料(OUT)'!$AB$1*'調查資料(OUT)'!AB95,0)+IFERROR('調查資料(OUT)'!$AF$1*'調查資料(OUT)'!AF95,0)+IFERROR('調查資料(OUT)'!$AJ$1*'調查資料(OUT)'!AJ95,0)</f>
        <v>0</v>
      </c>
      <c r="P89" s="252">
        <f>IFERROR('調查資料(OUT)'!$AC$1*'調查資料(OUT)'!AC95,0)+IFERROR('調查資料(OUT)'!$AG$1*'調查資料(OUT)'!AG95,0)+IFERROR('調查資料(OUT)'!$AK$1*'調查資料(OUT)'!AK95,0)</f>
        <v>0</v>
      </c>
      <c r="Q89" s="50">
        <f t="shared" si="241"/>
        <v>0</v>
      </c>
      <c r="R89" s="50">
        <f>IFERROR('調查資料(OUT)'!$AL$1*'調查資料(OUT)'!AL95,0)+IFERROR('調查資料(OUT)'!$AP$1*'調查資料(OUT)'!AP95,0)+IFERROR('調查資料(OUT)'!$AT$1*'調查資料(OUT)'!AT95,0)</f>
        <v>0</v>
      </c>
      <c r="S89" s="50">
        <f>IFERROR('調查資料(OUT)'!$AM$1*'調查資料(OUT)'!AM95,0)+IFERROR('調查資料(OUT)'!$AQ$1*'調查資料(OUT)'!AQ95,0)+IFERROR('調查資料(OUT)'!$AU$1*'調查資料(OUT)'!AU95,0)</f>
        <v>0</v>
      </c>
      <c r="T89" s="50">
        <f>IFERROR('調查資料(OUT)'!$AN$1*'調查資料(OUT)'!AN95,0)+IFERROR('調查資料(OUT)'!$AR$1*'調查資料(OUT)'!AR95,0)+IFERROR('調查資料(OUT)'!$AV$1*'調查資料(OUT)'!AV95,0)</f>
        <v>0</v>
      </c>
      <c r="U89" s="252">
        <f>IFERROR('調查資料(OUT)'!$AO$1*'調查資料(OUT)'!AO95,0)+IFERROR('調查資料(OUT)'!$AS$1*'調查資料(OUT)'!AS95,0)+IFERROR('調查資料(OUT)'!$AW$1*'調查資料(OUT)'!AW95,0)</f>
        <v>0</v>
      </c>
      <c r="V89" s="50">
        <f t="shared" si="242"/>
        <v>0</v>
      </c>
      <c r="W89" s="50">
        <f>IFERROR('調查資料(OUT)'!$AX$1*'調查資料(OUT)'!AX95,0)+IFERROR('調查資料(OUT)'!$BB$1*'調查資料(OUT)'!BB95,0)+IFERROR('調查資料(OUT)'!$BF$1*'調查資料(OUT)'!BF95,0)</f>
        <v>0</v>
      </c>
      <c r="X89" s="50">
        <f>IFERROR('調查資料(OUT)'!$AY$1*'調查資料(OUT)'!AY95,0)+IFERROR('調查資料(OUT)'!$BC$1*'調查資料(OUT)'!BC95,0)+IFERROR('調查資料(OUT)'!$BG$1*'調查資料(OUT)'!BG95,0)</f>
        <v>0</v>
      </c>
      <c r="Y89" s="50">
        <f>IFERROR('調查資料(OUT)'!$AZ$1*'調查資料(OUT)'!AZ95,0)+IFERROR('調查資料(OUT)'!$BD$1*'調查資料(OUT)'!BD95,0)+IFERROR('調查資料(OUT)'!$BH$1*'調查資料(OUT)'!BH95,0)</f>
        <v>0</v>
      </c>
      <c r="Z89" s="252">
        <f>IFERROR('調查資料(OUT)'!$BA$1*'調查資料(OUT)'!BA95,0)+IFERROR('調查資料(OUT)'!$BE$1*'調查資料(OUT)'!BE95,0)+IFERROR('調查資料(OUT)'!$BI$1*'調查資料(OUT)'!BI95,0)</f>
        <v>0</v>
      </c>
      <c r="AA89" s="253">
        <f t="shared" si="243"/>
        <v>0</v>
      </c>
      <c r="AC89" s="251">
        <f>'調查資料(OUT)'!A95</f>
        <v>2100</v>
      </c>
      <c r="AD89" s="254">
        <f t="shared" si="244"/>
        <v>2200</v>
      </c>
      <c r="AE89" s="50">
        <f t="shared" si="254"/>
        <v>0</v>
      </c>
      <c r="AF89" s="51"/>
      <c r="AG89" s="50">
        <f t="shared" si="364"/>
        <v>0</v>
      </c>
      <c r="AH89" s="256" t="e">
        <f t="shared" si="371"/>
        <v>#DIV/0!</v>
      </c>
      <c r="AI89" s="256" t="e">
        <f t="shared" si="365"/>
        <v>#DIV/0!</v>
      </c>
      <c r="AJ89" s="256" t="e">
        <f t="shared" si="366"/>
        <v>#DIV/0!</v>
      </c>
      <c r="AK89" s="256" t="e">
        <f t="shared" si="367"/>
        <v>#DIV/0!</v>
      </c>
      <c r="AL89" s="256" t="e">
        <f t="shared" si="368"/>
        <v>#DIV/0!</v>
      </c>
      <c r="AN89" s="50">
        <f t="shared" si="369"/>
        <v>2100</v>
      </c>
      <c r="AO89" s="252">
        <f t="shared" si="370"/>
        <v>2200</v>
      </c>
      <c r="AP89" s="50">
        <f t="shared" si="245"/>
        <v>0</v>
      </c>
      <c r="AQ89" s="50">
        <f>IF($AN89="N","N",SUM('調查資料(OUT)'!B95:B98))</f>
        <v>0</v>
      </c>
      <c r="AR89" s="50">
        <f>IF($AN89="N","N",SUM('調查資料(OUT)'!F95:F98))</f>
        <v>0</v>
      </c>
      <c r="AS89" s="50">
        <f>IF($AN89="N","N",SUM('調查資料(OUT)'!J95:J98))</f>
        <v>0</v>
      </c>
      <c r="AT89" s="56" t="e">
        <f t="shared" si="309"/>
        <v>#DIV/0!</v>
      </c>
      <c r="AU89" s="50">
        <f t="shared" si="310"/>
        <v>0</v>
      </c>
      <c r="AV89" s="50">
        <f>IF($AN89="N","N",SUM('調查資料(OUT)'!C95:C98))</f>
        <v>0</v>
      </c>
      <c r="AW89" s="50">
        <f>IF($AN89="N","N",SUM('調查資料(OUT)'!G95:G98))</f>
        <v>0</v>
      </c>
      <c r="AX89" s="50">
        <f>IF($AN89="N","N",SUM('調查資料(OUT)'!K95:K98))</f>
        <v>0</v>
      </c>
      <c r="AY89" s="56" t="e">
        <f t="shared" si="311"/>
        <v>#DIV/0!</v>
      </c>
      <c r="AZ89" s="50">
        <f t="shared" si="312"/>
        <v>0</v>
      </c>
      <c r="BA89" s="50">
        <f>IF($AN89="N","N",SUM('調查資料(OUT)'!D95:D98))</f>
        <v>0</v>
      </c>
      <c r="BB89" s="50">
        <f>IF($AN89="N","N",SUM('調查資料(OUT)'!H95:H98))</f>
        <v>0</v>
      </c>
      <c r="BC89" s="50">
        <f>IF($AN89="N","N",SUM('調查資料(OUT)'!L95:L98))</f>
        <v>0</v>
      </c>
      <c r="BD89" s="56" t="e">
        <f t="shared" si="313"/>
        <v>#DIV/0!</v>
      </c>
      <c r="BE89" s="50">
        <f t="shared" si="314"/>
        <v>0</v>
      </c>
      <c r="BF89" s="50">
        <f>IF($AN89="N","N",SUM('調查資料(OUT)'!E95:E98))</f>
        <v>0</v>
      </c>
      <c r="BG89" s="50">
        <f>IF($AN89="N","N",SUM('調查資料(OUT)'!I95:I98))</f>
        <v>0</v>
      </c>
      <c r="BH89" s="50">
        <f>IF($AN89="N","N",SUM('調查資料(OUT)'!M95:M98))</f>
        <v>0</v>
      </c>
      <c r="BI89" s="56" t="e">
        <f t="shared" si="315"/>
        <v>#DIV/0!</v>
      </c>
      <c r="BJ89" s="50">
        <f t="shared" si="255"/>
        <v>0</v>
      </c>
      <c r="BK89" s="56" t="e">
        <f t="shared" si="256"/>
        <v>#DIV/0!</v>
      </c>
      <c r="BL89" s="50">
        <f t="shared" si="257"/>
        <v>0</v>
      </c>
      <c r="BM89" s="56" t="e">
        <f t="shared" si="258"/>
        <v>#DIV/0!</v>
      </c>
      <c r="BN89" s="50">
        <f t="shared" si="259"/>
        <v>0</v>
      </c>
      <c r="BO89" s="56" t="e">
        <f t="shared" si="260"/>
        <v>#DIV/0!</v>
      </c>
      <c r="BP89" s="50">
        <f t="shared" si="261"/>
        <v>0</v>
      </c>
      <c r="BQ89" s="50">
        <f t="shared" si="316"/>
        <v>0</v>
      </c>
      <c r="BR89" s="50">
        <f>IF($AN89="N","N",SUM('調查資料(OUT)'!N95:N98))</f>
        <v>0</v>
      </c>
      <c r="BS89" s="50">
        <f>IF($AN89="N","N",SUM('調查資料(OUT)'!R95:R98))</f>
        <v>0</v>
      </c>
      <c r="BT89" s="50">
        <f>IF($AN89="N","N",SUM('調查資料(OUT)'!V95:V98))</f>
        <v>0</v>
      </c>
      <c r="BU89" s="56" t="e">
        <f t="shared" si="317"/>
        <v>#DIV/0!</v>
      </c>
      <c r="BV89" s="50">
        <f t="shared" si="318"/>
        <v>0</v>
      </c>
      <c r="BW89" s="50">
        <f>IF($AN89="N","N",SUM('調查資料(OUT)'!O95:O98))</f>
        <v>0</v>
      </c>
      <c r="BX89" s="50">
        <f>IF($AN89="N","N",SUM('調查資料(OUT)'!S95:S98))</f>
        <v>0</v>
      </c>
      <c r="BY89" s="50">
        <f>IF($AN89="N","N",SUM('調查資料(OUT)'!W95:W98))</f>
        <v>0</v>
      </c>
      <c r="BZ89" s="56" t="e">
        <f t="shared" si="319"/>
        <v>#DIV/0!</v>
      </c>
      <c r="CA89" s="50">
        <f t="shared" si="320"/>
        <v>0</v>
      </c>
      <c r="CB89" s="50">
        <f>IF($AN89="N","N",SUM('調查資料(OUT)'!P95:P98))</f>
        <v>0</v>
      </c>
      <c r="CC89" s="50">
        <f>IF($AN89="N","N",SUM('調查資料(OUT)'!T95:T98))</f>
        <v>0</v>
      </c>
      <c r="CD89" s="50">
        <f>IF($AN89="N","N",SUM('調查資料(OUT)'!X95:X98))</f>
        <v>0</v>
      </c>
      <c r="CE89" s="56" t="e">
        <f t="shared" si="321"/>
        <v>#DIV/0!</v>
      </c>
      <c r="CF89" s="50">
        <f t="shared" si="322"/>
        <v>0</v>
      </c>
      <c r="CG89" s="50">
        <f>IF($AN89="N","N",SUM('調查資料(OUT)'!Q95:Q98))</f>
        <v>0</v>
      </c>
      <c r="CH89" s="50">
        <f>IF($AN89="N","N",SUM('調查資料(OUT)'!U95:U98))</f>
        <v>0</v>
      </c>
      <c r="CI89" s="50">
        <f>IF($AN89="N","N",SUM('調查資料(OUT)'!Y95:Y98))</f>
        <v>0</v>
      </c>
      <c r="CJ89" s="56" t="e">
        <f t="shared" si="323"/>
        <v>#DIV/0!</v>
      </c>
      <c r="CK89" s="50">
        <f t="shared" si="262"/>
        <v>0</v>
      </c>
      <c r="CL89" s="56" t="e">
        <f t="shared" si="263"/>
        <v>#DIV/0!</v>
      </c>
      <c r="CM89" s="50">
        <f t="shared" si="264"/>
        <v>0</v>
      </c>
      <c r="CN89" s="56" t="e">
        <f t="shared" si="265"/>
        <v>#DIV/0!</v>
      </c>
      <c r="CO89" s="50">
        <f t="shared" si="266"/>
        <v>0</v>
      </c>
      <c r="CP89" s="56" t="e">
        <f t="shared" si="267"/>
        <v>#DIV/0!</v>
      </c>
      <c r="CQ89" s="50">
        <f t="shared" si="268"/>
        <v>0</v>
      </c>
      <c r="CR89" s="50">
        <f t="shared" si="324"/>
        <v>0</v>
      </c>
      <c r="CS89" s="50">
        <f>IF($AN89="N","N",SUM('調查資料(OUT)'!Z95:Z98))</f>
        <v>0</v>
      </c>
      <c r="CT89" s="50">
        <f>IF($AN89="N","N",SUM('調查資料(OUT)'!AD95:AD98))</f>
        <v>0</v>
      </c>
      <c r="CU89" s="50">
        <f>IF($AN89="N","N",SUM('調查資料(OUT)'!AH95:AH98))</f>
        <v>0</v>
      </c>
      <c r="CV89" s="56" t="e">
        <f t="shared" si="325"/>
        <v>#DIV/0!</v>
      </c>
      <c r="CW89" s="50">
        <f t="shared" si="326"/>
        <v>0</v>
      </c>
      <c r="CX89" s="50">
        <f>IF($AN89="N","N",SUM('調查資料(OUT)'!AA95:AA98))</f>
        <v>0</v>
      </c>
      <c r="CY89" s="50">
        <f>IF($AN89="N","N",SUM('調查資料(OUT)'!AE95:AE98))</f>
        <v>0</v>
      </c>
      <c r="CZ89" s="50">
        <f>IF($AN89="N","N",SUM('調查資料(OUT)'!AI95:AI98))</f>
        <v>0</v>
      </c>
      <c r="DA89" s="56" t="e">
        <f t="shared" si="327"/>
        <v>#DIV/0!</v>
      </c>
      <c r="DB89" s="50">
        <f t="shared" si="328"/>
        <v>0</v>
      </c>
      <c r="DC89" s="50">
        <f>IF($AN89="N","N",SUM('調查資料(OUT)'!AB95:AB98))</f>
        <v>0</v>
      </c>
      <c r="DD89" s="50">
        <f>IF($AN89="N","N",SUM('調查資料(OUT)'!AF95:AF98))</f>
        <v>0</v>
      </c>
      <c r="DE89" s="50">
        <f>IF($AN89="N","N",SUM('調查資料(OUT)'!AJ95:AJ98))</f>
        <v>0</v>
      </c>
      <c r="DF89" s="56" t="e">
        <f t="shared" si="329"/>
        <v>#DIV/0!</v>
      </c>
      <c r="DG89" s="50">
        <f t="shared" si="330"/>
        <v>0</v>
      </c>
      <c r="DH89" s="50">
        <f>IF($AN89="N","N",SUM('調查資料(OUT)'!AC95:AC98))</f>
        <v>0</v>
      </c>
      <c r="DI89" s="50">
        <f>IF($AN89="N","N",SUM('調查資料(OUT)'!AG95:AG98))</f>
        <v>0</v>
      </c>
      <c r="DJ89" s="50">
        <f>IF($AN89="N","N",SUM('調查資料(OUT)'!AK95:AK98))</f>
        <v>0</v>
      </c>
      <c r="DK89" s="56" t="e">
        <f t="shared" si="331"/>
        <v>#DIV/0!</v>
      </c>
      <c r="DL89" s="50">
        <f t="shared" si="269"/>
        <v>0</v>
      </c>
      <c r="DM89" s="56" t="e">
        <f t="shared" si="270"/>
        <v>#DIV/0!</v>
      </c>
      <c r="DN89" s="50">
        <f t="shared" si="271"/>
        <v>0</v>
      </c>
      <c r="DO89" s="56" t="e">
        <f t="shared" si="272"/>
        <v>#DIV/0!</v>
      </c>
      <c r="DP89" s="50">
        <f t="shared" si="273"/>
        <v>0</v>
      </c>
      <c r="DQ89" s="56" t="e">
        <f t="shared" si="274"/>
        <v>#DIV/0!</v>
      </c>
      <c r="DR89" s="50">
        <f t="shared" si="275"/>
        <v>0</v>
      </c>
      <c r="DS89" s="50">
        <f t="shared" si="332"/>
        <v>0</v>
      </c>
      <c r="DT89" s="50">
        <f>IF($AN89="N","N",SUM('調查資料(OUT)'!AL95:AL98))</f>
        <v>0</v>
      </c>
      <c r="DU89" s="50">
        <f>IF($AN89="N","N",SUM('調查資料(OUT)'!AP95:AP98))</f>
        <v>0</v>
      </c>
      <c r="DV89" s="50">
        <f>IF($AN89="N","N",SUM('調查資料(OUT)'!AT95:AT98))</f>
        <v>0</v>
      </c>
      <c r="DW89" s="56" t="e">
        <f t="shared" si="333"/>
        <v>#DIV/0!</v>
      </c>
      <c r="DX89" s="50">
        <f t="shared" si="334"/>
        <v>0</v>
      </c>
      <c r="DY89" s="50">
        <f>IF($AN89="N","N",SUM('調查資料(OUT)'!AM95:AM98))</f>
        <v>0</v>
      </c>
      <c r="DZ89" s="50">
        <f>IF($AN89="N","N",SUM('調查資料(OUT)'!AQ95:AQ98))</f>
        <v>0</v>
      </c>
      <c r="EA89" s="50">
        <f>IF($AN89="N","N",SUM('調查資料(OUT)'!AU95:AU98))</f>
        <v>0</v>
      </c>
      <c r="EB89" s="56" t="e">
        <f t="shared" si="335"/>
        <v>#DIV/0!</v>
      </c>
      <c r="EC89" s="50">
        <f t="shared" si="336"/>
        <v>0</v>
      </c>
      <c r="ED89" s="50">
        <f>IF($AN89="N","N",SUM('調查資料(OUT)'!AN95:AN98))</f>
        <v>0</v>
      </c>
      <c r="EE89" s="50">
        <f>IF($AN89="N","N",SUM('調查資料(OUT)'!AR95:AR98))</f>
        <v>0</v>
      </c>
      <c r="EF89" s="50">
        <f>IF($AN89="N","N",SUM('調查資料(OUT)'!AV95:AV98))</f>
        <v>0</v>
      </c>
      <c r="EG89" s="56" t="e">
        <f t="shared" si="337"/>
        <v>#DIV/0!</v>
      </c>
      <c r="EH89" s="50">
        <f t="shared" si="338"/>
        <v>0</v>
      </c>
      <c r="EI89" s="50">
        <f>IF($AN89="N","N",SUM('調查資料(OUT)'!AO95:AO98))</f>
        <v>0</v>
      </c>
      <c r="EJ89" s="50">
        <f>IF($AN89="N","N",SUM('調查資料(OUT)'!AS95:AS98))</f>
        <v>0</v>
      </c>
      <c r="EK89" s="50">
        <f>IF($AN89="N","N",SUM('調查資料(OUT)'!AW95:AW98))</f>
        <v>0</v>
      </c>
      <c r="EL89" s="56" t="e">
        <f t="shared" si="339"/>
        <v>#DIV/0!</v>
      </c>
      <c r="EM89" s="50">
        <f t="shared" si="276"/>
        <v>0</v>
      </c>
      <c r="EN89" s="56" t="e">
        <f t="shared" si="277"/>
        <v>#DIV/0!</v>
      </c>
      <c r="EO89" s="50">
        <f t="shared" si="278"/>
        <v>0</v>
      </c>
      <c r="EP89" s="56" t="e">
        <f t="shared" si="279"/>
        <v>#DIV/0!</v>
      </c>
      <c r="EQ89" s="50">
        <f t="shared" si="280"/>
        <v>0</v>
      </c>
      <c r="ER89" s="56" t="e">
        <f t="shared" si="281"/>
        <v>#DIV/0!</v>
      </c>
      <c r="ES89" s="50">
        <f t="shared" si="282"/>
        <v>0</v>
      </c>
      <c r="ET89" s="50">
        <f t="shared" si="340"/>
        <v>0</v>
      </c>
      <c r="EU89" s="50">
        <f>IF($AN89="N","N",SUM('調查資料(OUT)'!AX95:AX98))</f>
        <v>0</v>
      </c>
      <c r="EV89" s="50">
        <f>IF($AN89="N","N",SUM('調查資料(OUT)'!BB95:BB98))</f>
        <v>0</v>
      </c>
      <c r="EW89" s="50">
        <f>IF($AN89="N","N",SUM('調查資料(OUT)'!BF95:BF98))</f>
        <v>0</v>
      </c>
      <c r="EX89" s="56" t="e">
        <f t="shared" si="341"/>
        <v>#DIV/0!</v>
      </c>
      <c r="EY89" s="50">
        <f t="shared" si="342"/>
        <v>0</v>
      </c>
      <c r="EZ89" s="50">
        <f>IF($AN89="N","N",SUM('調查資料(OUT)'!AY95:AY98))</f>
        <v>0</v>
      </c>
      <c r="FA89" s="50">
        <f>IF($AN89="N","N",SUM('調查資料(OUT)'!BC95:BC98))</f>
        <v>0</v>
      </c>
      <c r="FB89" s="50">
        <f>IF($AN89="N","N",SUM('調查資料(OUT)'!BG95:BG98))</f>
        <v>0</v>
      </c>
      <c r="FC89" s="56" t="e">
        <f t="shared" si="343"/>
        <v>#DIV/0!</v>
      </c>
      <c r="FD89" s="50">
        <f t="shared" si="344"/>
        <v>0</v>
      </c>
      <c r="FE89" s="50">
        <f>IF($AN89="N","N",SUM('調查資料(OUT)'!AZ95:AZ98))</f>
        <v>0</v>
      </c>
      <c r="FF89" s="50">
        <f>IF($AN89="N","N",SUM('調查資料(OUT)'!BD95:BD98))</f>
        <v>0</v>
      </c>
      <c r="FG89" s="50">
        <f>IF($AN89="N","N",SUM('調查資料(OUT)'!BH95:BH98))</f>
        <v>0</v>
      </c>
      <c r="FH89" s="56" t="e">
        <f t="shared" si="345"/>
        <v>#DIV/0!</v>
      </c>
      <c r="FI89" s="50">
        <f t="shared" si="346"/>
        <v>0</v>
      </c>
      <c r="FJ89" s="50">
        <f>IF($AN89="N","N",SUM('調查資料(OUT)'!BA95:BA98))</f>
        <v>0</v>
      </c>
      <c r="FK89" s="50">
        <f>IF($AN89="N","N",SUM('調查資料(OUT)'!BE95:BE98))</f>
        <v>0</v>
      </c>
      <c r="FL89" s="50">
        <f>IF($AN89="N","N",SUM('調查資料(OUT)'!BI95:BI98))</f>
        <v>0</v>
      </c>
      <c r="FM89" s="56" t="e">
        <f t="shared" si="347"/>
        <v>#DIV/0!</v>
      </c>
      <c r="FN89" s="50">
        <f t="shared" si="246"/>
        <v>0</v>
      </c>
      <c r="FO89" s="56" t="e">
        <f t="shared" si="247"/>
        <v>#DIV/0!</v>
      </c>
      <c r="FP89" s="50">
        <f t="shared" si="248"/>
        <v>0</v>
      </c>
      <c r="FQ89" s="56" t="e">
        <f t="shared" si="249"/>
        <v>#DIV/0!</v>
      </c>
      <c r="FR89" s="50">
        <f t="shared" si="250"/>
        <v>0</v>
      </c>
      <c r="FS89" s="56" t="e">
        <f t="shared" si="251"/>
        <v>#DIV/0!</v>
      </c>
      <c r="FT89" s="50">
        <f t="shared" si="252"/>
        <v>0</v>
      </c>
    </row>
    <row r="90" spans="1:176">
      <c r="A90" s="274">
        <f>'調查資料(OUT)'!A96</f>
        <v>2115</v>
      </c>
      <c r="B90" s="50">
        <f t="shared" si="238"/>
        <v>0</v>
      </c>
      <c r="C90" s="50">
        <f>IFERROR('調查資料(OUT)'!$B$1*'調查資料(OUT)'!B96,0)+IFERROR('調查資料(OUT)'!$F$1*'調查資料(OUT)'!F96,0)+IFERROR('調查資料(OUT)'!$J$1*'調查資料(OUT)'!J96,0)</f>
        <v>0</v>
      </c>
      <c r="D90" s="50">
        <f>IFERROR('調查資料(OUT)'!$C$1*'調查資料(OUT)'!C96,0)+IFERROR('調查資料(OUT)'!$G$1*'調查資料(OUT)'!G96,0)+IFERROR('調查資料(OUT)'!$K$1*'調查資料(OUT)'!K96,0)</f>
        <v>0</v>
      </c>
      <c r="E90" s="50">
        <f>IFERROR('調查資料(OUT)'!$D$1*'調查資料(OUT)'!D96,0)+IFERROR('調查資料(OUT)'!$H$1*'調查資料(OUT)'!H96,0)+IFERROR('調查資料(OUT)'!$L$1*'調查資料(OUT)'!L96,0)</f>
        <v>0</v>
      </c>
      <c r="F90" s="252">
        <f>IFERROR('調查資料(OUT)'!$E$1*'調查資料(OUT)'!E96,0)+IFERROR('調查資料(OUT)'!$I$1*'調查資料(OUT)'!I96,0)+IFERROR('調查資料(OUT)'!$M$1*'調查資料(OUT)'!M96,0)</f>
        <v>0</v>
      </c>
      <c r="G90" s="50">
        <f t="shared" si="239"/>
        <v>0</v>
      </c>
      <c r="H90" s="50">
        <f>IFERROR('調查資料(OUT)'!$N$1*'調查資料(OUT)'!N96,0)+IFERROR('調查資料(OUT)'!$R$1*'調查資料(OUT)'!R96,0)+IFERROR('調查資料(OUT)'!$V$1*'調查資料(OUT)'!V96,0)</f>
        <v>0</v>
      </c>
      <c r="I90" s="50">
        <f>IFERROR('調查資料(OUT)'!$O$1*'調查資料(OUT)'!O96,0)+IFERROR('調查資料(OUT)'!$S$1*'調查資料(OUT)'!S96,0)+IFERROR('調查資料(OUT)'!$W$1*'調查資料(OUT)'!W96,0)</f>
        <v>0</v>
      </c>
      <c r="J90" s="50">
        <f>IFERROR('調查資料(OUT)'!$P$1*'調查資料(OUT)'!P96,0)+IFERROR('調查資料(OUT)'!$T$1*'調查資料(OUT)'!T96,0)+IFERROR('調查資料(OUT)'!$X$1*'調查資料(OUT)'!X96,0)</f>
        <v>0</v>
      </c>
      <c r="K90" s="252">
        <f>IFERROR('調查資料(OUT)'!$Q$1*'調查資料(OUT)'!Q96,0)+IFERROR('調查資料(OUT)'!$U$1*'調查資料(OUT)'!U96,0)+IFERROR('調查資料(OUT)'!$Y$1*'調查資料(OUT)'!Y96,0)</f>
        <v>0</v>
      </c>
      <c r="L90" s="50">
        <f t="shared" si="240"/>
        <v>0</v>
      </c>
      <c r="M90" s="50">
        <f>IFERROR('調查資料(OUT)'!$Z$1*'調查資料(OUT)'!Z96,0)+IFERROR('調查資料(OUT)'!$AD$1*'調查資料(OUT)'!AD96,0)+IFERROR('調查資料(OUT)'!$AH$1*'調查資料(OUT)'!AH96,0)</f>
        <v>0</v>
      </c>
      <c r="N90" s="50">
        <f>IFERROR('調查資料(OUT)'!$AA$1*'調查資料(OUT)'!AA96,0)+IFERROR('調查資料(OUT)'!$AE$1*'調查資料(OUT)'!AE96,0)+IFERROR('調查資料(OUT)'!$AI$1*'調查資料(OUT)'!AI96,0)</f>
        <v>0</v>
      </c>
      <c r="O90" s="50">
        <f>IFERROR('調查資料(OUT)'!$AB$1*'調查資料(OUT)'!AB96,0)+IFERROR('調查資料(OUT)'!$AF$1*'調查資料(OUT)'!AF96,0)+IFERROR('調查資料(OUT)'!$AJ$1*'調查資料(OUT)'!AJ96,0)</f>
        <v>0</v>
      </c>
      <c r="P90" s="252">
        <f>IFERROR('調查資料(OUT)'!$AC$1*'調查資料(OUT)'!AC96,0)+IFERROR('調查資料(OUT)'!$AG$1*'調查資料(OUT)'!AG96,0)+IFERROR('調查資料(OUT)'!$AK$1*'調查資料(OUT)'!AK96,0)</f>
        <v>0</v>
      </c>
      <c r="Q90" s="50">
        <f t="shared" si="241"/>
        <v>0</v>
      </c>
      <c r="R90" s="50">
        <f>IFERROR('調查資料(OUT)'!$AL$1*'調查資料(OUT)'!AL96,0)+IFERROR('調查資料(OUT)'!$AP$1*'調查資料(OUT)'!AP96,0)+IFERROR('調查資料(OUT)'!$AT$1*'調查資料(OUT)'!AT96,0)</f>
        <v>0</v>
      </c>
      <c r="S90" s="50">
        <f>IFERROR('調查資料(OUT)'!$AM$1*'調查資料(OUT)'!AM96,0)+IFERROR('調查資料(OUT)'!$AQ$1*'調查資料(OUT)'!AQ96,0)+IFERROR('調查資料(OUT)'!$AU$1*'調查資料(OUT)'!AU96,0)</f>
        <v>0</v>
      </c>
      <c r="T90" s="50">
        <f>IFERROR('調查資料(OUT)'!$AN$1*'調查資料(OUT)'!AN96,0)+IFERROR('調查資料(OUT)'!$AR$1*'調查資料(OUT)'!AR96,0)+IFERROR('調查資料(OUT)'!$AV$1*'調查資料(OUT)'!AV96,0)</f>
        <v>0</v>
      </c>
      <c r="U90" s="252">
        <f>IFERROR('調查資料(OUT)'!$AO$1*'調查資料(OUT)'!AO96,0)+IFERROR('調查資料(OUT)'!$AS$1*'調查資料(OUT)'!AS96,0)+IFERROR('調查資料(OUT)'!$AW$1*'調查資料(OUT)'!AW96,0)</f>
        <v>0</v>
      </c>
      <c r="V90" s="50">
        <f t="shared" si="242"/>
        <v>0</v>
      </c>
      <c r="W90" s="50">
        <f>IFERROR('調查資料(OUT)'!$AX$1*'調查資料(OUT)'!AX96,0)+IFERROR('調查資料(OUT)'!$BB$1*'調查資料(OUT)'!BB96,0)+IFERROR('調查資料(OUT)'!$BF$1*'調查資料(OUT)'!BF96,0)</f>
        <v>0</v>
      </c>
      <c r="X90" s="50">
        <f>IFERROR('調查資料(OUT)'!$AY$1*'調查資料(OUT)'!AY96,0)+IFERROR('調查資料(OUT)'!$BC$1*'調查資料(OUT)'!BC96,0)+IFERROR('調查資料(OUT)'!$BG$1*'調查資料(OUT)'!BG96,0)</f>
        <v>0</v>
      </c>
      <c r="Y90" s="50">
        <f>IFERROR('調查資料(OUT)'!$AZ$1*'調查資料(OUT)'!AZ96,0)+IFERROR('調查資料(OUT)'!$BD$1*'調查資料(OUT)'!BD96,0)+IFERROR('調查資料(OUT)'!$BH$1*'調查資料(OUT)'!BH96,0)</f>
        <v>0</v>
      </c>
      <c r="Z90" s="252">
        <f>IFERROR('調查資料(OUT)'!$BA$1*'調查資料(OUT)'!BA96,0)+IFERROR('調查資料(OUT)'!$BE$1*'調查資料(OUT)'!BE96,0)+IFERROR('調查資料(OUT)'!$BI$1*'調查資料(OUT)'!BI96,0)</f>
        <v>0</v>
      </c>
      <c r="AA90" s="253">
        <f t="shared" si="243"/>
        <v>0</v>
      </c>
      <c r="AC90" s="251">
        <f>'調查資料(OUT)'!A96</f>
        <v>2115</v>
      </c>
      <c r="AD90" s="254">
        <f t="shared" si="244"/>
        <v>2215</v>
      </c>
      <c r="AE90" s="50">
        <f t="shared" si="254"/>
        <v>0</v>
      </c>
      <c r="AF90" s="51"/>
      <c r="AG90" s="50">
        <f t="shared" si="364"/>
        <v>0</v>
      </c>
      <c r="AH90" s="256" t="e">
        <f t="shared" si="371"/>
        <v>#DIV/0!</v>
      </c>
      <c r="AI90" s="256" t="e">
        <f t="shared" si="365"/>
        <v>#DIV/0!</v>
      </c>
      <c r="AJ90" s="256" t="e">
        <f t="shared" si="366"/>
        <v>#DIV/0!</v>
      </c>
      <c r="AK90" s="256" t="e">
        <f t="shared" si="367"/>
        <v>#DIV/0!</v>
      </c>
      <c r="AL90" s="256" t="e">
        <f t="shared" si="368"/>
        <v>#DIV/0!</v>
      </c>
      <c r="AN90" s="50">
        <f t="shared" si="369"/>
        <v>2115</v>
      </c>
      <c r="AO90" s="252">
        <f t="shared" si="370"/>
        <v>2215</v>
      </c>
      <c r="AP90" s="50">
        <f t="shared" si="245"/>
        <v>0</v>
      </c>
      <c r="AQ90" s="50">
        <f>IF($AN90="N","N",SUM('調查資料(OUT)'!B96:B99))</f>
        <v>0</v>
      </c>
      <c r="AR90" s="50">
        <f>IF($AN90="N","N",SUM('調查資料(OUT)'!F96:F99))</f>
        <v>0</v>
      </c>
      <c r="AS90" s="50">
        <f>IF($AN90="N","N",SUM('調查資料(OUT)'!J96:J99))</f>
        <v>0</v>
      </c>
      <c r="AT90" s="56" t="e">
        <f t="shared" si="309"/>
        <v>#DIV/0!</v>
      </c>
      <c r="AU90" s="50">
        <f t="shared" si="310"/>
        <v>0</v>
      </c>
      <c r="AV90" s="50">
        <f>IF($AN90="N","N",SUM('調查資料(OUT)'!C96:C99))</f>
        <v>0</v>
      </c>
      <c r="AW90" s="50">
        <f>IF($AN90="N","N",SUM('調查資料(OUT)'!G96:G99))</f>
        <v>0</v>
      </c>
      <c r="AX90" s="50">
        <f>IF($AN90="N","N",SUM('調查資料(OUT)'!K96:K99))</f>
        <v>0</v>
      </c>
      <c r="AY90" s="56" t="e">
        <f t="shared" si="311"/>
        <v>#DIV/0!</v>
      </c>
      <c r="AZ90" s="50">
        <f t="shared" si="312"/>
        <v>0</v>
      </c>
      <c r="BA90" s="50">
        <f>IF($AN90="N","N",SUM('調查資料(OUT)'!D96:D99))</f>
        <v>0</v>
      </c>
      <c r="BB90" s="50">
        <f>IF($AN90="N","N",SUM('調查資料(OUT)'!H96:H99))</f>
        <v>0</v>
      </c>
      <c r="BC90" s="50">
        <f>IF($AN90="N","N",SUM('調查資料(OUT)'!L96:L99))</f>
        <v>0</v>
      </c>
      <c r="BD90" s="56" t="e">
        <f t="shared" si="313"/>
        <v>#DIV/0!</v>
      </c>
      <c r="BE90" s="50">
        <f t="shared" si="314"/>
        <v>0</v>
      </c>
      <c r="BF90" s="50">
        <f>IF($AN90="N","N",SUM('調查資料(OUT)'!E96:E99))</f>
        <v>0</v>
      </c>
      <c r="BG90" s="50">
        <f>IF($AN90="N","N",SUM('調查資料(OUT)'!I96:I99))</f>
        <v>0</v>
      </c>
      <c r="BH90" s="50">
        <f>IF($AN90="N","N",SUM('調查資料(OUT)'!M96:M99))</f>
        <v>0</v>
      </c>
      <c r="BI90" s="56" t="e">
        <f t="shared" si="315"/>
        <v>#DIV/0!</v>
      </c>
      <c r="BJ90" s="50">
        <f t="shared" si="255"/>
        <v>0</v>
      </c>
      <c r="BK90" s="56" t="e">
        <f t="shared" si="256"/>
        <v>#DIV/0!</v>
      </c>
      <c r="BL90" s="50">
        <f t="shared" si="257"/>
        <v>0</v>
      </c>
      <c r="BM90" s="56" t="e">
        <f t="shared" si="258"/>
        <v>#DIV/0!</v>
      </c>
      <c r="BN90" s="50">
        <f t="shared" si="259"/>
        <v>0</v>
      </c>
      <c r="BO90" s="56" t="e">
        <f t="shared" si="260"/>
        <v>#DIV/0!</v>
      </c>
      <c r="BP90" s="50">
        <f t="shared" si="261"/>
        <v>0</v>
      </c>
      <c r="BQ90" s="50">
        <f t="shared" si="316"/>
        <v>0</v>
      </c>
      <c r="BR90" s="50">
        <f>IF($AN90="N","N",SUM('調查資料(OUT)'!N96:N99))</f>
        <v>0</v>
      </c>
      <c r="BS90" s="50">
        <f>IF($AN90="N","N",SUM('調查資料(OUT)'!R96:R99))</f>
        <v>0</v>
      </c>
      <c r="BT90" s="50">
        <f>IF($AN90="N","N",SUM('調查資料(OUT)'!V96:V99))</f>
        <v>0</v>
      </c>
      <c r="BU90" s="56" t="e">
        <f t="shared" si="317"/>
        <v>#DIV/0!</v>
      </c>
      <c r="BV90" s="50">
        <f t="shared" si="318"/>
        <v>0</v>
      </c>
      <c r="BW90" s="50">
        <f>IF($AN90="N","N",SUM('調查資料(OUT)'!O96:O99))</f>
        <v>0</v>
      </c>
      <c r="BX90" s="50">
        <f>IF($AN90="N","N",SUM('調查資料(OUT)'!S96:S99))</f>
        <v>0</v>
      </c>
      <c r="BY90" s="50">
        <f>IF($AN90="N","N",SUM('調查資料(OUT)'!W96:W99))</f>
        <v>0</v>
      </c>
      <c r="BZ90" s="56" t="e">
        <f t="shared" si="319"/>
        <v>#DIV/0!</v>
      </c>
      <c r="CA90" s="50">
        <f t="shared" si="320"/>
        <v>0</v>
      </c>
      <c r="CB90" s="50">
        <f>IF($AN90="N","N",SUM('調查資料(OUT)'!P96:P99))</f>
        <v>0</v>
      </c>
      <c r="CC90" s="50">
        <f>IF($AN90="N","N",SUM('調查資料(OUT)'!T96:T99))</f>
        <v>0</v>
      </c>
      <c r="CD90" s="50">
        <f>IF($AN90="N","N",SUM('調查資料(OUT)'!X96:X99))</f>
        <v>0</v>
      </c>
      <c r="CE90" s="56" t="e">
        <f t="shared" si="321"/>
        <v>#DIV/0!</v>
      </c>
      <c r="CF90" s="50">
        <f t="shared" si="322"/>
        <v>0</v>
      </c>
      <c r="CG90" s="50">
        <f>IF($AN90="N","N",SUM('調查資料(OUT)'!Q96:Q99))</f>
        <v>0</v>
      </c>
      <c r="CH90" s="50">
        <f>IF($AN90="N","N",SUM('調查資料(OUT)'!U96:U99))</f>
        <v>0</v>
      </c>
      <c r="CI90" s="50">
        <f>IF($AN90="N","N",SUM('調查資料(OUT)'!Y96:Y99))</f>
        <v>0</v>
      </c>
      <c r="CJ90" s="56" t="e">
        <f t="shared" si="323"/>
        <v>#DIV/0!</v>
      </c>
      <c r="CK90" s="50">
        <f t="shared" si="262"/>
        <v>0</v>
      </c>
      <c r="CL90" s="56" t="e">
        <f t="shared" si="263"/>
        <v>#DIV/0!</v>
      </c>
      <c r="CM90" s="50">
        <f t="shared" si="264"/>
        <v>0</v>
      </c>
      <c r="CN90" s="56" t="e">
        <f t="shared" si="265"/>
        <v>#DIV/0!</v>
      </c>
      <c r="CO90" s="50">
        <f t="shared" si="266"/>
        <v>0</v>
      </c>
      <c r="CP90" s="56" t="e">
        <f t="shared" si="267"/>
        <v>#DIV/0!</v>
      </c>
      <c r="CQ90" s="50">
        <f t="shared" si="268"/>
        <v>0</v>
      </c>
      <c r="CR90" s="50">
        <f t="shared" si="324"/>
        <v>0</v>
      </c>
      <c r="CS90" s="50">
        <f>IF($AN90="N","N",SUM('調查資料(OUT)'!Z96:Z99))</f>
        <v>0</v>
      </c>
      <c r="CT90" s="50">
        <f>IF($AN90="N","N",SUM('調查資料(OUT)'!AD96:AD99))</f>
        <v>0</v>
      </c>
      <c r="CU90" s="50">
        <f>IF($AN90="N","N",SUM('調查資料(OUT)'!AH96:AH99))</f>
        <v>0</v>
      </c>
      <c r="CV90" s="56" t="e">
        <f t="shared" si="325"/>
        <v>#DIV/0!</v>
      </c>
      <c r="CW90" s="50">
        <f t="shared" si="326"/>
        <v>0</v>
      </c>
      <c r="CX90" s="50">
        <f>IF($AN90="N","N",SUM('調查資料(OUT)'!AA96:AA99))</f>
        <v>0</v>
      </c>
      <c r="CY90" s="50">
        <f>IF($AN90="N","N",SUM('調查資料(OUT)'!AE96:AE99))</f>
        <v>0</v>
      </c>
      <c r="CZ90" s="50">
        <f>IF($AN90="N","N",SUM('調查資料(OUT)'!AI96:AI99))</f>
        <v>0</v>
      </c>
      <c r="DA90" s="56" t="e">
        <f t="shared" si="327"/>
        <v>#DIV/0!</v>
      </c>
      <c r="DB90" s="50">
        <f t="shared" si="328"/>
        <v>0</v>
      </c>
      <c r="DC90" s="50">
        <f>IF($AN90="N","N",SUM('調查資料(OUT)'!AB96:AB99))</f>
        <v>0</v>
      </c>
      <c r="DD90" s="50">
        <f>IF($AN90="N","N",SUM('調查資料(OUT)'!AF96:AF99))</f>
        <v>0</v>
      </c>
      <c r="DE90" s="50">
        <f>IF($AN90="N","N",SUM('調查資料(OUT)'!AJ96:AJ99))</f>
        <v>0</v>
      </c>
      <c r="DF90" s="56" t="e">
        <f t="shared" si="329"/>
        <v>#DIV/0!</v>
      </c>
      <c r="DG90" s="50">
        <f t="shared" si="330"/>
        <v>0</v>
      </c>
      <c r="DH90" s="50">
        <f>IF($AN90="N","N",SUM('調查資料(OUT)'!AC96:AC99))</f>
        <v>0</v>
      </c>
      <c r="DI90" s="50">
        <f>IF($AN90="N","N",SUM('調查資料(OUT)'!AG96:AG99))</f>
        <v>0</v>
      </c>
      <c r="DJ90" s="50">
        <f>IF($AN90="N","N",SUM('調查資料(OUT)'!AK96:AK99))</f>
        <v>0</v>
      </c>
      <c r="DK90" s="56" t="e">
        <f t="shared" si="331"/>
        <v>#DIV/0!</v>
      </c>
      <c r="DL90" s="50">
        <f t="shared" si="269"/>
        <v>0</v>
      </c>
      <c r="DM90" s="56" t="e">
        <f t="shared" si="270"/>
        <v>#DIV/0!</v>
      </c>
      <c r="DN90" s="50">
        <f t="shared" si="271"/>
        <v>0</v>
      </c>
      <c r="DO90" s="56" t="e">
        <f t="shared" si="272"/>
        <v>#DIV/0!</v>
      </c>
      <c r="DP90" s="50">
        <f t="shared" si="273"/>
        <v>0</v>
      </c>
      <c r="DQ90" s="56" t="e">
        <f t="shared" si="274"/>
        <v>#DIV/0!</v>
      </c>
      <c r="DR90" s="50">
        <f t="shared" si="275"/>
        <v>0</v>
      </c>
      <c r="DS90" s="50">
        <f t="shared" si="332"/>
        <v>0</v>
      </c>
      <c r="DT90" s="50">
        <f>IF($AN90="N","N",SUM('調查資料(OUT)'!AL96:AL99))</f>
        <v>0</v>
      </c>
      <c r="DU90" s="50">
        <f>IF($AN90="N","N",SUM('調查資料(OUT)'!AP96:AP99))</f>
        <v>0</v>
      </c>
      <c r="DV90" s="50">
        <f>IF($AN90="N","N",SUM('調查資料(OUT)'!AT96:AT99))</f>
        <v>0</v>
      </c>
      <c r="DW90" s="56" t="e">
        <f t="shared" si="333"/>
        <v>#DIV/0!</v>
      </c>
      <c r="DX90" s="50">
        <f t="shared" si="334"/>
        <v>0</v>
      </c>
      <c r="DY90" s="50">
        <f>IF($AN90="N","N",SUM('調查資料(OUT)'!AM96:AM99))</f>
        <v>0</v>
      </c>
      <c r="DZ90" s="50">
        <f>IF($AN90="N","N",SUM('調查資料(OUT)'!AQ96:AQ99))</f>
        <v>0</v>
      </c>
      <c r="EA90" s="50">
        <f>IF($AN90="N","N",SUM('調查資料(OUT)'!AU96:AU99))</f>
        <v>0</v>
      </c>
      <c r="EB90" s="56" t="e">
        <f t="shared" si="335"/>
        <v>#DIV/0!</v>
      </c>
      <c r="EC90" s="50">
        <f t="shared" si="336"/>
        <v>0</v>
      </c>
      <c r="ED90" s="50">
        <f>IF($AN90="N","N",SUM('調查資料(OUT)'!AN96:AN99))</f>
        <v>0</v>
      </c>
      <c r="EE90" s="50">
        <f>IF($AN90="N","N",SUM('調查資料(OUT)'!AR96:AR99))</f>
        <v>0</v>
      </c>
      <c r="EF90" s="50">
        <f>IF($AN90="N","N",SUM('調查資料(OUT)'!AV96:AV99))</f>
        <v>0</v>
      </c>
      <c r="EG90" s="56" t="e">
        <f t="shared" si="337"/>
        <v>#DIV/0!</v>
      </c>
      <c r="EH90" s="50">
        <f t="shared" si="338"/>
        <v>0</v>
      </c>
      <c r="EI90" s="50">
        <f>IF($AN90="N","N",SUM('調查資料(OUT)'!AO96:AO99))</f>
        <v>0</v>
      </c>
      <c r="EJ90" s="50">
        <f>IF($AN90="N","N",SUM('調查資料(OUT)'!AS96:AS99))</f>
        <v>0</v>
      </c>
      <c r="EK90" s="50">
        <f>IF($AN90="N","N",SUM('調查資料(OUT)'!AW96:AW99))</f>
        <v>0</v>
      </c>
      <c r="EL90" s="56" t="e">
        <f t="shared" si="339"/>
        <v>#DIV/0!</v>
      </c>
      <c r="EM90" s="50">
        <f t="shared" si="276"/>
        <v>0</v>
      </c>
      <c r="EN90" s="56" t="e">
        <f t="shared" si="277"/>
        <v>#DIV/0!</v>
      </c>
      <c r="EO90" s="50">
        <f t="shared" si="278"/>
        <v>0</v>
      </c>
      <c r="EP90" s="56" t="e">
        <f t="shared" si="279"/>
        <v>#DIV/0!</v>
      </c>
      <c r="EQ90" s="50">
        <f t="shared" si="280"/>
        <v>0</v>
      </c>
      <c r="ER90" s="56" t="e">
        <f t="shared" si="281"/>
        <v>#DIV/0!</v>
      </c>
      <c r="ES90" s="50">
        <f t="shared" si="282"/>
        <v>0</v>
      </c>
      <c r="ET90" s="50">
        <f t="shared" si="340"/>
        <v>0</v>
      </c>
      <c r="EU90" s="50">
        <f>IF($AN90="N","N",SUM('調查資料(OUT)'!AX96:AX99))</f>
        <v>0</v>
      </c>
      <c r="EV90" s="50">
        <f>IF($AN90="N","N",SUM('調查資料(OUT)'!BB96:BB99))</f>
        <v>0</v>
      </c>
      <c r="EW90" s="50">
        <f>IF($AN90="N","N",SUM('調查資料(OUT)'!BF96:BF99))</f>
        <v>0</v>
      </c>
      <c r="EX90" s="56" t="e">
        <f t="shared" si="341"/>
        <v>#DIV/0!</v>
      </c>
      <c r="EY90" s="50">
        <f t="shared" si="342"/>
        <v>0</v>
      </c>
      <c r="EZ90" s="50">
        <f>IF($AN90="N","N",SUM('調查資料(OUT)'!AY96:AY99))</f>
        <v>0</v>
      </c>
      <c r="FA90" s="50">
        <f>IF($AN90="N","N",SUM('調查資料(OUT)'!BC96:BC99))</f>
        <v>0</v>
      </c>
      <c r="FB90" s="50">
        <f>IF($AN90="N","N",SUM('調查資料(OUT)'!BG96:BG99))</f>
        <v>0</v>
      </c>
      <c r="FC90" s="56" t="e">
        <f t="shared" si="343"/>
        <v>#DIV/0!</v>
      </c>
      <c r="FD90" s="50">
        <f t="shared" si="344"/>
        <v>0</v>
      </c>
      <c r="FE90" s="50">
        <f>IF($AN90="N","N",SUM('調查資料(OUT)'!AZ96:AZ99))</f>
        <v>0</v>
      </c>
      <c r="FF90" s="50">
        <f>IF($AN90="N","N",SUM('調查資料(OUT)'!BD96:BD99))</f>
        <v>0</v>
      </c>
      <c r="FG90" s="50">
        <f>IF($AN90="N","N",SUM('調查資料(OUT)'!BH96:BH99))</f>
        <v>0</v>
      </c>
      <c r="FH90" s="56" t="e">
        <f t="shared" si="345"/>
        <v>#DIV/0!</v>
      </c>
      <c r="FI90" s="50">
        <f t="shared" si="346"/>
        <v>0</v>
      </c>
      <c r="FJ90" s="50">
        <f>IF($AN90="N","N",SUM('調查資料(OUT)'!BA96:BA99))</f>
        <v>0</v>
      </c>
      <c r="FK90" s="50">
        <f>IF($AN90="N","N",SUM('調查資料(OUT)'!BE96:BE99))</f>
        <v>0</v>
      </c>
      <c r="FL90" s="50">
        <f>IF($AN90="N","N",SUM('調查資料(OUT)'!BI96:BI99))</f>
        <v>0</v>
      </c>
      <c r="FM90" s="56" t="e">
        <f t="shared" si="347"/>
        <v>#DIV/0!</v>
      </c>
      <c r="FN90" s="50">
        <f t="shared" si="246"/>
        <v>0</v>
      </c>
      <c r="FO90" s="56" t="e">
        <f t="shared" si="247"/>
        <v>#DIV/0!</v>
      </c>
      <c r="FP90" s="50">
        <f t="shared" si="248"/>
        <v>0</v>
      </c>
      <c r="FQ90" s="56" t="e">
        <f t="shared" si="249"/>
        <v>#DIV/0!</v>
      </c>
      <c r="FR90" s="50">
        <f t="shared" si="250"/>
        <v>0</v>
      </c>
      <c r="FS90" s="56" t="e">
        <f t="shared" si="251"/>
        <v>#DIV/0!</v>
      </c>
      <c r="FT90" s="50">
        <f t="shared" si="252"/>
        <v>0</v>
      </c>
    </row>
    <row r="91" spans="1:176">
      <c r="A91" s="274">
        <f>'調查資料(OUT)'!A97</f>
        <v>2130</v>
      </c>
      <c r="B91" s="50">
        <f t="shared" si="238"/>
        <v>0</v>
      </c>
      <c r="C91" s="50">
        <f>IFERROR('調查資料(OUT)'!$B$1*'調查資料(OUT)'!B97,0)+IFERROR('調查資料(OUT)'!$F$1*'調查資料(OUT)'!F97,0)+IFERROR('調查資料(OUT)'!$J$1*'調查資料(OUT)'!J97,0)</f>
        <v>0</v>
      </c>
      <c r="D91" s="50">
        <f>IFERROR('調查資料(OUT)'!$C$1*'調查資料(OUT)'!C97,0)+IFERROR('調查資料(OUT)'!$G$1*'調查資料(OUT)'!G97,0)+IFERROR('調查資料(OUT)'!$K$1*'調查資料(OUT)'!K97,0)</f>
        <v>0</v>
      </c>
      <c r="E91" s="50">
        <f>IFERROR('調查資料(OUT)'!$D$1*'調查資料(OUT)'!D97,0)+IFERROR('調查資料(OUT)'!$H$1*'調查資料(OUT)'!H97,0)+IFERROR('調查資料(OUT)'!$L$1*'調查資料(OUT)'!L97,0)</f>
        <v>0</v>
      </c>
      <c r="F91" s="252">
        <f>IFERROR('調查資料(OUT)'!$E$1*'調查資料(OUT)'!E97,0)+IFERROR('調查資料(OUT)'!$I$1*'調查資料(OUT)'!I97,0)+IFERROR('調查資料(OUT)'!$M$1*'調查資料(OUT)'!M97,0)</f>
        <v>0</v>
      </c>
      <c r="G91" s="50">
        <f t="shared" si="239"/>
        <v>0</v>
      </c>
      <c r="H91" s="50">
        <f>IFERROR('調查資料(OUT)'!$N$1*'調查資料(OUT)'!N97,0)+IFERROR('調查資料(OUT)'!$R$1*'調查資料(OUT)'!R97,0)+IFERROR('調查資料(OUT)'!$V$1*'調查資料(OUT)'!V97,0)</f>
        <v>0</v>
      </c>
      <c r="I91" s="50">
        <f>IFERROR('調查資料(OUT)'!$O$1*'調查資料(OUT)'!O97,0)+IFERROR('調查資料(OUT)'!$S$1*'調查資料(OUT)'!S97,0)+IFERROR('調查資料(OUT)'!$W$1*'調查資料(OUT)'!W97,0)</f>
        <v>0</v>
      </c>
      <c r="J91" s="50">
        <f>IFERROR('調查資料(OUT)'!$P$1*'調查資料(OUT)'!P97,0)+IFERROR('調查資料(OUT)'!$T$1*'調查資料(OUT)'!T97,0)+IFERROR('調查資料(OUT)'!$X$1*'調查資料(OUT)'!X97,0)</f>
        <v>0</v>
      </c>
      <c r="K91" s="252">
        <f>IFERROR('調查資料(OUT)'!$Q$1*'調查資料(OUT)'!Q97,0)+IFERROR('調查資料(OUT)'!$U$1*'調查資料(OUT)'!U97,0)+IFERROR('調查資料(OUT)'!$Y$1*'調查資料(OUT)'!Y97,0)</f>
        <v>0</v>
      </c>
      <c r="L91" s="50">
        <f t="shared" si="240"/>
        <v>0</v>
      </c>
      <c r="M91" s="50">
        <f>IFERROR('調查資料(OUT)'!$Z$1*'調查資料(OUT)'!Z97,0)+IFERROR('調查資料(OUT)'!$AD$1*'調查資料(OUT)'!AD97,0)+IFERROR('調查資料(OUT)'!$AH$1*'調查資料(OUT)'!AH97,0)</f>
        <v>0</v>
      </c>
      <c r="N91" s="50">
        <f>IFERROR('調查資料(OUT)'!$AA$1*'調查資料(OUT)'!AA97,0)+IFERROR('調查資料(OUT)'!$AE$1*'調查資料(OUT)'!AE97,0)+IFERROR('調查資料(OUT)'!$AI$1*'調查資料(OUT)'!AI97,0)</f>
        <v>0</v>
      </c>
      <c r="O91" s="50">
        <f>IFERROR('調查資料(OUT)'!$AB$1*'調查資料(OUT)'!AB97,0)+IFERROR('調查資料(OUT)'!$AF$1*'調查資料(OUT)'!AF97,0)+IFERROR('調查資料(OUT)'!$AJ$1*'調查資料(OUT)'!AJ97,0)</f>
        <v>0</v>
      </c>
      <c r="P91" s="252">
        <f>IFERROR('調查資料(OUT)'!$AC$1*'調查資料(OUT)'!AC97,0)+IFERROR('調查資料(OUT)'!$AG$1*'調查資料(OUT)'!AG97,0)+IFERROR('調查資料(OUT)'!$AK$1*'調查資料(OUT)'!AK97,0)</f>
        <v>0</v>
      </c>
      <c r="Q91" s="50">
        <f t="shared" si="241"/>
        <v>0</v>
      </c>
      <c r="R91" s="50">
        <f>IFERROR('調查資料(OUT)'!$AL$1*'調查資料(OUT)'!AL97,0)+IFERROR('調查資料(OUT)'!$AP$1*'調查資料(OUT)'!AP97,0)+IFERROR('調查資料(OUT)'!$AT$1*'調查資料(OUT)'!AT97,0)</f>
        <v>0</v>
      </c>
      <c r="S91" s="50">
        <f>IFERROR('調查資料(OUT)'!$AM$1*'調查資料(OUT)'!AM97,0)+IFERROR('調查資料(OUT)'!$AQ$1*'調查資料(OUT)'!AQ97,0)+IFERROR('調查資料(OUT)'!$AU$1*'調查資料(OUT)'!AU97,0)</f>
        <v>0</v>
      </c>
      <c r="T91" s="50">
        <f>IFERROR('調查資料(OUT)'!$AN$1*'調查資料(OUT)'!AN97,0)+IFERROR('調查資料(OUT)'!$AR$1*'調查資料(OUT)'!AR97,0)+IFERROR('調查資料(OUT)'!$AV$1*'調查資料(OUT)'!AV97,0)</f>
        <v>0</v>
      </c>
      <c r="U91" s="252">
        <f>IFERROR('調查資料(OUT)'!$AO$1*'調查資料(OUT)'!AO97,0)+IFERROR('調查資料(OUT)'!$AS$1*'調查資料(OUT)'!AS97,0)+IFERROR('調查資料(OUT)'!$AW$1*'調查資料(OUT)'!AW97,0)</f>
        <v>0</v>
      </c>
      <c r="V91" s="50">
        <f t="shared" si="242"/>
        <v>0</v>
      </c>
      <c r="W91" s="50">
        <f>IFERROR('調查資料(OUT)'!$AX$1*'調查資料(OUT)'!AX97,0)+IFERROR('調查資料(OUT)'!$BB$1*'調查資料(OUT)'!BB97,0)+IFERROR('調查資料(OUT)'!$BF$1*'調查資料(OUT)'!BF97,0)</f>
        <v>0</v>
      </c>
      <c r="X91" s="50">
        <f>IFERROR('調查資料(OUT)'!$AY$1*'調查資料(OUT)'!AY97,0)+IFERROR('調查資料(OUT)'!$BC$1*'調查資料(OUT)'!BC97,0)+IFERROR('調查資料(OUT)'!$BG$1*'調查資料(OUT)'!BG97,0)</f>
        <v>0</v>
      </c>
      <c r="Y91" s="50">
        <f>IFERROR('調查資料(OUT)'!$AZ$1*'調查資料(OUT)'!AZ97,0)+IFERROR('調查資料(OUT)'!$BD$1*'調查資料(OUT)'!BD97,0)+IFERROR('調查資料(OUT)'!$BH$1*'調查資料(OUT)'!BH97,0)</f>
        <v>0</v>
      </c>
      <c r="Z91" s="252">
        <f>IFERROR('調查資料(OUT)'!$BA$1*'調查資料(OUT)'!BA97,0)+IFERROR('調查資料(OUT)'!$BE$1*'調查資料(OUT)'!BE97,0)+IFERROR('調查資料(OUT)'!$BI$1*'調查資料(OUT)'!BI97,0)</f>
        <v>0</v>
      </c>
      <c r="AA91" s="253">
        <f t="shared" si="243"/>
        <v>0</v>
      </c>
      <c r="AC91" s="251">
        <f>'調查資料(OUT)'!A97</f>
        <v>2130</v>
      </c>
      <c r="AD91" s="254">
        <f t="shared" si="244"/>
        <v>2230</v>
      </c>
      <c r="AE91" s="50">
        <f t="shared" si="254"/>
        <v>0</v>
      </c>
      <c r="AF91" s="51"/>
      <c r="AG91" s="50">
        <f t="shared" si="364"/>
        <v>0</v>
      </c>
      <c r="AH91" s="256" t="e">
        <f t="shared" si="371"/>
        <v>#DIV/0!</v>
      </c>
      <c r="AI91" s="256" t="e">
        <f t="shared" si="365"/>
        <v>#DIV/0!</v>
      </c>
      <c r="AJ91" s="256" t="e">
        <f t="shared" si="366"/>
        <v>#DIV/0!</v>
      </c>
      <c r="AK91" s="256" t="e">
        <f t="shared" si="367"/>
        <v>#DIV/0!</v>
      </c>
      <c r="AL91" s="256" t="e">
        <f t="shared" si="368"/>
        <v>#DIV/0!</v>
      </c>
      <c r="AN91" s="50">
        <f t="shared" si="369"/>
        <v>2130</v>
      </c>
      <c r="AO91" s="252">
        <f t="shared" si="370"/>
        <v>2230</v>
      </c>
      <c r="AP91" s="50">
        <f t="shared" si="245"/>
        <v>0</v>
      </c>
      <c r="AQ91" s="50">
        <f>IF($AN91="N","N",SUM('調查資料(OUT)'!B97:B100))</f>
        <v>0</v>
      </c>
      <c r="AR91" s="50">
        <f>IF($AN91="N","N",SUM('調查資料(OUT)'!F97:F100))</f>
        <v>0</v>
      </c>
      <c r="AS91" s="50">
        <f>IF($AN91="N","N",SUM('調查資料(OUT)'!J97:J100))</f>
        <v>0</v>
      </c>
      <c r="AT91" s="56" t="e">
        <f t="shared" si="309"/>
        <v>#DIV/0!</v>
      </c>
      <c r="AU91" s="50">
        <f t="shared" si="310"/>
        <v>0</v>
      </c>
      <c r="AV91" s="50">
        <f>IF($AN91="N","N",SUM('調查資料(OUT)'!C97:C100))</f>
        <v>0</v>
      </c>
      <c r="AW91" s="50">
        <f>IF($AN91="N","N",SUM('調查資料(OUT)'!G97:G100))</f>
        <v>0</v>
      </c>
      <c r="AX91" s="50">
        <f>IF($AN91="N","N",SUM('調查資料(OUT)'!K97:K100))</f>
        <v>0</v>
      </c>
      <c r="AY91" s="56" t="e">
        <f t="shared" si="311"/>
        <v>#DIV/0!</v>
      </c>
      <c r="AZ91" s="50">
        <f t="shared" si="312"/>
        <v>0</v>
      </c>
      <c r="BA91" s="50">
        <f>IF($AN91="N","N",SUM('調查資料(OUT)'!D97:D100))</f>
        <v>0</v>
      </c>
      <c r="BB91" s="50">
        <f>IF($AN91="N","N",SUM('調查資料(OUT)'!H97:H100))</f>
        <v>0</v>
      </c>
      <c r="BC91" s="50">
        <f>IF($AN91="N","N",SUM('調查資料(OUT)'!L97:L100))</f>
        <v>0</v>
      </c>
      <c r="BD91" s="56" t="e">
        <f t="shared" si="313"/>
        <v>#DIV/0!</v>
      </c>
      <c r="BE91" s="50">
        <f t="shared" si="314"/>
        <v>0</v>
      </c>
      <c r="BF91" s="50">
        <f>IF($AN91="N","N",SUM('調查資料(OUT)'!E97:E100))</f>
        <v>0</v>
      </c>
      <c r="BG91" s="50">
        <f>IF($AN91="N","N",SUM('調查資料(OUT)'!I97:I100))</f>
        <v>0</v>
      </c>
      <c r="BH91" s="50">
        <f>IF($AN91="N","N",SUM('調查資料(OUT)'!M97:M100))</f>
        <v>0</v>
      </c>
      <c r="BI91" s="56" t="e">
        <f t="shared" si="315"/>
        <v>#DIV/0!</v>
      </c>
      <c r="BJ91" s="50">
        <f t="shared" si="255"/>
        <v>0</v>
      </c>
      <c r="BK91" s="56" t="e">
        <f t="shared" si="256"/>
        <v>#DIV/0!</v>
      </c>
      <c r="BL91" s="50">
        <f t="shared" si="257"/>
        <v>0</v>
      </c>
      <c r="BM91" s="56" t="e">
        <f t="shared" si="258"/>
        <v>#DIV/0!</v>
      </c>
      <c r="BN91" s="50">
        <f t="shared" si="259"/>
        <v>0</v>
      </c>
      <c r="BO91" s="56" t="e">
        <f t="shared" si="260"/>
        <v>#DIV/0!</v>
      </c>
      <c r="BP91" s="50">
        <f t="shared" si="261"/>
        <v>0</v>
      </c>
      <c r="BQ91" s="50">
        <f t="shared" si="316"/>
        <v>0</v>
      </c>
      <c r="BR91" s="50">
        <f>IF($AN91="N","N",SUM('調查資料(OUT)'!N97:N100))</f>
        <v>0</v>
      </c>
      <c r="BS91" s="50">
        <f>IF($AN91="N","N",SUM('調查資料(OUT)'!R97:R100))</f>
        <v>0</v>
      </c>
      <c r="BT91" s="50">
        <f>IF($AN91="N","N",SUM('調查資料(OUT)'!V97:V100))</f>
        <v>0</v>
      </c>
      <c r="BU91" s="56" t="e">
        <f t="shared" si="317"/>
        <v>#DIV/0!</v>
      </c>
      <c r="BV91" s="50">
        <f t="shared" si="318"/>
        <v>0</v>
      </c>
      <c r="BW91" s="50">
        <f>IF($AN91="N","N",SUM('調查資料(OUT)'!O97:O100))</f>
        <v>0</v>
      </c>
      <c r="BX91" s="50">
        <f>IF($AN91="N","N",SUM('調查資料(OUT)'!S97:S100))</f>
        <v>0</v>
      </c>
      <c r="BY91" s="50">
        <f>IF($AN91="N","N",SUM('調查資料(OUT)'!W97:W100))</f>
        <v>0</v>
      </c>
      <c r="BZ91" s="56" t="e">
        <f t="shared" si="319"/>
        <v>#DIV/0!</v>
      </c>
      <c r="CA91" s="50">
        <f t="shared" si="320"/>
        <v>0</v>
      </c>
      <c r="CB91" s="50">
        <f>IF($AN91="N","N",SUM('調查資料(OUT)'!P97:P100))</f>
        <v>0</v>
      </c>
      <c r="CC91" s="50">
        <f>IF($AN91="N","N",SUM('調查資料(OUT)'!T97:T100))</f>
        <v>0</v>
      </c>
      <c r="CD91" s="50">
        <f>IF($AN91="N","N",SUM('調查資料(OUT)'!X97:X100))</f>
        <v>0</v>
      </c>
      <c r="CE91" s="56" t="e">
        <f t="shared" si="321"/>
        <v>#DIV/0!</v>
      </c>
      <c r="CF91" s="50">
        <f t="shared" si="322"/>
        <v>0</v>
      </c>
      <c r="CG91" s="50">
        <f>IF($AN91="N","N",SUM('調查資料(OUT)'!Q97:Q100))</f>
        <v>0</v>
      </c>
      <c r="CH91" s="50">
        <f>IF($AN91="N","N",SUM('調查資料(OUT)'!U97:U100))</f>
        <v>0</v>
      </c>
      <c r="CI91" s="50">
        <f>IF($AN91="N","N",SUM('調查資料(OUT)'!Y97:Y100))</f>
        <v>0</v>
      </c>
      <c r="CJ91" s="56" t="e">
        <f t="shared" si="323"/>
        <v>#DIV/0!</v>
      </c>
      <c r="CK91" s="50">
        <f t="shared" si="262"/>
        <v>0</v>
      </c>
      <c r="CL91" s="56" t="e">
        <f t="shared" si="263"/>
        <v>#DIV/0!</v>
      </c>
      <c r="CM91" s="50">
        <f t="shared" si="264"/>
        <v>0</v>
      </c>
      <c r="CN91" s="56" t="e">
        <f t="shared" si="265"/>
        <v>#DIV/0!</v>
      </c>
      <c r="CO91" s="50">
        <f t="shared" si="266"/>
        <v>0</v>
      </c>
      <c r="CP91" s="56" t="e">
        <f t="shared" si="267"/>
        <v>#DIV/0!</v>
      </c>
      <c r="CQ91" s="50">
        <f t="shared" si="268"/>
        <v>0</v>
      </c>
      <c r="CR91" s="50">
        <f t="shared" si="324"/>
        <v>0</v>
      </c>
      <c r="CS91" s="50">
        <f>IF($AN91="N","N",SUM('調查資料(OUT)'!Z97:Z100))</f>
        <v>0</v>
      </c>
      <c r="CT91" s="50">
        <f>IF($AN91="N","N",SUM('調查資料(OUT)'!AD97:AD100))</f>
        <v>0</v>
      </c>
      <c r="CU91" s="50">
        <f>IF($AN91="N","N",SUM('調查資料(OUT)'!AH97:AH100))</f>
        <v>0</v>
      </c>
      <c r="CV91" s="56" t="e">
        <f t="shared" si="325"/>
        <v>#DIV/0!</v>
      </c>
      <c r="CW91" s="50">
        <f t="shared" si="326"/>
        <v>0</v>
      </c>
      <c r="CX91" s="50">
        <f>IF($AN91="N","N",SUM('調查資料(OUT)'!AA97:AA100))</f>
        <v>0</v>
      </c>
      <c r="CY91" s="50">
        <f>IF($AN91="N","N",SUM('調查資料(OUT)'!AE97:AE100))</f>
        <v>0</v>
      </c>
      <c r="CZ91" s="50">
        <f>IF($AN91="N","N",SUM('調查資料(OUT)'!AI97:AI100))</f>
        <v>0</v>
      </c>
      <c r="DA91" s="56" t="e">
        <f t="shared" si="327"/>
        <v>#DIV/0!</v>
      </c>
      <c r="DB91" s="50">
        <f t="shared" si="328"/>
        <v>0</v>
      </c>
      <c r="DC91" s="50">
        <f>IF($AN91="N","N",SUM('調查資料(OUT)'!AB97:AB100))</f>
        <v>0</v>
      </c>
      <c r="DD91" s="50">
        <f>IF($AN91="N","N",SUM('調查資料(OUT)'!AF97:AF100))</f>
        <v>0</v>
      </c>
      <c r="DE91" s="50">
        <f>IF($AN91="N","N",SUM('調查資料(OUT)'!AJ97:AJ100))</f>
        <v>0</v>
      </c>
      <c r="DF91" s="56" t="e">
        <f t="shared" si="329"/>
        <v>#DIV/0!</v>
      </c>
      <c r="DG91" s="50">
        <f t="shared" si="330"/>
        <v>0</v>
      </c>
      <c r="DH91" s="50">
        <f>IF($AN91="N","N",SUM('調查資料(OUT)'!AC97:AC100))</f>
        <v>0</v>
      </c>
      <c r="DI91" s="50">
        <f>IF($AN91="N","N",SUM('調查資料(OUT)'!AG97:AG100))</f>
        <v>0</v>
      </c>
      <c r="DJ91" s="50">
        <f>IF($AN91="N","N",SUM('調查資料(OUT)'!AK97:AK100))</f>
        <v>0</v>
      </c>
      <c r="DK91" s="56" t="e">
        <f t="shared" si="331"/>
        <v>#DIV/0!</v>
      </c>
      <c r="DL91" s="50">
        <f t="shared" si="269"/>
        <v>0</v>
      </c>
      <c r="DM91" s="56" t="e">
        <f t="shared" si="270"/>
        <v>#DIV/0!</v>
      </c>
      <c r="DN91" s="50">
        <f t="shared" si="271"/>
        <v>0</v>
      </c>
      <c r="DO91" s="56" t="e">
        <f t="shared" si="272"/>
        <v>#DIV/0!</v>
      </c>
      <c r="DP91" s="50">
        <f t="shared" si="273"/>
        <v>0</v>
      </c>
      <c r="DQ91" s="56" t="e">
        <f t="shared" si="274"/>
        <v>#DIV/0!</v>
      </c>
      <c r="DR91" s="50">
        <f t="shared" si="275"/>
        <v>0</v>
      </c>
      <c r="DS91" s="50">
        <f t="shared" si="332"/>
        <v>0</v>
      </c>
      <c r="DT91" s="50">
        <f>IF($AN91="N","N",SUM('調查資料(OUT)'!AL97:AL100))</f>
        <v>0</v>
      </c>
      <c r="DU91" s="50">
        <f>IF($AN91="N","N",SUM('調查資料(OUT)'!AP97:AP100))</f>
        <v>0</v>
      </c>
      <c r="DV91" s="50">
        <f>IF($AN91="N","N",SUM('調查資料(OUT)'!AT97:AT100))</f>
        <v>0</v>
      </c>
      <c r="DW91" s="56" t="e">
        <f t="shared" si="333"/>
        <v>#DIV/0!</v>
      </c>
      <c r="DX91" s="50">
        <f t="shared" si="334"/>
        <v>0</v>
      </c>
      <c r="DY91" s="50">
        <f>IF($AN91="N","N",SUM('調查資料(OUT)'!AM97:AM100))</f>
        <v>0</v>
      </c>
      <c r="DZ91" s="50">
        <f>IF($AN91="N","N",SUM('調查資料(OUT)'!AQ97:AQ100))</f>
        <v>0</v>
      </c>
      <c r="EA91" s="50">
        <f>IF($AN91="N","N",SUM('調查資料(OUT)'!AU97:AU100))</f>
        <v>0</v>
      </c>
      <c r="EB91" s="56" t="e">
        <f t="shared" si="335"/>
        <v>#DIV/0!</v>
      </c>
      <c r="EC91" s="50">
        <f t="shared" si="336"/>
        <v>0</v>
      </c>
      <c r="ED91" s="50">
        <f>IF($AN91="N","N",SUM('調查資料(OUT)'!AN97:AN100))</f>
        <v>0</v>
      </c>
      <c r="EE91" s="50">
        <f>IF($AN91="N","N",SUM('調查資料(OUT)'!AR97:AR100))</f>
        <v>0</v>
      </c>
      <c r="EF91" s="50">
        <f>IF($AN91="N","N",SUM('調查資料(OUT)'!AV97:AV100))</f>
        <v>0</v>
      </c>
      <c r="EG91" s="56" t="e">
        <f t="shared" si="337"/>
        <v>#DIV/0!</v>
      </c>
      <c r="EH91" s="50">
        <f t="shared" si="338"/>
        <v>0</v>
      </c>
      <c r="EI91" s="50">
        <f>IF($AN91="N","N",SUM('調查資料(OUT)'!AO97:AO100))</f>
        <v>0</v>
      </c>
      <c r="EJ91" s="50">
        <f>IF($AN91="N","N",SUM('調查資料(OUT)'!AS97:AS100))</f>
        <v>0</v>
      </c>
      <c r="EK91" s="50">
        <f>IF($AN91="N","N",SUM('調查資料(OUT)'!AW97:AW100))</f>
        <v>0</v>
      </c>
      <c r="EL91" s="56" t="e">
        <f t="shared" si="339"/>
        <v>#DIV/0!</v>
      </c>
      <c r="EM91" s="50">
        <f t="shared" si="276"/>
        <v>0</v>
      </c>
      <c r="EN91" s="56" t="e">
        <f t="shared" si="277"/>
        <v>#DIV/0!</v>
      </c>
      <c r="EO91" s="50">
        <f t="shared" si="278"/>
        <v>0</v>
      </c>
      <c r="EP91" s="56" t="e">
        <f t="shared" si="279"/>
        <v>#DIV/0!</v>
      </c>
      <c r="EQ91" s="50">
        <f t="shared" si="280"/>
        <v>0</v>
      </c>
      <c r="ER91" s="56" t="e">
        <f t="shared" si="281"/>
        <v>#DIV/0!</v>
      </c>
      <c r="ES91" s="50">
        <f t="shared" si="282"/>
        <v>0</v>
      </c>
      <c r="ET91" s="50">
        <f t="shared" si="340"/>
        <v>0</v>
      </c>
      <c r="EU91" s="50">
        <f>IF($AN91="N","N",SUM('調查資料(OUT)'!AX97:AX100))</f>
        <v>0</v>
      </c>
      <c r="EV91" s="50">
        <f>IF($AN91="N","N",SUM('調查資料(OUT)'!BB97:BB100))</f>
        <v>0</v>
      </c>
      <c r="EW91" s="50">
        <f>IF($AN91="N","N",SUM('調查資料(OUT)'!BF97:BF100))</f>
        <v>0</v>
      </c>
      <c r="EX91" s="56" t="e">
        <f t="shared" si="341"/>
        <v>#DIV/0!</v>
      </c>
      <c r="EY91" s="50">
        <f t="shared" si="342"/>
        <v>0</v>
      </c>
      <c r="EZ91" s="50">
        <f>IF($AN91="N","N",SUM('調查資料(OUT)'!AY97:AY100))</f>
        <v>0</v>
      </c>
      <c r="FA91" s="50">
        <f>IF($AN91="N","N",SUM('調查資料(OUT)'!BC97:BC100))</f>
        <v>0</v>
      </c>
      <c r="FB91" s="50">
        <f>IF($AN91="N","N",SUM('調查資料(OUT)'!BG97:BG100))</f>
        <v>0</v>
      </c>
      <c r="FC91" s="56" t="e">
        <f t="shared" si="343"/>
        <v>#DIV/0!</v>
      </c>
      <c r="FD91" s="50">
        <f t="shared" si="344"/>
        <v>0</v>
      </c>
      <c r="FE91" s="50">
        <f>IF($AN91="N","N",SUM('調查資料(OUT)'!AZ97:AZ100))</f>
        <v>0</v>
      </c>
      <c r="FF91" s="50">
        <f>IF($AN91="N","N",SUM('調查資料(OUT)'!BD97:BD100))</f>
        <v>0</v>
      </c>
      <c r="FG91" s="50">
        <f>IF($AN91="N","N",SUM('調查資料(OUT)'!BH97:BH100))</f>
        <v>0</v>
      </c>
      <c r="FH91" s="56" t="e">
        <f t="shared" si="345"/>
        <v>#DIV/0!</v>
      </c>
      <c r="FI91" s="50">
        <f t="shared" si="346"/>
        <v>0</v>
      </c>
      <c r="FJ91" s="50">
        <f>IF($AN91="N","N",SUM('調查資料(OUT)'!BA97:BA100))</f>
        <v>0</v>
      </c>
      <c r="FK91" s="50">
        <f>IF($AN91="N","N",SUM('調查資料(OUT)'!BE97:BE100))</f>
        <v>0</v>
      </c>
      <c r="FL91" s="50">
        <f>IF($AN91="N","N",SUM('調查資料(OUT)'!BI97:BI100))</f>
        <v>0</v>
      </c>
      <c r="FM91" s="56" t="e">
        <f t="shared" si="347"/>
        <v>#DIV/0!</v>
      </c>
      <c r="FN91" s="50">
        <f t="shared" si="246"/>
        <v>0</v>
      </c>
      <c r="FO91" s="56" t="e">
        <f t="shared" si="247"/>
        <v>#DIV/0!</v>
      </c>
      <c r="FP91" s="50">
        <f t="shared" si="248"/>
        <v>0</v>
      </c>
      <c r="FQ91" s="56" t="e">
        <f t="shared" si="249"/>
        <v>#DIV/0!</v>
      </c>
      <c r="FR91" s="50">
        <f t="shared" si="250"/>
        <v>0</v>
      </c>
      <c r="FS91" s="56" t="e">
        <f t="shared" si="251"/>
        <v>#DIV/0!</v>
      </c>
      <c r="FT91" s="50">
        <f t="shared" si="252"/>
        <v>0</v>
      </c>
    </row>
    <row r="92" spans="1:176">
      <c r="A92" s="274">
        <f>'調查資料(OUT)'!A98</f>
        <v>2145</v>
      </c>
      <c r="B92" s="50">
        <f t="shared" si="238"/>
        <v>0</v>
      </c>
      <c r="C92" s="50">
        <f>IFERROR('調查資料(OUT)'!$B$1*'調查資料(OUT)'!B98,0)+IFERROR('調查資料(OUT)'!$F$1*'調查資料(OUT)'!F98,0)+IFERROR('調查資料(OUT)'!$J$1*'調查資料(OUT)'!J98,0)</f>
        <v>0</v>
      </c>
      <c r="D92" s="50">
        <f>IFERROR('調查資料(OUT)'!$C$1*'調查資料(OUT)'!C98,0)+IFERROR('調查資料(OUT)'!$G$1*'調查資料(OUT)'!G98,0)+IFERROR('調查資料(OUT)'!$K$1*'調查資料(OUT)'!K98,0)</f>
        <v>0</v>
      </c>
      <c r="E92" s="50">
        <f>IFERROR('調查資料(OUT)'!$D$1*'調查資料(OUT)'!D98,0)+IFERROR('調查資料(OUT)'!$H$1*'調查資料(OUT)'!H98,0)+IFERROR('調查資料(OUT)'!$L$1*'調查資料(OUT)'!L98,0)</f>
        <v>0</v>
      </c>
      <c r="F92" s="252">
        <f>IFERROR('調查資料(OUT)'!$E$1*'調查資料(OUT)'!E98,0)+IFERROR('調查資料(OUT)'!$I$1*'調查資料(OUT)'!I98,0)+IFERROR('調查資料(OUT)'!$M$1*'調查資料(OUT)'!M98,0)</f>
        <v>0</v>
      </c>
      <c r="G92" s="50">
        <f t="shared" si="239"/>
        <v>0</v>
      </c>
      <c r="H92" s="50">
        <f>IFERROR('調查資料(OUT)'!$N$1*'調查資料(OUT)'!N98,0)+IFERROR('調查資料(OUT)'!$R$1*'調查資料(OUT)'!R98,0)+IFERROR('調查資料(OUT)'!$V$1*'調查資料(OUT)'!V98,0)</f>
        <v>0</v>
      </c>
      <c r="I92" s="50">
        <f>IFERROR('調查資料(OUT)'!$O$1*'調查資料(OUT)'!O98,0)+IFERROR('調查資料(OUT)'!$S$1*'調查資料(OUT)'!S98,0)+IFERROR('調查資料(OUT)'!$W$1*'調查資料(OUT)'!W98,0)</f>
        <v>0</v>
      </c>
      <c r="J92" s="50">
        <f>IFERROR('調查資料(OUT)'!$P$1*'調查資料(OUT)'!P98,0)+IFERROR('調查資料(OUT)'!$T$1*'調查資料(OUT)'!T98,0)+IFERROR('調查資料(OUT)'!$X$1*'調查資料(OUT)'!X98,0)</f>
        <v>0</v>
      </c>
      <c r="K92" s="252">
        <f>IFERROR('調查資料(OUT)'!$Q$1*'調查資料(OUT)'!Q98,0)+IFERROR('調查資料(OUT)'!$U$1*'調查資料(OUT)'!U98,0)+IFERROR('調查資料(OUT)'!$Y$1*'調查資料(OUT)'!Y98,0)</f>
        <v>0</v>
      </c>
      <c r="L92" s="50">
        <f t="shared" si="240"/>
        <v>0</v>
      </c>
      <c r="M92" s="50">
        <f>IFERROR('調查資料(OUT)'!$Z$1*'調查資料(OUT)'!Z98,0)+IFERROR('調查資料(OUT)'!$AD$1*'調查資料(OUT)'!AD98,0)+IFERROR('調查資料(OUT)'!$AH$1*'調查資料(OUT)'!AH98,0)</f>
        <v>0</v>
      </c>
      <c r="N92" s="50">
        <f>IFERROR('調查資料(OUT)'!$AA$1*'調查資料(OUT)'!AA98,0)+IFERROR('調查資料(OUT)'!$AE$1*'調查資料(OUT)'!AE98,0)+IFERROR('調查資料(OUT)'!$AI$1*'調查資料(OUT)'!AI98,0)</f>
        <v>0</v>
      </c>
      <c r="O92" s="50">
        <f>IFERROR('調查資料(OUT)'!$AB$1*'調查資料(OUT)'!AB98,0)+IFERROR('調查資料(OUT)'!$AF$1*'調查資料(OUT)'!AF98,0)+IFERROR('調查資料(OUT)'!$AJ$1*'調查資料(OUT)'!AJ98,0)</f>
        <v>0</v>
      </c>
      <c r="P92" s="252">
        <f>IFERROR('調查資料(OUT)'!$AC$1*'調查資料(OUT)'!AC98,0)+IFERROR('調查資料(OUT)'!$AG$1*'調查資料(OUT)'!AG98,0)+IFERROR('調查資料(OUT)'!$AK$1*'調查資料(OUT)'!AK98,0)</f>
        <v>0</v>
      </c>
      <c r="Q92" s="50">
        <f t="shared" si="241"/>
        <v>0</v>
      </c>
      <c r="R92" s="50">
        <f>IFERROR('調查資料(OUT)'!$AL$1*'調查資料(OUT)'!AL98,0)+IFERROR('調查資料(OUT)'!$AP$1*'調查資料(OUT)'!AP98,0)+IFERROR('調查資料(OUT)'!$AT$1*'調查資料(OUT)'!AT98,0)</f>
        <v>0</v>
      </c>
      <c r="S92" s="50">
        <f>IFERROR('調查資料(OUT)'!$AM$1*'調查資料(OUT)'!AM98,0)+IFERROR('調查資料(OUT)'!$AQ$1*'調查資料(OUT)'!AQ98,0)+IFERROR('調查資料(OUT)'!$AU$1*'調查資料(OUT)'!AU98,0)</f>
        <v>0</v>
      </c>
      <c r="T92" s="50">
        <f>IFERROR('調查資料(OUT)'!$AN$1*'調查資料(OUT)'!AN98,0)+IFERROR('調查資料(OUT)'!$AR$1*'調查資料(OUT)'!AR98,0)+IFERROR('調查資料(OUT)'!$AV$1*'調查資料(OUT)'!AV98,0)</f>
        <v>0</v>
      </c>
      <c r="U92" s="252">
        <f>IFERROR('調查資料(OUT)'!$AO$1*'調查資料(OUT)'!AO98,0)+IFERROR('調查資料(OUT)'!$AS$1*'調查資料(OUT)'!AS98,0)+IFERROR('調查資料(OUT)'!$AW$1*'調查資料(OUT)'!AW98,0)</f>
        <v>0</v>
      </c>
      <c r="V92" s="50">
        <f t="shared" si="242"/>
        <v>0</v>
      </c>
      <c r="W92" s="50">
        <f>IFERROR('調查資料(OUT)'!$AX$1*'調查資料(OUT)'!AX98,0)+IFERROR('調查資料(OUT)'!$BB$1*'調查資料(OUT)'!BB98,0)+IFERROR('調查資料(OUT)'!$BF$1*'調查資料(OUT)'!BF98,0)</f>
        <v>0</v>
      </c>
      <c r="X92" s="50">
        <f>IFERROR('調查資料(OUT)'!$AY$1*'調查資料(OUT)'!AY98,0)+IFERROR('調查資料(OUT)'!$BC$1*'調查資料(OUT)'!BC98,0)+IFERROR('調查資料(OUT)'!$BG$1*'調查資料(OUT)'!BG98,0)</f>
        <v>0</v>
      </c>
      <c r="Y92" s="50">
        <f>IFERROR('調查資料(OUT)'!$AZ$1*'調查資料(OUT)'!AZ98,0)+IFERROR('調查資料(OUT)'!$BD$1*'調查資料(OUT)'!BD98,0)+IFERROR('調查資料(OUT)'!$BH$1*'調查資料(OUT)'!BH98,0)</f>
        <v>0</v>
      </c>
      <c r="Z92" s="252">
        <f>IFERROR('調查資料(OUT)'!$BA$1*'調查資料(OUT)'!BA98,0)+IFERROR('調查資料(OUT)'!$BE$1*'調查資料(OUT)'!BE98,0)+IFERROR('調查資料(OUT)'!$BI$1*'調查資料(OUT)'!BI98,0)</f>
        <v>0</v>
      </c>
      <c r="AA92" s="253">
        <f t="shared" si="243"/>
        <v>0</v>
      </c>
      <c r="AC92" s="251">
        <f>'調查資料(OUT)'!A98</f>
        <v>2145</v>
      </c>
      <c r="AD92" s="254">
        <f t="shared" si="244"/>
        <v>2245</v>
      </c>
      <c r="AE92" s="50">
        <f t="shared" si="254"/>
        <v>0</v>
      </c>
      <c r="AF92" s="51"/>
      <c r="AG92" s="50">
        <f t="shared" si="364"/>
        <v>0</v>
      </c>
      <c r="AH92" s="256" t="e">
        <f t="shared" si="371"/>
        <v>#DIV/0!</v>
      </c>
      <c r="AI92" s="256" t="e">
        <f t="shared" si="365"/>
        <v>#DIV/0!</v>
      </c>
      <c r="AJ92" s="256" t="e">
        <f t="shared" si="366"/>
        <v>#DIV/0!</v>
      </c>
      <c r="AK92" s="256" t="e">
        <f t="shared" si="367"/>
        <v>#DIV/0!</v>
      </c>
      <c r="AL92" s="256" t="e">
        <f t="shared" si="368"/>
        <v>#DIV/0!</v>
      </c>
      <c r="AN92" s="50">
        <f t="shared" si="369"/>
        <v>2145</v>
      </c>
      <c r="AO92" s="252">
        <f t="shared" si="370"/>
        <v>2245</v>
      </c>
      <c r="AP92" s="50">
        <f t="shared" si="245"/>
        <v>0</v>
      </c>
      <c r="AQ92" s="50">
        <f>IF($AN92="N","N",SUM('調查資料(OUT)'!B98:B101))</f>
        <v>0</v>
      </c>
      <c r="AR92" s="50">
        <f>IF($AN92="N","N",SUM('調查資料(OUT)'!F98:F101))</f>
        <v>0</v>
      </c>
      <c r="AS92" s="50">
        <f>IF($AN92="N","N",SUM('調查資料(OUT)'!J98:J101))</f>
        <v>0</v>
      </c>
      <c r="AT92" s="56" t="e">
        <f t="shared" si="309"/>
        <v>#DIV/0!</v>
      </c>
      <c r="AU92" s="50">
        <f t="shared" si="310"/>
        <v>0</v>
      </c>
      <c r="AV92" s="50">
        <f>IF($AN92="N","N",SUM('調查資料(OUT)'!C98:C101))</f>
        <v>0</v>
      </c>
      <c r="AW92" s="50">
        <f>IF($AN92="N","N",SUM('調查資料(OUT)'!G98:G101))</f>
        <v>0</v>
      </c>
      <c r="AX92" s="50">
        <f>IF($AN92="N","N",SUM('調查資料(OUT)'!K98:K101))</f>
        <v>0</v>
      </c>
      <c r="AY92" s="56" t="e">
        <f t="shared" si="311"/>
        <v>#DIV/0!</v>
      </c>
      <c r="AZ92" s="50">
        <f t="shared" si="312"/>
        <v>0</v>
      </c>
      <c r="BA92" s="50">
        <f>IF($AN92="N","N",SUM('調查資料(OUT)'!D98:D101))</f>
        <v>0</v>
      </c>
      <c r="BB92" s="50">
        <f>IF($AN92="N","N",SUM('調查資料(OUT)'!H98:H101))</f>
        <v>0</v>
      </c>
      <c r="BC92" s="50">
        <f>IF($AN92="N","N",SUM('調查資料(OUT)'!L98:L101))</f>
        <v>0</v>
      </c>
      <c r="BD92" s="56" t="e">
        <f t="shared" si="313"/>
        <v>#DIV/0!</v>
      </c>
      <c r="BE92" s="50">
        <f t="shared" si="314"/>
        <v>0</v>
      </c>
      <c r="BF92" s="50">
        <f>IF($AN92="N","N",SUM('調查資料(OUT)'!E98:E101))</f>
        <v>0</v>
      </c>
      <c r="BG92" s="50">
        <f>IF($AN92="N","N",SUM('調查資料(OUT)'!I98:I101))</f>
        <v>0</v>
      </c>
      <c r="BH92" s="50">
        <f>IF($AN92="N","N",SUM('調查資料(OUT)'!M98:M101))</f>
        <v>0</v>
      </c>
      <c r="BI92" s="56" t="e">
        <f t="shared" si="315"/>
        <v>#DIV/0!</v>
      </c>
      <c r="BJ92" s="50">
        <f t="shared" si="255"/>
        <v>0</v>
      </c>
      <c r="BK92" s="56" t="e">
        <f t="shared" si="256"/>
        <v>#DIV/0!</v>
      </c>
      <c r="BL92" s="50">
        <f t="shared" si="257"/>
        <v>0</v>
      </c>
      <c r="BM92" s="56" t="e">
        <f t="shared" si="258"/>
        <v>#DIV/0!</v>
      </c>
      <c r="BN92" s="50">
        <f t="shared" si="259"/>
        <v>0</v>
      </c>
      <c r="BO92" s="56" t="e">
        <f t="shared" si="260"/>
        <v>#DIV/0!</v>
      </c>
      <c r="BP92" s="50">
        <f t="shared" si="261"/>
        <v>0</v>
      </c>
      <c r="BQ92" s="50">
        <f t="shared" si="316"/>
        <v>0</v>
      </c>
      <c r="BR92" s="50">
        <f>IF($AN92="N","N",SUM('調查資料(OUT)'!N98:N101))</f>
        <v>0</v>
      </c>
      <c r="BS92" s="50">
        <f>IF($AN92="N","N",SUM('調查資料(OUT)'!R98:R101))</f>
        <v>0</v>
      </c>
      <c r="BT92" s="50">
        <f>IF($AN92="N","N",SUM('調查資料(OUT)'!V98:V101))</f>
        <v>0</v>
      </c>
      <c r="BU92" s="56" t="e">
        <f t="shared" si="317"/>
        <v>#DIV/0!</v>
      </c>
      <c r="BV92" s="50">
        <f t="shared" si="318"/>
        <v>0</v>
      </c>
      <c r="BW92" s="50">
        <f>IF($AN92="N","N",SUM('調查資料(OUT)'!O98:O101))</f>
        <v>0</v>
      </c>
      <c r="BX92" s="50">
        <f>IF($AN92="N","N",SUM('調查資料(OUT)'!S98:S101))</f>
        <v>0</v>
      </c>
      <c r="BY92" s="50">
        <f>IF($AN92="N","N",SUM('調查資料(OUT)'!W98:W101))</f>
        <v>0</v>
      </c>
      <c r="BZ92" s="56" t="e">
        <f t="shared" si="319"/>
        <v>#DIV/0!</v>
      </c>
      <c r="CA92" s="50">
        <f t="shared" si="320"/>
        <v>0</v>
      </c>
      <c r="CB92" s="50">
        <f>IF($AN92="N","N",SUM('調查資料(OUT)'!P98:P101))</f>
        <v>0</v>
      </c>
      <c r="CC92" s="50">
        <f>IF($AN92="N","N",SUM('調查資料(OUT)'!T98:T101))</f>
        <v>0</v>
      </c>
      <c r="CD92" s="50">
        <f>IF($AN92="N","N",SUM('調查資料(OUT)'!X98:X101))</f>
        <v>0</v>
      </c>
      <c r="CE92" s="56" t="e">
        <f t="shared" si="321"/>
        <v>#DIV/0!</v>
      </c>
      <c r="CF92" s="50">
        <f t="shared" si="322"/>
        <v>0</v>
      </c>
      <c r="CG92" s="50">
        <f>IF($AN92="N","N",SUM('調查資料(OUT)'!Q98:Q101))</f>
        <v>0</v>
      </c>
      <c r="CH92" s="50">
        <f>IF($AN92="N","N",SUM('調查資料(OUT)'!U98:U101))</f>
        <v>0</v>
      </c>
      <c r="CI92" s="50">
        <f>IF($AN92="N","N",SUM('調查資料(OUT)'!Y98:Y101))</f>
        <v>0</v>
      </c>
      <c r="CJ92" s="56" t="e">
        <f t="shared" si="323"/>
        <v>#DIV/0!</v>
      </c>
      <c r="CK92" s="50">
        <f t="shared" si="262"/>
        <v>0</v>
      </c>
      <c r="CL92" s="56" t="e">
        <f t="shared" si="263"/>
        <v>#DIV/0!</v>
      </c>
      <c r="CM92" s="50">
        <f t="shared" si="264"/>
        <v>0</v>
      </c>
      <c r="CN92" s="56" t="e">
        <f t="shared" si="265"/>
        <v>#DIV/0!</v>
      </c>
      <c r="CO92" s="50">
        <f t="shared" si="266"/>
        <v>0</v>
      </c>
      <c r="CP92" s="56" t="e">
        <f t="shared" si="267"/>
        <v>#DIV/0!</v>
      </c>
      <c r="CQ92" s="50">
        <f t="shared" si="268"/>
        <v>0</v>
      </c>
      <c r="CR92" s="50">
        <f t="shared" si="324"/>
        <v>0</v>
      </c>
      <c r="CS92" s="50">
        <f>IF($AN92="N","N",SUM('調查資料(OUT)'!Z98:Z101))</f>
        <v>0</v>
      </c>
      <c r="CT92" s="50">
        <f>IF($AN92="N","N",SUM('調查資料(OUT)'!AD98:AD101))</f>
        <v>0</v>
      </c>
      <c r="CU92" s="50">
        <f>IF($AN92="N","N",SUM('調查資料(OUT)'!AH98:AH101))</f>
        <v>0</v>
      </c>
      <c r="CV92" s="56" t="e">
        <f t="shared" si="325"/>
        <v>#DIV/0!</v>
      </c>
      <c r="CW92" s="50">
        <f t="shared" si="326"/>
        <v>0</v>
      </c>
      <c r="CX92" s="50">
        <f>IF($AN92="N","N",SUM('調查資料(OUT)'!AA98:AA101))</f>
        <v>0</v>
      </c>
      <c r="CY92" s="50">
        <f>IF($AN92="N","N",SUM('調查資料(OUT)'!AE98:AE101))</f>
        <v>0</v>
      </c>
      <c r="CZ92" s="50">
        <f>IF($AN92="N","N",SUM('調查資料(OUT)'!AI98:AI101))</f>
        <v>0</v>
      </c>
      <c r="DA92" s="56" t="e">
        <f t="shared" si="327"/>
        <v>#DIV/0!</v>
      </c>
      <c r="DB92" s="50">
        <f t="shared" si="328"/>
        <v>0</v>
      </c>
      <c r="DC92" s="50">
        <f>IF($AN92="N","N",SUM('調查資料(OUT)'!AB98:AB101))</f>
        <v>0</v>
      </c>
      <c r="DD92" s="50">
        <f>IF($AN92="N","N",SUM('調查資料(OUT)'!AF98:AF101))</f>
        <v>0</v>
      </c>
      <c r="DE92" s="50">
        <f>IF($AN92="N","N",SUM('調查資料(OUT)'!AJ98:AJ101))</f>
        <v>0</v>
      </c>
      <c r="DF92" s="56" t="e">
        <f t="shared" si="329"/>
        <v>#DIV/0!</v>
      </c>
      <c r="DG92" s="50">
        <f t="shared" si="330"/>
        <v>0</v>
      </c>
      <c r="DH92" s="50">
        <f>IF($AN92="N","N",SUM('調查資料(OUT)'!AC98:AC101))</f>
        <v>0</v>
      </c>
      <c r="DI92" s="50">
        <f>IF($AN92="N","N",SUM('調查資料(OUT)'!AG98:AG101))</f>
        <v>0</v>
      </c>
      <c r="DJ92" s="50">
        <f>IF($AN92="N","N",SUM('調查資料(OUT)'!AK98:AK101))</f>
        <v>0</v>
      </c>
      <c r="DK92" s="56" t="e">
        <f t="shared" si="331"/>
        <v>#DIV/0!</v>
      </c>
      <c r="DL92" s="50">
        <f t="shared" si="269"/>
        <v>0</v>
      </c>
      <c r="DM92" s="56" t="e">
        <f t="shared" si="270"/>
        <v>#DIV/0!</v>
      </c>
      <c r="DN92" s="50">
        <f t="shared" si="271"/>
        <v>0</v>
      </c>
      <c r="DO92" s="56" t="e">
        <f t="shared" si="272"/>
        <v>#DIV/0!</v>
      </c>
      <c r="DP92" s="50">
        <f t="shared" si="273"/>
        <v>0</v>
      </c>
      <c r="DQ92" s="56" t="e">
        <f t="shared" si="274"/>
        <v>#DIV/0!</v>
      </c>
      <c r="DR92" s="50">
        <f t="shared" si="275"/>
        <v>0</v>
      </c>
      <c r="DS92" s="50">
        <f t="shared" si="332"/>
        <v>0</v>
      </c>
      <c r="DT92" s="50">
        <f>IF($AN92="N","N",SUM('調查資料(OUT)'!AL98:AL101))</f>
        <v>0</v>
      </c>
      <c r="DU92" s="50">
        <f>IF($AN92="N","N",SUM('調查資料(OUT)'!AP98:AP101))</f>
        <v>0</v>
      </c>
      <c r="DV92" s="50">
        <f>IF($AN92="N","N",SUM('調查資料(OUT)'!AT98:AT101))</f>
        <v>0</v>
      </c>
      <c r="DW92" s="56" t="e">
        <f t="shared" si="333"/>
        <v>#DIV/0!</v>
      </c>
      <c r="DX92" s="50">
        <f t="shared" si="334"/>
        <v>0</v>
      </c>
      <c r="DY92" s="50">
        <f>IF($AN92="N","N",SUM('調查資料(OUT)'!AM98:AM101))</f>
        <v>0</v>
      </c>
      <c r="DZ92" s="50">
        <f>IF($AN92="N","N",SUM('調查資料(OUT)'!AQ98:AQ101))</f>
        <v>0</v>
      </c>
      <c r="EA92" s="50">
        <f>IF($AN92="N","N",SUM('調查資料(OUT)'!AU98:AU101))</f>
        <v>0</v>
      </c>
      <c r="EB92" s="56" t="e">
        <f t="shared" si="335"/>
        <v>#DIV/0!</v>
      </c>
      <c r="EC92" s="50">
        <f t="shared" si="336"/>
        <v>0</v>
      </c>
      <c r="ED92" s="50">
        <f>IF($AN92="N","N",SUM('調查資料(OUT)'!AN98:AN101))</f>
        <v>0</v>
      </c>
      <c r="EE92" s="50">
        <f>IF($AN92="N","N",SUM('調查資料(OUT)'!AR98:AR101))</f>
        <v>0</v>
      </c>
      <c r="EF92" s="50">
        <f>IF($AN92="N","N",SUM('調查資料(OUT)'!AV98:AV101))</f>
        <v>0</v>
      </c>
      <c r="EG92" s="56" t="e">
        <f t="shared" si="337"/>
        <v>#DIV/0!</v>
      </c>
      <c r="EH92" s="50">
        <f t="shared" si="338"/>
        <v>0</v>
      </c>
      <c r="EI92" s="50">
        <f>IF($AN92="N","N",SUM('調查資料(OUT)'!AO98:AO101))</f>
        <v>0</v>
      </c>
      <c r="EJ92" s="50">
        <f>IF($AN92="N","N",SUM('調查資料(OUT)'!AS98:AS101))</f>
        <v>0</v>
      </c>
      <c r="EK92" s="50">
        <f>IF($AN92="N","N",SUM('調查資料(OUT)'!AW98:AW101))</f>
        <v>0</v>
      </c>
      <c r="EL92" s="56" t="e">
        <f t="shared" si="339"/>
        <v>#DIV/0!</v>
      </c>
      <c r="EM92" s="50">
        <f t="shared" si="276"/>
        <v>0</v>
      </c>
      <c r="EN92" s="56" t="e">
        <f t="shared" si="277"/>
        <v>#DIV/0!</v>
      </c>
      <c r="EO92" s="50">
        <f t="shared" si="278"/>
        <v>0</v>
      </c>
      <c r="EP92" s="56" t="e">
        <f t="shared" si="279"/>
        <v>#DIV/0!</v>
      </c>
      <c r="EQ92" s="50">
        <f t="shared" si="280"/>
        <v>0</v>
      </c>
      <c r="ER92" s="56" t="e">
        <f t="shared" si="281"/>
        <v>#DIV/0!</v>
      </c>
      <c r="ES92" s="50">
        <f t="shared" si="282"/>
        <v>0</v>
      </c>
      <c r="ET92" s="50">
        <f t="shared" si="340"/>
        <v>0</v>
      </c>
      <c r="EU92" s="50">
        <f>IF($AN92="N","N",SUM('調查資料(OUT)'!AX98:AX101))</f>
        <v>0</v>
      </c>
      <c r="EV92" s="50">
        <f>IF($AN92="N","N",SUM('調查資料(OUT)'!BB98:BB101))</f>
        <v>0</v>
      </c>
      <c r="EW92" s="50">
        <f>IF($AN92="N","N",SUM('調查資料(OUT)'!BF98:BF101))</f>
        <v>0</v>
      </c>
      <c r="EX92" s="56" t="e">
        <f t="shared" si="341"/>
        <v>#DIV/0!</v>
      </c>
      <c r="EY92" s="50">
        <f t="shared" si="342"/>
        <v>0</v>
      </c>
      <c r="EZ92" s="50">
        <f>IF($AN92="N","N",SUM('調查資料(OUT)'!AY98:AY101))</f>
        <v>0</v>
      </c>
      <c r="FA92" s="50">
        <f>IF($AN92="N","N",SUM('調查資料(OUT)'!BC98:BC101))</f>
        <v>0</v>
      </c>
      <c r="FB92" s="50">
        <f>IF($AN92="N","N",SUM('調查資料(OUT)'!BG98:BG101))</f>
        <v>0</v>
      </c>
      <c r="FC92" s="56" t="e">
        <f t="shared" si="343"/>
        <v>#DIV/0!</v>
      </c>
      <c r="FD92" s="50">
        <f t="shared" si="344"/>
        <v>0</v>
      </c>
      <c r="FE92" s="50">
        <f>IF($AN92="N","N",SUM('調查資料(OUT)'!AZ98:AZ101))</f>
        <v>0</v>
      </c>
      <c r="FF92" s="50">
        <f>IF($AN92="N","N",SUM('調查資料(OUT)'!BD98:BD101))</f>
        <v>0</v>
      </c>
      <c r="FG92" s="50">
        <f>IF($AN92="N","N",SUM('調查資料(OUT)'!BH98:BH101))</f>
        <v>0</v>
      </c>
      <c r="FH92" s="56" t="e">
        <f t="shared" si="345"/>
        <v>#DIV/0!</v>
      </c>
      <c r="FI92" s="50">
        <f t="shared" si="346"/>
        <v>0</v>
      </c>
      <c r="FJ92" s="50">
        <f>IF($AN92="N","N",SUM('調查資料(OUT)'!BA98:BA101))</f>
        <v>0</v>
      </c>
      <c r="FK92" s="50">
        <f>IF($AN92="N","N",SUM('調查資料(OUT)'!BE98:BE101))</f>
        <v>0</v>
      </c>
      <c r="FL92" s="50">
        <f>IF($AN92="N","N",SUM('調查資料(OUT)'!BI98:BI101))</f>
        <v>0</v>
      </c>
      <c r="FM92" s="56" t="e">
        <f t="shared" si="347"/>
        <v>#DIV/0!</v>
      </c>
      <c r="FN92" s="50">
        <f t="shared" si="246"/>
        <v>0</v>
      </c>
      <c r="FO92" s="56" t="e">
        <f t="shared" si="247"/>
        <v>#DIV/0!</v>
      </c>
      <c r="FP92" s="50">
        <f t="shared" si="248"/>
        <v>0</v>
      </c>
      <c r="FQ92" s="56" t="e">
        <f t="shared" si="249"/>
        <v>#DIV/0!</v>
      </c>
      <c r="FR92" s="50">
        <f t="shared" si="250"/>
        <v>0</v>
      </c>
      <c r="FS92" s="56" t="e">
        <f t="shared" si="251"/>
        <v>#DIV/0!</v>
      </c>
      <c r="FT92" s="50">
        <f t="shared" si="252"/>
        <v>0</v>
      </c>
    </row>
    <row r="93" spans="1:176">
      <c r="A93" s="274">
        <f>'調查資料(OUT)'!A99</f>
        <v>2200</v>
      </c>
      <c r="B93" s="50">
        <f t="shared" ref="B93:B100" si="372">SUM(C93:F93)</f>
        <v>0</v>
      </c>
      <c r="C93" s="50">
        <f>IFERROR('調查資料(OUT)'!$B$1*'調查資料(OUT)'!B99,0)+IFERROR('調查資料(OUT)'!$F$1*'調查資料(OUT)'!F99,0)+IFERROR('調查資料(OUT)'!$J$1*'調查資料(OUT)'!J99,0)</f>
        <v>0</v>
      </c>
      <c r="D93" s="50">
        <f>IFERROR('調查資料(OUT)'!$C$1*'調查資料(OUT)'!C99,0)+IFERROR('調查資料(OUT)'!$G$1*'調查資料(OUT)'!G99,0)+IFERROR('調查資料(OUT)'!$K$1*'調查資料(OUT)'!K99,0)</f>
        <v>0</v>
      </c>
      <c r="E93" s="50">
        <f>IFERROR('調查資料(OUT)'!$D$1*'調查資料(OUT)'!D99,0)+IFERROR('調查資料(OUT)'!$H$1*'調查資料(OUT)'!H99,0)+IFERROR('調查資料(OUT)'!$L$1*'調查資料(OUT)'!L99,0)</f>
        <v>0</v>
      </c>
      <c r="F93" s="252">
        <f>IFERROR('調查資料(OUT)'!$E$1*'調查資料(OUT)'!E99,0)+IFERROR('調查資料(OUT)'!$I$1*'調查資料(OUT)'!I99,0)+IFERROR('調查資料(OUT)'!$M$1*'調查資料(OUT)'!M99,0)</f>
        <v>0</v>
      </c>
      <c r="G93" s="50">
        <f t="shared" ref="G93:G100" si="373">SUM(H93:K93)</f>
        <v>0</v>
      </c>
      <c r="H93" s="50">
        <f>IFERROR('調查資料(OUT)'!$N$1*'調查資料(OUT)'!N99,0)+IFERROR('調查資料(OUT)'!$R$1*'調查資料(OUT)'!R99,0)+IFERROR('調查資料(OUT)'!$V$1*'調查資料(OUT)'!V99,0)</f>
        <v>0</v>
      </c>
      <c r="I93" s="50">
        <f>IFERROR('調查資料(OUT)'!$O$1*'調查資料(OUT)'!O99,0)+IFERROR('調查資料(OUT)'!$S$1*'調查資料(OUT)'!S99,0)+IFERROR('調查資料(OUT)'!$W$1*'調查資料(OUT)'!W99,0)</f>
        <v>0</v>
      </c>
      <c r="J93" s="50">
        <f>IFERROR('調查資料(OUT)'!$P$1*'調查資料(OUT)'!P99,0)+IFERROR('調查資料(OUT)'!$T$1*'調查資料(OUT)'!T99,0)+IFERROR('調查資料(OUT)'!$X$1*'調查資料(OUT)'!X99,0)</f>
        <v>0</v>
      </c>
      <c r="K93" s="252">
        <f>IFERROR('調查資料(OUT)'!$Q$1*'調查資料(OUT)'!Q99,0)+IFERROR('調查資料(OUT)'!$U$1*'調查資料(OUT)'!U99,0)+IFERROR('調查資料(OUT)'!$Y$1*'調查資料(OUT)'!Y99,0)</f>
        <v>0</v>
      </c>
      <c r="L93" s="50">
        <f t="shared" ref="L93:L100" si="374">SUM(M93:P93)</f>
        <v>0</v>
      </c>
      <c r="M93" s="50">
        <f>IFERROR('調查資料(OUT)'!$Z$1*'調查資料(OUT)'!Z99,0)+IFERROR('調查資料(OUT)'!$AD$1*'調查資料(OUT)'!AD99,0)+IFERROR('調查資料(OUT)'!$AH$1*'調查資料(OUT)'!AH99,0)</f>
        <v>0</v>
      </c>
      <c r="N93" s="50">
        <f>IFERROR('調查資料(OUT)'!$AA$1*'調查資料(OUT)'!AA99,0)+IFERROR('調查資料(OUT)'!$AE$1*'調查資料(OUT)'!AE99,0)+IFERROR('調查資料(OUT)'!$AI$1*'調查資料(OUT)'!AI99,0)</f>
        <v>0</v>
      </c>
      <c r="O93" s="50">
        <f>IFERROR('調查資料(OUT)'!$AB$1*'調查資料(OUT)'!AB99,0)+IFERROR('調查資料(OUT)'!$AF$1*'調查資料(OUT)'!AF99,0)+IFERROR('調查資料(OUT)'!$AJ$1*'調查資料(OUT)'!AJ99,0)</f>
        <v>0</v>
      </c>
      <c r="P93" s="252">
        <f>IFERROR('調查資料(OUT)'!$AC$1*'調查資料(OUT)'!AC99,0)+IFERROR('調查資料(OUT)'!$AG$1*'調查資料(OUT)'!AG99,0)+IFERROR('調查資料(OUT)'!$AK$1*'調查資料(OUT)'!AK99,0)</f>
        <v>0</v>
      </c>
      <c r="Q93" s="50">
        <f t="shared" ref="Q93:Q100" si="375">SUM(R93:U93)</f>
        <v>0</v>
      </c>
      <c r="R93" s="50">
        <f>IFERROR('調查資料(OUT)'!$AL$1*'調查資料(OUT)'!AL99,0)+IFERROR('調查資料(OUT)'!$AP$1*'調查資料(OUT)'!AP99,0)+IFERROR('調查資料(OUT)'!$AT$1*'調查資料(OUT)'!AT99,0)</f>
        <v>0</v>
      </c>
      <c r="S93" s="50">
        <f>IFERROR('調查資料(OUT)'!$AM$1*'調查資料(OUT)'!AM99,0)+IFERROR('調查資料(OUT)'!$AQ$1*'調查資料(OUT)'!AQ99,0)+IFERROR('調查資料(OUT)'!$AU$1*'調查資料(OUT)'!AU99,0)</f>
        <v>0</v>
      </c>
      <c r="T93" s="50">
        <f>IFERROR('調查資料(OUT)'!$AN$1*'調查資料(OUT)'!AN99,0)+IFERROR('調查資料(OUT)'!$AR$1*'調查資料(OUT)'!AR99,0)+IFERROR('調查資料(OUT)'!$AV$1*'調查資料(OUT)'!AV99,0)</f>
        <v>0</v>
      </c>
      <c r="U93" s="252">
        <f>IFERROR('調查資料(OUT)'!$AO$1*'調查資料(OUT)'!AO99,0)+IFERROR('調查資料(OUT)'!$AS$1*'調查資料(OUT)'!AS99,0)+IFERROR('調查資料(OUT)'!$AW$1*'調查資料(OUT)'!AW99,0)</f>
        <v>0</v>
      </c>
      <c r="V93" s="50">
        <f t="shared" ref="V93:V100" si="376">SUM(W93:Z93)</f>
        <v>0</v>
      </c>
      <c r="W93" s="50">
        <f>IFERROR('調查資料(OUT)'!$AX$1*'調查資料(OUT)'!AX99,0)+IFERROR('調查資料(OUT)'!$BB$1*'調查資料(OUT)'!BB99,0)+IFERROR('調查資料(OUT)'!$BF$1*'調查資料(OUT)'!BF99,0)</f>
        <v>0</v>
      </c>
      <c r="X93" s="50">
        <f>IFERROR('調查資料(OUT)'!$AY$1*'調查資料(OUT)'!AY99,0)+IFERROR('調查資料(OUT)'!$BC$1*'調查資料(OUT)'!BC99,0)+IFERROR('調查資料(OUT)'!$BG$1*'調查資料(OUT)'!BG99,0)</f>
        <v>0</v>
      </c>
      <c r="Y93" s="50">
        <f>IFERROR('調查資料(OUT)'!$AZ$1*'調查資料(OUT)'!AZ99,0)+IFERROR('調查資料(OUT)'!$BD$1*'調查資料(OUT)'!BD99,0)+IFERROR('調查資料(OUT)'!$BH$1*'調查資料(OUT)'!BH99,0)</f>
        <v>0</v>
      </c>
      <c r="Z93" s="252">
        <f>IFERROR('調查資料(OUT)'!$BA$1*'調查資料(OUT)'!BA99,0)+IFERROR('調查資料(OUT)'!$BE$1*'調查資料(OUT)'!BE99,0)+IFERROR('調查資料(OUT)'!$BI$1*'調查資料(OUT)'!BI99,0)</f>
        <v>0</v>
      </c>
      <c r="AA93" s="253">
        <f t="shared" ref="AA93:AA99" si="377">B93+G93+L93+Q93+V93</f>
        <v>0</v>
      </c>
      <c r="AC93" s="251">
        <f>'調查資料(OUT)'!A99</f>
        <v>2200</v>
      </c>
      <c r="AD93" s="254">
        <f t="shared" ref="AD93:AD97" si="378">AC93+100</f>
        <v>2300</v>
      </c>
      <c r="AE93" s="50">
        <f t="shared" ref="AE93:AE97" si="379">SUM(AA93:AA96)</f>
        <v>0</v>
      </c>
      <c r="AF93" s="51"/>
      <c r="AG93" s="50">
        <f t="shared" si="364"/>
        <v>0</v>
      </c>
      <c r="AH93" s="256" t="e">
        <f t="shared" si="371"/>
        <v>#DIV/0!</v>
      </c>
      <c r="AI93" s="256" t="e">
        <f t="shared" si="365"/>
        <v>#DIV/0!</v>
      </c>
      <c r="AJ93" s="256" t="e">
        <f t="shared" si="366"/>
        <v>#DIV/0!</v>
      </c>
      <c r="AK93" s="256" t="e">
        <f t="shared" si="367"/>
        <v>#DIV/0!</v>
      </c>
      <c r="AL93" s="256" t="e">
        <f t="shared" si="368"/>
        <v>#DIV/0!</v>
      </c>
      <c r="AN93" s="50">
        <f t="shared" si="369"/>
        <v>2200</v>
      </c>
      <c r="AO93" s="252">
        <f t="shared" si="370"/>
        <v>2300</v>
      </c>
      <c r="AP93" s="50">
        <f t="shared" ref="AP93:AP97" si="380">IF($AN93="N","N",SUM(C93:C96))</f>
        <v>0</v>
      </c>
      <c r="AQ93" s="50">
        <f>IF($AN93="N","N",SUM('調查資料(OUT)'!B99:B102))</f>
        <v>0</v>
      </c>
      <c r="AR93" s="50">
        <f>IF($AN93="N","N",SUM('調查資料(OUT)'!F99:F102))</f>
        <v>0</v>
      </c>
      <c r="AS93" s="50">
        <f>IF($AN93="N","N",SUM('調查資料(OUT)'!J99:J102))</f>
        <v>0</v>
      </c>
      <c r="AT93" s="56" t="e">
        <f t="shared" ref="AT93:AT96" si="381">IF($AN93="N","N",(AP93/$BP93)*100)</f>
        <v>#DIV/0!</v>
      </c>
      <c r="AU93" s="50">
        <f t="shared" ref="AU93:AU97" si="382">IF($AN93="N","N",SUM(D93:D96))</f>
        <v>0</v>
      </c>
      <c r="AV93" s="50">
        <f>IF($AN93="N","N",SUM('調查資料(OUT)'!C99:C102))</f>
        <v>0</v>
      </c>
      <c r="AW93" s="50">
        <f>IF($AN93="N","N",SUM('調查資料(OUT)'!G99:G102))</f>
        <v>0</v>
      </c>
      <c r="AX93" s="50">
        <f>IF($AN93="N","N",SUM('調查資料(OUT)'!K99:K102))</f>
        <v>0</v>
      </c>
      <c r="AY93" s="56" t="e">
        <f t="shared" ref="AY93:AY97" si="383">IF($AN93="N","N",(AU93/$BP93)*100)</f>
        <v>#DIV/0!</v>
      </c>
      <c r="AZ93" s="50">
        <f t="shared" ref="AZ93:AZ97" si="384">IF($AN93="N","N",SUM(E93:E96))</f>
        <v>0</v>
      </c>
      <c r="BA93" s="50">
        <f>IF($AN93="N","N",SUM('調查資料(OUT)'!D99:D102))</f>
        <v>0</v>
      </c>
      <c r="BB93" s="50">
        <f>IF($AN93="N","N",SUM('調查資料(OUT)'!H99:H102))</f>
        <v>0</v>
      </c>
      <c r="BC93" s="50">
        <f>IF($AN93="N","N",SUM('調查資料(OUT)'!L99:L102))</f>
        <v>0</v>
      </c>
      <c r="BD93" s="56" t="e">
        <f t="shared" ref="BD93:BD97" si="385">IF($AN93="N","N",(AZ93/$BP93)*100)</f>
        <v>#DIV/0!</v>
      </c>
      <c r="BE93" s="50">
        <f t="shared" ref="BE93:BE97" si="386">IF($AN93="N","N",SUM(F93:F96))</f>
        <v>0</v>
      </c>
      <c r="BF93" s="50">
        <f>IF($AN93="N","N",SUM('調查資料(OUT)'!E99:E102))</f>
        <v>0</v>
      </c>
      <c r="BG93" s="50">
        <f>IF($AN93="N","N",SUM('調查資料(OUT)'!I99:I102))</f>
        <v>0</v>
      </c>
      <c r="BH93" s="50">
        <f>IF($AN93="N","N",SUM('調查資料(OUT)'!M99:M102))</f>
        <v>0</v>
      </c>
      <c r="BI93" s="56" t="e">
        <f t="shared" ref="BI93:BI97" si="387">IF($AN93="N","N",(BE93/$BP93)*100)</f>
        <v>#DIV/0!</v>
      </c>
      <c r="BJ93" s="50">
        <f t="shared" ref="BJ93:BJ97" si="388">IF($AN93="N","N",AQ93+AV93+BA93+BF93)</f>
        <v>0</v>
      </c>
      <c r="BK93" s="56" t="e">
        <f t="shared" ref="BK93:BK97" si="389">IF($AN93="N","N",(BJ93/($BJ93+$BL93+$BN93))*100)</f>
        <v>#DIV/0!</v>
      </c>
      <c r="BL93" s="50">
        <f t="shared" ref="BL93:BL97" si="390">IF($AN93="N","N",AR93+AW93+BB93+BG93)</f>
        <v>0</v>
      </c>
      <c r="BM93" s="56" t="e">
        <f t="shared" ref="BM93:BM97" si="391">IF($AN93="N","N",(BL93/($BJ93+$BL93+$BN93))*100)</f>
        <v>#DIV/0!</v>
      </c>
      <c r="BN93" s="50">
        <f t="shared" ref="BN93:BN97" si="392">IF($AN93="N","N",AS93+AX93+BC93+BH93)</f>
        <v>0</v>
      </c>
      <c r="BO93" s="56" t="e">
        <f t="shared" ref="BO93:BO97" si="393">IF($AN93="N","N",(BN93/($BJ93+$BL93+$BN93))*100)</f>
        <v>#DIV/0!</v>
      </c>
      <c r="BP93" s="50">
        <f t="shared" ref="BP93:BP97" si="394">IF($AN93="N","N",AP93+AU93+AZ93+BE93)</f>
        <v>0</v>
      </c>
      <c r="BQ93" s="50">
        <f t="shared" ref="BQ93:BQ97" si="395">IF($AN93="N","N",SUM(H93:H96))</f>
        <v>0</v>
      </c>
      <c r="BR93" s="50">
        <f>IF($AN93="N","N",SUM('調查資料(OUT)'!N99:N102))</f>
        <v>0</v>
      </c>
      <c r="BS93" s="50">
        <f>IF($AN93="N","N",SUM('調查資料(OUT)'!R99:R102))</f>
        <v>0</v>
      </c>
      <c r="BT93" s="50">
        <f>IF($AN93="N","N",SUM('調查資料(OUT)'!V99:V102))</f>
        <v>0</v>
      </c>
      <c r="BU93" s="56" t="e">
        <f t="shared" ref="BU93:BU97" si="396">IF($AN93="N","N",(BQ93/CQ93)*100)</f>
        <v>#DIV/0!</v>
      </c>
      <c r="BV93" s="50">
        <f t="shared" ref="BV93:BV97" si="397">IF($AN93="N","N",SUM(I93:I96))</f>
        <v>0</v>
      </c>
      <c r="BW93" s="50">
        <f>IF($AN93="N","N",SUM('調查資料(OUT)'!O99:O102))</f>
        <v>0</v>
      </c>
      <c r="BX93" s="50">
        <f>IF($AN93="N","N",SUM('調查資料(OUT)'!S99:S102))</f>
        <v>0</v>
      </c>
      <c r="BY93" s="50">
        <f>IF($AN93="N","N",SUM('調查資料(OUT)'!W99:W102))</f>
        <v>0</v>
      </c>
      <c r="BZ93" s="56" t="e">
        <f t="shared" ref="BZ93:BZ97" si="398">IF($AN93="N","N",(BV93/$CQ93)*100)</f>
        <v>#DIV/0!</v>
      </c>
      <c r="CA93" s="50">
        <f t="shared" ref="CA93:CA97" si="399">IF($AN93="N","N",SUM(J93:J96))</f>
        <v>0</v>
      </c>
      <c r="CB93" s="50">
        <f>IF($AN93="N","N",SUM('調查資料(OUT)'!P99:P102))</f>
        <v>0</v>
      </c>
      <c r="CC93" s="50">
        <f>IF($AN93="N","N",SUM('調查資料(OUT)'!T99:T102))</f>
        <v>0</v>
      </c>
      <c r="CD93" s="50">
        <f>IF($AN93="N","N",SUM('調查資料(OUT)'!X99:X102))</f>
        <v>0</v>
      </c>
      <c r="CE93" s="56" t="e">
        <f t="shared" ref="CE93:CE97" si="400">IF($AN93="N","N",(CA93/$CQ93)*100)</f>
        <v>#DIV/0!</v>
      </c>
      <c r="CF93" s="50">
        <f t="shared" ref="CF93:CF97" si="401">IF($AN93="N","N",SUM(K93:K96))</f>
        <v>0</v>
      </c>
      <c r="CG93" s="50">
        <f>IF($AN93="N","N",SUM('調查資料(OUT)'!Q99:Q102))</f>
        <v>0</v>
      </c>
      <c r="CH93" s="50">
        <f>IF($AN93="N","N",SUM('調查資料(OUT)'!U99:U102))</f>
        <v>0</v>
      </c>
      <c r="CI93" s="50">
        <f>IF($AN93="N","N",SUM('調查資料(OUT)'!Y99:Y102))</f>
        <v>0</v>
      </c>
      <c r="CJ93" s="56" t="e">
        <f t="shared" ref="CJ93:CJ97" si="402">IF($AN93="N","N",(CF93/CQ93)*100)</f>
        <v>#DIV/0!</v>
      </c>
      <c r="CK93" s="50">
        <f t="shared" ref="CK93:CK97" si="403">IF($AN93="N","N",BR93+BW93+CB93+CG93)</f>
        <v>0</v>
      </c>
      <c r="CL93" s="56" t="e">
        <f t="shared" ref="CL93:CL97" si="404">IF($AN93="N","N",(CK93/($CK93+$CM93+$CO93))*100)</f>
        <v>#DIV/0!</v>
      </c>
      <c r="CM93" s="50">
        <f t="shared" ref="CM93:CM97" si="405">IF($AN93="N","N",BS93+BX93+CC93+CH93)</f>
        <v>0</v>
      </c>
      <c r="CN93" s="56" t="e">
        <f t="shared" ref="CN93:CN97" si="406">IF($AN93="N","N",(CM93/($CK93+$CM93+$CO93))*100)</f>
        <v>#DIV/0!</v>
      </c>
      <c r="CO93" s="50">
        <f t="shared" ref="CO93:CO97" si="407">IF($AN93="N","N",BT93+BY93+CD93+CI93)</f>
        <v>0</v>
      </c>
      <c r="CP93" s="56" t="e">
        <f t="shared" ref="CP93:CP97" si="408">IF($AN93="N","N",(CO93/($CK93+$CM93+$CO93))*100)</f>
        <v>#DIV/0!</v>
      </c>
      <c r="CQ93" s="50">
        <f t="shared" ref="CQ93:CQ97" si="409">IF($AN93="N","N",BQ93+BV93+CA93+CF93)</f>
        <v>0</v>
      </c>
      <c r="CR93" s="50">
        <f t="shared" ref="CR93:CR97" si="410">IF($AN93="N","N",SUM(M93:M96))</f>
        <v>0</v>
      </c>
      <c r="CS93" s="50">
        <f>IF($AN93="N","N",SUM('調查資料(OUT)'!Z99:Z102))</f>
        <v>0</v>
      </c>
      <c r="CT93" s="50">
        <f>IF($AN93="N","N",SUM('調查資料(OUT)'!AD99:AD102))</f>
        <v>0</v>
      </c>
      <c r="CU93" s="50">
        <f>IF($AN93="N","N",SUM('調查資料(OUT)'!AH99:AH102))</f>
        <v>0</v>
      </c>
      <c r="CV93" s="56" t="e">
        <f t="shared" ref="CV93:CV97" si="411">IF($AN93="N","N",(CR93/DR93)*100)</f>
        <v>#DIV/0!</v>
      </c>
      <c r="CW93" s="50">
        <f t="shared" ref="CW93:CW97" si="412">IF($AN93="N","N",SUM(N93:N96))</f>
        <v>0</v>
      </c>
      <c r="CX93" s="50">
        <f>IF($AN93="N","N",SUM('調查資料(OUT)'!AA99:AA102))</f>
        <v>0</v>
      </c>
      <c r="CY93" s="50">
        <f>IF($AN93="N","N",SUM('調查資料(OUT)'!AE99:AE102))</f>
        <v>0</v>
      </c>
      <c r="CZ93" s="50">
        <f>IF($AN93="N","N",SUM('調查資料(OUT)'!AI99:AI102))</f>
        <v>0</v>
      </c>
      <c r="DA93" s="56" t="e">
        <f t="shared" ref="DA93:DA97" si="413">IF($AN93="N","N",(CW93/$DR93)*100)</f>
        <v>#DIV/0!</v>
      </c>
      <c r="DB93" s="50">
        <f t="shared" ref="DB93:DB97" si="414">IF($AN93="N","N",SUM(O93:O96))</f>
        <v>0</v>
      </c>
      <c r="DC93" s="50">
        <f>IF($AN93="N","N",SUM('調查資料(OUT)'!AB99:AB102))</f>
        <v>0</v>
      </c>
      <c r="DD93" s="50">
        <f>IF($AN93="N","N",SUM('調查資料(OUT)'!AF99:AF102))</f>
        <v>0</v>
      </c>
      <c r="DE93" s="50">
        <f>IF($AN93="N","N",SUM('調查資料(OUT)'!AJ99:AJ102))</f>
        <v>0</v>
      </c>
      <c r="DF93" s="56" t="e">
        <f t="shared" ref="DF93:DF97" si="415">IF($AN93="N","N",(DB93/$DR93)*100)</f>
        <v>#DIV/0!</v>
      </c>
      <c r="DG93" s="50">
        <f t="shared" ref="DG93:DG97" si="416">IF($AN93="N","N",SUM(P93:P96))</f>
        <v>0</v>
      </c>
      <c r="DH93" s="50">
        <f>IF($AN93="N","N",SUM('調查資料(OUT)'!AC99:AC102))</f>
        <v>0</v>
      </c>
      <c r="DI93" s="50">
        <f>IF($AN93="N","N",SUM('調查資料(OUT)'!AG99:AG102))</f>
        <v>0</v>
      </c>
      <c r="DJ93" s="50">
        <f>IF($AN93="N","N",SUM('調查資料(OUT)'!AK99:AK102))</f>
        <v>0</v>
      </c>
      <c r="DK93" s="56" t="e">
        <f t="shared" ref="DK93:DK97" si="417">IF($AN93="N","N",(DG93/DR93)*100)</f>
        <v>#DIV/0!</v>
      </c>
      <c r="DL93" s="50">
        <f t="shared" ref="DL93:DL97" si="418">IF($AN93="N","N",CS93+CX93+DC93+DH93)</f>
        <v>0</v>
      </c>
      <c r="DM93" s="56" t="e">
        <f t="shared" ref="DM93:DM97" si="419">IF($AN93="N","N",(DL93/($DL93+$DN93+$DP93))*100)</f>
        <v>#DIV/0!</v>
      </c>
      <c r="DN93" s="50">
        <f t="shared" ref="DN93:DN97" si="420">IF($AN93="N","N",CT93+CY93+DD93+DI93)</f>
        <v>0</v>
      </c>
      <c r="DO93" s="56" t="e">
        <f t="shared" ref="DO93:DO97" si="421">IF($AN93="N","N",(DN93/($DL93+$DN93+$DP93))*100)</f>
        <v>#DIV/0!</v>
      </c>
      <c r="DP93" s="50">
        <f t="shared" ref="DP93:DP97" si="422">IF($AN93="N","N",CU93+CZ93+DE93+DJ93)</f>
        <v>0</v>
      </c>
      <c r="DQ93" s="56" t="e">
        <f t="shared" ref="DQ93:DQ97" si="423">IF($AN93="N","N",(DP93/($DL93+$DN93+$DP93))*100)</f>
        <v>#DIV/0!</v>
      </c>
      <c r="DR93" s="50">
        <f t="shared" ref="DR93:DR97" si="424">IF($AN93="N","N",CR93+CW93+DB93+DG93)</f>
        <v>0</v>
      </c>
      <c r="DS93" s="50">
        <f t="shared" ref="DS93:DS97" si="425">IF($AN93="N","N",SUM(R93:R96))</f>
        <v>0</v>
      </c>
      <c r="DT93" s="50">
        <f>IF($AN93="N","N",SUM('調查資料(OUT)'!AL99:AL102))</f>
        <v>0</v>
      </c>
      <c r="DU93" s="50">
        <f>IF($AN93="N","N",SUM('調查資料(OUT)'!AP99:AP102))</f>
        <v>0</v>
      </c>
      <c r="DV93" s="50">
        <f>IF($AN93="N","N",SUM('調查資料(OUT)'!AT99:AT102))</f>
        <v>0</v>
      </c>
      <c r="DW93" s="56" t="e">
        <f t="shared" ref="DW93:DW97" si="426">IF($AN93="N","N",(DS93/ES93)*100)</f>
        <v>#DIV/0!</v>
      </c>
      <c r="DX93" s="50">
        <f t="shared" ref="DX93:DX97" si="427">IF($AN93="N","N",SUM(S93:S96))</f>
        <v>0</v>
      </c>
      <c r="DY93" s="50">
        <f>IF($AN93="N","N",SUM('調查資料(OUT)'!AM99:AM102))</f>
        <v>0</v>
      </c>
      <c r="DZ93" s="50">
        <f>IF($AN93="N","N",SUM('調查資料(OUT)'!AQ99:AQ102))</f>
        <v>0</v>
      </c>
      <c r="EA93" s="50">
        <f>IF($AN93="N","N",SUM('調查資料(OUT)'!AU99:AU102))</f>
        <v>0</v>
      </c>
      <c r="EB93" s="56" t="e">
        <f t="shared" ref="EB93:EB97" si="428">IF($AN93="N","N",(DX93/$ES93)*100)</f>
        <v>#DIV/0!</v>
      </c>
      <c r="EC93" s="50">
        <f t="shared" ref="EC93:EC97" si="429">IF($AN93="N","N",SUM(T93:T96))</f>
        <v>0</v>
      </c>
      <c r="ED93" s="50">
        <f>IF($AN93="N","N",SUM('調查資料(OUT)'!AN99:AN102))</f>
        <v>0</v>
      </c>
      <c r="EE93" s="50">
        <f>IF($AN93="N","N",SUM('調查資料(OUT)'!AR99:AR102))</f>
        <v>0</v>
      </c>
      <c r="EF93" s="50">
        <f>IF($AN93="N","N",SUM('調查資料(OUT)'!AV99:AV102))</f>
        <v>0</v>
      </c>
      <c r="EG93" s="56" t="e">
        <f t="shared" ref="EG93:EG97" si="430">IF($AN93="N","N",(EC93/$ES93)*100)</f>
        <v>#DIV/0!</v>
      </c>
      <c r="EH93" s="50">
        <f t="shared" ref="EH93:EH97" si="431">IF($AN93="N","N",SUM(U93:U96))</f>
        <v>0</v>
      </c>
      <c r="EI93" s="50">
        <f>IF($AN93="N","N",SUM('調查資料(OUT)'!AO99:AO102))</f>
        <v>0</v>
      </c>
      <c r="EJ93" s="50">
        <f>IF($AN93="N","N",SUM('調查資料(OUT)'!AS99:AS102))</f>
        <v>0</v>
      </c>
      <c r="EK93" s="50">
        <f>IF($AN93="N","N",SUM('調查資料(OUT)'!AW99:AW102))</f>
        <v>0</v>
      </c>
      <c r="EL93" s="56" t="e">
        <f t="shared" ref="EL93:EL97" si="432">IF($AN93="N","N",(EH93/ES93)*100)</f>
        <v>#DIV/0!</v>
      </c>
      <c r="EM93" s="50">
        <f t="shared" ref="EM93:EM97" si="433">IF($AN93="N","N",DT93+DY93+ED93+EI93)</f>
        <v>0</v>
      </c>
      <c r="EN93" s="56" t="e">
        <f t="shared" ref="EN93:EN97" si="434">IF($AN93="N","N",(EM93/($EM93+$EO93+$EQ93))*100)</f>
        <v>#DIV/0!</v>
      </c>
      <c r="EO93" s="50">
        <f t="shared" ref="EO93:EO97" si="435">IF($AN93="N","N",DU93+DZ93+EE93+EJ93)</f>
        <v>0</v>
      </c>
      <c r="EP93" s="56" t="e">
        <f t="shared" ref="EP93:EP97" si="436">IF($AN93="N","N",(EO93/($EM93+$EO93+$EQ93))*100)</f>
        <v>#DIV/0!</v>
      </c>
      <c r="EQ93" s="50">
        <f t="shared" ref="EQ93:EQ97" si="437">IF($AN93="N","N",DV93+EA93+EF93+EK93)</f>
        <v>0</v>
      </c>
      <c r="ER93" s="56" t="e">
        <f t="shared" ref="ER93:ER97" si="438">IF($AN93="N","N",(EQ93/($EM93+$EO93+$EQ93))*100)</f>
        <v>#DIV/0!</v>
      </c>
      <c r="ES93" s="50">
        <f t="shared" ref="ES93:ES97" si="439">IF($AN93="N","N",DS93+DX93+EC93+EH93)</f>
        <v>0</v>
      </c>
      <c r="ET93" s="50">
        <f t="shared" ref="ET93:ET97" si="440">IF($AN93="N","N",SUM(W93:W96))</f>
        <v>0</v>
      </c>
      <c r="EU93" s="50">
        <f>IF($AN93="N","N",SUM('調查資料(OUT)'!AX99:AX102))</f>
        <v>0</v>
      </c>
      <c r="EV93" s="50">
        <f>IF($AN93="N","N",SUM('調查資料(OUT)'!BB99:BB102))</f>
        <v>0</v>
      </c>
      <c r="EW93" s="50">
        <f>IF($AN93="N","N",SUM('調查資料(OUT)'!BF99:BF102))</f>
        <v>0</v>
      </c>
      <c r="EX93" s="56" t="e">
        <f t="shared" ref="EX93:EX97" si="441">IF($AN93="N","N",(ET93/FT93)*100)</f>
        <v>#DIV/0!</v>
      </c>
      <c r="EY93" s="50">
        <f t="shared" ref="EY93:EY97" si="442">IF($AN93="N","N",SUM(X93:X96))</f>
        <v>0</v>
      </c>
      <c r="EZ93" s="50">
        <f>IF($AN93="N","N",SUM('調查資料(OUT)'!AY99:AY102))</f>
        <v>0</v>
      </c>
      <c r="FA93" s="50">
        <f>IF($AN93="N","N",SUM('調查資料(OUT)'!BC99:BC102))</f>
        <v>0</v>
      </c>
      <c r="FB93" s="50">
        <f>IF($AN93="N","N",SUM('調查資料(OUT)'!BG99:BG102))</f>
        <v>0</v>
      </c>
      <c r="FC93" s="56" t="e">
        <f t="shared" ref="FC93:FC97" si="443">IF($AN93="N","N",(EY93/$FT93)*100)</f>
        <v>#DIV/0!</v>
      </c>
      <c r="FD93" s="50">
        <f t="shared" ref="FD93:FD97" si="444">IF($AN93="N","N",SUM(Y93:Y96))</f>
        <v>0</v>
      </c>
      <c r="FE93" s="50">
        <f>IF($AN93="N","N",SUM('調查資料(OUT)'!AZ99:AZ102))</f>
        <v>0</v>
      </c>
      <c r="FF93" s="50">
        <f>IF($AN93="N","N",SUM('調查資料(OUT)'!BD99:BD102))</f>
        <v>0</v>
      </c>
      <c r="FG93" s="50">
        <f>IF($AN93="N","N",SUM('調查資料(OUT)'!BH99:BH102))</f>
        <v>0</v>
      </c>
      <c r="FH93" s="56" t="e">
        <f t="shared" ref="FH93:FH97" si="445">IF($AN93="N","N",(FD93/$FT93)*100)</f>
        <v>#DIV/0!</v>
      </c>
      <c r="FI93" s="50">
        <f t="shared" ref="FI93:FI97" si="446">IF($AN93="N","N",SUM(Z93:Z96))</f>
        <v>0</v>
      </c>
      <c r="FJ93" s="50">
        <f>IF($AN93="N","N",SUM('調查資料(OUT)'!BA99:BA102))</f>
        <v>0</v>
      </c>
      <c r="FK93" s="50">
        <f>IF($AN93="N","N",SUM('調查資料(OUT)'!BE99:BE102))</f>
        <v>0</v>
      </c>
      <c r="FL93" s="50">
        <f>IF($AN93="N","N",SUM('調查資料(OUT)'!BI99:BI102))</f>
        <v>0</v>
      </c>
      <c r="FM93" s="56" t="e">
        <f t="shared" ref="FM93:FM97" si="447">IF($AN93="N","N",(FI93/FT93)*100)</f>
        <v>#DIV/0!</v>
      </c>
      <c r="FN93" s="50">
        <f t="shared" ref="FN93:FN97" si="448">IF($AN93="N","N",EU93+EZ93+FE93+FJ93)</f>
        <v>0</v>
      </c>
      <c r="FO93" s="56" t="e">
        <f t="shared" ref="FO93:FO97" si="449">IF($AN93="N","N",(FN93/($FN93+$FP93+$FR93))*100)</f>
        <v>#DIV/0!</v>
      </c>
      <c r="FP93" s="50">
        <f t="shared" ref="FP93:FP97" si="450">IF($AN93="N","N",EV93+FA93+FF93+FK93)</f>
        <v>0</v>
      </c>
      <c r="FQ93" s="56" t="e">
        <f t="shared" ref="FQ93:FQ97" si="451">IF($AN93="N","N",(FP93/($FN93+$FP93+$FR93))*100)</f>
        <v>#DIV/0!</v>
      </c>
      <c r="FR93" s="50">
        <f t="shared" ref="FR93:FR97" si="452">IF($AN93="N","N",EW93+FB93+FG93+FL93)</f>
        <v>0</v>
      </c>
      <c r="FS93" s="56" t="e">
        <f t="shared" ref="FS93:FS97" si="453">IF($AN93="N","N",(FR93/($FN93+$FP93+$FR93))*100)</f>
        <v>#DIV/0!</v>
      </c>
      <c r="FT93" s="50">
        <f t="shared" ref="FT93:FT97" si="454">IF($AN93="N","N",ET93+EY93+FD93+FI93)</f>
        <v>0</v>
      </c>
    </row>
    <row r="94" spans="1:176">
      <c r="A94" s="274">
        <f>'調查資料(OUT)'!A100</f>
        <v>2215</v>
      </c>
      <c r="B94" s="50">
        <f t="shared" si="372"/>
        <v>0</v>
      </c>
      <c r="C94" s="50">
        <f>IFERROR('調查資料(OUT)'!$B$1*'調查資料(OUT)'!B100,0)+IFERROR('調查資料(OUT)'!$F$1*'調查資料(OUT)'!F100,0)+IFERROR('調查資料(OUT)'!$J$1*'調查資料(OUT)'!J100,0)</f>
        <v>0</v>
      </c>
      <c r="D94" s="50">
        <f>IFERROR('調查資料(OUT)'!$C$1*'調查資料(OUT)'!C100,0)+IFERROR('調查資料(OUT)'!$G$1*'調查資料(OUT)'!G100,0)+IFERROR('調查資料(OUT)'!$K$1*'調查資料(OUT)'!K100,0)</f>
        <v>0</v>
      </c>
      <c r="E94" s="50">
        <f>IFERROR('調查資料(OUT)'!$D$1*'調查資料(OUT)'!D100,0)+IFERROR('調查資料(OUT)'!$H$1*'調查資料(OUT)'!H100,0)+IFERROR('調查資料(OUT)'!$L$1*'調查資料(OUT)'!L100,0)</f>
        <v>0</v>
      </c>
      <c r="F94" s="252">
        <f>IFERROR('調查資料(OUT)'!$E$1*'調查資料(OUT)'!E100,0)+IFERROR('調查資料(OUT)'!$I$1*'調查資料(OUT)'!I100,0)+IFERROR('調查資料(OUT)'!$M$1*'調查資料(OUT)'!M100,0)</f>
        <v>0</v>
      </c>
      <c r="G94" s="50">
        <f t="shared" si="373"/>
        <v>0</v>
      </c>
      <c r="H94" s="50">
        <f>IFERROR('調查資料(OUT)'!$N$1*'調查資料(OUT)'!N100,0)+IFERROR('調查資料(OUT)'!$R$1*'調查資料(OUT)'!R100,0)+IFERROR('調查資料(OUT)'!$V$1*'調查資料(OUT)'!V100,0)</f>
        <v>0</v>
      </c>
      <c r="I94" s="50">
        <f>IFERROR('調查資料(OUT)'!$O$1*'調查資料(OUT)'!O100,0)+IFERROR('調查資料(OUT)'!$S$1*'調查資料(OUT)'!S100,0)+IFERROR('調查資料(OUT)'!$W$1*'調查資料(OUT)'!W100,0)</f>
        <v>0</v>
      </c>
      <c r="J94" s="50">
        <f>IFERROR('調查資料(OUT)'!$P$1*'調查資料(OUT)'!P100,0)+IFERROR('調查資料(OUT)'!$T$1*'調查資料(OUT)'!T100,0)+IFERROR('調查資料(OUT)'!$X$1*'調查資料(OUT)'!X100,0)</f>
        <v>0</v>
      </c>
      <c r="K94" s="252">
        <f>IFERROR('調查資料(OUT)'!$Q$1*'調查資料(OUT)'!Q100,0)+IFERROR('調查資料(OUT)'!$U$1*'調查資料(OUT)'!U100,0)+IFERROR('調查資料(OUT)'!$Y$1*'調查資料(OUT)'!Y100,0)</f>
        <v>0</v>
      </c>
      <c r="L94" s="50">
        <f t="shared" si="374"/>
        <v>0</v>
      </c>
      <c r="M94" s="50">
        <f>IFERROR('調查資料(OUT)'!$Z$1*'調查資料(OUT)'!Z100,0)+IFERROR('調查資料(OUT)'!$AD$1*'調查資料(OUT)'!AD100,0)+IFERROR('調查資料(OUT)'!$AH$1*'調查資料(OUT)'!AH100,0)</f>
        <v>0</v>
      </c>
      <c r="N94" s="50">
        <f>IFERROR('調查資料(OUT)'!$AA$1*'調查資料(OUT)'!AA100,0)+IFERROR('調查資料(OUT)'!$AE$1*'調查資料(OUT)'!AE100,0)+IFERROR('調查資料(OUT)'!$AI$1*'調查資料(OUT)'!AI100,0)</f>
        <v>0</v>
      </c>
      <c r="O94" s="50">
        <f>IFERROR('調查資料(OUT)'!$AB$1*'調查資料(OUT)'!AB100,0)+IFERROR('調查資料(OUT)'!$AF$1*'調查資料(OUT)'!AF100,0)+IFERROR('調查資料(OUT)'!$AJ$1*'調查資料(OUT)'!AJ100,0)</f>
        <v>0</v>
      </c>
      <c r="P94" s="252">
        <f>IFERROR('調查資料(OUT)'!$AC$1*'調查資料(OUT)'!AC100,0)+IFERROR('調查資料(OUT)'!$AG$1*'調查資料(OUT)'!AG100,0)+IFERROR('調查資料(OUT)'!$AK$1*'調查資料(OUT)'!AK100,0)</f>
        <v>0</v>
      </c>
      <c r="Q94" s="50">
        <f t="shared" si="375"/>
        <v>0</v>
      </c>
      <c r="R94" s="50">
        <f>IFERROR('調查資料(OUT)'!$AL$1*'調查資料(OUT)'!AL100,0)+IFERROR('調查資料(OUT)'!$AP$1*'調查資料(OUT)'!AP100,0)+IFERROR('調查資料(OUT)'!$AT$1*'調查資料(OUT)'!AT100,0)</f>
        <v>0</v>
      </c>
      <c r="S94" s="50">
        <f>IFERROR('調查資料(OUT)'!$AM$1*'調查資料(OUT)'!AM100,0)+IFERROR('調查資料(OUT)'!$AQ$1*'調查資料(OUT)'!AQ100,0)+IFERROR('調查資料(OUT)'!$AU$1*'調查資料(OUT)'!AU100,0)</f>
        <v>0</v>
      </c>
      <c r="T94" s="50">
        <f>IFERROR('調查資料(OUT)'!$AN$1*'調查資料(OUT)'!AN100,0)+IFERROR('調查資料(OUT)'!$AR$1*'調查資料(OUT)'!AR100,0)+IFERROR('調查資料(OUT)'!$AV$1*'調查資料(OUT)'!AV100,0)</f>
        <v>0</v>
      </c>
      <c r="U94" s="252">
        <f>IFERROR('調查資料(OUT)'!$AO$1*'調查資料(OUT)'!AO100,0)+IFERROR('調查資料(OUT)'!$AS$1*'調查資料(OUT)'!AS100,0)+IFERROR('調查資料(OUT)'!$AW$1*'調查資料(OUT)'!AW100,0)</f>
        <v>0</v>
      </c>
      <c r="V94" s="50">
        <f t="shared" si="376"/>
        <v>0</v>
      </c>
      <c r="W94" s="50">
        <f>IFERROR('調查資料(OUT)'!$AX$1*'調查資料(OUT)'!AX100,0)+IFERROR('調查資料(OUT)'!$BB$1*'調查資料(OUT)'!BB100,0)+IFERROR('調查資料(OUT)'!$BF$1*'調查資料(OUT)'!BF100,0)</f>
        <v>0</v>
      </c>
      <c r="X94" s="50">
        <f>IFERROR('調查資料(OUT)'!$AY$1*'調查資料(OUT)'!AY100,0)+IFERROR('調查資料(OUT)'!$BC$1*'調查資料(OUT)'!BC100,0)+IFERROR('調查資料(OUT)'!$BG$1*'調查資料(OUT)'!BG100,0)</f>
        <v>0</v>
      </c>
      <c r="Y94" s="50">
        <f>IFERROR('調查資料(OUT)'!$AZ$1*'調查資料(OUT)'!AZ100,0)+IFERROR('調查資料(OUT)'!$BD$1*'調查資料(OUT)'!BD100,0)+IFERROR('調查資料(OUT)'!$BH$1*'調查資料(OUT)'!BH100,0)</f>
        <v>0</v>
      </c>
      <c r="Z94" s="252">
        <f>IFERROR('調查資料(OUT)'!$BA$1*'調查資料(OUT)'!BA100,0)+IFERROR('調查資料(OUT)'!$BE$1*'調查資料(OUT)'!BE100,0)+IFERROR('調查資料(OUT)'!$BI$1*'調查資料(OUT)'!BI100,0)</f>
        <v>0</v>
      </c>
      <c r="AA94" s="253">
        <f t="shared" si="377"/>
        <v>0</v>
      </c>
      <c r="AC94" s="251">
        <f>'調查資料(OUT)'!A100</f>
        <v>2215</v>
      </c>
      <c r="AD94" s="254">
        <f t="shared" si="378"/>
        <v>2315</v>
      </c>
      <c r="AE94" s="50">
        <f t="shared" si="379"/>
        <v>0</v>
      </c>
      <c r="AF94" s="51"/>
      <c r="AG94" s="50">
        <f t="shared" si="364"/>
        <v>0</v>
      </c>
      <c r="AH94" s="256" t="e">
        <f t="shared" si="371"/>
        <v>#DIV/0!</v>
      </c>
      <c r="AI94" s="256" t="e">
        <f t="shared" si="365"/>
        <v>#DIV/0!</v>
      </c>
      <c r="AJ94" s="256" t="e">
        <f t="shared" si="366"/>
        <v>#DIV/0!</v>
      </c>
      <c r="AK94" s="256" t="e">
        <f t="shared" si="367"/>
        <v>#DIV/0!</v>
      </c>
      <c r="AL94" s="256" t="e">
        <f t="shared" si="368"/>
        <v>#DIV/0!</v>
      </c>
      <c r="AN94" s="50">
        <f t="shared" si="369"/>
        <v>2215</v>
      </c>
      <c r="AO94" s="252">
        <f t="shared" si="370"/>
        <v>2315</v>
      </c>
      <c r="AP94" s="50">
        <f t="shared" si="380"/>
        <v>0</v>
      </c>
      <c r="AQ94" s="50">
        <f>IF($AN94="N","N",SUM('調查資料(OUT)'!B100:B103))</f>
        <v>0</v>
      </c>
      <c r="AR94" s="50">
        <f>IF($AN94="N","N",SUM('調查資料(OUT)'!F100:F103))</f>
        <v>0</v>
      </c>
      <c r="AS94" s="50">
        <f>IF($AN94="N","N",SUM('調查資料(OUT)'!J100:J103))</f>
        <v>0</v>
      </c>
      <c r="AT94" s="56" t="e">
        <f t="shared" si="381"/>
        <v>#DIV/0!</v>
      </c>
      <c r="AU94" s="50">
        <f t="shared" si="382"/>
        <v>0</v>
      </c>
      <c r="AV94" s="50">
        <f>IF($AN94="N","N",SUM('調查資料(OUT)'!C100:C103))</f>
        <v>0</v>
      </c>
      <c r="AW94" s="50">
        <f>IF($AN94="N","N",SUM('調查資料(OUT)'!G100:G103))</f>
        <v>0</v>
      </c>
      <c r="AX94" s="50">
        <f>IF($AN94="N","N",SUM('調查資料(OUT)'!K100:K103))</f>
        <v>0</v>
      </c>
      <c r="AY94" s="56" t="e">
        <f t="shared" si="383"/>
        <v>#DIV/0!</v>
      </c>
      <c r="AZ94" s="50">
        <f t="shared" si="384"/>
        <v>0</v>
      </c>
      <c r="BA94" s="50">
        <f>IF($AN94="N","N",SUM('調查資料(OUT)'!D100:D103))</f>
        <v>0</v>
      </c>
      <c r="BB94" s="50">
        <f>IF($AN94="N","N",SUM('調查資料(OUT)'!H100:H103))</f>
        <v>0</v>
      </c>
      <c r="BC94" s="50">
        <f>IF($AN94="N","N",SUM('調查資料(OUT)'!L100:L103))</f>
        <v>0</v>
      </c>
      <c r="BD94" s="56" t="e">
        <f t="shared" si="385"/>
        <v>#DIV/0!</v>
      </c>
      <c r="BE94" s="50">
        <f t="shared" si="386"/>
        <v>0</v>
      </c>
      <c r="BF94" s="50">
        <f>IF($AN94="N","N",SUM('調查資料(OUT)'!E100:E103))</f>
        <v>0</v>
      </c>
      <c r="BG94" s="50">
        <f>IF($AN94="N","N",SUM('調查資料(OUT)'!I100:I103))</f>
        <v>0</v>
      </c>
      <c r="BH94" s="50">
        <f>IF($AN94="N","N",SUM('調查資料(OUT)'!M100:M103))</f>
        <v>0</v>
      </c>
      <c r="BI94" s="56" t="e">
        <f t="shared" si="387"/>
        <v>#DIV/0!</v>
      </c>
      <c r="BJ94" s="50">
        <f t="shared" si="388"/>
        <v>0</v>
      </c>
      <c r="BK94" s="56" t="e">
        <f t="shared" si="389"/>
        <v>#DIV/0!</v>
      </c>
      <c r="BL94" s="50">
        <f t="shared" si="390"/>
        <v>0</v>
      </c>
      <c r="BM94" s="56" t="e">
        <f t="shared" si="391"/>
        <v>#DIV/0!</v>
      </c>
      <c r="BN94" s="50">
        <f t="shared" si="392"/>
        <v>0</v>
      </c>
      <c r="BO94" s="56" t="e">
        <f t="shared" si="393"/>
        <v>#DIV/0!</v>
      </c>
      <c r="BP94" s="50">
        <f t="shared" si="394"/>
        <v>0</v>
      </c>
      <c r="BQ94" s="50">
        <f t="shared" si="395"/>
        <v>0</v>
      </c>
      <c r="BR94" s="50">
        <f>IF($AN94="N","N",SUM('調查資料(OUT)'!N100:N103))</f>
        <v>0</v>
      </c>
      <c r="BS94" s="50">
        <f>IF($AN94="N","N",SUM('調查資料(OUT)'!R100:R103))</f>
        <v>0</v>
      </c>
      <c r="BT94" s="50">
        <f>IF($AN94="N","N",SUM('調查資料(OUT)'!V100:V103))</f>
        <v>0</v>
      </c>
      <c r="BU94" s="56" t="e">
        <f t="shared" si="396"/>
        <v>#DIV/0!</v>
      </c>
      <c r="BV94" s="50">
        <f t="shared" si="397"/>
        <v>0</v>
      </c>
      <c r="BW94" s="50">
        <f>IF($AN94="N","N",SUM('調查資料(OUT)'!O100:O103))</f>
        <v>0</v>
      </c>
      <c r="BX94" s="50">
        <f>IF($AN94="N","N",SUM('調查資料(OUT)'!S100:S103))</f>
        <v>0</v>
      </c>
      <c r="BY94" s="50">
        <f>IF($AN94="N","N",SUM('調查資料(OUT)'!W100:W103))</f>
        <v>0</v>
      </c>
      <c r="BZ94" s="56" t="e">
        <f t="shared" si="398"/>
        <v>#DIV/0!</v>
      </c>
      <c r="CA94" s="50">
        <f t="shared" si="399"/>
        <v>0</v>
      </c>
      <c r="CB94" s="50">
        <f>IF($AN94="N","N",SUM('調查資料(OUT)'!P100:P103))</f>
        <v>0</v>
      </c>
      <c r="CC94" s="50">
        <f>IF($AN94="N","N",SUM('調查資料(OUT)'!T100:T103))</f>
        <v>0</v>
      </c>
      <c r="CD94" s="50">
        <f>IF($AN94="N","N",SUM('調查資料(OUT)'!X100:X103))</f>
        <v>0</v>
      </c>
      <c r="CE94" s="56" t="e">
        <f t="shared" si="400"/>
        <v>#DIV/0!</v>
      </c>
      <c r="CF94" s="50">
        <f t="shared" si="401"/>
        <v>0</v>
      </c>
      <c r="CG94" s="50">
        <f>IF($AN94="N","N",SUM('調查資料(OUT)'!Q100:Q103))</f>
        <v>0</v>
      </c>
      <c r="CH94" s="50">
        <f>IF($AN94="N","N",SUM('調查資料(OUT)'!U100:U103))</f>
        <v>0</v>
      </c>
      <c r="CI94" s="50">
        <f>IF($AN94="N","N",SUM('調查資料(OUT)'!Y100:Y103))</f>
        <v>0</v>
      </c>
      <c r="CJ94" s="56" t="e">
        <f t="shared" si="402"/>
        <v>#DIV/0!</v>
      </c>
      <c r="CK94" s="50">
        <f t="shared" si="403"/>
        <v>0</v>
      </c>
      <c r="CL94" s="56" t="e">
        <f t="shared" si="404"/>
        <v>#DIV/0!</v>
      </c>
      <c r="CM94" s="50">
        <f t="shared" si="405"/>
        <v>0</v>
      </c>
      <c r="CN94" s="56" t="e">
        <f t="shared" si="406"/>
        <v>#DIV/0!</v>
      </c>
      <c r="CO94" s="50">
        <f t="shared" si="407"/>
        <v>0</v>
      </c>
      <c r="CP94" s="56" t="e">
        <f t="shared" si="408"/>
        <v>#DIV/0!</v>
      </c>
      <c r="CQ94" s="50">
        <f t="shared" si="409"/>
        <v>0</v>
      </c>
      <c r="CR94" s="50">
        <f t="shared" si="410"/>
        <v>0</v>
      </c>
      <c r="CS94" s="50">
        <f>IF($AN94="N","N",SUM('調查資料(OUT)'!Z100:Z103))</f>
        <v>0</v>
      </c>
      <c r="CT94" s="50">
        <f>IF($AN94="N","N",SUM('調查資料(OUT)'!AD100:AD103))</f>
        <v>0</v>
      </c>
      <c r="CU94" s="50">
        <f>IF($AN94="N","N",SUM('調查資料(OUT)'!AH100:AH103))</f>
        <v>0</v>
      </c>
      <c r="CV94" s="56" t="e">
        <f t="shared" si="411"/>
        <v>#DIV/0!</v>
      </c>
      <c r="CW94" s="50">
        <f t="shared" si="412"/>
        <v>0</v>
      </c>
      <c r="CX94" s="50">
        <f>IF($AN94="N","N",SUM('調查資料(OUT)'!AA100:AA103))</f>
        <v>0</v>
      </c>
      <c r="CY94" s="50">
        <f>IF($AN94="N","N",SUM('調查資料(OUT)'!AE100:AE103))</f>
        <v>0</v>
      </c>
      <c r="CZ94" s="50">
        <f>IF($AN94="N","N",SUM('調查資料(OUT)'!AI100:AI103))</f>
        <v>0</v>
      </c>
      <c r="DA94" s="56" t="e">
        <f t="shared" si="413"/>
        <v>#DIV/0!</v>
      </c>
      <c r="DB94" s="50">
        <f t="shared" si="414"/>
        <v>0</v>
      </c>
      <c r="DC94" s="50">
        <f>IF($AN94="N","N",SUM('調查資料(OUT)'!AB100:AB103))</f>
        <v>0</v>
      </c>
      <c r="DD94" s="50">
        <f>IF($AN94="N","N",SUM('調查資料(OUT)'!AF100:AF103))</f>
        <v>0</v>
      </c>
      <c r="DE94" s="50">
        <f>IF($AN94="N","N",SUM('調查資料(OUT)'!AJ100:AJ103))</f>
        <v>0</v>
      </c>
      <c r="DF94" s="56" t="e">
        <f t="shared" si="415"/>
        <v>#DIV/0!</v>
      </c>
      <c r="DG94" s="50">
        <f t="shared" si="416"/>
        <v>0</v>
      </c>
      <c r="DH94" s="50">
        <f>IF($AN94="N","N",SUM('調查資料(OUT)'!AC100:AC103))</f>
        <v>0</v>
      </c>
      <c r="DI94" s="50">
        <f>IF($AN94="N","N",SUM('調查資料(OUT)'!AG100:AG103))</f>
        <v>0</v>
      </c>
      <c r="DJ94" s="50">
        <f>IF($AN94="N","N",SUM('調查資料(OUT)'!AK100:AK103))</f>
        <v>0</v>
      </c>
      <c r="DK94" s="56" t="e">
        <f t="shared" si="417"/>
        <v>#DIV/0!</v>
      </c>
      <c r="DL94" s="50">
        <f t="shared" si="418"/>
        <v>0</v>
      </c>
      <c r="DM94" s="56" t="e">
        <f t="shared" si="419"/>
        <v>#DIV/0!</v>
      </c>
      <c r="DN94" s="50">
        <f t="shared" si="420"/>
        <v>0</v>
      </c>
      <c r="DO94" s="56" t="e">
        <f t="shared" si="421"/>
        <v>#DIV/0!</v>
      </c>
      <c r="DP94" s="50">
        <f t="shared" si="422"/>
        <v>0</v>
      </c>
      <c r="DQ94" s="56" t="e">
        <f t="shared" si="423"/>
        <v>#DIV/0!</v>
      </c>
      <c r="DR94" s="50">
        <f t="shared" si="424"/>
        <v>0</v>
      </c>
      <c r="DS94" s="50">
        <f t="shared" si="425"/>
        <v>0</v>
      </c>
      <c r="DT94" s="50">
        <f>IF($AN94="N","N",SUM('調查資料(OUT)'!AL100:AL103))</f>
        <v>0</v>
      </c>
      <c r="DU94" s="50">
        <f>IF($AN94="N","N",SUM('調查資料(OUT)'!AP100:AP103))</f>
        <v>0</v>
      </c>
      <c r="DV94" s="50">
        <f>IF($AN94="N","N",SUM('調查資料(OUT)'!AT100:AT103))</f>
        <v>0</v>
      </c>
      <c r="DW94" s="56" t="e">
        <f t="shared" si="426"/>
        <v>#DIV/0!</v>
      </c>
      <c r="DX94" s="50">
        <f t="shared" si="427"/>
        <v>0</v>
      </c>
      <c r="DY94" s="50">
        <f>IF($AN94="N","N",SUM('調查資料(OUT)'!AM100:AM103))</f>
        <v>0</v>
      </c>
      <c r="DZ94" s="50">
        <f>IF($AN94="N","N",SUM('調查資料(OUT)'!AQ100:AQ103))</f>
        <v>0</v>
      </c>
      <c r="EA94" s="50">
        <f>IF($AN94="N","N",SUM('調查資料(OUT)'!AU100:AU103))</f>
        <v>0</v>
      </c>
      <c r="EB94" s="56" t="e">
        <f t="shared" si="428"/>
        <v>#DIV/0!</v>
      </c>
      <c r="EC94" s="50">
        <f t="shared" si="429"/>
        <v>0</v>
      </c>
      <c r="ED94" s="50">
        <f>IF($AN94="N","N",SUM('調查資料(OUT)'!AN100:AN103))</f>
        <v>0</v>
      </c>
      <c r="EE94" s="50">
        <f>IF($AN94="N","N",SUM('調查資料(OUT)'!AR100:AR103))</f>
        <v>0</v>
      </c>
      <c r="EF94" s="50">
        <f>IF($AN94="N","N",SUM('調查資料(OUT)'!AV100:AV103))</f>
        <v>0</v>
      </c>
      <c r="EG94" s="56" t="e">
        <f t="shared" si="430"/>
        <v>#DIV/0!</v>
      </c>
      <c r="EH94" s="50">
        <f t="shared" si="431"/>
        <v>0</v>
      </c>
      <c r="EI94" s="50">
        <f>IF($AN94="N","N",SUM('調查資料(OUT)'!AO100:AO103))</f>
        <v>0</v>
      </c>
      <c r="EJ94" s="50">
        <f>IF($AN94="N","N",SUM('調查資料(OUT)'!AS100:AS103))</f>
        <v>0</v>
      </c>
      <c r="EK94" s="50">
        <f>IF($AN94="N","N",SUM('調查資料(OUT)'!AW100:AW103))</f>
        <v>0</v>
      </c>
      <c r="EL94" s="56" t="e">
        <f t="shared" si="432"/>
        <v>#DIV/0!</v>
      </c>
      <c r="EM94" s="50">
        <f t="shared" si="433"/>
        <v>0</v>
      </c>
      <c r="EN94" s="56" t="e">
        <f t="shared" si="434"/>
        <v>#DIV/0!</v>
      </c>
      <c r="EO94" s="50">
        <f t="shared" si="435"/>
        <v>0</v>
      </c>
      <c r="EP94" s="56" t="e">
        <f t="shared" si="436"/>
        <v>#DIV/0!</v>
      </c>
      <c r="EQ94" s="50">
        <f t="shared" si="437"/>
        <v>0</v>
      </c>
      <c r="ER94" s="56" t="e">
        <f t="shared" si="438"/>
        <v>#DIV/0!</v>
      </c>
      <c r="ES94" s="50">
        <f t="shared" si="439"/>
        <v>0</v>
      </c>
      <c r="ET94" s="50">
        <f t="shared" si="440"/>
        <v>0</v>
      </c>
      <c r="EU94" s="50">
        <f>IF($AN94="N","N",SUM('調查資料(OUT)'!AX100:AX103))</f>
        <v>0</v>
      </c>
      <c r="EV94" s="50">
        <f>IF($AN94="N","N",SUM('調查資料(OUT)'!BB100:BB103))</f>
        <v>0</v>
      </c>
      <c r="EW94" s="50">
        <f>IF($AN94="N","N",SUM('調查資料(OUT)'!BF100:BF103))</f>
        <v>0</v>
      </c>
      <c r="EX94" s="56" t="e">
        <f t="shared" si="441"/>
        <v>#DIV/0!</v>
      </c>
      <c r="EY94" s="50">
        <f t="shared" si="442"/>
        <v>0</v>
      </c>
      <c r="EZ94" s="50">
        <f>IF($AN94="N","N",SUM('調查資料(OUT)'!AY100:AY103))</f>
        <v>0</v>
      </c>
      <c r="FA94" s="50">
        <f>IF($AN94="N","N",SUM('調查資料(OUT)'!BC100:BC103))</f>
        <v>0</v>
      </c>
      <c r="FB94" s="50">
        <f>IF($AN94="N","N",SUM('調查資料(OUT)'!BG100:BG103))</f>
        <v>0</v>
      </c>
      <c r="FC94" s="56" t="e">
        <f t="shared" si="443"/>
        <v>#DIV/0!</v>
      </c>
      <c r="FD94" s="50">
        <f t="shared" si="444"/>
        <v>0</v>
      </c>
      <c r="FE94" s="50">
        <f>IF($AN94="N","N",SUM('調查資料(OUT)'!AZ100:AZ103))</f>
        <v>0</v>
      </c>
      <c r="FF94" s="50">
        <f>IF($AN94="N","N",SUM('調查資料(OUT)'!BD100:BD103))</f>
        <v>0</v>
      </c>
      <c r="FG94" s="50">
        <f>IF($AN94="N","N",SUM('調查資料(OUT)'!BH100:BH103))</f>
        <v>0</v>
      </c>
      <c r="FH94" s="56" t="e">
        <f t="shared" si="445"/>
        <v>#DIV/0!</v>
      </c>
      <c r="FI94" s="50">
        <f t="shared" si="446"/>
        <v>0</v>
      </c>
      <c r="FJ94" s="50">
        <f>IF($AN94="N","N",SUM('調查資料(OUT)'!BA100:BA103))</f>
        <v>0</v>
      </c>
      <c r="FK94" s="50">
        <f>IF($AN94="N","N",SUM('調查資料(OUT)'!BE100:BE103))</f>
        <v>0</v>
      </c>
      <c r="FL94" s="50">
        <f>IF($AN94="N","N",SUM('調查資料(OUT)'!BI100:BI103))</f>
        <v>0</v>
      </c>
      <c r="FM94" s="56" t="e">
        <f t="shared" si="447"/>
        <v>#DIV/0!</v>
      </c>
      <c r="FN94" s="50">
        <f t="shared" si="448"/>
        <v>0</v>
      </c>
      <c r="FO94" s="56" t="e">
        <f t="shared" si="449"/>
        <v>#DIV/0!</v>
      </c>
      <c r="FP94" s="50">
        <f t="shared" si="450"/>
        <v>0</v>
      </c>
      <c r="FQ94" s="56" t="e">
        <f t="shared" si="451"/>
        <v>#DIV/0!</v>
      </c>
      <c r="FR94" s="50">
        <f t="shared" si="452"/>
        <v>0</v>
      </c>
      <c r="FS94" s="56" t="e">
        <f t="shared" si="453"/>
        <v>#DIV/0!</v>
      </c>
      <c r="FT94" s="50">
        <f t="shared" si="454"/>
        <v>0</v>
      </c>
    </row>
    <row r="95" spans="1:176">
      <c r="A95" s="274">
        <f>'調查資料(OUT)'!A101</f>
        <v>2230</v>
      </c>
      <c r="B95" s="50">
        <f t="shared" si="372"/>
        <v>0</v>
      </c>
      <c r="C95" s="50">
        <f>IFERROR('調查資料(OUT)'!$B$1*'調查資料(OUT)'!B101,0)+IFERROR('調查資料(OUT)'!$F$1*'調查資料(OUT)'!F101,0)+IFERROR('調查資料(OUT)'!$J$1*'調查資料(OUT)'!J101,0)</f>
        <v>0</v>
      </c>
      <c r="D95" s="50">
        <f>IFERROR('調查資料(OUT)'!$C$1*'調查資料(OUT)'!C101,0)+IFERROR('調查資料(OUT)'!$G$1*'調查資料(OUT)'!G101,0)+IFERROR('調查資料(OUT)'!$K$1*'調查資料(OUT)'!K101,0)</f>
        <v>0</v>
      </c>
      <c r="E95" s="50">
        <f>IFERROR('調查資料(OUT)'!$D$1*'調查資料(OUT)'!D101,0)+IFERROR('調查資料(OUT)'!$H$1*'調查資料(OUT)'!H101,0)+IFERROR('調查資料(OUT)'!$L$1*'調查資料(OUT)'!L101,0)</f>
        <v>0</v>
      </c>
      <c r="F95" s="252">
        <f>IFERROR('調查資料(OUT)'!$E$1*'調查資料(OUT)'!E101,0)+IFERROR('調查資料(OUT)'!$I$1*'調查資料(OUT)'!I101,0)+IFERROR('調查資料(OUT)'!$M$1*'調查資料(OUT)'!M101,0)</f>
        <v>0</v>
      </c>
      <c r="G95" s="50">
        <f t="shared" si="373"/>
        <v>0</v>
      </c>
      <c r="H95" s="50">
        <f>IFERROR('調查資料(OUT)'!$N$1*'調查資料(OUT)'!N101,0)+IFERROR('調查資料(OUT)'!$R$1*'調查資料(OUT)'!R101,0)+IFERROR('調查資料(OUT)'!$V$1*'調查資料(OUT)'!V101,0)</f>
        <v>0</v>
      </c>
      <c r="I95" s="50">
        <f>IFERROR('調查資料(OUT)'!$O$1*'調查資料(OUT)'!O101,0)+IFERROR('調查資料(OUT)'!$S$1*'調查資料(OUT)'!S101,0)+IFERROR('調查資料(OUT)'!$W$1*'調查資料(OUT)'!W101,0)</f>
        <v>0</v>
      </c>
      <c r="J95" s="50">
        <f>IFERROR('調查資料(OUT)'!$P$1*'調查資料(OUT)'!P101,0)+IFERROR('調查資料(OUT)'!$T$1*'調查資料(OUT)'!T101,0)+IFERROR('調查資料(OUT)'!$X$1*'調查資料(OUT)'!X101,0)</f>
        <v>0</v>
      </c>
      <c r="K95" s="252">
        <f>IFERROR('調查資料(OUT)'!$Q$1*'調查資料(OUT)'!Q101,0)+IFERROR('調查資料(OUT)'!$U$1*'調查資料(OUT)'!U101,0)+IFERROR('調查資料(OUT)'!$Y$1*'調查資料(OUT)'!Y101,0)</f>
        <v>0</v>
      </c>
      <c r="L95" s="50">
        <f t="shared" si="374"/>
        <v>0</v>
      </c>
      <c r="M95" s="50">
        <f>IFERROR('調查資料(OUT)'!$Z$1*'調查資料(OUT)'!Z101,0)+IFERROR('調查資料(OUT)'!$AD$1*'調查資料(OUT)'!AD101,0)+IFERROR('調查資料(OUT)'!$AH$1*'調查資料(OUT)'!AH101,0)</f>
        <v>0</v>
      </c>
      <c r="N95" s="50">
        <f>IFERROR('調查資料(OUT)'!$AA$1*'調查資料(OUT)'!AA101,0)+IFERROR('調查資料(OUT)'!$AE$1*'調查資料(OUT)'!AE101,0)+IFERROR('調查資料(OUT)'!$AI$1*'調查資料(OUT)'!AI101,0)</f>
        <v>0</v>
      </c>
      <c r="O95" s="50">
        <f>IFERROR('調查資料(OUT)'!$AB$1*'調查資料(OUT)'!AB101,0)+IFERROR('調查資料(OUT)'!$AF$1*'調查資料(OUT)'!AF101,0)+IFERROR('調查資料(OUT)'!$AJ$1*'調查資料(OUT)'!AJ101,0)</f>
        <v>0</v>
      </c>
      <c r="P95" s="252">
        <f>IFERROR('調查資料(OUT)'!$AC$1*'調查資料(OUT)'!AC101,0)+IFERROR('調查資料(OUT)'!$AG$1*'調查資料(OUT)'!AG101,0)+IFERROR('調查資料(OUT)'!$AK$1*'調查資料(OUT)'!AK101,0)</f>
        <v>0</v>
      </c>
      <c r="Q95" s="50">
        <f t="shared" si="375"/>
        <v>0</v>
      </c>
      <c r="R95" s="50">
        <f>IFERROR('調查資料(OUT)'!$AL$1*'調查資料(OUT)'!AL101,0)+IFERROR('調查資料(OUT)'!$AP$1*'調查資料(OUT)'!AP101,0)+IFERROR('調查資料(OUT)'!$AT$1*'調查資料(OUT)'!AT101,0)</f>
        <v>0</v>
      </c>
      <c r="S95" s="50">
        <f>IFERROR('調查資料(OUT)'!$AM$1*'調查資料(OUT)'!AM101,0)+IFERROR('調查資料(OUT)'!$AQ$1*'調查資料(OUT)'!AQ101,0)+IFERROR('調查資料(OUT)'!$AU$1*'調查資料(OUT)'!AU101,0)</f>
        <v>0</v>
      </c>
      <c r="T95" s="50">
        <f>IFERROR('調查資料(OUT)'!$AN$1*'調查資料(OUT)'!AN101,0)+IFERROR('調查資料(OUT)'!$AR$1*'調查資料(OUT)'!AR101,0)+IFERROR('調查資料(OUT)'!$AV$1*'調查資料(OUT)'!AV101,0)</f>
        <v>0</v>
      </c>
      <c r="U95" s="252">
        <f>IFERROR('調查資料(OUT)'!$AO$1*'調查資料(OUT)'!AO101,0)+IFERROR('調查資料(OUT)'!$AS$1*'調查資料(OUT)'!AS101,0)+IFERROR('調查資料(OUT)'!$AW$1*'調查資料(OUT)'!AW101,0)</f>
        <v>0</v>
      </c>
      <c r="V95" s="50">
        <f t="shared" si="376"/>
        <v>0</v>
      </c>
      <c r="W95" s="50">
        <f>IFERROR('調查資料(OUT)'!$AX$1*'調查資料(OUT)'!AX101,0)+IFERROR('調查資料(OUT)'!$BB$1*'調查資料(OUT)'!BB101,0)+IFERROR('調查資料(OUT)'!$BF$1*'調查資料(OUT)'!BF101,0)</f>
        <v>0</v>
      </c>
      <c r="X95" s="50">
        <f>IFERROR('調查資料(OUT)'!$AY$1*'調查資料(OUT)'!AY101,0)+IFERROR('調查資料(OUT)'!$BC$1*'調查資料(OUT)'!BC101,0)+IFERROR('調查資料(OUT)'!$BG$1*'調查資料(OUT)'!BG101,0)</f>
        <v>0</v>
      </c>
      <c r="Y95" s="50">
        <f>IFERROR('調查資料(OUT)'!$AZ$1*'調查資料(OUT)'!AZ101,0)+IFERROR('調查資料(OUT)'!$BD$1*'調查資料(OUT)'!BD101,0)+IFERROR('調查資料(OUT)'!$BH$1*'調查資料(OUT)'!BH101,0)</f>
        <v>0</v>
      </c>
      <c r="Z95" s="252">
        <f>IFERROR('調查資料(OUT)'!$BA$1*'調查資料(OUT)'!BA101,0)+IFERROR('調查資料(OUT)'!$BE$1*'調查資料(OUT)'!BE101,0)+IFERROR('調查資料(OUT)'!$BI$1*'調查資料(OUT)'!BI101,0)</f>
        <v>0</v>
      </c>
      <c r="AA95" s="253">
        <f t="shared" si="377"/>
        <v>0</v>
      </c>
      <c r="AC95" s="251">
        <f>'調查資料(OUT)'!A101</f>
        <v>2230</v>
      </c>
      <c r="AD95" s="254">
        <f t="shared" si="378"/>
        <v>2330</v>
      </c>
      <c r="AE95" s="50">
        <f t="shared" si="379"/>
        <v>0</v>
      </c>
      <c r="AF95" s="51"/>
      <c r="AG95" s="50">
        <f t="shared" si="364"/>
        <v>0</v>
      </c>
      <c r="AH95" s="256" t="e">
        <f t="shared" si="371"/>
        <v>#DIV/0!</v>
      </c>
      <c r="AI95" s="256" t="e">
        <f t="shared" si="365"/>
        <v>#DIV/0!</v>
      </c>
      <c r="AJ95" s="256" t="e">
        <f t="shared" si="366"/>
        <v>#DIV/0!</v>
      </c>
      <c r="AK95" s="256" t="e">
        <f t="shared" si="367"/>
        <v>#DIV/0!</v>
      </c>
      <c r="AL95" s="256" t="e">
        <f t="shared" si="368"/>
        <v>#DIV/0!</v>
      </c>
      <c r="AN95" s="50">
        <f t="shared" si="369"/>
        <v>2230</v>
      </c>
      <c r="AO95" s="252">
        <f t="shared" si="370"/>
        <v>2330</v>
      </c>
      <c r="AP95" s="50">
        <f t="shared" si="380"/>
        <v>0</v>
      </c>
      <c r="AQ95" s="50">
        <f>IF($AN95="N","N",SUM('調查資料(OUT)'!B101:B104))</f>
        <v>0</v>
      </c>
      <c r="AR95" s="50">
        <f>IF($AN95="N","N",SUM('調查資料(OUT)'!F101:F104))</f>
        <v>0</v>
      </c>
      <c r="AS95" s="50">
        <f>IF($AN95="N","N",SUM('調查資料(OUT)'!J101:J104))</f>
        <v>0</v>
      </c>
      <c r="AT95" s="56" t="e">
        <f t="shared" si="381"/>
        <v>#DIV/0!</v>
      </c>
      <c r="AU95" s="50">
        <f t="shared" si="382"/>
        <v>0</v>
      </c>
      <c r="AV95" s="50">
        <f>IF($AN95="N","N",SUM('調查資料(OUT)'!C101:C104))</f>
        <v>0</v>
      </c>
      <c r="AW95" s="50">
        <f>IF($AN95="N","N",SUM('調查資料(OUT)'!G101:G104))</f>
        <v>0</v>
      </c>
      <c r="AX95" s="50">
        <f>IF($AN95="N","N",SUM('調查資料(OUT)'!K101:K104))</f>
        <v>0</v>
      </c>
      <c r="AY95" s="56" t="e">
        <f t="shared" si="383"/>
        <v>#DIV/0!</v>
      </c>
      <c r="AZ95" s="50">
        <f t="shared" si="384"/>
        <v>0</v>
      </c>
      <c r="BA95" s="50">
        <f>IF($AN95="N","N",SUM('調查資料(OUT)'!D101:D104))</f>
        <v>0</v>
      </c>
      <c r="BB95" s="50">
        <f>IF($AN95="N","N",SUM('調查資料(OUT)'!H101:H104))</f>
        <v>0</v>
      </c>
      <c r="BC95" s="50">
        <f>IF($AN95="N","N",SUM('調查資料(OUT)'!L101:L104))</f>
        <v>0</v>
      </c>
      <c r="BD95" s="56" t="e">
        <f t="shared" si="385"/>
        <v>#DIV/0!</v>
      </c>
      <c r="BE95" s="50">
        <f t="shared" si="386"/>
        <v>0</v>
      </c>
      <c r="BF95" s="50">
        <f>IF($AN95="N","N",SUM('調查資料(OUT)'!E101:E104))</f>
        <v>0</v>
      </c>
      <c r="BG95" s="50">
        <f>IF($AN95="N","N",SUM('調查資料(OUT)'!I101:I104))</f>
        <v>0</v>
      </c>
      <c r="BH95" s="50">
        <f>IF($AN95="N","N",SUM('調查資料(OUT)'!M101:M104))</f>
        <v>0</v>
      </c>
      <c r="BI95" s="56" t="e">
        <f t="shared" si="387"/>
        <v>#DIV/0!</v>
      </c>
      <c r="BJ95" s="50">
        <f t="shared" si="388"/>
        <v>0</v>
      </c>
      <c r="BK95" s="56" t="e">
        <f t="shared" si="389"/>
        <v>#DIV/0!</v>
      </c>
      <c r="BL95" s="50">
        <f t="shared" si="390"/>
        <v>0</v>
      </c>
      <c r="BM95" s="56" t="e">
        <f t="shared" si="391"/>
        <v>#DIV/0!</v>
      </c>
      <c r="BN95" s="50">
        <f t="shared" si="392"/>
        <v>0</v>
      </c>
      <c r="BO95" s="56" t="e">
        <f t="shared" si="393"/>
        <v>#DIV/0!</v>
      </c>
      <c r="BP95" s="50">
        <f t="shared" si="394"/>
        <v>0</v>
      </c>
      <c r="BQ95" s="50">
        <f t="shared" si="395"/>
        <v>0</v>
      </c>
      <c r="BR95" s="50">
        <f>IF($AN95="N","N",SUM('調查資料(OUT)'!N101:N104))</f>
        <v>0</v>
      </c>
      <c r="BS95" s="50">
        <f>IF($AN95="N","N",SUM('調查資料(OUT)'!R101:R104))</f>
        <v>0</v>
      </c>
      <c r="BT95" s="50">
        <f>IF($AN95="N","N",SUM('調查資料(OUT)'!V101:V104))</f>
        <v>0</v>
      </c>
      <c r="BU95" s="56" t="e">
        <f t="shared" si="396"/>
        <v>#DIV/0!</v>
      </c>
      <c r="BV95" s="50">
        <f t="shared" si="397"/>
        <v>0</v>
      </c>
      <c r="BW95" s="50">
        <f>IF($AN95="N","N",SUM('調查資料(OUT)'!O101:O104))</f>
        <v>0</v>
      </c>
      <c r="BX95" s="50">
        <f>IF($AN95="N","N",SUM('調查資料(OUT)'!S101:S104))</f>
        <v>0</v>
      </c>
      <c r="BY95" s="50">
        <f>IF($AN95="N","N",SUM('調查資料(OUT)'!W101:W104))</f>
        <v>0</v>
      </c>
      <c r="BZ95" s="56" t="e">
        <f t="shared" si="398"/>
        <v>#DIV/0!</v>
      </c>
      <c r="CA95" s="50">
        <f t="shared" si="399"/>
        <v>0</v>
      </c>
      <c r="CB95" s="50">
        <f>IF($AN95="N","N",SUM('調查資料(OUT)'!P101:P104))</f>
        <v>0</v>
      </c>
      <c r="CC95" s="50">
        <f>IF($AN95="N","N",SUM('調查資料(OUT)'!T101:T104))</f>
        <v>0</v>
      </c>
      <c r="CD95" s="50">
        <f>IF($AN95="N","N",SUM('調查資料(OUT)'!X101:X104))</f>
        <v>0</v>
      </c>
      <c r="CE95" s="56" t="e">
        <f t="shared" si="400"/>
        <v>#DIV/0!</v>
      </c>
      <c r="CF95" s="50">
        <f t="shared" si="401"/>
        <v>0</v>
      </c>
      <c r="CG95" s="50">
        <f>IF($AN95="N","N",SUM('調查資料(OUT)'!Q101:Q104))</f>
        <v>0</v>
      </c>
      <c r="CH95" s="50">
        <f>IF($AN95="N","N",SUM('調查資料(OUT)'!U101:U104))</f>
        <v>0</v>
      </c>
      <c r="CI95" s="50">
        <f>IF($AN95="N","N",SUM('調查資料(OUT)'!Y101:Y104))</f>
        <v>0</v>
      </c>
      <c r="CJ95" s="56" t="e">
        <f t="shared" si="402"/>
        <v>#DIV/0!</v>
      </c>
      <c r="CK95" s="50">
        <f t="shared" si="403"/>
        <v>0</v>
      </c>
      <c r="CL95" s="56" t="e">
        <f t="shared" si="404"/>
        <v>#DIV/0!</v>
      </c>
      <c r="CM95" s="50">
        <f t="shared" si="405"/>
        <v>0</v>
      </c>
      <c r="CN95" s="56" t="e">
        <f t="shared" si="406"/>
        <v>#DIV/0!</v>
      </c>
      <c r="CO95" s="50">
        <f t="shared" si="407"/>
        <v>0</v>
      </c>
      <c r="CP95" s="56" t="e">
        <f t="shared" si="408"/>
        <v>#DIV/0!</v>
      </c>
      <c r="CQ95" s="50">
        <f t="shared" si="409"/>
        <v>0</v>
      </c>
      <c r="CR95" s="50">
        <f t="shared" si="410"/>
        <v>0</v>
      </c>
      <c r="CS95" s="50">
        <f>IF($AN95="N","N",SUM('調查資料(OUT)'!Z101:Z104))</f>
        <v>0</v>
      </c>
      <c r="CT95" s="50">
        <f>IF($AN95="N","N",SUM('調查資料(OUT)'!AD101:AD104))</f>
        <v>0</v>
      </c>
      <c r="CU95" s="50">
        <f>IF($AN95="N","N",SUM('調查資料(OUT)'!AH101:AH104))</f>
        <v>0</v>
      </c>
      <c r="CV95" s="56" t="e">
        <f t="shared" si="411"/>
        <v>#DIV/0!</v>
      </c>
      <c r="CW95" s="50">
        <f t="shared" si="412"/>
        <v>0</v>
      </c>
      <c r="CX95" s="50">
        <f>IF($AN95="N","N",SUM('調查資料(OUT)'!AA101:AA104))</f>
        <v>0</v>
      </c>
      <c r="CY95" s="50">
        <f>IF($AN95="N","N",SUM('調查資料(OUT)'!AE101:AE104))</f>
        <v>0</v>
      </c>
      <c r="CZ95" s="50">
        <f>IF($AN95="N","N",SUM('調查資料(OUT)'!AI101:AI104))</f>
        <v>0</v>
      </c>
      <c r="DA95" s="56" t="e">
        <f t="shared" si="413"/>
        <v>#DIV/0!</v>
      </c>
      <c r="DB95" s="50">
        <f t="shared" si="414"/>
        <v>0</v>
      </c>
      <c r="DC95" s="50">
        <f>IF($AN95="N","N",SUM('調查資料(OUT)'!AB101:AB104))</f>
        <v>0</v>
      </c>
      <c r="DD95" s="50">
        <f>IF($AN95="N","N",SUM('調查資料(OUT)'!AF101:AF104))</f>
        <v>0</v>
      </c>
      <c r="DE95" s="50">
        <f>IF($AN95="N","N",SUM('調查資料(OUT)'!AJ101:AJ104))</f>
        <v>0</v>
      </c>
      <c r="DF95" s="56" t="e">
        <f t="shared" si="415"/>
        <v>#DIV/0!</v>
      </c>
      <c r="DG95" s="50">
        <f t="shared" si="416"/>
        <v>0</v>
      </c>
      <c r="DH95" s="50">
        <f>IF($AN95="N","N",SUM('調查資料(OUT)'!AC101:AC104))</f>
        <v>0</v>
      </c>
      <c r="DI95" s="50">
        <f>IF($AN95="N","N",SUM('調查資料(OUT)'!AG101:AG104))</f>
        <v>0</v>
      </c>
      <c r="DJ95" s="50">
        <f>IF($AN95="N","N",SUM('調查資料(OUT)'!AK101:AK104))</f>
        <v>0</v>
      </c>
      <c r="DK95" s="56" t="e">
        <f t="shared" si="417"/>
        <v>#DIV/0!</v>
      </c>
      <c r="DL95" s="50">
        <f t="shared" si="418"/>
        <v>0</v>
      </c>
      <c r="DM95" s="56" t="e">
        <f t="shared" si="419"/>
        <v>#DIV/0!</v>
      </c>
      <c r="DN95" s="50">
        <f t="shared" si="420"/>
        <v>0</v>
      </c>
      <c r="DO95" s="56" t="e">
        <f t="shared" si="421"/>
        <v>#DIV/0!</v>
      </c>
      <c r="DP95" s="50">
        <f t="shared" si="422"/>
        <v>0</v>
      </c>
      <c r="DQ95" s="56" t="e">
        <f t="shared" si="423"/>
        <v>#DIV/0!</v>
      </c>
      <c r="DR95" s="50">
        <f t="shared" si="424"/>
        <v>0</v>
      </c>
      <c r="DS95" s="50">
        <f t="shared" si="425"/>
        <v>0</v>
      </c>
      <c r="DT95" s="50">
        <f>IF($AN95="N","N",SUM('調查資料(OUT)'!AL101:AL104))</f>
        <v>0</v>
      </c>
      <c r="DU95" s="50">
        <f>IF($AN95="N","N",SUM('調查資料(OUT)'!AP101:AP104))</f>
        <v>0</v>
      </c>
      <c r="DV95" s="50">
        <f>IF($AN95="N","N",SUM('調查資料(OUT)'!AT101:AT104))</f>
        <v>0</v>
      </c>
      <c r="DW95" s="56" t="e">
        <f t="shared" si="426"/>
        <v>#DIV/0!</v>
      </c>
      <c r="DX95" s="50">
        <f t="shared" si="427"/>
        <v>0</v>
      </c>
      <c r="DY95" s="50">
        <f>IF($AN95="N","N",SUM('調查資料(OUT)'!AM101:AM104))</f>
        <v>0</v>
      </c>
      <c r="DZ95" s="50">
        <f>IF($AN95="N","N",SUM('調查資料(OUT)'!AQ101:AQ104))</f>
        <v>0</v>
      </c>
      <c r="EA95" s="50">
        <f>IF($AN95="N","N",SUM('調查資料(OUT)'!AU101:AU104))</f>
        <v>0</v>
      </c>
      <c r="EB95" s="56" t="e">
        <f t="shared" si="428"/>
        <v>#DIV/0!</v>
      </c>
      <c r="EC95" s="50">
        <f t="shared" si="429"/>
        <v>0</v>
      </c>
      <c r="ED95" s="50">
        <f>IF($AN95="N","N",SUM('調查資料(OUT)'!AN101:AN104))</f>
        <v>0</v>
      </c>
      <c r="EE95" s="50">
        <f>IF($AN95="N","N",SUM('調查資料(OUT)'!AR101:AR104))</f>
        <v>0</v>
      </c>
      <c r="EF95" s="50">
        <f>IF($AN95="N","N",SUM('調查資料(OUT)'!AV101:AV104))</f>
        <v>0</v>
      </c>
      <c r="EG95" s="56" t="e">
        <f t="shared" si="430"/>
        <v>#DIV/0!</v>
      </c>
      <c r="EH95" s="50">
        <f t="shared" si="431"/>
        <v>0</v>
      </c>
      <c r="EI95" s="50">
        <f>IF($AN95="N","N",SUM('調查資料(OUT)'!AO101:AO104))</f>
        <v>0</v>
      </c>
      <c r="EJ95" s="50">
        <f>IF($AN95="N","N",SUM('調查資料(OUT)'!AS101:AS104))</f>
        <v>0</v>
      </c>
      <c r="EK95" s="50">
        <f>IF($AN95="N","N",SUM('調查資料(OUT)'!AW101:AW104))</f>
        <v>0</v>
      </c>
      <c r="EL95" s="56" t="e">
        <f t="shared" si="432"/>
        <v>#DIV/0!</v>
      </c>
      <c r="EM95" s="50">
        <f t="shared" si="433"/>
        <v>0</v>
      </c>
      <c r="EN95" s="56" t="e">
        <f t="shared" si="434"/>
        <v>#DIV/0!</v>
      </c>
      <c r="EO95" s="50">
        <f t="shared" si="435"/>
        <v>0</v>
      </c>
      <c r="EP95" s="56" t="e">
        <f t="shared" si="436"/>
        <v>#DIV/0!</v>
      </c>
      <c r="EQ95" s="50">
        <f t="shared" si="437"/>
        <v>0</v>
      </c>
      <c r="ER95" s="56" t="e">
        <f t="shared" si="438"/>
        <v>#DIV/0!</v>
      </c>
      <c r="ES95" s="50">
        <f t="shared" si="439"/>
        <v>0</v>
      </c>
      <c r="ET95" s="50">
        <f t="shared" si="440"/>
        <v>0</v>
      </c>
      <c r="EU95" s="50">
        <f>IF($AN95="N","N",SUM('調查資料(OUT)'!AX101:AX104))</f>
        <v>0</v>
      </c>
      <c r="EV95" s="50">
        <f>IF($AN95="N","N",SUM('調查資料(OUT)'!BB101:BB104))</f>
        <v>0</v>
      </c>
      <c r="EW95" s="50">
        <f>IF($AN95="N","N",SUM('調查資料(OUT)'!BF101:BF104))</f>
        <v>0</v>
      </c>
      <c r="EX95" s="56" t="e">
        <f t="shared" si="441"/>
        <v>#DIV/0!</v>
      </c>
      <c r="EY95" s="50">
        <f t="shared" si="442"/>
        <v>0</v>
      </c>
      <c r="EZ95" s="50">
        <f>IF($AN95="N","N",SUM('調查資料(OUT)'!AY101:AY104))</f>
        <v>0</v>
      </c>
      <c r="FA95" s="50">
        <f>IF($AN95="N","N",SUM('調查資料(OUT)'!BC101:BC104))</f>
        <v>0</v>
      </c>
      <c r="FB95" s="50">
        <f>IF($AN95="N","N",SUM('調查資料(OUT)'!BG101:BG104))</f>
        <v>0</v>
      </c>
      <c r="FC95" s="56" t="e">
        <f t="shared" si="443"/>
        <v>#DIV/0!</v>
      </c>
      <c r="FD95" s="50">
        <f t="shared" si="444"/>
        <v>0</v>
      </c>
      <c r="FE95" s="50">
        <f>IF($AN95="N","N",SUM('調查資料(OUT)'!AZ101:AZ104))</f>
        <v>0</v>
      </c>
      <c r="FF95" s="50">
        <f>IF($AN95="N","N",SUM('調查資料(OUT)'!BD101:BD104))</f>
        <v>0</v>
      </c>
      <c r="FG95" s="50">
        <f>IF($AN95="N","N",SUM('調查資料(OUT)'!BH101:BH104))</f>
        <v>0</v>
      </c>
      <c r="FH95" s="56" t="e">
        <f t="shared" si="445"/>
        <v>#DIV/0!</v>
      </c>
      <c r="FI95" s="50">
        <f t="shared" si="446"/>
        <v>0</v>
      </c>
      <c r="FJ95" s="50">
        <f>IF($AN95="N","N",SUM('調查資料(OUT)'!BA101:BA104))</f>
        <v>0</v>
      </c>
      <c r="FK95" s="50">
        <f>IF($AN95="N","N",SUM('調查資料(OUT)'!BE101:BE104))</f>
        <v>0</v>
      </c>
      <c r="FL95" s="50">
        <f>IF($AN95="N","N",SUM('調查資料(OUT)'!BI101:BI104))</f>
        <v>0</v>
      </c>
      <c r="FM95" s="56" t="e">
        <f t="shared" si="447"/>
        <v>#DIV/0!</v>
      </c>
      <c r="FN95" s="50">
        <f t="shared" si="448"/>
        <v>0</v>
      </c>
      <c r="FO95" s="56" t="e">
        <f t="shared" si="449"/>
        <v>#DIV/0!</v>
      </c>
      <c r="FP95" s="50">
        <f t="shared" si="450"/>
        <v>0</v>
      </c>
      <c r="FQ95" s="56" t="e">
        <f t="shared" si="451"/>
        <v>#DIV/0!</v>
      </c>
      <c r="FR95" s="50">
        <f t="shared" si="452"/>
        <v>0</v>
      </c>
      <c r="FS95" s="56" t="e">
        <f t="shared" si="453"/>
        <v>#DIV/0!</v>
      </c>
      <c r="FT95" s="50">
        <f t="shared" si="454"/>
        <v>0</v>
      </c>
    </row>
    <row r="96" spans="1:176">
      <c r="A96" s="274">
        <f>'調查資料(OUT)'!A102</f>
        <v>2245</v>
      </c>
      <c r="B96" s="50">
        <f t="shared" si="372"/>
        <v>0</v>
      </c>
      <c r="C96" s="50">
        <f>IFERROR('調查資料(OUT)'!$B$1*'調查資料(OUT)'!B102,0)+IFERROR('調查資料(OUT)'!$F$1*'調查資料(OUT)'!F102,0)+IFERROR('調查資料(OUT)'!$J$1*'調查資料(OUT)'!J102,0)</f>
        <v>0</v>
      </c>
      <c r="D96" s="50">
        <f>IFERROR('調查資料(OUT)'!$C$1*'調查資料(OUT)'!C102,0)+IFERROR('調查資料(OUT)'!$G$1*'調查資料(OUT)'!G102,0)+IFERROR('調查資料(OUT)'!$K$1*'調查資料(OUT)'!K102,0)</f>
        <v>0</v>
      </c>
      <c r="E96" s="50">
        <f>IFERROR('調查資料(OUT)'!$D$1*'調查資料(OUT)'!D102,0)+IFERROR('調查資料(OUT)'!$H$1*'調查資料(OUT)'!H102,0)+IFERROR('調查資料(OUT)'!$L$1*'調查資料(OUT)'!L102,0)</f>
        <v>0</v>
      </c>
      <c r="F96" s="252">
        <f>IFERROR('調查資料(OUT)'!$E$1*'調查資料(OUT)'!E102,0)+IFERROR('調查資料(OUT)'!$I$1*'調查資料(OUT)'!I102,0)+IFERROR('調查資料(OUT)'!$M$1*'調查資料(OUT)'!M102,0)</f>
        <v>0</v>
      </c>
      <c r="G96" s="50">
        <f t="shared" si="373"/>
        <v>0</v>
      </c>
      <c r="H96" s="50">
        <f>IFERROR('調查資料(OUT)'!$N$1*'調查資料(OUT)'!N102,0)+IFERROR('調查資料(OUT)'!$R$1*'調查資料(OUT)'!R102,0)+IFERROR('調查資料(OUT)'!$V$1*'調查資料(OUT)'!V102,0)</f>
        <v>0</v>
      </c>
      <c r="I96" s="50">
        <f>IFERROR('調查資料(OUT)'!$O$1*'調查資料(OUT)'!O102,0)+IFERROR('調查資料(OUT)'!$S$1*'調查資料(OUT)'!S102,0)+IFERROR('調查資料(OUT)'!$W$1*'調查資料(OUT)'!W102,0)</f>
        <v>0</v>
      </c>
      <c r="J96" s="50">
        <f>IFERROR('調查資料(OUT)'!$P$1*'調查資料(OUT)'!P102,0)+IFERROR('調查資料(OUT)'!$T$1*'調查資料(OUT)'!T102,0)+IFERROR('調查資料(OUT)'!$X$1*'調查資料(OUT)'!X102,0)</f>
        <v>0</v>
      </c>
      <c r="K96" s="252">
        <f>IFERROR('調查資料(OUT)'!$Q$1*'調查資料(OUT)'!Q102,0)+IFERROR('調查資料(OUT)'!$U$1*'調查資料(OUT)'!U102,0)+IFERROR('調查資料(OUT)'!$Y$1*'調查資料(OUT)'!Y102,0)</f>
        <v>0</v>
      </c>
      <c r="L96" s="50">
        <f t="shared" si="374"/>
        <v>0</v>
      </c>
      <c r="M96" s="50">
        <f>IFERROR('調查資料(OUT)'!$Z$1*'調查資料(OUT)'!Z102,0)+IFERROR('調查資料(OUT)'!$AD$1*'調查資料(OUT)'!AD102,0)+IFERROR('調查資料(OUT)'!$AH$1*'調查資料(OUT)'!AH102,0)</f>
        <v>0</v>
      </c>
      <c r="N96" s="50">
        <f>IFERROR('調查資料(OUT)'!$AA$1*'調查資料(OUT)'!AA102,0)+IFERROR('調查資料(OUT)'!$AE$1*'調查資料(OUT)'!AE102,0)+IFERROR('調查資料(OUT)'!$AI$1*'調查資料(OUT)'!AI102,0)</f>
        <v>0</v>
      </c>
      <c r="O96" s="50">
        <f>IFERROR('調查資料(OUT)'!$AB$1*'調查資料(OUT)'!AB102,0)+IFERROR('調查資料(OUT)'!$AF$1*'調查資料(OUT)'!AF102,0)+IFERROR('調查資料(OUT)'!$AJ$1*'調查資料(OUT)'!AJ102,0)</f>
        <v>0</v>
      </c>
      <c r="P96" s="252">
        <f>IFERROR('調查資料(OUT)'!$AC$1*'調查資料(OUT)'!AC102,0)+IFERROR('調查資料(OUT)'!$AG$1*'調查資料(OUT)'!AG102,0)+IFERROR('調查資料(OUT)'!$AK$1*'調查資料(OUT)'!AK102,0)</f>
        <v>0</v>
      </c>
      <c r="Q96" s="50">
        <f t="shared" si="375"/>
        <v>0</v>
      </c>
      <c r="R96" s="50">
        <f>IFERROR('調查資料(OUT)'!$AL$1*'調查資料(OUT)'!AL102,0)+IFERROR('調查資料(OUT)'!$AP$1*'調查資料(OUT)'!AP102,0)+IFERROR('調查資料(OUT)'!$AT$1*'調查資料(OUT)'!AT102,0)</f>
        <v>0</v>
      </c>
      <c r="S96" s="50">
        <f>IFERROR('調查資料(OUT)'!$AM$1*'調查資料(OUT)'!AM102,0)+IFERROR('調查資料(OUT)'!$AQ$1*'調查資料(OUT)'!AQ102,0)+IFERROR('調查資料(OUT)'!$AU$1*'調查資料(OUT)'!AU102,0)</f>
        <v>0</v>
      </c>
      <c r="T96" s="50">
        <f>IFERROR('調查資料(OUT)'!$AN$1*'調查資料(OUT)'!AN102,0)+IFERROR('調查資料(OUT)'!$AR$1*'調查資料(OUT)'!AR102,0)+IFERROR('調查資料(OUT)'!$AV$1*'調查資料(OUT)'!AV102,0)</f>
        <v>0</v>
      </c>
      <c r="U96" s="252">
        <f>IFERROR('調查資料(OUT)'!$AO$1*'調查資料(OUT)'!AO102,0)+IFERROR('調查資料(OUT)'!$AS$1*'調查資料(OUT)'!AS102,0)+IFERROR('調查資料(OUT)'!$AW$1*'調查資料(OUT)'!AW102,0)</f>
        <v>0</v>
      </c>
      <c r="V96" s="50">
        <f t="shared" si="376"/>
        <v>0</v>
      </c>
      <c r="W96" s="50">
        <f>IFERROR('調查資料(OUT)'!$AX$1*'調查資料(OUT)'!AX102,0)+IFERROR('調查資料(OUT)'!$BB$1*'調查資料(OUT)'!BB102,0)+IFERROR('調查資料(OUT)'!$BF$1*'調查資料(OUT)'!BF102,0)</f>
        <v>0</v>
      </c>
      <c r="X96" s="50">
        <f>IFERROR('調查資料(OUT)'!$AY$1*'調查資料(OUT)'!AY102,0)+IFERROR('調查資料(OUT)'!$BC$1*'調查資料(OUT)'!BC102,0)+IFERROR('調查資料(OUT)'!$BG$1*'調查資料(OUT)'!BG102,0)</f>
        <v>0</v>
      </c>
      <c r="Y96" s="50">
        <f>IFERROR('調查資料(OUT)'!$AZ$1*'調查資料(OUT)'!AZ102,0)+IFERROR('調查資料(OUT)'!$BD$1*'調查資料(OUT)'!BD102,0)+IFERROR('調查資料(OUT)'!$BH$1*'調查資料(OUT)'!BH102,0)</f>
        <v>0</v>
      </c>
      <c r="Z96" s="252">
        <f>IFERROR('調查資料(OUT)'!$BA$1*'調查資料(OUT)'!BA102,0)+IFERROR('調查資料(OUT)'!$BE$1*'調查資料(OUT)'!BE102,0)+IFERROR('調查資料(OUT)'!$BI$1*'調查資料(OUT)'!BI102,0)</f>
        <v>0</v>
      </c>
      <c r="AA96" s="253">
        <f t="shared" si="377"/>
        <v>0</v>
      </c>
      <c r="AC96" s="251">
        <f>'調查資料(OUT)'!A102</f>
        <v>2245</v>
      </c>
      <c r="AD96" s="254">
        <f t="shared" si="378"/>
        <v>2345</v>
      </c>
      <c r="AE96" s="50">
        <f t="shared" si="379"/>
        <v>0</v>
      </c>
      <c r="AF96" s="51"/>
      <c r="AG96" s="50">
        <f t="shared" si="364"/>
        <v>0</v>
      </c>
      <c r="AH96" s="256" t="e">
        <f t="shared" si="371"/>
        <v>#DIV/0!</v>
      </c>
      <c r="AI96" s="256" t="e">
        <f t="shared" si="365"/>
        <v>#DIV/0!</v>
      </c>
      <c r="AJ96" s="256" t="e">
        <f t="shared" si="366"/>
        <v>#DIV/0!</v>
      </c>
      <c r="AK96" s="256" t="e">
        <f t="shared" si="367"/>
        <v>#DIV/0!</v>
      </c>
      <c r="AL96" s="256" t="e">
        <f t="shared" si="368"/>
        <v>#DIV/0!</v>
      </c>
      <c r="AN96" s="50">
        <f t="shared" si="369"/>
        <v>2245</v>
      </c>
      <c r="AO96" s="252">
        <f t="shared" si="370"/>
        <v>2345</v>
      </c>
      <c r="AP96" s="50">
        <f t="shared" si="380"/>
        <v>0</v>
      </c>
      <c r="AQ96" s="50">
        <f>IF($AN96="N","N",SUM('調查資料(OUT)'!B102:B105))</f>
        <v>0</v>
      </c>
      <c r="AR96" s="50">
        <f>IF($AN96="N","N",SUM('調查資料(OUT)'!F102:F105))</f>
        <v>0</v>
      </c>
      <c r="AS96" s="50">
        <f>IF($AN96="N","N",SUM('調查資料(OUT)'!J102:J105))</f>
        <v>0</v>
      </c>
      <c r="AT96" s="56" t="e">
        <f t="shared" si="381"/>
        <v>#DIV/0!</v>
      </c>
      <c r="AU96" s="50">
        <f t="shared" si="382"/>
        <v>0</v>
      </c>
      <c r="AV96" s="50">
        <f>IF($AN96="N","N",SUM('調查資料(OUT)'!C102:C105))</f>
        <v>0</v>
      </c>
      <c r="AW96" s="50">
        <f>IF($AN96="N","N",SUM('調查資料(OUT)'!G102:G105))</f>
        <v>0</v>
      </c>
      <c r="AX96" s="50">
        <f>IF($AN96="N","N",SUM('調查資料(OUT)'!K102:K105))</f>
        <v>0</v>
      </c>
      <c r="AY96" s="56" t="e">
        <f t="shared" si="383"/>
        <v>#DIV/0!</v>
      </c>
      <c r="AZ96" s="50">
        <f t="shared" si="384"/>
        <v>0</v>
      </c>
      <c r="BA96" s="50">
        <f>IF($AN96="N","N",SUM('調查資料(OUT)'!D102:D105))</f>
        <v>0</v>
      </c>
      <c r="BB96" s="50">
        <f>IF($AN96="N","N",SUM('調查資料(OUT)'!H102:H105))</f>
        <v>0</v>
      </c>
      <c r="BC96" s="50">
        <f>IF($AN96="N","N",SUM('調查資料(OUT)'!L102:L105))</f>
        <v>0</v>
      </c>
      <c r="BD96" s="56" t="e">
        <f t="shared" si="385"/>
        <v>#DIV/0!</v>
      </c>
      <c r="BE96" s="50">
        <f t="shared" si="386"/>
        <v>0</v>
      </c>
      <c r="BF96" s="50">
        <f>IF($AN96="N","N",SUM('調查資料(OUT)'!E102:E105))</f>
        <v>0</v>
      </c>
      <c r="BG96" s="50">
        <f>IF($AN96="N","N",SUM('調查資料(OUT)'!I102:I105))</f>
        <v>0</v>
      </c>
      <c r="BH96" s="50">
        <f>IF($AN96="N","N",SUM('調查資料(OUT)'!M102:M105))</f>
        <v>0</v>
      </c>
      <c r="BI96" s="56" t="e">
        <f t="shared" si="387"/>
        <v>#DIV/0!</v>
      </c>
      <c r="BJ96" s="50">
        <f t="shared" si="388"/>
        <v>0</v>
      </c>
      <c r="BK96" s="56" t="e">
        <f t="shared" si="389"/>
        <v>#DIV/0!</v>
      </c>
      <c r="BL96" s="50">
        <f t="shared" si="390"/>
        <v>0</v>
      </c>
      <c r="BM96" s="56" t="e">
        <f t="shared" si="391"/>
        <v>#DIV/0!</v>
      </c>
      <c r="BN96" s="50">
        <f t="shared" si="392"/>
        <v>0</v>
      </c>
      <c r="BO96" s="56" t="e">
        <f t="shared" si="393"/>
        <v>#DIV/0!</v>
      </c>
      <c r="BP96" s="50">
        <f t="shared" si="394"/>
        <v>0</v>
      </c>
      <c r="BQ96" s="50">
        <f t="shared" si="395"/>
        <v>0</v>
      </c>
      <c r="BR96" s="50">
        <f>IF($AN96="N","N",SUM('調查資料(OUT)'!N102:N105))</f>
        <v>0</v>
      </c>
      <c r="BS96" s="50">
        <f>IF($AN96="N","N",SUM('調查資料(OUT)'!R102:R105))</f>
        <v>0</v>
      </c>
      <c r="BT96" s="50">
        <f>IF($AN96="N","N",SUM('調查資料(OUT)'!V102:V105))</f>
        <v>0</v>
      </c>
      <c r="BU96" s="56" t="e">
        <f t="shared" si="396"/>
        <v>#DIV/0!</v>
      </c>
      <c r="BV96" s="50">
        <f t="shared" si="397"/>
        <v>0</v>
      </c>
      <c r="BW96" s="50">
        <f>IF($AN96="N","N",SUM('調查資料(OUT)'!O102:O105))</f>
        <v>0</v>
      </c>
      <c r="BX96" s="50">
        <f>IF($AN96="N","N",SUM('調查資料(OUT)'!S102:S105))</f>
        <v>0</v>
      </c>
      <c r="BY96" s="50">
        <f>IF($AN96="N","N",SUM('調查資料(OUT)'!W102:W105))</f>
        <v>0</v>
      </c>
      <c r="BZ96" s="56" t="e">
        <f t="shared" si="398"/>
        <v>#DIV/0!</v>
      </c>
      <c r="CA96" s="50">
        <f t="shared" si="399"/>
        <v>0</v>
      </c>
      <c r="CB96" s="50">
        <f>IF($AN96="N","N",SUM('調查資料(OUT)'!P102:P105))</f>
        <v>0</v>
      </c>
      <c r="CC96" s="50">
        <f>IF($AN96="N","N",SUM('調查資料(OUT)'!T102:T105))</f>
        <v>0</v>
      </c>
      <c r="CD96" s="50">
        <f>IF($AN96="N","N",SUM('調查資料(OUT)'!X102:X105))</f>
        <v>0</v>
      </c>
      <c r="CE96" s="56" t="e">
        <f t="shared" si="400"/>
        <v>#DIV/0!</v>
      </c>
      <c r="CF96" s="50">
        <f t="shared" si="401"/>
        <v>0</v>
      </c>
      <c r="CG96" s="50">
        <f>IF($AN96="N","N",SUM('調查資料(OUT)'!Q102:Q105))</f>
        <v>0</v>
      </c>
      <c r="CH96" s="50">
        <f>IF($AN96="N","N",SUM('調查資料(OUT)'!U102:U105))</f>
        <v>0</v>
      </c>
      <c r="CI96" s="50">
        <f>IF($AN96="N","N",SUM('調查資料(OUT)'!Y102:Y105))</f>
        <v>0</v>
      </c>
      <c r="CJ96" s="56" t="e">
        <f t="shared" si="402"/>
        <v>#DIV/0!</v>
      </c>
      <c r="CK96" s="50">
        <f t="shared" si="403"/>
        <v>0</v>
      </c>
      <c r="CL96" s="56" t="e">
        <f t="shared" si="404"/>
        <v>#DIV/0!</v>
      </c>
      <c r="CM96" s="50">
        <f t="shared" si="405"/>
        <v>0</v>
      </c>
      <c r="CN96" s="56" t="e">
        <f t="shared" si="406"/>
        <v>#DIV/0!</v>
      </c>
      <c r="CO96" s="50">
        <f t="shared" si="407"/>
        <v>0</v>
      </c>
      <c r="CP96" s="56" t="e">
        <f t="shared" si="408"/>
        <v>#DIV/0!</v>
      </c>
      <c r="CQ96" s="50">
        <f t="shared" si="409"/>
        <v>0</v>
      </c>
      <c r="CR96" s="50">
        <f t="shared" si="410"/>
        <v>0</v>
      </c>
      <c r="CS96" s="50">
        <f>IF($AN96="N","N",SUM('調查資料(OUT)'!Z102:Z105))</f>
        <v>0</v>
      </c>
      <c r="CT96" s="50">
        <f>IF($AN96="N","N",SUM('調查資料(OUT)'!AD102:AD105))</f>
        <v>0</v>
      </c>
      <c r="CU96" s="50">
        <f>IF($AN96="N","N",SUM('調查資料(OUT)'!AH102:AH105))</f>
        <v>0</v>
      </c>
      <c r="CV96" s="56" t="e">
        <f t="shared" si="411"/>
        <v>#DIV/0!</v>
      </c>
      <c r="CW96" s="50">
        <f t="shared" si="412"/>
        <v>0</v>
      </c>
      <c r="CX96" s="50">
        <f>IF($AN96="N","N",SUM('調查資料(OUT)'!AA102:AA105))</f>
        <v>0</v>
      </c>
      <c r="CY96" s="50">
        <f>IF($AN96="N","N",SUM('調查資料(OUT)'!AE102:AE105))</f>
        <v>0</v>
      </c>
      <c r="CZ96" s="50">
        <f>IF($AN96="N","N",SUM('調查資料(OUT)'!AI102:AI105))</f>
        <v>0</v>
      </c>
      <c r="DA96" s="56" t="e">
        <f t="shared" si="413"/>
        <v>#DIV/0!</v>
      </c>
      <c r="DB96" s="50">
        <f t="shared" si="414"/>
        <v>0</v>
      </c>
      <c r="DC96" s="50">
        <f>IF($AN96="N","N",SUM('調查資料(OUT)'!AB102:AB105))</f>
        <v>0</v>
      </c>
      <c r="DD96" s="50">
        <f>IF($AN96="N","N",SUM('調查資料(OUT)'!AF102:AF105))</f>
        <v>0</v>
      </c>
      <c r="DE96" s="50">
        <f>IF($AN96="N","N",SUM('調查資料(OUT)'!AJ102:AJ105))</f>
        <v>0</v>
      </c>
      <c r="DF96" s="56" t="e">
        <f t="shared" si="415"/>
        <v>#DIV/0!</v>
      </c>
      <c r="DG96" s="50">
        <f t="shared" si="416"/>
        <v>0</v>
      </c>
      <c r="DH96" s="50">
        <f>IF($AN96="N","N",SUM('調查資料(OUT)'!AC102:AC105))</f>
        <v>0</v>
      </c>
      <c r="DI96" s="50">
        <f>IF($AN96="N","N",SUM('調查資料(OUT)'!AG102:AG105))</f>
        <v>0</v>
      </c>
      <c r="DJ96" s="50">
        <f>IF($AN96="N","N",SUM('調查資料(OUT)'!AK102:AK105))</f>
        <v>0</v>
      </c>
      <c r="DK96" s="56" t="e">
        <f t="shared" si="417"/>
        <v>#DIV/0!</v>
      </c>
      <c r="DL96" s="50">
        <f t="shared" si="418"/>
        <v>0</v>
      </c>
      <c r="DM96" s="56" t="e">
        <f t="shared" si="419"/>
        <v>#DIV/0!</v>
      </c>
      <c r="DN96" s="50">
        <f t="shared" si="420"/>
        <v>0</v>
      </c>
      <c r="DO96" s="56" t="e">
        <f t="shared" si="421"/>
        <v>#DIV/0!</v>
      </c>
      <c r="DP96" s="50">
        <f t="shared" si="422"/>
        <v>0</v>
      </c>
      <c r="DQ96" s="56" t="e">
        <f t="shared" si="423"/>
        <v>#DIV/0!</v>
      </c>
      <c r="DR96" s="50">
        <f t="shared" si="424"/>
        <v>0</v>
      </c>
      <c r="DS96" s="50">
        <f t="shared" si="425"/>
        <v>0</v>
      </c>
      <c r="DT96" s="50">
        <f>IF($AN96="N","N",SUM('調查資料(OUT)'!AL102:AL105))</f>
        <v>0</v>
      </c>
      <c r="DU96" s="50">
        <f>IF($AN96="N","N",SUM('調查資料(OUT)'!AP102:AP105))</f>
        <v>0</v>
      </c>
      <c r="DV96" s="50">
        <f>IF($AN96="N","N",SUM('調查資料(OUT)'!AT102:AT105))</f>
        <v>0</v>
      </c>
      <c r="DW96" s="56" t="e">
        <f t="shared" si="426"/>
        <v>#DIV/0!</v>
      </c>
      <c r="DX96" s="50">
        <f t="shared" si="427"/>
        <v>0</v>
      </c>
      <c r="DY96" s="50">
        <f>IF($AN96="N","N",SUM('調查資料(OUT)'!AM102:AM105))</f>
        <v>0</v>
      </c>
      <c r="DZ96" s="50">
        <f>IF($AN96="N","N",SUM('調查資料(OUT)'!AQ102:AQ105))</f>
        <v>0</v>
      </c>
      <c r="EA96" s="50">
        <f>IF($AN96="N","N",SUM('調查資料(OUT)'!AU102:AU105))</f>
        <v>0</v>
      </c>
      <c r="EB96" s="56" t="e">
        <f t="shared" si="428"/>
        <v>#DIV/0!</v>
      </c>
      <c r="EC96" s="50">
        <f t="shared" si="429"/>
        <v>0</v>
      </c>
      <c r="ED96" s="50">
        <f>IF($AN96="N","N",SUM('調查資料(OUT)'!AN102:AN105))</f>
        <v>0</v>
      </c>
      <c r="EE96" s="50">
        <f>IF($AN96="N","N",SUM('調查資料(OUT)'!AR102:AR105))</f>
        <v>0</v>
      </c>
      <c r="EF96" s="50">
        <f>IF($AN96="N","N",SUM('調查資料(OUT)'!AV102:AV105))</f>
        <v>0</v>
      </c>
      <c r="EG96" s="56" t="e">
        <f t="shared" si="430"/>
        <v>#DIV/0!</v>
      </c>
      <c r="EH96" s="50">
        <f t="shared" si="431"/>
        <v>0</v>
      </c>
      <c r="EI96" s="50">
        <f>IF($AN96="N","N",SUM('調查資料(OUT)'!AO102:AO105))</f>
        <v>0</v>
      </c>
      <c r="EJ96" s="50">
        <f>IF($AN96="N","N",SUM('調查資料(OUT)'!AS102:AS105))</f>
        <v>0</v>
      </c>
      <c r="EK96" s="50">
        <f>IF($AN96="N","N",SUM('調查資料(OUT)'!AW102:AW105))</f>
        <v>0</v>
      </c>
      <c r="EL96" s="56" t="e">
        <f t="shared" si="432"/>
        <v>#DIV/0!</v>
      </c>
      <c r="EM96" s="50">
        <f t="shared" si="433"/>
        <v>0</v>
      </c>
      <c r="EN96" s="56" t="e">
        <f t="shared" si="434"/>
        <v>#DIV/0!</v>
      </c>
      <c r="EO96" s="50">
        <f t="shared" si="435"/>
        <v>0</v>
      </c>
      <c r="EP96" s="56" t="e">
        <f t="shared" si="436"/>
        <v>#DIV/0!</v>
      </c>
      <c r="EQ96" s="50">
        <f t="shared" si="437"/>
        <v>0</v>
      </c>
      <c r="ER96" s="56" t="e">
        <f t="shared" si="438"/>
        <v>#DIV/0!</v>
      </c>
      <c r="ES96" s="50">
        <f t="shared" si="439"/>
        <v>0</v>
      </c>
      <c r="ET96" s="50">
        <f t="shared" si="440"/>
        <v>0</v>
      </c>
      <c r="EU96" s="50">
        <f>IF($AN96="N","N",SUM('調查資料(OUT)'!AX102:AX105))</f>
        <v>0</v>
      </c>
      <c r="EV96" s="50">
        <f>IF($AN96="N","N",SUM('調查資料(OUT)'!BB102:BB105))</f>
        <v>0</v>
      </c>
      <c r="EW96" s="50">
        <f>IF($AN96="N","N",SUM('調查資料(OUT)'!BF102:BF105))</f>
        <v>0</v>
      </c>
      <c r="EX96" s="56" t="e">
        <f t="shared" si="441"/>
        <v>#DIV/0!</v>
      </c>
      <c r="EY96" s="50">
        <f t="shared" si="442"/>
        <v>0</v>
      </c>
      <c r="EZ96" s="50">
        <f>IF($AN96="N","N",SUM('調查資料(OUT)'!AY102:AY105))</f>
        <v>0</v>
      </c>
      <c r="FA96" s="50">
        <f>IF($AN96="N","N",SUM('調查資料(OUT)'!BC102:BC105))</f>
        <v>0</v>
      </c>
      <c r="FB96" s="50">
        <f>IF($AN96="N","N",SUM('調查資料(OUT)'!BG102:BG105))</f>
        <v>0</v>
      </c>
      <c r="FC96" s="56" t="e">
        <f t="shared" si="443"/>
        <v>#DIV/0!</v>
      </c>
      <c r="FD96" s="50">
        <f t="shared" si="444"/>
        <v>0</v>
      </c>
      <c r="FE96" s="50">
        <f>IF($AN96="N","N",SUM('調查資料(OUT)'!AZ102:AZ105))</f>
        <v>0</v>
      </c>
      <c r="FF96" s="50">
        <f>IF($AN96="N","N",SUM('調查資料(OUT)'!BD102:BD105))</f>
        <v>0</v>
      </c>
      <c r="FG96" s="50">
        <f>IF($AN96="N","N",SUM('調查資料(OUT)'!BH102:BH105))</f>
        <v>0</v>
      </c>
      <c r="FH96" s="56" t="e">
        <f t="shared" si="445"/>
        <v>#DIV/0!</v>
      </c>
      <c r="FI96" s="50">
        <f t="shared" si="446"/>
        <v>0</v>
      </c>
      <c r="FJ96" s="50">
        <f>IF($AN96="N","N",SUM('調查資料(OUT)'!BA102:BA105))</f>
        <v>0</v>
      </c>
      <c r="FK96" s="50">
        <f>IF($AN96="N","N",SUM('調查資料(OUT)'!BE102:BE105))</f>
        <v>0</v>
      </c>
      <c r="FL96" s="50">
        <f>IF($AN96="N","N",SUM('調查資料(OUT)'!BI102:BI105))</f>
        <v>0</v>
      </c>
      <c r="FM96" s="56" t="e">
        <f t="shared" si="447"/>
        <v>#DIV/0!</v>
      </c>
      <c r="FN96" s="50">
        <f t="shared" si="448"/>
        <v>0</v>
      </c>
      <c r="FO96" s="56" t="e">
        <f t="shared" si="449"/>
        <v>#DIV/0!</v>
      </c>
      <c r="FP96" s="50">
        <f t="shared" si="450"/>
        <v>0</v>
      </c>
      <c r="FQ96" s="56" t="e">
        <f t="shared" si="451"/>
        <v>#DIV/0!</v>
      </c>
      <c r="FR96" s="50">
        <f t="shared" si="452"/>
        <v>0</v>
      </c>
      <c r="FS96" s="56" t="e">
        <f t="shared" si="453"/>
        <v>#DIV/0!</v>
      </c>
      <c r="FT96" s="50">
        <f t="shared" si="454"/>
        <v>0</v>
      </c>
    </row>
    <row r="97" spans="1:176">
      <c r="A97" s="274">
        <f>'調查資料(OUT)'!A103</f>
        <v>2300</v>
      </c>
      <c r="B97" s="50">
        <f t="shared" si="372"/>
        <v>0</v>
      </c>
      <c r="C97" s="50">
        <f>IFERROR('調查資料(OUT)'!$B$1*'調查資料(OUT)'!B103,0)+IFERROR('調查資料(OUT)'!$F$1*'調查資料(OUT)'!F103,0)+IFERROR('調查資料(OUT)'!$J$1*'調查資料(OUT)'!J103,0)</f>
        <v>0</v>
      </c>
      <c r="D97" s="50">
        <f>IFERROR('調查資料(OUT)'!$C$1*'調查資料(OUT)'!C103,0)+IFERROR('調查資料(OUT)'!$G$1*'調查資料(OUT)'!G103,0)+IFERROR('調查資料(OUT)'!$K$1*'調查資料(OUT)'!K103,0)</f>
        <v>0</v>
      </c>
      <c r="E97" s="50">
        <f>IFERROR('調查資料(OUT)'!$D$1*'調查資料(OUT)'!D103,0)+IFERROR('調查資料(OUT)'!$H$1*'調查資料(OUT)'!H103,0)+IFERROR('調查資料(OUT)'!$L$1*'調查資料(OUT)'!L103,0)</f>
        <v>0</v>
      </c>
      <c r="F97" s="252">
        <f>IFERROR('調查資料(OUT)'!$E$1*'調查資料(OUT)'!E103,0)+IFERROR('調查資料(OUT)'!$I$1*'調查資料(OUT)'!I103,0)+IFERROR('調查資料(OUT)'!$M$1*'調查資料(OUT)'!M103,0)</f>
        <v>0</v>
      </c>
      <c r="G97" s="50">
        <f t="shared" si="373"/>
        <v>0</v>
      </c>
      <c r="H97" s="50">
        <f>IFERROR('調查資料(OUT)'!$N$1*'調查資料(OUT)'!N103,0)+IFERROR('調查資料(OUT)'!$R$1*'調查資料(OUT)'!R103,0)+IFERROR('調查資料(OUT)'!$V$1*'調查資料(OUT)'!V103,0)</f>
        <v>0</v>
      </c>
      <c r="I97" s="50">
        <f>IFERROR('調查資料(OUT)'!$O$1*'調查資料(OUT)'!O103,0)+IFERROR('調查資料(OUT)'!$S$1*'調查資料(OUT)'!S103,0)+IFERROR('調查資料(OUT)'!$W$1*'調查資料(OUT)'!W103,0)</f>
        <v>0</v>
      </c>
      <c r="J97" s="50">
        <f>IFERROR('調查資料(OUT)'!$P$1*'調查資料(OUT)'!P103,0)+IFERROR('調查資料(OUT)'!$T$1*'調查資料(OUT)'!T103,0)+IFERROR('調查資料(OUT)'!$X$1*'調查資料(OUT)'!X103,0)</f>
        <v>0</v>
      </c>
      <c r="K97" s="252">
        <f>IFERROR('調查資料(OUT)'!$Q$1*'調查資料(OUT)'!Q103,0)+IFERROR('調查資料(OUT)'!$U$1*'調查資料(OUT)'!U103,0)+IFERROR('調查資料(OUT)'!$Y$1*'調查資料(OUT)'!Y103,0)</f>
        <v>0</v>
      </c>
      <c r="L97" s="50">
        <f t="shared" si="374"/>
        <v>0</v>
      </c>
      <c r="M97" s="50">
        <f>IFERROR('調查資料(OUT)'!$Z$1*'調查資料(OUT)'!Z103,0)+IFERROR('調查資料(OUT)'!$AD$1*'調查資料(OUT)'!AD103,0)+IFERROR('調查資料(OUT)'!$AH$1*'調查資料(OUT)'!AH103,0)</f>
        <v>0</v>
      </c>
      <c r="N97" s="50">
        <f>IFERROR('調查資料(OUT)'!$AA$1*'調查資料(OUT)'!AA103,0)+IFERROR('調查資料(OUT)'!$AE$1*'調查資料(OUT)'!AE103,0)+IFERROR('調查資料(OUT)'!$AI$1*'調查資料(OUT)'!AI103,0)</f>
        <v>0</v>
      </c>
      <c r="O97" s="50">
        <f>IFERROR('調查資料(OUT)'!$AB$1*'調查資料(OUT)'!AB103,0)+IFERROR('調查資料(OUT)'!$AF$1*'調查資料(OUT)'!AF103,0)+IFERROR('調查資料(OUT)'!$AJ$1*'調查資料(OUT)'!AJ103,0)</f>
        <v>0</v>
      </c>
      <c r="P97" s="252">
        <f>IFERROR('調查資料(OUT)'!$AC$1*'調查資料(OUT)'!AC103,0)+IFERROR('調查資料(OUT)'!$AG$1*'調查資料(OUT)'!AG103,0)+IFERROR('調查資料(OUT)'!$AK$1*'調查資料(OUT)'!AK103,0)</f>
        <v>0</v>
      </c>
      <c r="Q97" s="50">
        <f t="shared" si="375"/>
        <v>0</v>
      </c>
      <c r="R97" s="50">
        <f>IFERROR('調查資料(OUT)'!$AL$1*'調查資料(OUT)'!AL103,0)+IFERROR('調查資料(OUT)'!$AP$1*'調查資料(OUT)'!AP103,0)+IFERROR('調查資料(OUT)'!$AT$1*'調查資料(OUT)'!AT103,0)</f>
        <v>0</v>
      </c>
      <c r="S97" s="50">
        <f>IFERROR('調查資料(OUT)'!$AM$1*'調查資料(OUT)'!AM103,0)+IFERROR('調查資料(OUT)'!$AQ$1*'調查資料(OUT)'!AQ103,0)+IFERROR('調查資料(OUT)'!$AU$1*'調查資料(OUT)'!AU103,0)</f>
        <v>0</v>
      </c>
      <c r="T97" s="50">
        <f>IFERROR('調查資料(OUT)'!$AN$1*'調查資料(OUT)'!AN103,0)+IFERROR('調查資料(OUT)'!$AR$1*'調查資料(OUT)'!AR103,0)+IFERROR('調查資料(OUT)'!$AV$1*'調查資料(OUT)'!AV103,0)</f>
        <v>0</v>
      </c>
      <c r="U97" s="252">
        <f>IFERROR('調查資料(OUT)'!$AO$1*'調查資料(OUT)'!AO103,0)+IFERROR('調查資料(OUT)'!$AS$1*'調查資料(OUT)'!AS103,0)+IFERROR('調查資料(OUT)'!$AW$1*'調查資料(OUT)'!AW103,0)</f>
        <v>0</v>
      </c>
      <c r="V97" s="50">
        <f t="shared" si="376"/>
        <v>0</v>
      </c>
      <c r="W97" s="50">
        <f>IFERROR('調查資料(OUT)'!$AX$1*'調查資料(OUT)'!AX103,0)+IFERROR('調查資料(OUT)'!$BB$1*'調查資料(OUT)'!BB103,0)+IFERROR('調查資料(OUT)'!$BF$1*'調查資料(OUT)'!BF103,0)</f>
        <v>0</v>
      </c>
      <c r="X97" s="50">
        <f>IFERROR('調查資料(OUT)'!$AY$1*'調查資料(OUT)'!AY103,0)+IFERROR('調查資料(OUT)'!$BC$1*'調查資料(OUT)'!BC103,0)+IFERROR('調查資料(OUT)'!$BG$1*'調查資料(OUT)'!BG103,0)</f>
        <v>0</v>
      </c>
      <c r="Y97" s="50">
        <f>IFERROR('調查資料(OUT)'!$AZ$1*'調查資料(OUT)'!AZ103,0)+IFERROR('調查資料(OUT)'!$BD$1*'調查資料(OUT)'!BD103,0)+IFERROR('調查資料(OUT)'!$BH$1*'調查資料(OUT)'!BH103,0)</f>
        <v>0</v>
      </c>
      <c r="Z97" s="252">
        <f>IFERROR('調查資料(OUT)'!$BA$1*'調查資料(OUT)'!BA103,0)+IFERROR('調查資料(OUT)'!$BE$1*'調查資料(OUT)'!BE103,0)+IFERROR('調查資料(OUT)'!$BI$1*'調查資料(OUT)'!BI103,0)</f>
        <v>0</v>
      </c>
      <c r="AA97" s="253">
        <f t="shared" si="377"/>
        <v>0</v>
      </c>
      <c r="AC97" s="351">
        <f>'調查資料(OUT)'!A103</f>
        <v>2300</v>
      </c>
      <c r="AD97" s="375">
        <f t="shared" si="378"/>
        <v>2400</v>
      </c>
      <c r="AE97" s="343">
        <f t="shared" si="379"/>
        <v>0</v>
      </c>
      <c r="AF97" s="376"/>
      <c r="AG97" s="343">
        <f t="shared" si="364"/>
        <v>0</v>
      </c>
      <c r="AH97" s="256" t="e">
        <f t="shared" si="371"/>
        <v>#DIV/0!</v>
      </c>
      <c r="AI97" s="256" t="e">
        <f t="shared" si="365"/>
        <v>#DIV/0!</v>
      </c>
      <c r="AJ97" s="256" t="e">
        <f t="shared" si="366"/>
        <v>#DIV/0!</v>
      </c>
      <c r="AK97" s="256" t="e">
        <f t="shared" si="367"/>
        <v>#DIV/0!</v>
      </c>
      <c r="AL97" s="256" t="e">
        <f t="shared" si="368"/>
        <v>#DIV/0!</v>
      </c>
      <c r="AM97" s="376"/>
      <c r="AN97" s="50">
        <f t="shared" si="369"/>
        <v>2300</v>
      </c>
      <c r="AO97" s="252">
        <f t="shared" si="370"/>
        <v>2400</v>
      </c>
      <c r="AP97" s="50">
        <f t="shared" si="380"/>
        <v>0</v>
      </c>
      <c r="AQ97" s="50">
        <f>IF($AN97="N","N",SUM('調查資料(OUT)'!B103:B106))</f>
        <v>0</v>
      </c>
      <c r="AR97" s="50">
        <f>IF($AN97="N","N",SUM('調查資料(OUT)'!F103:F106))</f>
        <v>0</v>
      </c>
      <c r="AS97" s="50">
        <f>IF($AN97="N","N",SUM('調查資料(OUT)'!J103:J106))</f>
        <v>0</v>
      </c>
      <c r="AT97" s="56" t="e">
        <f>IF($AN97="N","N",(AP97/$BP97)*100)</f>
        <v>#DIV/0!</v>
      </c>
      <c r="AU97" s="50">
        <f t="shared" si="382"/>
        <v>0</v>
      </c>
      <c r="AV97" s="50">
        <f>IF($AN97="N","N",SUM('調查資料(OUT)'!C103:C106))</f>
        <v>0</v>
      </c>
      <c r="AW97" s="50">
        <f>IF($AN97="N","N",SUM('調查資料(OUT)'!G103:G106))</f>
        <v>0</v>
      </c>
      <c r="AX97" s="50">
        <f>IF($AN97="N","N",SUM('調查資料(OUT)'!K103:K106))</f>
        <v>0</v>
      </c>
      <c r="AY97" s="56" t="e">
        <f t="shared" si="383"/>
        <v>#DIV/0!</v>
      </c>
      <c r="AZ97" s="50">
        <f t="shared" si="384"/>
        <v>0</v>
      </c>
      <c r="BA97" s="50">
        <f>IF($AN97="N","N",SUM('調查資料(OUT)'!D103:D106))</f>
        <v>0</v>
      </c>
      <c r="BB97" s="50">
        <f>IF($AN97="N","N",SUM('調查資料(OUT)'!H103:H106))</f>
        <v>0</v>
      </c>
      <c r="BC97" s="50">
        <f>IF($AN97="N","N",SUM('調查資料(OUT)'!L103:L106))</f>
        <v>0</v>
      </c>
      <c r="BD97" s="56" t="e">
        <f t="shared" si="385"/>
        <v>#DIV/0!</v>
      </c>
      <c r="BE97" s="50">
        <f t="shared" si="386"/>
        <v>0</v>
      </c>
      <c r="BF97" s="50">
        <f>IF($AN97="N","N",SUM('調查資料(OUT)'!E103:E106))</f>
        <v>0</v>
      </c>
      <c r="BG97" s="50">
        <f>IF($AN97="N","N",SUM('調查資料(OUT)'!I103:I106))</f>
        <v>0</v>
      </c>
      <c r="BH97" s="50">
        <f>IF($AN97="N","N",SUM('調查資料(OUT)'!M103:M106))</f>
        <v>0</v>
      </c>
      <c r="BI97" s="56" t="e">
        <f t="shared" si="387"/>
        <v>#DIV/0!</v>
      </c>
      <c r="BJ97" s="50">
        <f t="shared" si="388"/>
        <v>0</v>
      </c>
      <c r="BK97" s="56" t="e">
        <f t="shared" si="389"/>
        <v>#DIV/0!</v>
      </c>
      <c r="BL97" s="50">
        <f t="shared" si="390"/>
        <v>0</v>
      </c>
      <c r="BM97" s="56" t="e">
        <f t="shared" si="391"/>
        <v>#DIV/0!</v>
      </c>
      <c r="BN97" s="50">
        <f t="shared" si="392"/>
        <v>0</v>
      </c>
      <c r="BO97" s="56" t="e">
        <f t="shared" si="393"/>
        <v>#DIV/0!</v>
      </c>
      <c r="BP97" s="50">
        <f t="shared" si="394"/>
        <v>0</v>
      </c>
      <c r="BQ97" s="50">
        <f t="shared" si="395"/>
        <v>0</v>
      </c>
      <c r="BR97" s="50">
        <f>IF($AN97="N","N",SUM('調查資料(OUT)'!N103:N106))</f>
        <v>0</v>
      </c>
      <c r="BS97" s="50">
        <f>IF($AN97="N","N",SUM('調查資料(OUT)'!R103:R106))</f>
        <v>0</v>
      </c>
      <c r="BT97" s="50">
        <f>IF($AN97="N","N",SUM('調查資料(OUT)'!V103:V106))</f>
        <v>0</v>
      </c>
      <c r="BU97" s="56" t="e">
        <f t="shared" si="396"/>
        <v>#DIV/0!</v>
      </c>
      <c r="BV97" s="50">
        <f t="shared" si="397"/>
        <v>0</v>
      </c>
      <c r="BW97" s="50">
        <f>IF($AN97="N","N",SUM('調查資料(OUT)'!O103:O106))</f>
        <v>0</v>
      </c>
      <c r="BX97" s="50">
        <f>IF($AN97="N","N",SUM('調查資料(OUT)'!S103:S106))</f>
        <v>0</v>
      </c>
      <c r="BY97" s="50">
        <f>IF($AN97="N","N",SUM('調查資料(OUT)'!W103:W106))</f>
        <v>0</v>
      </c>
      <c r="BZ97" s="56" t="e">
        <f t="shared" si="398"/>
        <v>#DIV/0!</v>
      </c>
      <c r="CA97" s="50">
        <f t="shared" si="399"/>
        <v>0</v>
      </c>
      <c r="CB97" s="50">
        <f>IF($AN97="N","N",SUM('調查資料(OUT)'!P103:P106))</f>
        <v>0</v>
      </c>
      <c r="CC97" s="50">
        <f>IF($AN97="N","N",SUM('調查資料(OUT)'!T103:T106))</f>
        <v>0</v>
      </c>
      <c r="CD97" s="50">
        <f>IF($AN97="N","N",SUM('調查資料(OUT)'!X103:X106))</f>
        <v>0</v>
      </c>
      <c r="CE97" s="56" t="e">
        <f t="shared" si="400"/>
        <v>#DIV/0!</v>
      </c>
      <c r="CF97" s="50">
        <f t="shared" si="401"/>
        <v>0</v>
      </c>
      <c r="CG97" s="50">
        <f>IF($AN97="N","N",SUM('調查資料(OUT)'!Q103:Q106))</f>
        <v>0</v>
      </c>
      <c r="CH97" s="50">
        <f>IF($AN97="N","N",SUM('調查資料(OUT)'!U103:U106))</f>
        <v>0</v>
      </c>
      <c r="CI97" s="50">
        <f>IF($AN97="N","N",SUM('調查資料(OUT)'!Y103:Y106))</f>
        <v>0</v>
      </c>
      <c r="CJ97" s="56" t="e">
        <f t="shared" si="402"/>
        <v>#DIV/0!</v>
      </c>
      <c r="CK97" s="50">
        <f t="shared" si="403"/>
        <v>0</v>
      </c>
      <c r="CL97" s="56" t="e">
        <f t="shared" si="404"/>
        <v>#DIV/0!</v>
      </c>
      <c r="CM97" s="50">
        <f t="shared" si="405"/>
        <v>0</v>
      </c>
      <c r="CN97" s="56" t="e">
        <f t="shared" si="406"/>
        <v>#DIV/0!</v>
      </c>
      <c r="CO97" s="50">
        <f t="shared" si="407"/>
        <v>0</v>
      </c>
      <c r="CP97" s="56" t="e">
        <f t="shared" si="408"/>
        <v>#DIV/0!</v>
      </c>
      <c r="CQ97" s="50">
        <f t="shared" si="409"/>
        <v>0</v>
      </c>
      <c r="CR97" s="50">
        <f t="shared" si="410"/>
        <v>0</v>
      </c>
      <c r="CS97" s="50">
        <f>IF($AN97="N","N",SUM('調查資料(OUT)'!Z103:Z106))</f>
        <v>0</v>
      </c>
      <c r="CT97" s="50">
        <f>IF($AN97="N","N",SUM('調查資料(OUT)'!AD103:AD106))</f>
        <v>0</v>
      </c>
      <c r="CU97" s="50">
        <f>IF($AN97="N","N",SUM('調查資料(OUT)'!AH103:AH106))</f>
        <v>0</v>
      </c>
      <c r="CV97" s="56" t="e">
        <f t="shared" si="411"/>
        <v>#DIV/0!</v>
      </c>
      <c r="CW97" s="50">
        <f t="shared" si="412"/>
        <v>0</v>
      </c>
      <c r="CX97" s="50">
        <f>IF($AN97="N","N",SUM('調查資料(OUT)'!AA103:AA106))</f>
        <v>0</v>
      </c>
      <c r="CY97" s="50">
        <f>IF($AN97="N","N",SUM('調查資料(OUT)'!AE103:AE106))</f>
        <v>0</v>
      </c>
      <c r="CZ97" s="50">
        <f>IF($AN97="N","N",SUM('調查資料(OUT)'!AI103:AI106))</f>
        <v>0</v>
      </c>
      <c r="DA97" s="56" t="e">
        <f t="shared" si="413"/>
        <v>#DIV/0!</v>
      </c>
      <c r="DB97" s="50">
        <f t="shared" si="414"/>
        <v>0</v>
      </c>
      <c r="DC97" s="50">
        <f>IF($AN97="N","N",SUM('調查資料(OUT)'!AB103:AB106))</f>
        <v>0</v>
      </c>
      <c r="DD97" s="50">
        <f>IF($AN97="N","N",SUM('調查資料(OUT)'!AF103:AF106))</f>
        <v>0</v>
      </c>
      <c r="DE97" s="50">
        <f>IF($AN97="N","N",SUM('調查資料(OUT)'!AJ103:AJ106))</f>
        <v>0</v>
      </c>
      <c r="DF97" s="56" t="e">
        <f t="shared" si="415"/>
        <v>#DIV/0!</v>
      </c>
      <c r="DG97" s="50">
        <f t="shared" si="416"/>
        <v>0</v>
      </c>
      <c r="DH97" s="50">
        <f>IF($AN97="N","N",SUM('調查資料(OUT)'!AC103:AC106))</f>
        <v>0</v>
      </c>
      <c r="DI97" s="50">
        <f>IF($AN97="N","N",SUM('調查資料(OUT)'!AG103:AG106))</f>
        <v>0</v>
      </c>
      <c r="DJ97" s="50">
        <f>IF($AN97="N","N",SUM('調查資料(OUT)'!AK103:AK106))</f>
        <v>0</v>
      </c>
      <c r="DK97" s="56" t="e">
        <f t="shared" si="417"/>
        <v>#DIV/0!</v>
      </c>
      <c r="DL97" s="50">
        <f t="shared" si="418"/>
        <v>0</v>
      </c>
      <c r="DM97" s="56" t="e">
        <f t="shared" si="419"/>
        <v>#DIV/0!</v>
      </c>
      <c r="DN97" s="50">
        <f t="shared" si="420"/>
        <v>0</v>
      </c>
      <c r="DO97" s="56" t="e">
        <f t="shared" si="421"/>
        <v>#DIV/0!</v>
      </c>
      <c r="DP97" s="50">
        <f t="shared" si="422"/>
        <v>0</v>
      </c>
      <c r="DQ97" s="56" t="e">
        <f t="shared" si="423"/>
        <v>#DIV/0!</v>
      </c>
      <c r="DR97" s="50">
        <f t="shared" si="424"/>
        <v>0</v>
      </c>
      <c r="DS97" s="50">
        <f t="shared" si="425"/>
        <v>0</v>
      </c>
      <c r="DT97" s="50">
        <f>IF($AN97="N","N",SUM('調查資料(OUT)'!AL103:AL106))</f>
        <v>0</v>
      </c>
      <c r="DU97" s="50">
        <f>IF($AN97="N","N",SUM('調查資料(OUT)'!AP103:AP106))</f>
        <v>0</v>
      </c>
      <c r="DV97" s="50">
        <f>IF($AN97="N","N",SUM('調查資料(OUT)'!AT103:AT106))</f>
        <v>0</v>
      </c>
      <c r="DW97" s="56" t="e">
        <f t="shared" si="426"/>
        <v>#DIV/0!</v>
      </c>
      <c r="DX97" s="50">
        <f t="shared" si="427"/>
        <v>0</v>
      </c>
      <c r="DY97" s="50">
        <f>IF($AN97="N","N",SUM('調查資料(OUT)'!AM103:AM106))</f>
        <v>0</v>
      </c>
      <c r="DZ97" s="50">
        <f>IF($AN97="N","N",SUM('調查資料(OUT)'!AQ103:AQ106))</f>
        <v>0</v>
      </c>
      <c r="EA97" s="50">
        <f>IF($AN97="N","N",SUM('調查資料(OUT)'!AU103:AU106))</f>
        <v>0</v>
      </c>
      <c r="EB97" s="56" t="e">
        <f t="shared" si="428"/>
        <v>#DIV/0!</v>
      </c>
      <c r="EC97" s="50">
        <f t="shared" si="429"/>
        <v>0</v>
      </c>
      <c r="ED97" s="50">
        <f>IF($AN97="N","N",SUM('調查資料(OUT)'!AN103:AN106))</f>
        <v>0</v>
      </c>
      <c r="EE97" s="50">
        <f>IF($AN97="N","N",SUM('調查資料(OUT)'!AR103:AR106))</f>
        <v>0</v>
      </c>
      <c r="EF97" s="50">
        <f>IF($AN97="N","N",SUM('調查資料(OUT)'!AV103:AV106))</f>
        <v>0</v>
      </c>
      <c r="EG97" s="56" t="e">
        <f t="shared" si="430"/>
        <v>#DIV/0!</v>
      </c>
      <c r="EH97" s="50">
        <f t="shared" si="431"/>
        <v>0</v>
      </c>
      <c r="EI97" s="50">
        <f>IF($AN97="N","N",SUM('調查資料(OUT)'!AO103:AO106))</f>
        <v>0</v>
      </c>
      <c r="EJ97" s="50">
        <f>IF($AN97="N","N",SUM('調查資料(OUT)'!AS103:AS106))</f>
        <v>0</v>
      </c>
      <c r="EK97" s="50">
        <f>IF($AN97="N","N",SUM('調查資料(OUT)'!AW103:AW106))</f>
        <v>0</v>
      </c>
      <c r="EL97" s="56" t="e">
        <f t="shared" si="432"/>
        <v>#DIV/0!</v>
      </c>
      <c r="EM97" s="50">
        <f t="shared" si="433"/>
        <v>0</v>
      </c>
      <c r="EN97" s="56" t="e">
        <f t="shared" si="434"/>
        <v>#DIV/0!</v>
      </c>
      <c r="EO97" s="50">
        <f t="shared" si="435"/>
        <v>0</v>
      </c>
      <c r="EP97" s="56" t="e">
        <f t="shared" si="436"/>
        <v>#DIV/0!</v>
      </c>
      <c r="EQ97" s="50">
        <f t="shared" si="437"/>
        <v>0</v>
      </c>
      <c r="ER97" s="56" t="e">
        <f t="shared" si="438"/>
        <v>#DIV/0!</v>
      </c>
      <c r="ES97" s="50">
        <f t="shared" si="439"/>
        <v>0</v>
      </c>
      <c r="ET97" s="50">
        <f t="shared" si="440"/>
        <v>0</v>
      </c>
      <c r="EU97" s="50">
        <f>IF($AN97="N","N",SUM('調查資料(OUT)'!AX103:AX106))</f>
        <v>0</v>
      </c>
      <c r="EV97" s="50">
        <f>IF($AN97="N","N",SUM('調查資料(OUT)'!BB103:BB106))</f>
        <v>0</v>
      </c>
      <c r="EW97" s="50">
        <f>IF($AN97="N","N",SUM('調查資料(OUT)'!BF103:BF106))</f>
        <v>0</v>
      </c>
      <c r="EX97" s="56" t="e">
        <f t="shared" si="441"/>
        <v>#DIV/0!</v>
      </c>
      <c r="EY97" s="50">
        <f t="shared" si="442"/>
        <v>0</v>
      </c>
      <c r="EZ97" s="50">
        <f>IF($AN97="N","N",SUM('調查資料(OUT)'!AY103:AY106))</f>
        <v>0</v>
      </c>
      <c r="FA97" s="50">
        <f>IF($AN97="N","N",SUM('調查資料(OUT)'!BC103:BC106))</f>
        <v>0</v>
      </c>
      <c r="FB97" s="50">
        <f>IF($AN97="N","N",SUM('調查資料(OUT)'!BG103:BG106))</f>
        <v>0</v>
      </c>
      <c r="FC97" s="56" t="e">
        <f t="shared" si="443"/>
        <v>#DIV/0!</v>
      </c>
      <c r="FD97" s="50">
        <f t="shared" si="444"/>
        <v>0</v>
      </c>
      <c r="FE97" s="50">
        <f>IF($AN97="N","N",SUM('調查資料(OUT)'!AZ103:AZ106))</f>
        <v>0</v>
      </c>
      <c r="FF97" s="50">
        <f>IF($AN97="N","N",SUM('調查資料(OUT)'!BD103:BD106))</f>
        <v>0</v>
      </c>
      <c r="FG97" s="50">
        <f>IF($AN97="N","N",SUM('調查資料(OUT)'!BH103:BH106))</f>
        <v>0</v>
      </c>
      <c r="FH97" s="56" t="e">
        <f t="shared" si="445"/>
        <v>#DIV/0!</v>
      </c>
      <c r="FI97" s="50">
        <f t="shared" si="446"/>
        <v>0</v>
      </c>
      <c r="FJ97" s="50">
        <f>IF($AN97="N","N",SUM('調查資料(OUT)'!BA103:BA106))</f>
        <v>0</v>
      </c>
      <c r="FK97" s="50">
        <f>IF($AN97="N","N",SUM('調查資料(OUT)'!BE103:BE106))</f>
        <v>0</v>
      </c>
      <c r="FL97" s="50">
        <f>IF($AN97="N","N",SUM('調查資料(OUT)'!BI103:BI106))</f>
        <v>0</v>
      </c>
      <c r="FM97" s="56" t="e">
        <f t="shared" si="447"/>
        <v>#DIV/0!</v>
      </c>
      <c r="FN97" s="50">
        <f t="shared" si="448"/>
        <v>0</v>
      </c>
      <c r="FO97" s="56" t="e">
        <f t="shared" si="449"/>
        <v>#DIV/0!</v>
      </c>
      <c r="FP97" s="50">
        <f t="shared" si="450"/>
        <v>0</v>
      </c>
      <c r="FQ97" s="56" t="e">
        <f t="shared" si="451"/>
        <v>#DIV/0!</v>
      </c>
      <c r="FR97" s="50">
        <f t="shared" si="452"/>
        <v>0</v>
      </c>
      <c r="FS97" s="56" t="e">
        <f t="shared" si="453"/>
        <v>#DIV/0!</v>
      </c>
      <c r="FT97" s="50">
        <f t="shared" si="454"/>
        <v>0</v>
      </c>
    </row>
    <row r="98" spans="1:176">
      <c r="A98" s="274">
        <f>'調查資料(OUT)'!A104</f>
        <v>2315</v>
      </c>
      <c r="B98" s="50">
        <f t="shared" si="372"/>
        <v>0</v>
      </c>
      <c r="C98" s="50">
        <f>IFERROR('調查資料(OUT)'!$B$1*'調查資料(OUT)'!B104,0)+IFERROR('調查資料(OUT)'!$F$1*'調查資料(OUT)'!F104,0)+IFERROR('調查資料(OUT)'!$J$1*'調查資料(OUT)'!J104,0)</f>
        <v>0</v>
      </c>
      <c r="D98" s="50">
        <f>IFERROR('調查資料(OUT)'!$C$1*'調查資料(OUT)'!C104,0)+IFERROR('調查資料(OUT)'!$G$1*'調查資料(OUT)'!G104,0)+IFERROR('調查資料(OUT)'!$K$1*'調查資料(OUT)'!K104,0)</f>
        <v>0</v>
      </c>
      <c r="E98" s="50">
        <f>IFERROR('調查資料(OUT)'!$D$1*'調查資料(OUT)'!D104,0)+IFERROR('調查資料(OUT)'!$H$1*'調查資料(OUT)'!H104,0)+IFERROR('調查資料(OUT)'!$L$1*'調查資料(OUT)'!L104,0)</f>
        <v>0</v>
      </c>
      <c r="F98" s="252">
        <f>IFERROR('調查資料(OUT)'!$E$1*'調查資料(OUT)'!E104,0)+IFERROR('調查資料(OUT)'!$I$1*'調查資料(OUT)'!I104,0)+IFERROR('調查資料(OUT)'!$M$1*'調查資料(OUT)'!M104,0)</f>
        <v>0</v>
      </c>
      <c r="G98" s="50">
        <f t="shared" si="373"/>
        <v>0</v>
      </c>
      <c r="H98" s="50">
        <f>IFERROR('調查資料(OUT)'!$N$1*'調查資料(OUT)'!N104,0)+IFERROR('調查資料(OUT)'!$R$1*'調查資料(OUT)'!R104,0)+IFERROR('調查資料(OUT)'!$V$1*'調查資料(OUT)'!V104,0)</f>
        <v>0</v>
      </c>
      <c r="I98" s="50">
        <f>IFERROR('調查資料(OUT)'!$O$1*'調查資料(OUT)'!O104,0)+IFERROR('調查資料(OUT)'!$S$1*'調查資料(OUT)'!S104,0)+IFERROR('調查資料(OUT)'!$W$1*'調查資料(OUT)'!W104,0)</f>
        <v>0</v>
      </c>
      <c r="J98" s="50">
        <f>IFERROR('調查資料(OUT)'!$P$1*'調查資料(OUT)'!P104,0)+IFERROR('調查資料(OUT)'!$T$1*'調查資料(OUT)'!T104,0)+IFERROR('調查資料(OUT)'!$X$1*'調查資料(OUT)'!X104,0)</f>
        <v>0</v>
      </c>
      <c r="K98" s="252">
        <f>IFERROR('調查資料(OUT)'!$Q$1*'調查資料(OUT)'!Q104,0)+IFERROR('調查資料(OUT)'!$U$1*'調查資料(OUT)'!U104,0)+IFERROR('調查資料(OUT)'!$Y$1*'調查資料(OUT)'!Y104,0)</f>
        <v>0</v>
      </c>
      <c r="L98" s="50">
        <f t="shared" si="374"/>
        <v>0</v>
      </c>
      <c r="M98" s="50">
        <f>IFERROR('調查資料(OUT)'!$Z$1*'調查資料(OUT)'!Z104,0)+IFERROR('調查資料(OUT)'!$AD$1*'調查資料(OUT)'!AD104,0)+IFERROR('調查資料(OUT)'!$AH$1*'調查資料(OUT)'!AH104,0)</f>
        <v>0</v>
      </c>
      <c r="N98" s="50">
        <f>IFERROR('調查資料(OUT)'!$AA$1*'調查資料(OUT)'!AA104,0)+IFERROR('調查資料(OUT)'!$AE$1*'調查資料(OUT)'!AE104,0)+IFERROR('調查資料(OUT)'!$AI$1*'調查資料(OUT)'!AI104,0)</f>
        <v>0</v>
      </c>
      <c r="O98" s="50">
        <f>IFERROR('調查資料(OUT)'!$AB$1*'調查資料(OUT)'!AB104,0)+IFERROR('調查資料(OUT)'!$AF$1*'調查資料(OUT)'!AF104,0)+IFERROR('調查資料(OUT)'!$AJ$1*'調查資料(OUT)'!AJ104,0)</f>
        <v>0</v>
      </c>
      <c r="P98" s="252">
        <f>IFERROR('調查資料(OUT)'!$AC$1*'調查資料(OUT)'!AC104,0)+IFERROR('調查資料(OUT)'!$AG$1*'調查資料(OUT)'!AG104,0)+IFERROR('調查資料(OUT)'!$AK$1*'調查資料(OUT)'!AK104,0)</f>
        <v>0</v>
      </c>
      <c r="Q98" s="50">
        <f t="shared" si="375"/>
        <v>0</v>
      </c>
      <c r="R98" s="50">
        <f>IFERROR('調查資料(OUT)'!$AL$1*'調查資料(OUT)'!AL104,0)+IFERROR('調查資料(OUT)'!$AP$1*'調查資料(OUT)'!AP104,0)+IFERROR('調查資料(OUT)'!$AT$1*'調查資料(OUT)'!AT104,0)</f>
        <v>0</v>
      </c>
      <c r="S98" s="50">
        <f>IFERROR('調查資料(OUT)'!$AM$1*'調查資料(OUT)'!AM104,0)+IFERROR('調查資料(OUT)'!$AQ$1*'調查資料(OUT)'!AQ104,0)+IFERROR('調查資料(OUT)'!$AU$1*'調查資料(OUT)'!AU104,0)</f>
        <v>0</v>
      </c>
      <c r="T98" s="50">
        <f>IFERROR('調查資料(OUT)'!$AN$1*'調查資料(OUT)'!AN104,0)+IFERROR('調查資料(OUT)'!$AR$1*'調查資料(OUT)'!AR104,0)+IFERROR('調查資料(OUT)'!$AV$1*'調查資料(OUT)'!AV104,0)</f>
        <v>0</v>
      </c>
      <c r="U98" s="252">
        <f>IFERROR('調查資料(OUT)'!$AO$1*'調查資料(OUT)'!AO104,0)+IFERROR('調查資料(OUT)'!$AS$1*'調查資料(OUT)'!AS104,0)+IFERROR('調查資料(OUT)'!$AW$1*'調查資料(OUT)'!AW104,0)</f>
        <v>0</v>
      </c>
      <c r="V98" s="50">
        <f t="shared" si="376"/>
        <v>0</v>
      </c>
      <c r="W98" s="50">
        <f>IFERROR('調查資料(OUT)'!$AX$1*'調查資料(OUT)'!AX104,0)+IFERROR('調查資料(OUT)'!$BB$1*'調查資料(OUT)'!BB104,0)+IFERROR('調查資料(OUT)'!$BF$1*'調查資料(OUT)'!BF104,0)</f>
        <v>0</v>
      </c>
      <c r="X98" s="50">
        <f>IFERROR('調查資料(OUT)'!$AY$1*'調查資料(OUT)'!AY104,0)+IFERROR('調查資料(OUT)'!$BC$1*'調查資料(OUT)'!BC104,0)+IFERROR('調查資料(OUT)'!$BG$1*'調查資料(OUT)'!BG104,0)</f>
        <v>0</v>
      </c>
      <c r="Y98" s="50">
        <f>IFERROR('調查資料(OUT)'!$AZ$1*'調查資料(OUT)'!AZ104,0)+IFERROR('調查資料(OUT)'!$BD$1*'調查資料(OUT)'!BD104,0)+IFERROR('調查資料(OUT)'!$BH$1*'調查資料(OUT)'!BH104,0)</f>
        <v>0</v>
      </c>
      <c r="Z98" s="252">
        <f>IFERROR('調查資料(OUT)'!$BA$1*'調查資料(OUT)'!BA104,0)+IFERROR('調查資料(OUT)'!$BE$1*'調查資料(OUT)'!BE104,0)+IFERROR('調查資料(OUT)'!$BI$1*'調查資料(OUT)'!BI104,0)</f>
        <v>0</v>
      </c>
      <c r="AA98" s="253">
        <f t="shared" si="377"/>
        <v>0</v>
      </c>
      <c r="AH98" s="378" t="e">
        <f>MAX(AH41:AH53)</f>
        <v>#DIV/0!</v>
      </c>
      <c r="AI98" s="379" t="e">
        <f>MAX(AI41:AI53)</f>
        <v>#DIV/0!</v>
      </c>
      <c r="AJ98" s="379" t="e">
        <f>MAX(AJ41:AJ53)</f>
        <v>#DIV/0!</v>
      </c>
      <c r="AK98" s="379" t="e">
        <f>MAX(AK41:AK53)</f>
        <v>#DIV/0!</v>
      </c>
      <c r="AL98" s="379" t="e">
        <f>MAX(AL41:AL53)</f>
        <v>#DIV/0!</v>
      </c>
      <c r="AM98" s="380" t="s">
        <v>67</v>
      </c>
      <c r="AN98" s="381">
        <f>MAX(AN41:AN53)</f>
        <v>1200</v>
      </c>
      <c r="AO98" s="384">
        <f>MAX(AO41:AO53)</f>
        <v>1300</v>
      </c>
      <c r="AP98" s="337">
        <f>MAX(AP41:AP53)</f>
        <v>0</v>
      </c>
      <c r="AQ98" s="337">
        <f t="shared" ref="AQ98:AS98" si="455">MAX(AQ41:AQ53)</f>
        <v>0</v>
      </c>
      <c r="AR98" s="337">
        <f t="shared" si="455"/>
        <v>0</v>
      </c>
      <c r="AS98" s="337">
        <f t="shared" si="455"/>
        <v>0</v>
      </c>
      <c r="AT98" s="337" t="e">
        <f t="shared" ref="AT98:DB98" si="456">MAX(AT41:AT53)</f>
        <v>#DIV/0!</v>
      </c>
      <c r="AU98" s="337">
        <f t="shared" si="456"/>
        <v>0</v>
      </c>
      <c r="AV98" s="337">
        <f t="shared" si="456"/>
        <v>0</v>
      </c>
      <c r="AW98" s="337">
        <f t="shared" si="456"/>
        <v>0</v>
      </c>
      <c r="AX98" s="337">
        <f t="shared" si="456"/>
        <v>0</v>
      </c>
      <c r="AY98" s="337" t="e">
        <f>MAX(AY41:AY53)</f>
        <v>#DIV/0!</v>
      </c>
      <c r="AZ98" s="337">
        <f t="shared" si="456"/>
        <v>0</v>
      </c>
      <c r="BA98" s="337">
        <f t="shared" si="456"/>
        <v>0</v>
      </c>
      <c r="BB98" s="337">
        <f t="shared" si="456"/>
        <v>0</v>
      </c>
      <c r="BC98" s="337">
        <f t="shared" si="456"/>
        <v>0</v>
      </c>
      <c r="BD98" s="337" t="e">
        <f t="shared" si="456"/>
        <v>#DIV/0!</v>
      </c>
      <c r="BE98" s="337">
        <f t="shared" si="456"/>
        <v>0</v>
      </c>
      <c r="BF98" s="337">
        <f t="shared" si="456"/>
        <v>0</v>
      </c>
      <c r="BG98" s="337">
        <f t="shared" si="456"/>
        <v>0</v>
      </c>
      <c r="BH98" s="337">
        <f t="shared" si="456"/>
        <v>0</v>
      </c>
      <c r="BI98" s="337" t="e">
        <f t="shared" si="456"/>
        <v>#DIV/0!</v>
      </c>
      <c r="BJ98" s="337">
        <f t="shared" si="456"/>
        <v>0</v>
      </c>
      <c r="BK98" s="337" t="e">
        <f t="shared" si="456"/>
        <v>#DIV/0!</v>
      </c>
      <c r="BL98" s="337">
        <f t="shared" si="456"/>
        <v>0</v>
      </c>
      <c r="BM98" s="337" t="e">
        <f t="shared" si="456"/>
        <v>#DIV/0!</v>
      </c>
      <c r="BN98" s="337">
        <f t="shared" si="456"/>
        <v>0</v>
      </c>
      <c r="BO98" s="337" t="e">
        <f t="shared" si="456"/>
        <v>#DIV/0!</v>
      </c>
      <c r="BP98" s="337">
        <f t="shared" si="456"/>
        <v>0</v>
      </c>
      <c r="BQ98" s="345">
        <f t="shared" si="456"/>
        <v>0</v>
      </c>
      <c r="BR98" s="337">
        <f t="shared" si="456"/>
        <v>0</v>
      </c>
      <c r="BS98" s="337">
        <f t="shared" si="456"/>
        <v>0</v>
      </c>
      <c r="BT98" s="337">
        <f t="shared" si="456"/>
        <v>0</v>
      </c>
      <c r="BU98" s="337" t="e">
        <f t="shared" si="456"/>
        <v>#DIV/0!</v>
      </c>
      <c r="BV98" s="337">
        <f t="shared" si="456"/>
        <v>0</v>
      </c>
      <c r="BW98" s="337">
        <f t="shared" si="456"/>
        <v>0</v>
      </c>
      <c r="BX98" s="337">
        <f t="shared" si="456"/>
        <v>0</v>
      </c>
      <c r="BY98" s="337">
        <f t="shared" si="456"/>
        <v>0</v>
      </c>
      <c r="BZ98" s="337" t="e">
        <f t="shared" si="456"/>
        <v>#DIV/0!</v>
      </c>
      <c r="CA98" s="337">
        <f t="shared" si="456"/>
        <v>0</v>
      </c>
      <c r="CB98" s="337">
        <f t="shared" si="456"/>
        <v>0</v>
      </c>
      <c r="CC98" s="337">
        <f t="shared" si="456"/>
        <v>0</v>
      </c>
      <c r="CD98" s="337">
        <f t="shared" si="456"/>
        <v>0</v>
      </c>
      <c r="CE98" s="337" t="e">
        <f t="shared" si="456"/>
        <v>#DIV/0!</v>
      </c>
      <c r="CF98" s="337">
        <f t="shared" si="456"/>
        <v>0</v>
      </c>
      <c r="CG98" s="337">
        <f t="shared" si="456"/>
        <v>0</v>
      </c>
      <c r="CH98" s="337">
        <f t="shared" si="456"/>
        <v>0</v>
      </c>
      <c r="CI98" s="337">
        <f t="shared" si="456"/>
        <v>0</v>
      </c>
      <c r="CJ98" s="337" t="e">
        <f t="shared" si="456"/>
        <v>#DIV/0!</v>
      </c>
      <c r="CK98" s="337">
        <f t="shared" si="456"/>
        <v>0</v>
      </c>
      <c r="CL98" s="337" t="e">
        <f t="shared" si="456"/>
        <v>#DIV/0!</v>
      </c>
      <c r="CM98" s="337">
        <f t="shared" si="456"/>
        <v>0</v>
      </c>
      <c r="CN98" s="337" t="e">
        <f t="shared" si="456"/>
        <v>#DIV/0!</v>
      </c>
      <c r="CO98" s="337">
        <f t="shared" si="456"/>
        <v>0</v>
      </c>
      <c r="CP98" s="337" t="e">
        <f t="shared" si="456"/>
        <v>#DIV/0!</v>
      </c>
      <c r="CQ98" s="338">
        <f t="shared" si="456"/>
        <v>0</v>
      </c>
      <c r="CR98" s="345">
        <f t="shared" si="456"/>
        <v>0</v>
      </c>
      <c r="CS98" s="337">
        <f t="shared" si="456"/>
        <v>0</v>
      </c>
      <c r="CT98" s="337">
        <f t="shared" si="456"/>
        <v>0</v>
      </c>
      <c r="CU98" s="337">
        <f t="shared" si="456"/>
        <v>0</v>
      </c>
      <c r="CV98" s="337" t="e">
        <f t="shared" si="456"/>
        <v>#DIV/0!</v>
      </c>
      <c r="CW98" s="337">
        <f t="shared" si="456"/>
        <v>0</v>
      </c>
      <c r="CX98" s="337">
        <f t="shared" si="456"/>
        <v>0</v>
      </c>
      <c r="CY98" s="337">
        <f t="shared" si="456"/>
        <v>0</v>
      </c>
      <c r="CZ98" s="337">
        <f t="shared" si="456"/>
        <v>0</v>
      </c>
      <c r="DA98" s="337" t="e">
        <f t="shared" si="456"/>
        <v>#DIV/0!</v>
      </c>
      <c r="DB98" s="337">
        <f t="shared" si="456"/>
        <v>0</v>
      </c>
      <c r="DC98" s="337">
        <f t="shared" ref="DC98:FN98" si="457">MAX(DC41:DC53)</f>
        <v>0</v>
      </c>
      <c r="DD98" s="337">
        <f t="shared" si="457"/>
        <v>0</v>
      </c>
      <c r="DE98" s="337">
        <f t="shared" si="457"/>
        <v>0</v>
      </c>
      <c r="DF98" s="337" t="e">
        <f t="shared" si="457"/>
        <v>#DIV/0!</v>
      </c>
      <c r="DG98" s="337">
        <f t="shared" si="457"/>
        <v>0</v>
      </c>
      <c r="DH98" s="337">
        <f t="shared" si="457"/>
        <v>0</v>
      </c>
      <c r="DI98" s="337">
        <f t="shared" si="457"/>
        <v>0</v>
      </c>
      <c r="DJ98" s="337">
        <f t="shared" si="457"/>
        <v>0</v>
      </c>
      <c r="DK98" s="337" t="e">
        <f t="shared" si="457"/>
        <v>#DIV/0!</v>
      </c>
      <c r="DL98" s="337">
        <f t="shared" si="457"/>
        <v>0</v>
      </c>
      <c r="DM98" s="337" t="e">
        <f t="shared" si="457"/>
        <v>#DIV/0!</v>
      </c>
      <c r="DN98" s="337">
        <f t="shared" si="457"/>
        <v>0</v>
      </c>
      <c r="DO98" s="337" t="e">
        <f t="shared" si="457"/>
        <v>#DIV/0!</v>
      </c>
      <c r="DP98" s="337">
        <f t="shared" si="457"/>
        <v>0</v>
      </c>
      <c r="DQ98" s="337" t="e">
        <f t="shared" si="457"/>
        <v>#DIV/0!</v>
      </c>
      <c r="DR98" s="338">
        <f t="shared" si="457"/>
        <v>0</v>
      </c>
      <c r="DS98" s="337">
        <f t="shared" si="457"/>
        <v>0</v>
      </c>
      <c r="DT98" s="337">
        <f t="shared" si="457"/>
        <v>0</v>
      </c>
      <c r="DU98" s="337">
        <f t="shared" si="457"/>
        <v>0</v>
      </c>
      <c r="DV98" s="337">
        <f t="shared" si="457"/>
        <v>0</v>
      </c>
      <c r="DW98" s="337" t="e">
        <f t="shared" si="457"/>
        <v>#DIV/0!</v>
      </c>
      <c r="DX98" s="337">
        <f t="shared" si="457"/>
        <v>0</v>
      </c>
      <c r="DY98" s="337">
        <f t="shared" si="457"/>
        <v>0</v>
      </c>
      <c r="DZ98" s="337">
        <f t="shared" si="457"/>
        <v>0</v>
      </c>
      <c r="EA98" s="337">
        <f t="shared" si="457"/>
        <v>0</v>
      </c>
      <c r="EB98" s="337" t="e">
        <f t="shared" si="457"/>
        <v>#DIV/0!</v>
      </c>
      <c r="EC98" s="337">
        <f t="shared" si="457"/>
        <v>0</v>
      </c>
      <c r="ED98" s="337">
        <f t="shared" si="457"/>
        <v>0</v>
      </c>
      <c r="EE98" s="337">
        <f t="shared" si="457"/>
        <v>0</v>
      </c>
      <c r="EF98" s="337">
        <f t="shared" si="457"/>
        <v>0</v>
      </c>
      <c r="EG98" s="337" t="e">
        <f t="shared" si="457"/>
        <v>#DIV/0!</v>
      </c>
      <c r="EH98" s="337">
        <f t="shared" si="457"/>
        <v>0</v>
      </c>
      <c r="EI98" s="337">
        <f t="shared" si="457"/>
        <v>0</v>
      </c>
      <c r="EJ98" s="337">
        <f t="shared" si="457"/>
        <v>0</v>
      </c>
      <c r="EK98" s="337">
        <f t="shared" si="457"/>
        <v>0</v>
      </c>
      <c r="EL98" s="337" t="e">
        <f t="shared" si="457"/>
        <v>#DIV/0!</v>
      </c>
      <c r="EM98" s="337">
        <f t="shared" si="457"/>
        <v>0</v>
      </c>
      <c r="EN98" s="337" t="e">
        <f t="shared" si="457"/>
        <v>#DIV/0!</v>
      </c>
      <c r="EO98" s="337">
        <f t="shared" si="457"/>
        <v>0</v>
      </c>
      <c r="EP98" s="337" t="e">
        <f t="shared" si="457"/>
        <v>#DIV/0!</v>
      </c>
      <c r="EQ98" s="337">
        <f t="shared" si="457"/>
        <v>0</v>
      </c>
      <c r="ER98" s="337" t="e">
        <f t="shared" si="457"/>
        <v>#DIV/0!</v>
      </c>
      <c r="ES98" s="337">
        <f t="shared" si="457"/>
        <v>0</v>
      </c>
      <c r="ET98" s="337">
        <f t="shared" si="457"/>
        <v>0</v>
      </c>
      <c r="EU98" s="337">
        <f t="shared" si="457"/>
        <v>0</v>
      </c>
      <c r="EV98" s="337">
        <f t="shared" si="457"/>
        <v>0</v>
      </c>
      <c r="EW98" s="337">
        <f t="shared" si="457"/>
        <v>0</v>
      </c>
      <c r="EX98" s="337" t="e">
        <f t="shared" si="457"/>
        <v>#DIV/0!</v>
      </c>
      <c r="EY98" s="337">
        <f t="shared" si="457"/>
        <v>0</v>
      </c>
      <c r="EZ98" s="337">
        <f t="shared" si="457"/>
        <v>0</v>
      </c>
      <c r="FA98" s="337">
        <f t="shared" si="457"/>
        <v>0</v>
      </c>
      <c r="FB98" s="337">
        <f t="shared" si="457"/>
        <v>0</v>
      </c>
      <c r="FC98" s="337" t="e">
        <f t="shared" si="457"/>
        <v>#DIV/0!</v>
      </c>
      <c r="FD98" s="337">
        <f t="shared" si="457"/>
        <v>0</v>
      </c>
      <c r="FE98" s="337">
        <f t="shared" si="457"/>
        <v>0</v>
      </c>
      <c r="FF98" s="337">
        <f t="shared" si="457"/>
        <v>0</v>
      </c>
      <c r="FG98" s="337">
        <f t="shared" si="457"/>
        <v>0</v>
      </c>
      <c r="FH98" s="337" t="e">
        <f t="shared" si="457"/>
        <v>#DIV/0!</v>
      </c>
      <c r="FI98" s="337">
        <f t="shared" si="457"/>
        <v>0</v>
      </c>
      <c r="FJ98" s="337">
        <f t="shared" si="457"/>
        <v>0</v>
      </c>
      <c r="FK98" s="337">
        <f t="shared" si="457"/>
        <v>0</v>
      </c>
      <c r="FL98" s="337">
        <f t="shared" si="457"/>
        <v>0</v>
      </c>
      <c r="FM98" s="337" t="e">
        <f t="shared" si="457"/>
        <v>#DIV/0!</v>
      </c>
      <c r="FN98" s="337">
        <f t="shared" si="457"/>
        <v>0</v>
      </c>
      <c r="FO98" s="337" t="e">
        <f t="shared" ref="FO98:FS98" si="458">MAX(FO41:FO53)</f>
        <v>#DIV/0!</v>
      </c>
      <c r="FP98" s="337">
        <f t="shared" si="458"/>
        <v>0</v>
      </c>
      <c r="FQ98" s="337" t="e">
        <f t="shared" si="458"/>
        <v>#DIV/0!</v>
      </c>
      <c r="FR98" s="337">
        <f t="shared" si="458"/>
        <v>0</v>
      </c>
      <c r="FS98" s="337" t="e">
        <f t="shared" si="458"/>
        <v>#DIV/0!</v>
      </c>
      <c r="FT98" s="338">
        <f>MAX(FT41:FT53)</f>
        <v>0</v>
      </c>
    </row>
    <row r="99" spans="1:176">
      <c r="A99" s="274">
        <f>'調查資料(OUT)'!A105</f>
        <v>2330</v>
      </c>
      <c r="B99" s="50">
        <f t="shared" si="372"/>
        <v>0</v>
      </c>
      <c r="C99" s="50">
        <f>IFERROR('調查資料(OUT)'!$B$1*'調查資料(OUT)'!B105,0)+IFERROR('調查資料(OUT)'!$F$1*'調查資料(OUT)'!F105,0)+IFERROR('調查資料(OUT)'!$J$1*'調查資料(OUT)'!J105,0)</f>
        <v>0</v>
      </c>
      <c r="D99" s="50">
        <f>IFERROR('調查資料(OUT)'!$C$1*'調查資料(OUT)'!C105,0)+IFERROR('調查資料(OUT)'!$G$1*'調查資料(OUT)'!G105,0)+IFERROR('調查資料(OUT)'!$K$1*'調查資料(OUT)'!K105,0)</f>
        <v>0</v>
      </c>
      <c r="E99" s="50">
        <f>IFERROR('調查資料(OUT)'!$D$1*'調查資料(OUT)'!D105,0)+IFERROR('調查資料(OUT)'!$H$1*'調查資料(OUT)'!H105,0)+IFERROR('調查資料(OUT)'!$L$1*'調查資料(OUT)'!L105,0)</f>
        <v>0</v>
      </c>
      <c r="F99" s="252">
        <f>IFERROR('調查資料(OUT)'!$E$1*'調查資料(OUT)'!E105,0)+IFERROR('調查資料(OUT)'!$I$1*'調查資料(OUT)'!I105,0)+IFERROR('調查資料(OUT)'!$M$1*'調查資料(OUT)'!M105,0)</f>
        <v>0</v>
      </c>
      <c r="G99" s="50">
        <f t="shared" si="373"/>
        <v>0</v>
      </c>
      <c r="H99" s="50">
        <f>IFERROR('調查資料(OUT)'!$N$1*'調查資料(OUT)'!N105,0)+IFERROR('調查資料(OUT)'!$R$1*'調查資料(OUT)'!R105,0)+IFERROR('調查資料(OUT)'!$V$1*'調查資料(OUT)'!V105,0)</f>
        <v>0</v>
      </c>
      <c r="I99" s="50">
        <f>IFERROR('調查資料(OUT)'!$O$1*'調查資料(OUT)'!O105,0)+IFERROR('調查資料(OUT)'!$S$1*'調查資料(OUT)'!S105,0)+IFERROR('調查資料(OUT)'!$W$1*'調查資料(OUT)'!W105,0)</f>
        <v>0</v>
      </c>
      <c r="J99" s="50">
        <f>IFERROR('調查資料(OUT)'!$P$1*'調查資料(OUT)'!P105,0)+IFERROR('調查資料(OUT)'!$T$1*'調查資料(OUT)'!T105,0)+IFERROR('調查資料(OUT)'!$X$1*'調查資料(OUT)'!X105,0)</f>
        <v>0</v>
      </c>
      <c r="K99" s="252">
        <f>IFERROR('調查資料(OUT)'!$Q$1*'調查資料(OUT)'!Q105,0)+IFERROR('調查資料(OUT)'!$U$1*'調查資料(OUT)'!U105,0)+IFERROR('調查資料(OUT)'!$Y$1*'調查資料(OUT)'!Y105,0)</f>
        <v>0</v>
      </c>
      <c r="L99" s="50">
        <f t="shared" si="374"/>
        <v>0</v>
      </c>
      <c r="M99" s="50">
        <f>IFERROR('調查資料(OUT)'!$Z$1*'調查資料(OUT)'!Z105,0)+IFERROR('調查資料(OUT)'!$AD$1*'調查資料(OUT)'!AD105,0)+IFERROR('調查資料(OUT)'!$AH$1*'調查資料(OUT)'!AH105,0)</f>
        <v>0</v>
      </c>
      <c r="N99" s="50">
        <f>IFERROR('調查資料(OUT)'!$AA$1*'調查資料(OUT)'!AA105,0)+IFERROR('調查資料(OUT)'!$AE$1*'調查資料(OUT)'!AE105,0)+IFERROR('調查資料(OUT)'!$AI$1*'調查資料(OUT)'!AI105,0)</f>
        <v>0</v>
      </c>
      <c r="O99" s="50">
        <f>IFERROR('調查資料(OUT)'!$AB$1*'調查資料(OUT)'!AB105,0)+IFERROR('調查資料(OUT)'!$AF$1*'調查資料(OUT)'!AF105,0)+IFERROR('調查資料(OUT)'!$AJ$1*'調查資料(OUT)'!AJ105,0)</f>
        <v>0</v>
      </c>
      <c r="P99" s="252">
        <f>IFERROR('調查資料(OUT)'!$AC$1*'調查資料(OUT)'!AC105,0)+IFERROR('調查資料(OUT)'!$AG$1*'調查資料(OUT)'!AG105,0)+IFERROR('調查資料(OUT)'!$AK$1*'調查資料(OUT)'!AK105,0)</f>
        <v>0</v>
      </c>
      <c r="Q99" s="50">
        <f t="shared" si="375"/>
        <v>0</v>
      </c>
      <c r="R99" s="50">
        <f>IFERROR('調查資料(OUT)'!$AL$1*'調查資料(OUT)'!AL105,0)+IFERROR('調查資料(OUT)'!$AP$1*'調查資料(OUT)'!AP105,0)+IFERROR('調查資料(OUT)'!$AT$1*'調查資料(OUT)'!AT105,0)</f>
        <v>0</v>
      </c>
      <c r="S99" s="50">
        <f>IFERROR('調查資料(OUT)'!$AM$1*'調查資料(OUT)'!AM105,0)+IFERROR('調查資料(OUT)'!$AQ$1*'調查資料(OUT)'!AQ105,0)+IFERROR('調查資料(OUT)'!$AU$1*'調查資料(OUT)'!AU105,0)</f>
        <v>0</v>
      </c>
      <c r="T99" s="50">
        <f>IFERROR('調查資料(OUT)'!$AN$1*'調查資料(OUT)'!AN105,0)+IFERROR('調查資料(OUT)'!$AR$1*'調查資料(OUT)'!AR105,0)+IFERROR('調查資料(OUT)'!$AV$1*'調查資料(OUT)'!AV105,0)</f>
        <v>0</v>
      </c>
      <c r="U99" s="252">
        <f>IFERROR('調查資料(OUT)'!$AO$1*'調查資料(OUT)'!AO105,0)+IFERROR('調查資料(OUT)'!$AS$1*'調查資料(OUT)'!AS105,0)+IFERROR('調查資料(OUT)'!$AW$1*'調查資料(OUT)'!AW105,0)</f>
        <v>0</v>
      </c>
      <c r="V99" s="50">
        <f t="shared" si="376"/>
        <v>0</v>
      </c>
      <c r="W99" s="50">
        <f>IFERROR('調查資料(OUT)'!$AX$1*'調查資料(OUT)'!AX105,0)+IFERROR('調查資料(OUT)'!$BB$1*'調查資料(OUT)'!BB105,0)+IFERROR('調查資料(OUT)'!$BF$1*'調查資料(OUT)'!BF105,0)</f>
        <v>0</v>
      </c>
      <c r="X99" s="50">
        <f>IFERROR('調查資料(OUT)'!$AY$1*'調查資料(OUT)'!AY105,0)+IFERROR('調查資料(OUT)'!$BC$1*'調查資料(OUT)'!BC105,0)+IFERROR('調查資料(OUT)'!$BG$1*'調查資料(OUT)'!BG105,0)</f>
        <v>0</v>
      </c>
      <c r="Y99" s="50">
        <f>IFERROR('調查資料(OUT)'!$AZ$1*'調查資料(OUT)'!AZ105,0)+IFERROR('調查資料(OUT)'!$BD$1*'調查資料(OUT)'!BD105,0)+IFERROR('調查資料(OUT)'!$BH$1*'調查資料(OUT)'!BH105,0)</f>
        <v>0</v>
      </c>
      <c r="Z99" s="252">
        <f>IFERROR('調查資料(OUT)'!$BA$1*'調查資料(OUT)'!BA105,0)+IFERROR('調查資料(OUT)'!$BE$1*'調查資料(OUT)'!BE105,0)+IFERROR('調查資料(OUT)'!$BI$1*'調查資料(OUT)'!BI105,0)</f>
        <v>0</v>
      </c>
      <c r="AA99" s="253">
        <f t="shared" si="377"/>
        <v>0</v>
      </c>
      <c r="AH99" s="339" t="e">
        <f>MAX(AH57:AH65)</f>
        <v>#DIV/0!</v>
      </c>
      <c r="AI99" s="256" t="e">
        <f>MAX(AI57:AI65)</f>
        <v>#DIV/0!</v>
      </c>
      <c r="AJ99" s="256" t="e">
        <f>MAX(AJ57:AJ65)</f>
        <v>#DIV/0!</v>
      </c>
      <c r="AK99" s="256" t="e">
        <f>MAX(AK57:AK65)</f>
        <v>#DIV/0!</v>
      </c>
      <c r="AL99" s="256" t="e">
        <f>MAX(AL57:AL65)</f>
        <v>#DIV/0!</v>
      </c>
      <c r="AM99" s="382" t="s">
        <v>175</v>
      </c>
      <c r="AN99" s="383">
        <f>MAX(AN57:AN65)</f>
        <v>1500</v>
      </c>
      <c r="AO99" s="385">
        <f>MAX(AO57:AO65)</f>
        <v>1600</v>
      </c>
      <c r="AP99" s="50">
        <f>MAX(AP57:AP65)</f>
        <v>0</v>
      </c>
      <c r="AQ99" s="50">
        <f t="shared" ref="AQ99:AS99" si="459">MAX(AQ57:AQ65)</f>
        <v>0</v>
      </c>
      <c r="AR99" s="50">
        <f t="shared" si="459"/>
        <v>0</v>
      </c>
      <c r="AS99" s="50">
        <f t="shared" si="459"/>
        <v>0</v>
      </c>
      <c r="AT99" s="50" t="e">
        <f t="shared" ref="AT99:DB99" si="460">MAX(AT57:AT65)</f>
        <v>#DIV/0!</v>
      </c>
      <c r="AU99" s="50">
        <f t="shared" si="460"/>
        <v>0</v>
      </c>
      <c r="AV99" s="50">
        <f t="shared" si="460"/>
        <v>0</v>
      </c>
      <c r="AW99" s="50">
        <f t="shared" si="460"/>
        <v>0</v>
      </c>
      <c r="AX99" s="50">
        <f t="shared" si="460"/>
        <v>0</v>
      </c>
      <c r="AY99" s="50" t="e">
        <f>MAX(AY57:AY65)</f>
        <v>#DIV/0!</v>
      </c>
      <c r="AZ99" s="50">
        <f t="shared" si="460"/>
        <v>0</v>
      </c>
      <c r="BA99" s="50">
        <f t="shared" si="460"/>
        <v>0</v>
      </c>
      <c r="BB99" s="50">
        <f t="shared" si="460"/>
        <v>0</v>
      </c>
      <c r="BC99" s="50">
        <f t="shared" si="460"/>
        <v>0</v>
      </c>
      <c r="BD99" s="50" t="e">
        <f t="shared" si="460"/>
        <v>#DIV/0!</v>
      </c>
      <c r="BE99" s="50">
        <f t="shared" si="460"/>
        <v>0</v>
      </c>
      <c r="BF99" s="50">
        <f t="shared" si="460"/>
        <v>0</v>
      </c>
      <c r="BG99" s="50">
        <f t="shared" si="460"/>
        <v>0</v>
      </c>
      <c r="BH99" s="50">
        <f t="shared" si="460"/>
        <v>0</v>
      </c>
      <c r="BI99" s="50" t="e">
        <f t="shared" si="460"/>
        <v>#DIV/0!</v>
      </c>
      <c r="BJ99" s="50">
        <f t="shared" si="460"/>
        <v>0</v>
      </c>
      <c r="BK99" s="50" t="e">
        <f t="shared" si="460"/>
        <v>#DIV/0!</v>
      </c>
      <c r="BL99" s="50">
        <f t="shared" si="460"/>
        <v>0</v>
      </c>
      <c r="BM99" s="50" t="e">
        <f t="shared" si="460"/>
        <v>#DIV/0!</v>
      </c>
      <c r="BN99" s="50">
        <f t="shared" si="460"/>
        <v>0</v>
      </c>
      <c r="BO99" s="50" t="e">
        <f t="shared" si="460"/>
        <v>#DIV/0!</v>
      </c>
      <c r="BP99" s="50">
        <f t="shared" si="460"/>
        <v>0</v>
      </c>
      <c r="BQ99" s="251">
        <f t="shared" si="460"/>
        <v>0</v>
      </c>
      <c r="BR99" s="50">
        <f t="shared" si="460"/>
        <v>0</v>
      </c>
      <c r="BS99" s="50">
        <f t="shared" si="460"/>
        <v>0</v>
      </c>
      <c r="BT99" s="50">
        <f t="shared" si="460"/>
        <v>0</v>
      </c>
      <c r="BU99" s="50" t="e">
        <f t="shared" si="460"/>
        <v>#DIV/0!</v>
      </c>
      <c r="BV99" s="50">
        <f t="shared" si="460"/>
        <v>0</v>
      </c>
      <c r="BW99" s="50">
        <f t="shared" si="460"/>
        <v>0</v>
      </c>
      <c r="BX99" s="50">
        <f t="shared" si="460"/>
        <v>0</v>
      </c>
      <c r="BY99" s="50">
        <f t="shared" si="460"/>
        <v>0</v>
      </c>
      <c r="BZ99" s="50" t="e">
        <f t="shared" si="460"/>
        <v>#DIV/0!</v>
      </c>
      <c r="CA99" s="50">
        <f t="shared" si="460"/>
        <v>0</v>
      </c>
      <c r="CB99" s="50">
        <f t="shared" si="460"/>
        <v>0</v>
      </c>
      <c r="CC99" s="50">
        <f t="shared" si="460"/>
        <v>0</v>
      </c>
      <c r="CD99" s="50">
        <f t="shared" si="460"/>
        <v>0</v>
      </c>
      <c r="CE99" s="50" t="e">
        <f t="shared" si="460"/>
        <v>#DIV/0!</v>
      </c>
      <c r="CF99" s="50">
        <f t="shared" si="460"/>
        <v>0</v>
      </c>
      <c r="CG99" s="50">
        <f t="shared" si="460"/>
        <v>0</v>
      </c>
      <c r="CH99" s="50">
        <f t="shared" si="460"/>
        <v>0</v>
      </c>
      <c r="CI99" s="50">
        <f t="shared" si="460"/>
        <v>0</v>
      </c>
      <c r="CJ99" s="50" t="e">
        <f t="shared" si="460"/>
        <v>#DIV/0!</v>
      </c>
      <c r="CK99" s="50">
        <f t="shared" si="460"/>
        <v>0</v>
      </c>
      <c r="CL99" s="50" t="e">
        <f t="shared" si="460"/>
        <v>#DIV/0!</v>
      </c>
      <c r="CM99" s="50">
        <f t="shared" si="460"/>
        <v>0</v>
      </c>
      <c r="CN99" s="50" t="e">
        <f t="shared" si="460"/>
        <v>#DIV/0!</v>
      </c>
      <c r="CO99" s="50">
        <f t="shared" si="460"/>
        <v>0</v>
      </c>
      <c r="CP99" s="50" t="e">
        <f t="shared" si="460"/>
        <v>#DIV/0!</v>
      </c>
      <c r="CQ99" s="252">
        <f t="shared" si="460"/>
        <v>0</v>
      </c>
      <c r="CR99" s="251">
        <f t="shared" si="460"/>
        <v>0</v>
      </c>
      <c r="CS99" s="50">
        <f t="shared" si="460"/>
        <v>0</v>
      </c>
      <c r="CT99" s="50">
        <f t="shared" si="460"/>
        <v>0</v>
      </c>
      <c r="CU99" s="50">
        <f t="shared" si="460"/>
        <v>0</v>
      </c>
      <c r="CV99" s="50" t="e">
        <f t="shared" si="460"/>
        <v>#DIV/0!</v>
      </c>
      <c r="CW99" s="50">
        <f t="shared" si="460"/>
        <v>0</v>
      </c>
      <c r="CX99" s="50">
        <f t="shared" si="460"/>
        <v>0</v>
      </c>
      <c r="CY99" s="50">
        <f t="shared" si="460"/>
        <v>0</v>
      </c>
      <c r="CZ99" s="50">
        <f t="shared" si="460"/>
        <v>0</v>
      </c>
      <c r="DA99" s="50" t="e">
        <f t="shared" si="460"/>
        <v>#DIV/0!</v>
      </c>
      <c r="DB99" s="50">
        <f t="shared" si="460"/>
        <v>0</v>
      </c>
      <c r="DC99" s="50">
        <f t="shared" ref="DC99:FN99" si="461">MAX(DC57:DC65)</f>
        <v>0</v>
      </c>
      <c r="DD99" s="50">
        <f t="shared" si="461"/>
        <v>0</v>
      </c>
      <c r="DE99" s="50">
        <f t="shared" si="461"/>
        <v>0</v>
      </c>
      <c r="DF99" s="50" t="e">
        <f t="shared" si="461"/>
        <v>#DIV/0!</v>
      </c>
      <c r="DG99" s="50">
        <f t="shared" si="461"/>
        <v>0</v>
      </c>
      <c r="DH99" s="50">
        <f t="shared" si="461"/>
        <v>0</v>
      </c>
      <c r="DI99" s="50">
        <f t="shared" si="461"/>
        <v>0</v>
      </c>
      <c r="DJ99" s="50">
        <f t="shared" si="461"/>
        <v>0</v>
      </c>
      <c r="DK99" s="50" t="e">
        <f t="shared" si="461"/>
        <v>#DIV/0!</v>
      </c>
      <c r="DL99" s="50">
        <f t="shared" si="461"/>
        <v>0</v>
      </c>
      <c r="DM99" s="50" t="e">
        <f t="shared" si="461"/>
        <v>#DIV/0!</v>
      </c>
      <c r="DN99" s="50">
        <f t="shared" si="461"/>
        <v>0</v>
      </c>
      <c r="DO99" s="50" t="e">
        <f t="shared" si="461"/>
        <v>#DIV/0!</v>
      </c>
      <c r="DP99" s="50">
        <f t="shared" si="461"/>
        <v>0</v>
      </c>
      <c r="DQ99" s="50" t="e">
        <f t="shared" si="461"/>
        <v>#DIV/0!</v>
      </c>
      <c r="DR99" s="252">
        <f t="shared" si="461"/>
        <v>0</v>
      </c>
      <c r="DS99" s="50">
        <f t="shared" si="461"/>
        <v>0</v>
      </c>
      <c r="DT99" s="50">
        <f t="shared" si="461"/>
        <v>0</v>
      </c>
      <c r="DU99" s="50">
        <f t="shared" si="461"/>
        <v>0</v>
      </c>
      <c r="DV99" s="50">
        <f t="shared" si="461"/>
        <v>0</v>
      </c>
      <c r="DW99" s="50" t="e">
        <f t="shared" si="461"/>
        <v>#DIV/0!</v>
      </c>
      <c r="DX99" s="50">
        <f t="shared" si="461"/>
        <v>0</v>
      </c>
      <c r="DY99" s="50">
        <f t="shared" si="461"/>
        <v>0</v>
      </c>
      <c r="DZ99" s="50">
        <f t="shared" si="461"/>
        <v>0</v>
      </c>
      <c r="EA99" s="50">
        <f t="shared" si="461"/>
        <v>0</v>
      </c>
      <c r="EB99" s="50" t="e">
        <f t="shared" si="461"/>
        <v>#DIV/0!</v>
      </c>
      <c r="EC99" s="50">
        <f t="shared" si="461"/>
        <v>0</v>
      </c>
      <c r="ED99" s="50">
        <f t="shared" si="461"/>
        <v>0</v>
      </c>
      <c r="EE99" s="50">
        <f t="shared" si="461"/>
        <v>0</v>
      </c>
      <c r="EF99" s="50">
        <f t="shared" si="461"/>
        <v>0</v>
      </c>
      <c r="EG99" s="50" t="e">
        <f t="shared" si="461"/>
        <v>#DIV/0!</v>
      </c>
      <c r="EH99" s="50">
        <f t="shared" si="461"/>
        <v>0</v>
      </c>
      <c r="EI99" s="50">
        <f t="shared" si="461"/>
        <v>0</v>
      </c>
      <c r="EJ99" s="50">
        <f t="shared" si="461"/>
        <v>0</v>
      </c>
      <c r="EK99" s="50">
        <f t="shared" si="461"/>
        <v>0</v>
      </c>
      <c r="EL99" s="50" t="e">
        <f t="shared" si="461"/>
        <v>#DIV/0!</v>
      </c>
      <c r="EM99" s="50">
        <f t="shared" si="461"/>
        <v>0</v>
      </c>
      <c r="EN99" s="50" t="e">
        <f t="shared" si="461"/>
        <v>#DIV/0!</v>
      </c>
      <c r="EO99" s="50">
        <f t="shared" si="461"/>
        <v>0</v>
      </c>
      <c r="EP99" s="50" t="e">
        <f t="shared" si="461"/>
        <v>#DIV/0!</v>
      </c>
      <c r="EQ99" s="50">
        <f t="shared" si="461"/>
        <v>0</v>
      </c>
      <c r="ER99" s="50" t="e">
        <f t="shared" si="461"/>
        <v>#DIV/0!</v>
      </c>
      <c r="ES99" s="50">
        <f t="shared" si="461"/>
        <v>0</v>
      </c>
      <c r="ET99" s="50">
        <f t="shared" si="461"/>
        <v>0</v>
      </c>
      <c r="EU99" s="50">
        <f t="shared" si="461"/>
        <v>0</v>
      </c>
      <c r="EV99" s="50">
        <f t="shared" si="461"/>
        <v>0</v>
      </c>
      <c r="EW99" s="50">
        <f t="shared" si="461"/>
        <v>0</v>
      </c>
      <c r="EX99" s="50" t="e">
        <f t="shared" si="461"/>
        <v>#DIV/0!</v>
      </c>
      <c r="EY99" s="50">
        <f t="shared" si="461"/>
        <v>0</v>
      </c>
      <c r="EZ99" s="50">
        <f t="shared" si="461"/>
        <v>0</v>
      </c>
      <c r="FA99" s="50">
        <f t="shared" si="461"/>
        <v>0</v>
      </c>
      <c r="FB99" s="50">
        <f t="shared" si="461"/>
        <v>0</v>
      </c>
      <c r="FC99" s="50" t="e">
        <f t="shared" si="461"/>
        <v>#DIV/0!</v>
      </c>
      <c r="FD99" s="50">
        <f t="shared" si="461"/>
        <v>0</v>
      </c>
      <c r="FE99" s="50">
        <f t="shared" si="461"/>
        <v>0</v>
      </c>
      <c r="FF99" s="50">
        <f t="shared" si="461"/>
        <v>0</v>
      </c>
      <c r="FG99" s="50">
        <f t="shared" si="461"/>
        <v>0</v>
      </c>
      <c r="FH99" s="50" t="e">
        <f t="shared" si="461"/>
        <v>#DIV/0!</v>
      </c>
      <c r="FI99" s="50">
        <f t="shared" si="461"/>
        <v>0</v>
      </c>
      <c r="FJ99" s="50">
        <f t="shared" si="461"/>
        <v>0</v>
      </c>
      <c r="FK99" s="50">
        <f t="shared" si="461"/>
        <v>0</v>
      </c>
      <c r="FL99" s="50">
        <f t="shared" si="461"/>
        <v>0</v>
      </c>
      <c r="FM99" s="50" t="e">
        <f t="shared" si="461"/>
        <v>#DIV/0!</v>
      </c>
      <c r="FN99" s="50">
        <f t="shared" si="461"/>
        <v>0</v>
      </c>
      <c r="FO99" s="50" t="e">
        <f t="shared" ref="FO99:FS99" si="462">MAX(FO57:FO65)</f>
        <v>#DIV/0!</v>
      </c>
      <c r="FP99" s="50">
        <f t="shared" si="462"/>
        <v>0</v>
      </c>
      <c r="FQ99" s="50" t="e">
        <f t="shared" si="462"/>
        <v>#DIV/0!</v>
      </c>
      <c r="FR99" s="50">
        <f t="shared" si="462"/>
        <v>0</v>
      </c>
      <c r="FS99" s="50" t="e">
        <f t="shared" si="462"/>
        <v>#DIV/0!</v>
      </c>
      <c r="FT99" s="252">
        <f>MAX(FT57:FT65)</f>
        <v>0</v>
      </c>
    </row>
    <row r="100" spans="1:176" ht="17.25" thickBot="1">
      <c r="A100" s="275">
        <f>'調查資料(OUT)'!A106</f>
        <v>2345</v>
      </c>
      <c r="B100" s="258">
        <f t="shared" si="372"/>
        <v>0</v>
      </c>
      <c r="C100" s="258">
        <f>IFERROR('調查資料(OUT)'!$B$1*'調查資料(OUT)'!B106,0)+IFERROR('調查資料(OUT)'!$F$1*'調查資料(OUT)'!F106,0)+IFERROR('調查資料(OUT)'!$J$1*'調查資料(OUT)'!J106,0)</f>
        <v>0</v>
      </c>
      <c r="D100" s="258">
        <f>IFERROR('調查資料(OUT)'!$C$1*'調查資料(OUT)'!C106,0)+IFERROR('調查資料(OUT)'!$G$1*'調查資料(OUT)'!G106,0)+IFERROR('調查資料(OUT)'!$K$1*'調查資料(OUT)'!K106,0)</f>
        <v>0</v>
      </c>
      <c r="E100" s="258">
        <f>IFERROR('調查資料(OUT)'!$D$1*'調查資料(OUT)'!D106,0)+IFERROR('調查資料(OUT)'!$H$1*'調查資料(OUT)'!H106,0)+IFERROR('調查資料(OUT)'!$L$1*'調查資料(OUT)'!L106,0)</f>
        <v>0</v>
      </c>
      <c r="F100" s="259">
        <f>IFERROR('調查資料(OUT)'!$E$1*'調查資料(OUT)'!E106,0)+IFERROR('調查資料(OUT)'!$I$1*'調查資料(OUT)'!I106,0)+IFERROR('調查資料(OUT)'!$M$1*'調查資料(OUT)'!M106,0)</f>
        <v>0</v>
      </c>
      <c r="G100" s="258">
        <f t="shared" si="373"/>
        <v>0</v>
      </c>
      <c r="H100" s="258">
        <f>IFERROR('調查資料(OUT)'!$N$1*'調查資料(OUT)'!N106,0)+IFERROR('調查資料(OUT)'!$R$1*'調查資料(OUT)'!R106,0)+IFERROR('調查資料(OUT)'!$V$1*'調查資料(OUT)'!V106,0)</f>
        <v>0</v>
      </c>
      <c r="I100" s="258">
        <f>IFERROR('調查資料(OUT)'!$O$1*'調查資料(OUT)'!O106,0)+IFERROR('調查資料(OUT)'!$S$1*'調查資料(OUT)'!S106,0)+IFERROR('調查資料(OUT)'!$W$1*'調查資料(OUT)'!W106,0)</f>
        <v>0</v>
      </c>
      <c r="J100" s="258">
        <f>IFERROR('調查資料(OUT)'!$P$1*'調查資料(OUT)'!P106,0)+IFERROR('調查資料(OUT)'!$T$1*'調查資料(OUT)'!T106,0)+IFERROR('調查資料(OUT)'!$X$1*'調查資料(OUT)'!X106,0)</f>
        <v>0</v>
      </c>
      <c r="K100" s="259">
        <f>IFERROR('調查資料(OUT)'!$Q$1*'調查資料(OUT)'!Q106,0)+IFERROR('調查資料(OUT)'!$U$1*'調查資料(OUT)'!U106,0)+IFERROR('調查資料(OUT)'!$Y$1*'調查資料(OUT)'!Y106,0)</f>
        <v>0</v>
      </c>
      <c r="L100" s="258">
        <f t="shared" si="374"/>
        <v>0</v>
      </c>
      <c r="M100" s="258">
        <f>IFERROR('調查資料(OUT)'!$Z$1*'調查資料(OUT)'!Z106,0)+IFERROR('調查資料(OUT)'!$AD$1*'調查資料(OUT)'!AD106,0)+IFERROR('調查資料(OUT)'!$AH$1*'調查資料(OUT)'!AH106,0)</f>
        <v>0</v>
      </c>
      <c r="N100" s="258">
        <f>IFERROR('調查資料(OUT)'!$AA$1*'調查資料(OUT)'!AA106,0)+IFERROR('調查資料(OUT)'!$AE$1*'調查資料(OUT)'!AE106,0)+IFERROR('調查資料(OUT)'!$AI$1*'調查資料(OUT)'!AI106,0)</f>
        <v>0</v>
      </c>
      <c r="O100" s="258">
        <f>IFERROR('調查資料(OUT)'!$AB$1*'調查資料(OUT)'!AB106,0)+IFERROR('調查資料(OUT)'!$AF$1*'調查資料(OUT)'!AF106,0)+IFERROR('調查資料(OUT)'!$AJ$1*'調查資料(OUT)'!AJ106,0)</f>
        <v>0</v>
      </c>
      <c r="P100" s="259">
        <f>IFERROR('調查資料(OUT)'!$AC$1*'調查資料(OUT)'!AC106,0)+IFERROR('調查資料(OUT)'!$AG$1*'調查資料(OUT)'!AG106,0)+IFERROR('調查資料(OUT)'!$AK$1*'調查資料(OUT)'!AK106,0)</f>
        <v>0</v>
      </c>
      <c r="Q100" s="258">
        <f t="shared" si="375"/>
        <v>0</v>
      </c>
      <c r="R100" s="258">
        <f>IFERROR('調查資料(OUT)'!$AL$1*'調查資料(OUT)'!AL106,0)+IFERROR('調查資料(OUT)'!$AP$1*'調查資料(OUT)'!AP106,0)+IFERROR('調查資料(OUT)'!$AT$1*'調查資料(OUT)'!AT106,0)</f>
        <v>0</v>
      </c>
      <c r="S100" s="258">
        <f>IFERROR('調查資料(OUT)'!$AM$1*'調查資料(OUT)'!AM106,0)+IFERROR('調查資料(OUT)'!$AQ$1*'調查資料(OUT)'!AQ106,0)+IFERROR('調查資料(OUT)'!$AU$1*'調查資料(OUT)'!AU106,0)</f>
        <v>0</v>
      </c>
      <c r="T100" s="258">
        <f>IFERROR('調查資料(OUT)'!$AN$1*'調查資料(OUT)'!AN106,0)+IFERROR('調查資料(OUT)'!$AR$1*'調查資料(OUT)'!AR106,0)+IFERROR('調查資料(OUT)'!$AV$1*'調查資料(OUT)'!AV106,0)</f>
        <v>0</v>
      </c>
      <c r="U100" s="259">
        <f>IFERROR('調查資料(OUT)'!$AO$1*'調查資料(OUT)'!AO106,0)+IFERROR('調查資料(OUT)'!$AS$1*'調查資料(OUT)'!AS106,0)+IFERROR('調查資料(OUT)'!$AW$1*'調查資料(OUT)'!AW106,0)</f>
        <v>0</v>
      </c>
      <c r="V100" s="258">
        <f t="shared" si="376"/>
        <v>0</v>
      </c>
      <c r="W100" s="258">
        <f>IFERROR('調查資料(OUT)'!$AX$1*'調查資料(OUT)'!AX106,0)+IFERROR('調查資料(OUT)'!$BB$1*'調查資料(OUT)'!BB106,0)+IFERROR('調查資料(OUT)'!$BF$1*'調查資料(OUT)'!BF106,0)</f>
        <v>0</v>
      </c>
      <c r="X100" s="258">
        <f>IFERROR('調查資料(OUT)'!$AY$1*'調查資料(OUT)'!AY106,0)+IFERROR('調查資料(OUT)'!$BC$1*'調查資料(OUT)'!BC106,0)+IFERROR('調查資料(OUT)'!$BG$1*'調查資料(OUT)'!BG106,0)</f>
        <v>0</v>
      </c>
      <c r="Y100" s="258">
        <f>IFERROR('調查資料(OUT)'!$AZ$1*'調查資料(OUT)'!AZ106,0)+IFERROR('調查資料(OUT)'!$BD$1*'調查資料(OUT)'!BD106,0)+IFERROR('調查資料(OUT)'!$BH$1*'調查資料(OUT)'!BH106,0)</f>
        <v>0</v>
      </c>
      <c r="Z100" s="259">
        <f>IFERROR('調查資料(OUT)'!$BA$1*'調查資料(OUT)'!BA106,0)+IFERROR('調查資料(OUT)'!$BE$1*'調查資料(OUT)'!BE106,0)+IFERROR('調查資料(OUT)'!$BI$1*'調查資料(OUT)'!BI106,0)</f>
        <v>0</v>
      </c>
      <c r="AA100" s="260">
        <f>B100+G100+L100+Q100+V100</f>
        <v>0</v>
      </c>
      <c r="AH100" s="340" t="e">
        <f>MAX(AH69:AH81)</f>
        <v>#DIV/0!</v>
      </c>
      <c r="AI100" s="341" t="e">
        <f>MAX(AI69:AI81)</f>
        <v>#DIV/0!</v>
      </c>
      <c r="AJ100" s="341" t="e">
        <f>MAX(AJ69:AJ81)</f>
        <v>#DIV/0!</v>
      </c>
      <c r="AK100" s="341" t="e">
        <f>MAX(AK69:AK81)</f>
        <v>#DIV/0!</v>
      </c>
      <c r="AL100" s="341" t="e">
        <f>MAX(AL69:AL81)</f>
        <v>#DIV/0!</v>
      </c>
      <c r="AM100" s="99" t="s">
        <v>176</v>
      </c>
      <c r="AN100" s="342">
        <f>MAX(AN69:AN81)</f>
        <v>1900</v>
      </c>
      <c r="AO100" s="386">
        <f>MAX(AO69:AO81)</f>
        <v>2000</v>
      </c>
      <c r="AP100" s="343">
        <f>MAX(AP69:AP81)</f>
        <v>0</v>
      </c>
      <c r="AQ100" s="343">
        <f t="shared" ref="AQ100:BO100" si="463">MAX(AQ69:AQ81)</f>
        <v>0</v>
      </c>
      <c r="AR100" s="343">
        <f t="shared" si="463"/>
        <v>0</v>
      </c>
      <c r="AS100" s="343">
        <f t="shared" si="463"/>
        <v>0</v>
      </c>
      <c r="AT100" s="343" t="e">
        <f t="shared" si="463"/>
        <v>#DIV/0!</v>
      </c>
      <c r="AU100" s="343">
        <f t="shared" si="463"/>
        <v>0</v>
      </c>
      <c r="AV100" s="343">
        <f t="shared" si="463"/>
        <v>0</v>
      </c>
      <c r="AW100" s="343">
        <f t="shared" si="463"/>
        <v>0</v>
      </c>
      <c r="AX100" s="343">
        <f t="shared" si="463"/>
        <v>0</v>
      </c>
      <c r="AY100" s="343" t="e">
        <f>MAX(AY69:AY81)</f>
        <v>#DIV/0!</v>
      </c>
      <c r="AZ100" s="343">
        <f t="shared" si="463"/>
        <v>0</v>
      </c>
      <c r="BA100" s="343">
        <f t="shared" si="463"/>
        <v>0</v>
      </c>
      <c r="BB100" s="343">
        <f t="shared" si="463"/>
        <v>0</v>
      </c>
      <c r="BC100" s="343">
        <f t="shared" si="463"/>
        <v>0</v>
      </c>
      <c r="BD100" s="343" t="e">
        <f t="shared" si="463"/>
        <v>#DIV/0!</v>
      </c>
      <c r="BE100" s="343">
        <f t="shared" si="463"/>
        <v>0</v>
      </c>
      <c r="BF100" s="343">
        <f t="shared" si="463"/>
        <v>0</v>
      </c>
      <c r="BG100" s="343">
        <f t="shared" si="463"/>
        <v>0</v>
      </c>
      <c r="BH100" s="343">
        <f t="shared" si="463"/>
        <v>0</v>
      </c>
      <c r="BI100" s="343" t="e">
        <f t="shared" si="463"/>
        <v>#DIV/0!</v>
      </c>
      <c r="BJ100" s="343">
        <f t="shared" si="463"/>
        <v>0</v>
      </c>
      <c r="BK100" s="343" t="e">
        <f t="shared" si="463"/>
        <v>#DIV/0!</v>
      </c>
      <c r="BL100" s="343">
        <f t="shared" si="463"/>
        <v>0</v>
      </c>
      <c r="BM100" s="343" t="e">
        <f t="shared" si="463"/>
        <v>#DIV/0!</v>
      </c>
      <c r="BN100" s="343">
        <f t="shared" si="463"/>
        <v>0</v>
      </c>
      <c r="BO100" s="343" t="e">
        <f t="shared" si="463"/>
        <v>#DIV/0!</v>
      </c>
      <c r="BP100" s="343">
        <f t="shared" ref="BP100:DB100" si="464">MAX(BP69:BP81)</f>
        <v>0</v>
      </c>
      <c r="BQ100" s="351">
        <f t="shared" si="464"/>
        <v>0</v>
      </c>
      <c r="BR100" s="343">
        <f t="shared" si="464"/>
        <v>0</v>
      </c>
      <c r="BS100" s="343">
        <f t="shared" si="464"/>
        <v>0</v>
      </c>
      <c r="BT100" s="343">
        <f t="shared" si="464"/>
        <v>0</v>
      </c>
      <c r="BU100" s="343" t="e">
        <f t="shared" si="464"/>
        <v>#DIV/0!</v>
      </c>
      <c r="BV100" s="343">
        <f t="shared" si="464"/>
        <v>0</v>
      </c>
      <c r="BW100" s="343">
        <f t="shared" si="464"/>
        <v>0</v>
      </c>
      <c r="BX100" s="343">
        <f t="shared" si="464"/>
        <v>0</v>
      </c>
      <c r="BY100" s="343">
        <f t="shared" si="464"/>
        <v>0</v>
      </c>
      <c r="BZ100" s="343" t="e">
        <f t="shared" si="464"/>
        <v>#DIV/0!</v>
      </c>
      <c r="CA100" s="343">
        <f t="shared" si="464"/>
        <v>0</v>
      </c>
      <c r="CB100" s="343">
        <f t="shared" si="464"/>
        <v>0</v>
      </c>
      <c r="CC100" s="343">
        <f t="shared" si="464"/>
        <v>0</v>
      </c>
      <c r="CD100" s="343">
        <f t="shared" si="464"/>
        <v>0</v>
      </c>
      <c r="CE100" s="343" t="e">
        <f t="shared" si="464"/>
        <v>#DIV/0!</v>
      </c>
      <c r="CF100" s="343">
        <f t="shared" si="464"/>
        <v>0</v>
      </c>
      <c r="CG100" s="343">
        <f t="shared" si="464"/>
        <v>0</v>
      </c>
      <c r="CH100" s="343">
        <f t="shared" si="464"/>
        <v>0</v>
      </c>
      <c r="CI100" s="343">
        <f t="shared" si="464"/>
        <v>0</v>
      </c>
      <c r="CJ100" s="343" t="e">
        <f t="shared" si="464"/>
        <v>#DIV/0!</v>
      </c>
      <c r="CK100" s="343">
        <f t="shared" si="464"/>
        <v>0</v>
      </c>
      <c r="CL100" s="343" t="e">
        <f t="shared" si="464"/>
        <v>#DIV/0!</v>
      </c>
      <c r="CM100" s="343">
        <f t="shared" si="464"/>
        <v>0</v>
      </c>
      <c r="CN100" s="343" t="e">
        <f t="shared" si="464"/>
        <v>#DIV/0!</v>
      </c>
      <c r="CO100" s="343">
        <f t="shared" si="464"/>
        <v>0</v>
      </c>
      <c r="CP100" s="343" t="e">
        <f t="shared" si="464"/>
        <v>#DIV/0!</v>
      </c>
      <c r="CQ100" s="344">
        <f t="shared" si="464"/>
        <v>0</v>
      </c>
      <c r="CR100" s="351">
        <f t="shared" si="464"/>
        <v>0</v>
      </c>
      <c r="CS100" s="343">
        <f t="shared" si="464"/>
        <v>0</v>
      </c>
      <c r="CT100" s="343">
        <f t="shared" si="464"/>
        <v>0</v>
      </c>
      <c r="CU100" s="343">
        <f t="shared" si="464"/>
        <v>0</v>
      </c>
      <c r="CV100" s="343" t="e">
        <f t="shared" si="464"/>
        <v>#DIV/0!</v>
      </c>
      <c r="CW100" s="343">
        <f t="shared" si="464"/>
        <v>0</v>
      </c>
      <c r="CX100" s="343">
        <f t="shared" si="464"/>
        <v>0</v>
      </c>
      <c r="CY100" s="343">
        <f t="shared" si="464"/>
        <v>0</v>
      </c>
      <c r="CZ100" s="343">
        <f t="shared" si="464"/>
        <v>0</v>
      </c>
      <c r="DA100" s="343" t="e">
        <f t="shared" si="464"/>
        <v>#DIV/0!</v>
      </c>
      <c r="DB100" s="343">
        <f t="shared" si="464"/>
        <v>0</v>
      </c>
      <c r="DC100" s="343">
        <f t="shared" ref="DC100:FN100" si="465">MAX(DC69:DC81)</f>
        <v>0</v>
      </c>
      <c r="DD100" s="343">
        <f t="shared" si="465"/>
        <v>0</v>
      </c>
      <c r="DE100" s="343">
        <f t="shared" si="465"/>
        <v>0</v>
      </c>
      <c r="DF100" s="343" t="e">
        <f t="shared" si="465"/>
        <v>#DIV/0!</v>
      </c>
      <c r="DG100" s="343">
        <f t="shared" si="465"/>
        <v>0</v>
      </c>
      <c r="DH100" s="343">
        <f t="shared" si="465"/>
        <v>0</v>
      </c>
      <c r="DI100" s="343">
        <f t="shared" si="465"/>
        <v>0</v>
      </c>
      <c r="DJ100" s="343">
        <f t="shared" si="465"/>
        <v>0</v>
      </c>
      <c r="DK100" s="343" t="e">
        <f t="shared" si="465"/>
        <v>#DIV/0!</v>
      </c>
      <c r="DL100" s="343">
        <f t="shared" si="465"/>
        <v>0</v>
      </c>
      <c r="DM100" s="343" t="e">
        <f t="shared" si="465"/>
        <v>#DIV/0!</v>
      </c>
      <c r="DN100" s="343">
        <f t="shared" si="465"/>
        <v>0</v>
      </c>
      <c r="DO100" s="343" t="e">
        <f t="shared" si="465"/>
        <v>#DIV/0!</v>
      </c>
      <c r="DP100" s="343">
        <f t="shared" si="465"/>
        <v>0</v>
      </c>
      <c r="DQ100" s="343" t="e">
        <f t="shared" si="465"/>
        <v>#DIV/0!</v>
      </c>
      <c r="DR100" s="344">
        <f t="shared" si="465"/>
        <v>0</v>
      </c>
      <c r="DS100" s="343">
        <f t="shared" si="465"/>
        <v>0</v>
      </c>
      <c r="DT100" s="343">
        <f t="shared" si="465"/>
        <v>0</v>
      </c>
      <c r="DU100" s="343">
        <f t="shared" si="465"/>
        <v>0</v>
      </c>
      <c r="DV100" s="343">
        <f t="shared" si="465"/>
        <v>0</v>
      </c>
      <c r="DW100" s="343" t="e">
        <f t="shared" si="465"/>
        <v>#DIV/0!</v>
      </c>
      <c r="DX100" s="343">
        <f t="shared" si="465"/>
        <v>0</v>
      </c>
      <c r="DY100" s="343">
        <f t="shared" si="465"/>
        <v>0</v>
      </c>
      <c r="DZ100" s="343">
        <f t="shared" si="465"/>
        <v>0</v>
      </c>
      <c r="EA100" s="343">
        <f t="shared" si="465"/>
        <v>0</v>
      </c>
      <c r="EB100" s="343" t="e">
        <f t="shared" si="465"/>
        <v>#DIV/0!</v>
      </c>
      <c r="EC100" s="343">
        <f t="shared" si="465"/>
        <v>0</v>
      </c>
      <c r="ED100" s="343">
        <f t="shared" si="465"/>
        <v>0</v>
      </c>
      <c r="EE100" s="343">
        <f t="shared" si="465"/>
        <v>0</v>
      </c>
      <c r="EF100" s="343">
        <f t="shared" si="465"/>
        <v>0</v>
      </c>
      <c r="EG100" s="343" t="e">
        <f t="shared" si="465"/>
        <v>#DIV/0!</v>
      </c>
      <c r="EH100" s="343">
        <f t="shared" si="465"/>
        <v>0</v>
      </c>
      <c r="EI100" s="343">
        <f t="shared" si="465"/>
        <v>0</v>
      </c>
      <c r="EJ100" s="343">
        <f t="shared" si="465"/>
        <v>0</v>
      </c>
      <c r="EK100" s="343">
        <f t="shared" si="465"/>
        <v>0</v>
      </c>
      <c r="EL100" s="343" t="e">
        <f t="shared" si="465"/>
        <v>#DIV/0!</v>
      </c>
      <c r="EM100" s="343">
        <f t="shared" si="465"/>
        <v>0</v>
      </c>
      <c r="EN100" s="343" t="e">
        <f t="shared" si="465"/>
        <v>#DIV/0!</v>
      </c>
      <c r="EO100" s="343">
        <f t="shared" si="465"/>
        <v>0</v>
      </c>
      <c r="EP100" s="343" t="e">
        <f t="shared" si="465"/>
        <v>#DIV/0!</v>
      </c>
      <c r="EQ100" s="343">
        <f t="shared" si="465"/>
        <v>0</v>
      </c>
      <c r="ER100" s="343" t="e">
        <f t="shared" si="465"/>
        <v>#DIV/0!</v>
      </c>
      <c r="ES100" s="343">
        <f t="shared" si="465"/>
        <v>0</v>
      </c>
      <c r="ET100" s="343">
        <f t="shared" si="465"/>
        <v>0</v>
      </c>
      <c r="EU100" s="343">
        <f t="shared" si="465"/>
        <v>0</v>
      </c>
      <c r="EV100" s="343">
        <f t="shared" si="465"/>
        <v>0</v>
      </c>
      <c r="EW100" s="343">
        <f t="shared" si="465"/>
        <v>0</v>
      </c>
      <c r="EX100" s="343" t="e">
        <f t="shared" si="465"/>
        <v>#DIV/0!</v>
      </c>
      <c r="EY100" s="343">
        <f t="shared" si="465"/>
        <v>0</v>
      </c>
      <c r="EZ100" s="343">
        <f t="shared" si="465"/>
        <v>0</v>
      </c>
      <c r="FA100" s="343">
        <f t="shared" si="465"/>
        <v>0</v>
      </c>
      <c r="FB100" s="343">
        <f t="shared" si="465"/>
        <v>0</v>
      </c>
      <c r="FC100" s="343" t="e">
        <f t="shared" si="465"/>
        <v>#DIV/0!</v>
      </c>
      <c r="FD100" s="343">
        <f t="shared" si="465"/>
        <v>0</v>
      </c>
      <c r="FE100" s="343">
        <f t="shared" si="465"/>
        <v>0</v>
      </c>
      <c r="FF100" s="343">
        <f t="shared" si="465"/>
        <v>0</v>
      </c>
      <c r="FG100" s="343">
        <f t="shared" si="465"/>
        <v>0</v>
      </c>
      <c r="FH100" s="343" t="e">
        <f t="shared" si="465"/>
        <v>#DIV/0!</v>
      </c>
      <c r="FI100" s="343">
        <f t="shared" si="465"/>
        <v>0</v>
      </c>
      <c r="FJ100" s="343">
        <f t="shared" si="465"/>
        <v>0</v>
      </c>
      <c r="FK100" s="343">
        <f t="shared" si="465"/>
        <v>0</v>
      </c>
      <c r="FL100" s="343">
        <f t="shared" si="465"/>
        <v>0</v>
      </c>
      <c r="FM100" s="343" t="e">
        <f t="shared" si="465"/>
        <v>#DIV/0!</v>
      </c>
      <c r="FN100" s="343">
        <f t="shared" si="465"/>
        <v>0</v>
      </c>
      <c r="FO100" s="343" t="e">
        <f t="shared" ref="FO100:FS100" si="466">MAX(FO69:FO81)</f>
        <v>#DIV/0!</v>
      </c>
      <c r="FP100" s="343">
        <f t="shared" si="466"/>
        <v>0</v>
      </c>
      <c r="FQ100" s="343" t="e">
        <f t="shared" si="466"/>
        <v>#DIV/0!</v>
      </c>
      <c r="FR100" s="343">
        <f t="shared" si="466"/>
        <v>0</v>
      </c>
      <c r="FS100" s="343" t="e">
        <f t="shared" si="466"/>
        <v>#DIV/0!</v>
      </c>
      <c r="FT100" s="344">
        <f>MAX(FT69:FT81)</f>
        <v>0</v>
      </c>
    </row>
  </sheetData>
  <phoneticPr fontId="2" type="noConversion"/>
  <pageMargins left="0.75" right="0.75" top="1" bottom="1" header="0.5" footer="0.5"/>
  <pageSetup paperSize="9" scale="10" orientation="portrait" r:id="rId1"/>
  <headerFooter alignWithMargins="0"/>
  <ignoredErrors>
    <ignoredError sqref="BL34 BL29:BL33 BL35:BL92 BN34 BN29:BN33 BN35:BN92 CM34 CM29:CM33 CM35:CM92 CO34 CO29:CO33 CO35:CO92 DN34 DN29:DN33 DN35:DN92 DP34 DP29:DP33 DP35:DP92 EO29:EO92 EQ34 EQ29:EQ33 EQ35:EQ92 FP29 FR29 FP30:FP92 FR30:FR9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1"/>
  <sheetViews>
    <sheetView topLeftCell="A11" zoomScaleNormal="100" workbookViewId="0">
      <selection activeCell="H25" sqref="H25"/>
    </sheetView>
  </sheetViews>
  <sheetFormatPr defaultRowHeight="16.5"/>
  <cols>
    <col min="1" max="1" width="8.625" customWidth="1"/>
    <col min="2" max="6" width="15" customWidth="1"/>
    <col min="7" max="7" width="8.75" customWidth="1"/>
    <col min="8" max="8" width="9.5" bestFit="1" customWidth="1"/>
  </cols>
  <sheetData>
    <row r="1" spans="1:8">
      <c r="B1">
        <f>路口基本資料!B11</f>
        <v>0</v>
      </c>
      <c r="C1">
        <f>路口基本資料!C11</f>
        <v>0</v>
      </c>
      <c r="D1">
        <f>路口基本資料!D11</f>
        <v>0</v>
      </c>
      <c r="E1">
        <f>路口基本資料!E11</f>
        <v>0</v>
      </c>
      <c r="F1">
        <f>路口基本資料!F11</f>
        <v>0</v>
      </c>
      <c r="H1" s="24"/>
    </row>
    <row r="2" spans="1:8">
      <c r="B2" s="369" t="str">
        <f>CONCATENATE('調查資料(OUT)'!C8,B1)</f>
        <v>00</v>
      </c>
      <c r="C2" s="370" t="str">
        <f>CONCATENATE('調查資料(OUT)'!O8,C1)</f>
        <v>00</v>
      </c>
      <c r="D2" s="371" t="str">
        <f>CONCATENATE('調查資料(OUT)'!AA8,D1)</f>
        <v>00</v>
      </c>
      <c r="E2" s="372" t="str">
        <f>CONCATENATE('調查資料(OUT)'!AM8,E1)</f>
        <v>00</v>
      </c>
      <c r="F2" s="373" t="str">
        <f>CONCATENATE('調查資料(OUT)'!AY8,F1)</f>
        <v>00</v>
      </c>
      <c r="G2" s="15" t="s">
        <v>25</v>
      </c>
    </row>
    <row r="3" spans="1:8">
      <c r="B3" s="369" t="s">
        <v>26</v>
      </c>
      <c r="C3" s="370" t="s">
        <v>26</v>
      </c>
      <c r="D3" s="371" t="s">
        <v>26</v>
      </c>
      <c r="E3" s="372" t="s">
        <v>26</v>
      </c>
      <c r="F3" s="373" t="s">
        <v>26</v>
      </c>
      <c r="G3" s="15" t="s">
        <v>27</v>
      </c>
    </row>
    <row r="4" spans="1:8">
      <c r="B4" s="297" t="s">
        <v>123</v>
      </c>
      <c r="C4" s="370" t="s">
        <v>29</v>
      </c>
      <c r="D4" s="371" t="s">
        <v>29</v>
      </c>
      <c r="E4" s="372" t="s">
        <v>29</v>
      </c>
      <c r="F4" s="373" t="s">
        <v>29</v>
      </c>
      <c r="G4" s="15" t="s">
        <v>29</v>
      </c>
    </row>
    <row r="5" spans="1:8">
      <c r="A5" s="23" t="s">
        <v>151</v>
      </c>
      <c r="B5" s="19">
        <f>PHF及轉向比!B5</f>
        <v>0</v>
      </c>
      <c r="C5" s="20">
        <f>PHF及轉向比!G5</f>
        <v>0</v>
      </c>
      <c r="D5" s="21">
        <f>PHF及轉向比!L5</f>
        <v>0</v>
      </c>
      <c r="E5" s="21">
        <f>PHF及轉向比!Q5</f>
        <v>0</v>
      </c>
      <c r="F5" s="21">
        <f>PHF及轉向比!V5</f>
        <v>0</v>
      </c>
      <c r="G5" s="22">
        <f>PHF及轉向比!AA5</f>
        <v>0</v>
      </c>
    </row>
    <row r="6" spans="1:8">
      <c r="A6" s="23" t="s">
        <v>152</v>
      </c>
      <c r="B6" s="19">
        <f>PHF及轉向比!B6</f>
        <v>0</v>
      </c>
      <c r="C6" s="20">
        <f>PHF及轉向比!G6</f>
        <v>0</v>
      </c>
      <c r="D6" s="21">
        <f>PHF及轉向比!L6</f>
        <v>0</v>
      </c>
      <c r="E6" s="21">
        <f>PHF及轉向比!Q6</f>
        <v>0</v>
      </c>
      <c r="F6" s="21">
        <f>PHF及轉向比!V6</f>
        <v>0</v>
      </c>
      <c r="G6" s="22">
        <f>PHF及轉向比!AA6</f>
        <v>0</v>
      </c>
    </row>
    <row r="7" spans="1:8">
      <c r="A7" s="23" t="s">
        <v>153</v>
      </c>
      <c r="B7" s="19">
        <f>PHF及轉向比!B7</f>
        <v>0</v>
      </c>
      <c r="C7" s="20">
        <f>PHF及轉向比!G7</f>
        <v>0</v>
      </c>
      <c r="D7" s="21">
        <f>PHF及轉向比!L7</f>
        <v>0</v>
      </c>
      <c r="E7" s="21">
        <f>PHF及轉向比!Q7</f>
        <v>0</v>
      </c>
      <c r="F7" s="21">
        <f>PHF及轉向比!V7</f>
        <v>0</v>
      </c>
      <c r="G7" s="22">
        <f>PHF及轉向比!AA7</f>
        <v>0</v>
      </c>
    </row>
    <row r="8" spans="1:8">
      <c r="A8" s="23" t="s">
        <v>154</v>
      </c>
      <c r="B8" s="19">
        <f>PHF及轉向比!B8</f>
        <v>0</v>
      </c>
      <c r="C8" s="20">
        <f>PHF及轉向比!G8</f>
        <v>0</v>
      </c>
      <c r="D8" s="21">
        <f>PHF及轉向比!L8</f>
        <v>0</v>
      </c>
      <c r="E8" s="21">
        <f>PHF及轉向比!Q8</f>
        <v>0</v>
      </c>
      <c r="F8" s="21">
        <f>PHF及轉向比!V8</f>
        <v>0</v>
      </c>
      <c r="G8" s="22">
        <f>PHF及轉向比!AA8</f>
        <v>0</v>
      </c>
    </row>
    <row r="9" spans="1:8">
      <c r="A9" s="23" t="s">
        <v>155</v>
      </c>
      <c r="B9" s="19">
        <f>PHF及轉向比!B9</f>
        <v>0</v>
      </c>
      <c r="C9" s="20">
        <f>PHF及轉向比!G9</f>
        <v>0</v>
      </c>
      <c r="D9" s="21">
        <f>PHF及轉向比!L9</f>
        <v>0</v>
      </c>
      <c r="E9" s="21">
        <f>PHF及轉向比!Q9</f>
        <v>0</v>
      </c>
      <c r="F9" s="21">
        <f>PHF及轉向比!V9</f>
        <v>0</v>
      </c>
      <c r="G9" s="22">
        <f>PHF及轉向比!AA9</f>
        <v>0</v>
      </c>
    </row>
    <row r="10" spans="1:8">
      <c r="A10" s="23" t="s">
        <v>156</v>
      </c>
      <c r="B10" s="19">
        <f>PHF及轉向比!B10</f>
        <v>0</v>
      </c>
      <c r="C10" s="20">
        <f>PHF及轉向比!G10</f>
        <v>0</v>
      </c>
      <c r="D10" s="21">
        <f>PHF及轉向比!L10</f>
        <v>0</v>
      </c>
      <c r="E10" s="21">
        <f>PHF及轉向比!Q10</f>
        <v>0</v>
      </c>
      <c r="F10" s="21">
        <f>PHF及轉向比!V10</f>
        <v>0</v>
      </c>
      <c r="G10" s="22">
        <f>PHF及轉向比!AA10</f>
        <v>0</v>
      </c>
    </row>
    <row r="11" spans="1:8">
      <c r="A11" s="23" t="s">
        <v>157</v>
      </c>
      <c r="B11" s="19">
        <f>PHF及轉向比!B11</f>
        <v>0</v>
      </c>
      <c r="C11" s="20">
        <f>PHF及轉向比!G11</f>
        <v>0</v>
      </c>
      <c r="D11" s="21">
        <f>PHF及轉向比!L11</f>
        <v>0</v>
      </c>
      <c r="E11" s="21">
        <f>PHF及轉向比!Q11</f>
        <v>0</v>
      </c>
      <c r="F11" s="21">
        <f>PHF及轉向比!V11</f>
        <v>0</v>
      </c>
      <c r="G11" s="22">
        <f>PHF及轉向比!AA11</f>
        <v>0</v>
      </c>
    </row>
    <row r="12" spans="1:8">
      <c r="A12" s="23" t="s">
        <v>158</v>
      </c>
      <c r="B12" s="19">
        <f>PHF及轉向比!B12</f>
        <v>0</v>
      </c>
      <c r="C12" s="20">
        <f>PHF及轉向比!G12</f>
        <v>0</v>
      </c>
      <c r="D12" s="21">
        <f>PHF及轉向比!L12</f>
        <v>0</v>
      </c>
      <c r="E12" s="21">
        <f>PHF及轉向比!Q12</f>
        <v>0</v>
      </c>
      <c r="F12" s="21">
        <f>PHF及轉向比!V12</f>
        <v>0</v>
      </c>
      <c r="G12" s="22">
        <f>PHF及轉向比!AA12</f>
        <v>0</v>
      </c>
    </row>
    <row r="13" spans="1:8">
      <c r="A13" s="23" t="s">
        <v>159</v>
      </c>
      <c r="B13" s="19">
        <f>PHF及轉向比!B13</f>
        <v>0</v>
      </c>
      <c r="C13" s="20">
        <f>PHF及轉向比!G13</f>
        <v>0</v>
      </c>
      <c r="D13" s="21">
        <f>PHF及轉向比!L13</f>
        <v>0</v>
      </c>
      <c r="E13" s="21">
        <f>PHF及轉向比!Q13</f>
        <v>0</v>
      </c>
      <c r="F13" s="21">
        <f>PHF及轉向比!V13</f>
        <v>0</v>
      </c>
      <c r="G13" s="22">
        <f>PHF及轉向比!AA13</f>
        <v>0</v>
      </c>
    </row>
    <row r="14" spans="1:8">
      <c r="A14" s="23" t="s">
        <v>160</v>
      </c>
      <c r="B14" s="19">
        <f>PHF及轉向比!B14</f>
        <v>0</v>
      </c>
      <c r="C14" s="20">
        <f>PHF及轉向比!G14</f>
        <v>0</v>
      </c>
      <c r="D14" s="21">
        <f>PHF及轉向比!L14</f>
        <v>0</v>
      </c>
      <c r="E14" s="21">
        <f>PHF及轉向比!Q14</f>
        <v>0</v>
      </c>
      <c r="F14" s="21">
        <f>PHF及轉向比!V14</f>
        <v>0</v>
      </c>
      <c r="G14" s="22">
        <f>PHF及轉向比!AA14</f>
        <v>0</v>
      </c>
    </row>
    <row r="15" spans="1:8">
      <c r="A15" s="23" t="s">
        <v>161</v>
      </c>
      <c r="B15" s="19">
        <f>PHF及轉向比!B15</f>
        <v>0</v>
      </c>
      <c r="C15" s="20">
        <f>PHF及轉向比!G15</f>
        <v>0</v>
      </c>
      <c r="D15" s="21">
        <f>PHF及轉向比!L15</f>
        <v>0</v>
      </c>
      <c r="E15" s="21">
        <f>PHF及轉向比!Q15</f>
        <v>0</v>
      </c>
      <c r="F15" s="21">
        <f>PHF及轉向比!V15</f>
        <v>0</v>
      </c>
      <c r="G15" s="22">
        <f>PHF及轉向比!AA15</f>
        <v>0</v>
      </c>
    </row>
    <row r="16" spans="1:8">
      <c r="A16" s="23" t="s">
        <v>162</v>
      </c>
      <c r="B16" s="19">
        <f>PHF及轉向比!B16</f>
        <v>0</v>
      </c>
      <c r="C16" s="20">
        <f>PHF及轉向比!G16</f>
        <v>0</v>
      </c>
      <c r="D16" s="21">
        <f>PHF及轉向比!L16</f>
        <v>0</v>
      </c>
      <c r="E16" s="21">
        <f>PHF及轉向比!Q16</f>
        <v>0</v>
      </c>
      <c r="F16" s="21">
        <f>PHF及轉向比!V16</f>
        <v>0</v>
      </c>
      <c r="G16" s="22">
        <f>PHF及轉向比!AA16</f>
        <v>0</v>
      </c>
    </row>
    <row r="17" spans="1:7">
      <c r="A17" s="23" t="s">
        <v>163</v>
      </c>
      <c r="B17" s="19">
        <f>PHF及轉向比!B17</f>
        <v>0</v>
      </c>
      <c r="C17" s="20">
        <f>PHF及轉向比!G17</f>
        <v>0</v>
      </c>
      <c r="D17" s="21">
        <f>PHF及轉向比!L17</f>
        <v>0</v>
      </c>
      <c r="E17" s="21">
        <f>PHF及轉向比!Q17</f>
        <v>0</v>
      </c>
      <c r="F17" s="21">
        <f>PHF及轉向比!V17</f>
        <v>0</v>
      </c>
      <c r="G17" s="22">
        <f>PHF及轉向比!AA17</f>
        <v>0</v>
      </c>
    </row>
    <row r="18" spans="1:7">
      <c r="A18" s="23" t="s">
        <v>164</v>
      </c>
      <c r="B18" s="19">
        <f>PHF及轉向比!B18</f>
        <v>0</v>
      </c>
      <c r="C18" s="20">
        <f>PHF及轉向比!G18</f>
        <v>0</v>
      </c>
      <c r="D18" s="21">
        <f>PHF及轉向比!L18</f>
        <v>0</v>
      </c>
      <c r="E18" s="21">
        <f>PHF及轉向比!Q18</f>
        <v>0</v>
      </c>
      <c r="F18" s="21">
        <f>PHF及轉向比!V18</f>
        <v>0</v>
      </c>
      <c r="G18" s="22">
        <f>PHF及轉向比!AA18</f>
        <v>0</v>
      </c>
    </row>
    <row r="19" spans="1:7">
      <c r="A19" s="23" t="s">
        <v>165</v>
      </c>
      <c r="B19" s="19">
        <f>PHF及轉向比!B19</f>
        <v>0</v>
      </c>
      <c r="C19" s="20">
        <f>PHF及轉向比!G19</f>
        <v>0</v>
      </c>
      <c r="D19" s="21">
        <f>PHF及轉向比!L19</f>
        <v>0</v>
      </c>
      <c r="E19" s="21">
        <f>PHF及轉向比!Q19</f>
        <v>0</v>
      </c>
      <c r="F19" s="21">
        <f>PHF及轉向比!V19</f>
        <v>0</v>
      </c>
      <c r="G19" s="22">
        <f>PHF及轉向比!AA19</f>
        <v>0</v>
      </c>
    </row>
    <row r="20" spans="1:7">
      <c r="A20" s="23" t="s">
        <v>166</v>
      </c>
      <c r="B20" s="19">
        <f>PHF及轉向比!B20</f>
        <v>0</v>
      </c>
      <c r="C20" s="20">
        <f>PHF及轉向比!G20</f>
        <v>0</v>
      </c>
      <c r="D20" s="21">
        <f>PHF及轉向比!L20</f>
        <v>0</v>
      </c>
      <c r="E20" s="21">
        <f>PHF及轉向比!Q20</f>
        <v>0</v>
      </c>
      <c r="F20" s="21">
        <f>PHF及轉向比!V20</f>
        <v>0</v>
      </c>
      <c r="G20" s="22">
        <f>PHF及轉向比!AA20</f>
        <v>0</v>
      </c>
    </row>
    <row r="21" spans="1:7">
      <c r="A21" s="23" t="s">
        <v>167</v>
      </c>
      <c r="B21" s="19">
        <f>PHF及轉向比!B21</f>
        <v>0</v>
      </c>
      <c r="C21" s="20">
        <f>PHF及轉向比!G21</f>
        <v>0</v>
      </c>
      <c r="D21" s="21">
        <f>PHF及轉向比!L21</f>
        <v>0</v>
      </c>
      <c r="E21" s="21">
        <f>PHF及轉向比!Q21</f>
        <v>0</v>
      </c>
      <c r="F21" s="21">
        <f>PHF及轉向比!V21</f>
        <v>0</v>
      </c>
      <c r="G21" s="22">
        <f>PHF及轉向比!AA21</f>
        <v>0</v>
      </c>
    </row>
    <row r="22" spans="1:7">
      <c r="A22" s="23" t="s">
        <v>168</v>
      </c>
      <c r="B22" s="19">
        <f>PHF及轉向比!B22</f>
        <v>0</v>
      </c>
      <c r="C22" s="20">
        <f>PHF及轉向比!G22</f>
        <v>0</v>
      </c>
      <c r="D22" s="21">
        <f>PHF及轉向比!L22</f>
        <v>0</v>
      </c>
      <c r="E22" s="21">
        <f>PHF及轉向比!Q22</f>
        <v>0</v>
      </c>
      <c r="F22" s="21">
        <f>PHF及轉向比!V22</f>
        <v>0</v>
      </c>
      <c r="G22" s="22">
        <f>PHF及轉向比!AA22</f>
        <v>0</v>
      </c>
    </row>
    <row r="23" spans="1:7">
      <c r="A23" s="23" t="s">
        <v>169</v>
      </c>
      <c r="B23" s="19">
        <f>PHF及轉向比!B23</f>
        <v>0</v>
      </c>
      <c r="C23" s="20">
        <f>PHF及轉向比!G23</f>
        <v>0</v>
      </c>
      <c r="D23" s="21">
        <f>PHF及轉向比!L23</f>
        <v>0</v>
      </c>
      <c r="E23" s="21">
        <f>PHF及轉向比!Q23</f>
        <v>0</v>
      </c>
      <c r="F23" s="21">
        <f>PHF及轉向比!V23</f>
        <v>0</v>
      </c>
      <c r="G23" s="22">
        <f>PHF及轉向比!AA23</f>
        <v>0</v>
      </c>
    </row>
    <row r="24" spans="1:7">
      <c r="A24" s="23" t="s">
        <v>170</v>
      </c>
      <c r="B24" s="19">
        <f>PHF及轉向比!B24</f>
        <v>0</v>
      </c>
      <c r="C24" s="20">
        <f>PHF及轉向比!G24</f>
        <v>0</v>
      </c>
      <c r="D24" s="21">
        <f>PHF及轉向比!L24</f>
        <v>0</v>
      </c>
      <c r="E24" s="21">
        <f>PHF及轉向比!Q24</f>
        <v>0</v>
      </c>
      <c r="F24" s="21">
        <f>PHF及轉向比!V24</f>
        <v>0</v>
      </c>
      <c r="G24" s="22">
        <f>PHF及轉向比!AA24</f>
        <v>0</v>
      </c>
    </row>
    <row r="25" spans="1:7">
      <c r="A25" s="23" t="s">
        <v>171</v>
      </c>
      <c r="B25" s="19">
        <f>PHF及轉向比!B25</f>
        <v>0</v>
      </c>
      <c r="C25" s="20">
        <f>PHF及轉向比!G25</f>
        <v>0</v>
      </c>
      <c r="D25" s="21">
        <f>PHF及轉向比!L25</f>
        <v>0</v>
      </c>
      <c r="E25" s="21">
        <f>PHF及轉向比!Q25</f>
        <v>0</v>
      </c>
      <c r="F25" s="21">
        <f>PHF及轉向比!V25</f>
        <v>0</v>
      </c>
      <c r="G25" s="22">
        <f>PHF及轉向比!AA25</f>
        <v>0</v>
      </c>
    </row>
    <row r="26" spans="1:7">
      <c r="A26" s="23" t="s">
        <v>172</v>
      </c>
      <c r="B26" s="19">
        <f>PHF及轉向比!B26</f>
        <v>0</v>
      </c>
      <c r="C26" s="20">
        <f>PHF及轉向比!G26</f>
        <v>0</v>
      </c>
      <c r="D26" s="21">
        <f>PHF及轉向比!L26</f>
        <v>0</v>
      </c>
      <c r="E26" s="21">
        <f>PHF及轉向比!Q26</f>
        <v>0</v>
      </c>
      <c r="F26" s="21">
        <f>PHF及轉向比!V26</f>
        <v>0</v>
      </c>
      <c r="G26" s="22">
        <f>PHF及轉向比!AA26</f>
        <v>0</v>
      </c>
    </row>
    <row r="27" spans="1:7">
      <c r="A27" s="23" t="s">
        <v>173</v>
      </c>
      <c r="B27" s="19">
        <f>PHF及轉向比!B27</f>
        <v>0</v>
      </c>
      <c r="C27" s="20">
        <f>PHF及轉向比!G27</f>
        <v>0</v>
      </c>
      <c r="D27" s="21">
        <f>PHF及轉向比!L27</f>
        <v>0</v>
      </c>
      <c r="E27" s="21">
        <f>PHF及轉向比!Q27</f>
        <v>0</v>
      </c>
      <c r="F27" s="21">
        <f>PHF及轉向比!V27</f>
        <v>0</v>
      </c>
      <c r="G27" s="22">
        <f>PHF及轉向比!AA27</f>
        <v>0</v>
      </c>
    </row>
    <row r="28" spans="1:7">
      <c r="A28" s="23" t="s">
        <v>174</v>
      </c>
      <c r="B28" s="19">
        <f>PHF及轉向比!B28</f>
        <v>0</v>
      </c>
      <c r="C28" s="20">
        <f>PHF及轉向比!G28</f>
        <v>0</v>
      </c>
      <c r="D28" s="21">
        <f>PHF及轉向比!L28</f>
        <v>0</v>
      </c>
      <c r="E28" s="21">
        <f>PHF及轉向比!Q28</f>
        <v>0</v>
      </c>
      <c r="F28" s="21">
        <f>PHF及轉向比!V28</f>
        <v>0</v>
      </c>
      <c r="G28" s="22">
        <f>PHF及轉向比!AA28</f>
        <v>0</v>
      </c>
    </row>
    <row r="29" spans="1:7">
      <c r="A29" s="23" t="s">
        <v>31</v>
      </c>
      <c r="B29" s="19">
        <f>PHF及轉向比!B29</f>
        <v>0</v>
      </c>
      <c r="C29" s="20">
        <f>PHF及轉向比!G29</f>
        <v>0</v>
      </c>
      <c r="D29" s="21">
        <f>PHF及轉向比!L29</f>
        <v>0</v>
      </c>
      <c r="E29" s="21">
        <f>PHF及轉向比!Q29</f>
        <v>0</v>
      </c>
      <c r="F29" s="21">
        <f>PHF及轉向比!V29</f>
        <v>0</v>
      </c>
      <c r="G29" s="22">
        <f>PHF及轉向比!AA29</f>
        <v>0</v>
      </c>
    </row>
    <row r="30" spans="1:7">
      <c r="A30" s="23" t="s">
        <v>32</v>
      </c>
      <c r="B30" s="19">
        <f>PHF及轉向比!B30</f>
        <v>0</v>
      </c>
      <c r="C30" s="20">
        <f>PHF及轉向比!G30</f>
        <v>0</v>
      </c>
      <c r="D30" s="21">
        <f>PHF及轉向比!L30</f>
        <v>0</v>
      </c>
      <c r="E30" s="21">
        <f>PHF及轉向比!Q30</f>
        <v>0</v>
      </c>
      <c r="F30" s="21">
        <f>PHF及轉向比!V30</f>
        <v>0</v>
      </c>
      <c r="G30" s="22">
        <f>PHF及轉向比!AA30</f>
        <v>0</v>
      </c>
    </row>
    <row r="31" spans="1:7">
      <c r="A31" s="23" t="s">
        <v>33</v>
      </c>
      <c r="B31" s="19">
        <f>PHF及轉向比!B31</f>
        <v>0</v>
      </c>
      <c r="C31" s="20">
        <f>PHF及轉向比!G31</f>
        <v>0</v>
      </c>
      <c r="D31" s="21">
        <f>PHF及轉向比!L31</f>
        <v>0</v>
      </c>
      <c r="E31" s="21">
        <f>PHF及轉向比!Q31</f>
        <v>0</v>
      </c>
      <c r="F31" s="21">
        <f>PHF及轉向比!V31</f>
        <v>0</v>
      </c>
      <c r="G31" s="22">
        <f>PHF及轉向比!AA31</f>
        <v>0</v>
      </c>
    </row>
    <row r="32" spans="1:7">
      <c r="A32" s="23" t="s">
        <v>34</v>
      </c>
      <c r="B32" s="19">
        <f>PHF及轉向比!B32</f>
        <v>0</v>
      </c>
      <c r="C32" s="20">
        <f>PHF及轉向比!G32</f>
        <v>0</v>
      </c>
      <c r="D32" s="21">
        <f>PHF及轉向比!L32</f>
        <v>0</v>
      </c>
      <c r="E32" s="21">
        <f>PHF及轉向比!Q32</f>
        <v>0</v>
      </c>
      <c r="F32" s="21">
        <f>PHF及轉向比!V32</f>
        <v>0</v>
      </c>
      <c r="G32" s="22">
        <f>PHF及轉向比!AA32</f>
        <v>0</v>
      </c>
    </row>
    <row r="33" spans="1:7">
      <c r="A33" s="23" t="s">
        <v>35</v>
      </c>
      <c r="B33" s="19">
        <f>PHF及轉向比!B33</f>
        <v>0</v>
      </c>
      <c r="C33" s="20">
        <f>PHF及轉向比!G33</f>
        <v>0</v>
      </c>
      <c r="D33" s="21">
        <f>PHF及轉向比!L33</f>
        <v>0</v>
      </c>
      <c r="E33" s="21">
        <f>PHF及轉向比!Q33</f>
        <v>0</v>
      </c>
      <c r="F33" s="21">
        <f>PHF及轉向比!V33</f>
        <v>0</v>
      </c>
      <c r="G33" s="22">
        <f>PHF及轉向比!AA33</f>
        <v>0</v>
      </c>
    </row>
    <row r="34" spans="1:7">
      <c r="A34" s="23" t="s">
        <v>36</v>
      </c>
      <c r="B34" s="19">
        <f>PHF及轉向比!B34</f>
        <v>0</v>
      </c>
      <c r="C34" s="20">
        <f>PHF及轉向比!G34</f>
        <v>0</v>
      </c>
      <c r="D34" s="21">
        <f>PHF及轉向比!L34</f>
        <v>0</v>
      </c>
      <c r="E34" s="21">
        <f>PHF及轉向比!Q34</f>
        <v>0</v>
      </c>
      <c r="F34" s="21">
        <f>PHF及轉向比!V34</f>
        <v>0</v>
      </c>
      <c r="G34" s="22">
        <f>PHF及轉向比!AA34</f>
        <v>0</v>
      </c>
    </row>
    <row r="35" spans="1:7">
      <c r="A35" s="23" t="s">
        <v>37</v>
      </c>
      <c r="B35" s="19">
        <f>PHF及轉向比!B35</f>
        <v>0</v>
      </c>
      <c r="C35" s="20">
        <f>PHF及轉向比!G35</f>
        <v>0</v>
      </c>
      <c r="D35" s="21">
        <f>PHF及轉向比!L35</f>
        <v>0</v>
      </c>
      <c r="E35" s="21">
        <f>PHF及轉向比!Q35</f>
        <v>0</v>
      </c>
      <c r="F35" s="21">
        <f>PHF及轉向比!V35</f>
        <v>0</v>
      </c>
      <c r="G35" s="22">
        <f>PHF及轉向比!AA35</f>
        <v>0</v>
      </c>
    </row>
    <row r="36" spans="1:7">
      <c r="A36" s="23" t="s">
        <v>38</v>
      </c>
      <c r="B36" s="19">
        <f>PHF及轉向比!B36</f>
        <v>0</v>
      </c>
      <c r="C36" s="20">
        <f>PHF及轉向比!G36</f>
        <v>0</v>
      </c>
      <c r="D36" s="21">
        <f>PHF及轉向比!L36</f>
        <v>0</v>
      </c>
      <c r="E36" s="21">
        <f>PHF及轉向比!Q36</f>
        <v>0</v>
      </c>
      <c r="F36" s="21">
        <f>PHF及轉向比!V36</f>
        <v>0</v>
      </c>
      <c r="G36" s="22">
        <f>PHF及轉向比!AA36</f>
        <v>0</v>
      </c>
    </row>
    <row r="37" spans="1:7">
      <c r="A37" s="23" t="s">
        <v>39</v>
      </c>
      <c r="B37" s="19">
        <f>PHF及轉向比!B37</f>
        <v>0</v>
      </c>
      <c r="C37" s="20">
        <f>PHF及轉向比!G37</f>
        <v>0</v>
      </c>
      <c r="D37" s="21">
        <f>PHF及轉向比!L37</f>
        <v>0</v>
      </c>
      <c r="E37" s="21">
        <f>PHF及轉向比!Q37</f>
        <v>0</v>
      </c>
      <c r="F37" s="21">
        <f>PHF及轉向比!V37</f>
        <v>0</v>
      </c>
      <c r="G37" s="22">
        <f>PHF及轉向比!AA37</f>
        <v>0</v>
      </c>
    </row>
    <row r="38" spans="1:7">
      <c r="A38" s="23" t="s">
        <v>40</v>
      </c>
      <c r="B38" s="19">
        <f>PHF及轉向比!B38</f>
        <v>0</v>
      </c>
      <c r="C38" s="20">
        <f>PHF及轉向比!G38</f>
        <v>0</v>
      </c>
      <c r="D38" s="21">
        <f>PHF及轉向比!L38</f>
        <v>0</v>
      </c>
      <c r="E38" s="21">
        <f>PHF及轉向比!Q38</f>
        <v>0</v>
      </c>
      <c r="F38" s="21">
        <f>PHF及轉向比!V38</f>
        <v>0</v>
      </c>
      <c r="G38" s="22">
        <f>PHF及轉向比!AA38</f>
        <v>0</v>
      </c>
    </row>
    <row r="39" spans="1:7">
      <c r="A39" s="23" t="s">
        <v>41</v>
      </c>
      <c r="B39" s="19">
        <f>PHF及轉向比!B39</f>
        <v>0</v>
      </c>
      <c r="C39" s="20">
        <f>PHF及轉向比!G39</f>
        <v>0</v>
      </c>
      <c r="D39" s="21">
        <f>PHF及轉向比!L39</f>
        <v>0</v>
      </c>
      <c r="E39" s="21">
        <f>PHF及轉向比!Q39</f>
        <v>0</v>
      </c>
      <c r="F39" s="21">
        <f>PHF及轉向比!V39</f>
        <v>0</v>
      </c>
      <c r="G39" s="22">
        <f>PHF及轉向比!AA39</f>
        <v>0</v>
      </c>
    </row>
    <row r="40" spans="1:7">
      <c r="A40" s="23" t="s">
        <v>42</v>
      </c>
      <c r="B40" s="19">
        <f>PHF及轉向比!B40</f>
        <v>0</v>
      </c>
      <c r="C40" s="20">
        <f>PHF及轉向比!G40</f>
        <v>0</v>
      </c>
      <c r="D40" s="21">
        <f>PHF及轉向比!L40</f>
        <v>0</v>
      </c>
      <c r="E40" s="21">
        <f>PHF及轉向比!Q40</f>
        <v>0</v>
      </c>
      <c r="F40" s="21">
        <f>PHF及轉向比!V40</f>
        <v>0</v>
      </c>
      <c r="G40" s="22">
        <f>PHF及轉向比!AA40</f>
        <v>0</v>
      </c>
    </row>
    <row r="41" spans="1:7">
      <c r="A41" s="23" t="s">
        <v>43</v>
      </c>
      <c r="B41" s="19">
        <f>PHF及轉向比!B41</f>
        <v>0</v>
      </c>
      <c r="C41" s="20">
        <f>PHF及轉向比!G41</f>
        <v>0</v>
      </c>
      <c r="D41" s="21">
        <f>PHF及轉向比!L41</f>
        <v>0</v>
      </c>
      <c r="E41" s="21">
        <f>PHF及轉向比!Q41</f>
        <v>0</v>
      </c>
      <c r="F41" s="21">
        <f>PHF及轉向比!V41</f>
        <v>0</v>
      </c>
      <c r="G41" s="22">
        <f>PHF及轉向比!AA41</f>
        <v>0</v>
      </c>
    </row>
    <row r="42" spans="1:7">
      <c r="A42" s="23" t="s">
        <v>44</v>
      </c>
      <c r="B42" s="19">
        <f>PHF及轉向比!B42</f>
        <v>0</v>
      </c>
      <c r="C42" s="20">
        <f>PHF及轉向比!G42</f>
        <v>0</v>
      </c>
      <c r="D42" s="21">
        <f>PHF及轉向比!L42</f>
        <v>0</v>
      </c>
      <c r="E42" s="21">
        <f>PHF及轉向比!Q42</f>
        <v>0</v>
      </c>
      <c r="F42" s="21">
        <f>PHF及轉向比!V42</f>
        <v>0</v>
      </c>
      <c r="G42" s="22">
        <f>PHF及轉向比!AA42</f>
        <v>0</v>
      </c>
    </row>
    <row r="43" spans="1:7">
      <c r="A43" s="23" t="s">
        <v>45</v>
      </c>
      <c r="B43" s="19">
        <f>PHF及轉向比!B43</f>
        <v>0</v>
      </c>
      <c r="C43" s="20">
        <f>PHF及轉向比!G43</f>
        <v>0</v>
      </c>
      <c r="D43" s="21">
        <f>PHF及轉向比!L43</f>
        <v>0</v>
      </c>
      <c r="E43" s="21">
        <f>PHF及轉向比!Q43</f>
        <v>0</v>
      </c>
      <c r="F43" s="21">
        <f>PHF及轉向比!V43</f>
        <v>0</v>
      </c>
      <c r="G43" s="22">
        <f>PHF及轉向比!AA43</f>
        <v>0</v>
      </c>
    </row>
    <row r="44" spans="1:7">
      <c r="A44" s="23" t="s">
        <v>46</v>
      </c>
      <c r="B44" s="19">
        <f>PHF及轉向比!B44</f>
        <v>0</v>
      </c>
      <c r="C44" s="20">
        <f>PHF及轉向比!G44</f>
        <v>0</v>
      </c>
      <c r="D44" s="21">
        <f>PHF及轉向比!L44</f>
        <v>0</v>
      </c>
      <c r="E44" s="21">
        <f>PHF及轉向比!Q44</f>
        <v>0</v>
      </c>
      <c r="F44" s="21">
        <f>PHF及轉向比!V44</f>
        <v>0</v>
      </c>
      <c r="G44" s="22">
        <f>PHF及轉向比!AA44</f>
        <v>0</v>
      </c>
    </row>
    <row r="45" spans="1:7">
      <c r="A45" s="18">
        <v>1000</v>
      </c>
      <c r="B45" s="19">
        <f>PHF及轉向比!B45</f>
        <v>0</v>
      </c>
      <c r="C45" s="20">
        <f>PHF及轉向比!G45</f>
        <v>0</v>
      </c>
      <c r="D45" s="21">
        <f>PHF及轉向比!L45</f>
        <v>0</v>
      </c>
      <c r="E45" s="21">
        <f>PHF及轉向比!Q45</f>
        <v>0</v>
      </c>
      <c r="F45" s="21">
        <f>PHF及轉向比!V45</f>
        <v>0</v>
      </c>
      <c r="G45" s="22">
        <f>PHF及轉向比!AA45</f>
        <v>0</v>
      </c>
    </row>
    <row r="46" spans="1:7">
      <c r="A46" s="18">
        <v>1015</v>
      </c>
      <c r="B46" s="19">
        <f>PHF及轉向比!B46</f>
        <v>0</v>
      </c>
      <c r="C46" s="20">
        <f>PHF及轉向比!G46</f>
        <v>0</v>
      </c>
      <c r="D46" s="21">
        <f>PHF及轉向比!L46</f>
        <v>0</v>
      </c>
      <c r="E46" s="21">
        <f>PHF及轉向比!Q46</f>
        <v>0</v>
      </c>
      <c r="F46" s="21">
        <f>PHF及轉向比!V46</f>
        <v>0</v>
      </c>
      <c r="G46" s="22">
        <f>PHF及轉向比!AA46</f>
        <v>0</v>
      </c>
    </row>
    <row r="47" spans="1:7">
      <c r="A47" s="18">
        <v>1030</v>
      </c>
      <c r="B47" s="19">
        <f>PHF及轉向比!B47</f>
        <v>0</v>
      </c>
      <c r="C47" s="20">
        <f>PHF及轉向比!G47</f>
        <v>0</v>
      </c>
      <c r="D47" s="21">
        <f>PHF及轉向比!L47</f>
        <v>0</v>
      </c>
      <c r="E47" s="21">
        <f>PHF及轉向比!Q47</f>
        <v>0</v>
      </c>
      <c r="F47" s="21">
        <f>PHF及轉向比!V47</f>
        <v>0</v>
      </c>
      <c r="G47" s="22">
        <f>PHF及轉向比!AA47</f>
        <v>0</v>
      </c>
    </row>
    <row r="48" spans="1:7">
      <c r="A48" s="18">
        <v>1045</v>
      </c>
      <c r="B48" s="19">
        <f>PHF及轉向比!B48</f>
        <v>0</v>
      </c>
      <c r="C48" s="20">
        <f>PHF及轉向比!G48</f>
        <v>0</v>
      </c>
      <c r="D48" s="21">
        <f>PHF及轉向比!L48</f>
        <v>0</v>
      </c>
      <c r="E48" s="21">
        <f>PHF及轉向比!Q48</f>
        <v>0</v>
      </c>
      <c r="F48" s="21">
        <f>PHF及轉向比!V48</f>
        <v>0</v>
      </c>
      <c r="G48" s="22">
        <f>PHF及轉向比!AA48</f>
        <v>0</v>
      </c>
    </row>
    <row r="49" spans="1:7">
      <c r="A49" s="18">
        <v>1100</v>
      </c>
      <c r="B49" s="19">
        <f>PHF及轉向比!B49</f>
        <v>0</v>
      </c>
      <c r="C49" s="20">
        <f>PHF及轉向比!G49</f>
        <v>0</v>
      </c>
      <c r="D49" s="21">
        <f>PHF及轉向比!L49</f>
        <v>0</v>
      </c>
      <c r="E49" s="21">
        <f>PHF及轉向比!Q49</f>
        <v>0</v>
      </c>
      <c r="F49" s="21">
        <f>PHF及轉向比!V49</f>
        <v>0</v>
      </c>
      <c r="G49" s="22">
        <f>PHF及轉向比!AA49</f>
        <v>0</v>
      </c>
    </row>
    <row r="50" spans="1:7">
      <c r="A50" s="18">
        <v>1115</v>
      </c>
      <c r="B50" s="19">
        <f>PHF及轉向比!B50</f>
        <v>0</v>
      </c>
      <c r="C50" s="20">
        <f>PHF及轉向比!G50</f>
        <v>0</v>
      </c>
      <c r="D50" s="21">
        <f>PHF及轉向比!L50</f>
        <v>0</v>
      </c>
      <c r="E50" s="21">
        <f>PHF及轉向比!Q50</f>
        <v>0</v>
      </c>
      <c r="F50" s="21">
        <f>PHF及轉向比!V50</f>
        <v>0</v>
      </c>
      <c r="G50" s="22">
        <f>PHF及轉向比!AA50</f>
        <v>0</v>
      </c>
    </row>
    <row r="51" spans="1:7">
      <c r="A51" s="18">
        <v>1130</v>
      </c>
      <c r="B51" s="19">
        <f>PHF及轉向比!B51</f>
        <v>0</v>
      </c>
      <c r="C51" s="20">
        <f>PHF及轉向比!G51</f>
        <v>0</v>
      </c>
      <c r="D51" s="21">
        <f>PHF及轉向比!L51</f>
        <v>0</v>
      </c>
      <c r="E51" s="21">
        <f>PHF及轉向比!Q51</f>
        <v>0</v>
      </c>
      <c r="F51" s="21">
        <f>PHF及轉向比!V51</f>
        <v>0</v>
      </c>
      <c r="G51" s="22">
        <f>PHF及轉向比!AA51</f>
        <v>0</v>
      </c>
    </row>
    <row r="52" spans="1:7">
      <c r="A52" s="18">
        <v>1145</v>
      </c>
      <c r="B52" s="19">
        <f>PHF及轉向比!B52</f>
        <v>0</v>
      </c>
      <c r="C52" s="20">
        <f>PHF及轉向比!G52</f>
        <v>0</v>
      </c>
      <c r="D52" s="21">
        <f>PHF及轉向比!L52</f>
        <v>0</v>
      </c>
      <c r="E52" s="21">
        <f>PHF及轉向比!Q52</f>
        <v>0</v>
      </c>
      <c r="F52" s="21">
        <f>PHF及轉向比!V52</f>
        <v>0</v>
      </c>
      <c r="G52" s="22">
        <f>PHF及轉向比!AA52</f>
        <v>0</v>
      </c>
    </row>
    <row r="53" spans="1:7">
      <c r="A53" s="18">
        <v>1200</v>
      </c>
      <c r="B53" s="19">
        <f>PHF及轉向比!B53</f>
        <v>0</v>
      </c>
      <c r="C53" s="20">
        <f>PHF及轉向比!G53</f>
        <v>0</v>
      </c>
      <c r="D53" s="21">
        <f>PHF及轉向比!L53</f>
        <v>0</v>
      </c>
      <c r="E53" s="21">
        <f>PHF及轉向比!Q53</f>
        <v>0</v>
      </c>
      <c r="F53" s="21">
        <f>PHF及轉向比!V53</f>
        <v>0</v>
      </c>
      <c r="G53" s="22">
        <f>PHF及轉向比!AA53</f>
        <v>0</v>
      </c>
    </row>
    <row r="54" spans="1:7">
      <c r="A54" s="18">
        <v>1215</v>
      </c>
      <c r="B54" s="19">
        <f>PHF及轉向比!B54</f>
        <v>0</v>
      </c>
      <c r="C54" s="20">
        <f>PHF及轉向比!G54</f>
        <v>0</v>
      </c>
      <c r="D54" s="21">
        <f>PHF及轉向比!L54</f>
        <v>0</v>
      </c>
      <c r="E54" s="21">
        <f>PHF及轉向比!Q54</f>
        <v>0</v>
      </c>
      <c r="F54" s="21">
        <f>PHF及轉向比!V54</f>
        <v>0</v>
      </c>
      <c r="G54" s="22">
        <f>PHF及轉向比!AA54</f>
        <v>0</v>
      </c>
    </row>
    <row r="55" spans="1:7">
      <c r="A55" s="18">
        <v>1230</v>
      </c>
      <c r="B55" s="19">
        <f>PHF及轉向比!B55</f>
        <v>0</v>
      </c>
      <c r="C55" s="20">
        <f>PHF及轉向比!G55</f>
        <v>0</v>
      </c>
      <c r="D55" s="21">
        <f>PHF及轉向比!L55</f>
        <v>0</v>
      </c>
      <c r="E55" s="21">
        <f>PHF及轉向比!Q55</f>
        <v>0</v>
      </c>
      <c r="F55" s="21">
        <f>PHF及轉向比!V55</f>
        <v>0</v>
      </c>
      <c r="G55" s="22">
        <f>PHF及轉向比!AA55</f>
        <v>0</v>
      </c>
    </row>
    <row r="56" spans="1:7">
      <c r="A56" s="18">
        <v>1245</v>
      </c>
      <c r="B56" s="19">
        <f>PHF及轉向比!B56</f>
        <v>0</v>
      </c>
      <c r="C56" s="20">
        <f>PHF及轉向比!G56</f>
        <v>0</v>
      </c>
      <c r="D56" s="21">
        <f>PHF及轉向比!L56</f>
        <v>0</v>
      </c>
      <c r="E56" s="21">
        <f>PHF及轉向比!Q56</f>
        <v>0</v>
      </c>
      <c r="F56" s="21">
        <f>PHF及轉向比!V56</f>
        <v>0</v>
      </c>
      <c r="G56" s="22">
        <f>PHF及轉向比!AA56</f>
        <v>0</v>
      </c>
    </row>
    <row r="57" spans="1:7">
      <c r="A57" s="18">
        <v>1300</v>
      </c>
      <c r="B57" s="19">
        <f>PHF及轉向比!B57</f>
        <v>0</v>
      </c>
      <c r="C57" s="20">
        <f>PHF及轉向比!G57</f>
        <v>0</v>
      </c>
      <c r="D57" s="21">
        <f>PHF及轉向比!L57</f>
        <v>0</v>
      </c>
      <c r="E57" s="21">
        <f>PHF及轉向比!Q57</f>
        <v>0</v>
      </c>
      <c r="F57" s="21">
        <f>PHF及轉向比!V57</f>
        <v>0</v>
      </c>
      <c r="G57" s="22">
        <f>PHF及轉向比!AA57</f>
        <v>0</v>
      </c>
    </row>
    <row r="58" spans="1:7">
      <c r="A58" s="18">
        <v>1315</v>
      </c>
      <c r="B58" s="19">
        <f>PHF及轉向比!B58</f>
        <v>0</v>
      </c>
      <c r="C58" s="20">
        <f>PHF及轉向比!G58</f>
        <v>0</v>
      </c>
      <c r="D58" s="21">
        <f>PHF及轉向比!L58</f>
        <v>0</v>
      </c>
      <c r="E58" s="21">
        <f>PHF及轉向比!Q58</f>
        <v>0</v>
      </c>
      <c r="F58" s="21">
        <f>PHF及轉向比!V58</f>
        <v>0</v>
      </c>
      <c r="G58" s="22">
        <f>PHF及轉向比!AA58</f>
        <v>0</v>
      </c>
    </row>
    <row r="59" spans="1:7">
      <c r="A59" s="18">
        <v>1330</v>
      </c>
      <c r="B59" s="19">
        <f>PHF及轉向比!B59</f>
        <v>0</v>
      </c>
      <c r="C59" s="20">
        <f>PHF及轉向比!G59</f>
        <v>0</v>
      </c>
      <c r="D59" s="21">
        <f>PHF及轉向比!L59</f>
        <v>0</v>
      </c>
      <c r="E59" s="21">
        <f>PHF及轉向比!Q59</f>
        <v>0</v>
      </c>
      <c r="F59" s="21">
        <f>PHF及轉向比!V59</f>
        <v>0</v>
      </c>
      <c r="G59" s="22">
        <f>PHF及轉向比!AA59</f>
        <v>0</v>
      </c>
    </row>
    <row r="60" spans="1:7">
      <c r="A60" s="18">
        <v>1345</v>
      </c>
      <c r="B60" s="19">
        <f>PHF及轉向比!B60</f>
        <v>0</v>
      </c>
      <c r="C60" s="20">
        <f>PHF及轉向比!G60</f>
        <v>0</v>
      </c>
      <c r="D60" s="21">
        <f>PHF及轉向比!L60</f>
        <v>0</v>
      </c>
      <c r="E60" s="21">
        <f>PHF及轉向比!Q60</f>
        <v>0</v>
      </c>
      <c r="F60" s="21">
        <f>PHF及轉向比!V60</f>
        <v>0</v>
      </c>
      <c r="G60" s="22">
        <f>PHF及轉向比!AA60</f>
        <v>0</v>
      </c>
    </row>
    <row r="61" spans="1:7">
      <c r="A61" s="18">
        <v>1400</v>
      </c>
      <c r="B61" s="19">
        <f>PHF及轉向比!B61</f>
        <v>0</v>
      </c>
      <c r="C61" s="20">
        <f>PHF及轉向比!G61</f>
        <v>0</v>
      </c>
      <c r="D61" s="21">
        <f>PHF及轉向比!L61</f>
        <v>0</v>
      </c>
      <c r="E61" s="21">
        <f>PHF及轉向比!Q61</f>
        <v>0</v>
      </c>
      <c r="F61" s="21">
        <f>PHF及轉向比!V61</f>
        <v>0</v>
      </c>
      <c r="G61" s="22">
        <f>PHF及轉向比!AA61</f>
        <v>0</v>
      </c>
    </row>
    <row r="62" spans="1:7">
      <c r="A62" s="18">
        <v>1415</v>
      </c>
      <c r="B62" s="19">
        <f>PHF及轉向比!B62</f>
        <v>0</v>
      </c>
      <c r="C62" s="20">
        <f>PHF及轉向比!G62</f>
        <v>0</v>
      </c>
      <c r="D62" s="21">
        <f>PHF及轉向比!L62</f>
        <v>0</v>
      </c>
      <c r="E62" s="21">
        <f>PHF及轉向比!Q62</f>
        <v>0</v>
      </c>
      <c r="F62" s="21">
        <f>PHF及轉向比!V62</f>
        <v>0</v>
      </c>
      <c r="G62" s="22">
        <f>PHF及轉向比!AA62</f>
        <v>0</v>
      </c>
    </row>
    <row r="63" spans="1:7">
      <c r="A63" s="18">
        <v>1430</v>
      </c>
      <c r="B63" s="19">
        <f>PHF及轉向比!B63</f>
        <v>0</v>
      </c>
      <c r="C63" s="20">
        <f>PHF及轉向比!G63</f>
        <v>0</v>
      </c>
      <c r="D63" s="21">
        <f>PHF及轉向比!L63</f>
        <v>0</v>
      </c>
      <c r="E63" s="21">
        <f>PHF及轉向比!Q63</f>
        <v>0</v>
      </c>
      <c r="F63" s="21">
        <f>PHF及轉向比!V63</f>
        <v>0</v>
      </c>
      <c r="G63" s="22">
        <f>PHF及轉向比!AA63</f>
        <v>0</v>
      </c>
    </row>
    <row r="64" spans="1:7">
      <c r="A64" s="18">
        <v>1445</v>
      </c>
      <c r="B64" s="19">
        <f>PHF及轉向比!B64</f>
        <v>0</v>
      </c>
      <c r="C64" s="20">
        <f>PHF及轉向比!G64</f>
        <v>0</v>
      </c>
      <c r="D64" s="21">
        <f>PHF及轉向比!L64</f>
        <v>0</v>
      </c>
      <c r="E64" s="21">
        <f>PHF及轉向比!Q64</f>
        <v>0</v>
      </c>
      <c r="F64" s="21">
        <f>PHF及轉向比!V64</f>
        <v>0</v>
      </c>
      <c r="G64" s="22">
        <f>PHF及轉向比!AA64</f>
        <v>0</v>
      </c>
    </row>
    <row r="65" spans="1:7">
      <c r="A65" s="18">
        <v>1500</v>
      </c>
      <c r="B65" s="19">
        <f>PHF及轉向比!B65</f>
        <v>0</v>
      </c>
      <c r="C65" s="20">
        <f>PHF及轉向比!G65</f>
        <v>0</v>
      </c>
      <c r="D65" s="21">
        <f>PHF及轉向比!L65</f>
        <v>0</v>
      </c>
      <c r="E65" s="21">
        <f>PHF及轉向比!Q65</f>
        <v>0</v>
      </c>
      <c r="F65" s="21">
        <f>PHF及轉向比!V65</f>
        <v>0</v>
      </c>
      <c r="G65" s="22">
        <f>PHF及轉向比!AA65</f>
        <v>0</v>
      </c>
    </row>
    <row r="66" spans="1:7">
      <c r="A66" s="18">
        <v>1515</v>
      </c>
      <c r="B66" s="19">
        <f>PHF及轉向比!B66</f>
        <v>0</v>
      </c>
      <c r="C66" s="20">
        <f>PHF及轉向比!G66</f>
        <v>0</v>
      </c>
      <c r="D66" s="21">
        <f>PHF及轉向比!L66</f>
        <v>0</v>
      </c>
      <c r="E66" s="21">
        <f>PHF及轉向比!Q66</f>
        <v>0</v>
      </c>
      <c r="F66" s="21">
        <f>PHF及轉向比!V66</f>
        <v>0</v>
      </c>
      <c r="G66" s="22">
        <f>PHF及轉向比!AA66</f>
        <v>0</v>
      </c>
    </row>
    <row r="67" spans="1:7">
      <c r="A67" s="18">
        <v>1530</v>
      </c>
      <c r="B67" s="19">
        <f>PHF及轉向比!B67</f>
        <v>0</v>
      </c>
      <c r="C67" s="20">
        <f>PHF及轉向比!G67</f>
        <v>0</v>
      </c>
      <c r="D67" s="21">
        <f>PHF及轉向比!L67</f>
        <v>0</v>
      </c>
      <c r="E67" s="21">
        <f>PHF及轉向比!Q67</f>
        <v>0</v>
      </c>
      <c r="F67" s="21">
        <f>PHF及轉向比!V67</f>
        <v>0</v>
      </c>
      <c r="G67" s="22">
        <f>PHF及轉向比!AA67</f>
        <v>0</v>
      </c>
    </row>
    <row r="68" spans="1:7">
      <c r="A68" s="18">
        <v>1545</v>
      </c>
      <c r="B68" s="19">
        <f>PHF及轉向比!B68</f>
        <v>0</v>
      </c>
      <c r="C68" s="20">
        <f>PHF及轉向比!G68</f>
        <v>0</v>
      </c>
      <c r="D68" s="21">
        <f>PHF及轉向比!L68</f>
        <v>0</v>
      </c>
      <c r="E68" s="21">
        <f>PHF及轉向比!Q68</f>
        <v>0</v>
      </c>
      <c r="F68" s="21">
        <f>PHF及轉向比!V68</f>
        <v>0</v>
      </c>
      <c r="G68" s="22">
        <f>PHF及轉向比!AA68</f>
        <v>0</v>
      </c>
    </row>
    <row r="69" spans="1:7">
      <c r="A69" s="18">
        <v>1600</v>
      </c>
      <c r="B69" s="19">
        <f>PHF及轉向比!B69</f>
        <v>0</v>
      </c>
      <c r="C69" s="20">
        <f>PHF及轉向比!G69</f>
        <v>0</v>
      </c>
      <c r="D69" s="21">
        <f>PHF及轉向比!L69</f>
        <v>0</v>
      </c>
      <c r="E69" s="21">
        <f>PHF及轉向比!Q69</f>
        <v>0</v>
      </c>
      <c r="F69" s="21">
        <f>PHF及轉向比!V69</f>
        <v>0</v>
      </c>
      <c r="G69" s="22">
        <f>PHF及轉向比!AA69</f>
        <v>0</v>
      </c>
    </row>
    <row r="70" spans="1:7">
      <c r="A70" s="18">
        <v>1615</v>
      </c>
      <c r="B70" s="19">
        <f>PHF及轉向比!B70</f>
        <v>0</v>
      </c>
      <c r="C70" s="20">
        <f>PHF及轉向比!G70</f>
        <v>0</v>
      </c>
      <c r="D70" s="21">
        <f>PHF及轉向比!L70</f>
        <v>0</v>
      </c>
      <c r="E70" s="21">
        <f>PHF及轉向比!Q70</f>
        <v>0</v>
      </c>
      <c r="F70" s="21">
        <f>PHF及轉向比!V70</f>
        <v>0</v>
      </c>
      <c r="G70" s="22">
        <f>PHF及轉向比!AA70</f>
        <v>0</v>
      </c>
    </row>
    <row r="71" spans="1:7">
      <c r="A71" s="18">
        <v>1630</v>
      </c>
      <c r="B71" s="19">
        <f>PHF及轉向比!B71</f>
        <v>0</v>
      </c>
      <c r="C71" s="20">
        <f>PHF及轉向比!G71</f>
        <v>0</v>
      </c>
      <c r="D71" s="21">
        <f>PHF及轉向比!L71</f>
        <v>0</v>
      </c>
      <c r="E71" s="21">
        <f>PHF及轉向比!Q71</f>
        <v>0</v>
      </c>
      <c r="F71" s="21">
        <f>PHF及轉向比!V71</f>
        <v>0</v>
      </c>
      <c r="G71" s="22">
        <f>PHF及轉向比!AA71</f>
        <v>0</v>
      </c>
    </row>
    <row r="72" spans="1:7">
      <c r="A72" s="18">
        <v>1645</v>
      </c>
      <c r="B72" s="19">
        <f>PHF及轉向比!B72</f>
        <v>0</v>
      </c>
      <c r="C72" s="20">
        <f>PHF及轉向比!G72</f>
        <v>0</v>
      </c>
      <c r="D72" s="21">
        <f>PHF及轉向比!L72</f>
        <v>0</v>
      </c>
      <c r="E72" s="21">
        <f>PHF及轉向比!Q72</f>
        <v>0</v>
      </c>
      <c r="F72" s="21">
        <f>PHF及轉向比!V72</f>
        <v>0</v>
      </c>
      <c r="G72" s="22">
        <f>PHF及轉向比!AA72</f>
        <v>0</v>
      </c>
    </row>
    <row r="73" spans="1:7">
      <c r="A73" s="18">
        <v>1700</v>
      </c>
      <c r="B73" s="19">
        <f>PHF及轉向比!B73</f>
        <v>0</v>
      </c>
      <c r="C73" s="20">
        <f>PHF及轉向比!G73</f>
        <v>0</v>
      </c>
      <c r="D73" s="21">
        <f>PHF及轉向比!L73</f>
        <v>0</v>
      </c>
      <c r="E73" s="21">
        <f>PHF及轉向比!Q73</f>
        <v>0</v>
      </c>
      <c r="F73" s="21">
        <f>PHF及轉向比!V73</f>
        <v>0</v>
      </c>
      <c r="G73" s="22">
        <f>PHF及轉向比!AA73</f>
        <v>0</v>
      </c>
    </row>
    <row r="74" spans="1:7">
      <c r="A74" s="18">
        <v>1715</v>
      </c>
      <c r="B74" s="19">
        <f>PHF及轉向比!B74</f>
        <v>0</v>
      </c>
      <c r="C74" s="20">
        <f>PHF及轉向比!G74</f>
        <v>0</v>
      </c>
      <c r="D74" s="21">
        <f>PHF及轉向比!L74</f>
        <v>0</v>
      </c>
      <c r="E74" s="21">
        <f>PHF及轉向比!Q74</f>
        <v>0</v>
      </c>
      <c r="F74" s="21">
        <f>PHF及轉向比!V74</f>
        <v>0</v>
      </c>
      <c r="G74" s="22">
        <f>PHF及轉向比!AA74</f>
        <v>0</v>
      </c>
    </row>
    <row r="75" spans="1:7">
      <c r="A75" s="18">
        <v>1730</v>
      </c>
      <c r="B75" s="19">
        <f>PHF及轉向比!B75</f>
        <v>0</v>
      </c>
      <c r="C75" s="20">
        <f>PHF及轉向比!G75</f>
        <v>0</v>
      </c>
      <c r="D75" s="21">
        <f>PHF及轉向比!L75</f>
        <v>0</v>
      </c>
      <c r="E75" s="21">
        <f>PHF及轉向比!Q75</f>
        <v>0</v>
      </c>
      <c r="F75" s="21">
        <f>PHF及轉向比!V75</f>
        <v>0</v>
      </c>
      <c r="G75" s="22">
        <f>PHF及轉向比!AA75</f>
        <v>0</v>
      </c>
    </row>
    <row r="76" spans="1:7">
      <c r="A76" s="18">
        <v>1745</v>
      </c>
      <c r="B76" s="19">
        <f>PHF及轉向比!B76</f>
        <v>0</v>
      </c>
      <c r="C76" s="20">
        <f>PHF及轉向比!G76</f>
        <v>0</v>
      </c>
      <c r="D76" s="21">
        <f>PHF及轉向比!L76</f>
        <v>0</v>
      </c>
      <c r="E76" s="21">
        <f>PHF及轉向比!Q76</f>
        <v>0</v>
      </c>
      <c r="F76" s="21">
        <f>PHF及轉向比!V76</f>
        <v>0</v>
      </c>
      <c r="G76" s="22">
        <f>PHF及轉向比!AA76</f>
        <v>0</v>
      </c>
    </row>
    <row r="77" spans="1:7">
      <c r="A77" s="18">
        <v>1800</v>
      </c>
      <c r="B77" s="19">
        <f>PHF及轉向比!B77</f>
        <v>0</v>
      </c>
      <c r="C77" s="20">
        <f>PHF及轉向比!G77</f>
        <v>0</v>
      </c>
      <c r="D77" s="21">
        <f>PHF及轉向比!L77</f>
        <v>0</v>
      </c>
      <c r="E77" s="21">
        <f>PHF及轉向比!Q77</f>
        <v>0</v>
      </c>
      <c r="F77" s="21">
        <f>PHF及轉向比!V77</f>
        <v>0</v>
      </c>
      <c r="G77" s="22">
        <f>PHF及轉向比!AA77</f>
        <v>0</v>
      </c>
    </row>
    <row r="78" spans="1:7">
      <c r="A78" s="18">
        <v>1815</v>
      </c>
      <c r="B78" s="19">
        <f>PHF及轉向比!B78</f>
        <v>0</v>
      </c>
      <c r="C78" s="20">
        <f>PHF及轉向比!G78</f>
        <v>0</v>
      </c>
      <c r="D78" s="21">
        <f>PHF及轉向比!L78</f>
        <v>0</v>
      </c>
      <c r="E78" s="21">
        <f>PHF及轉向比!Q78</f>
        <v>0</v>
      </c>
      <c r="F78" s="21">
        <f>PHF及轉向比!V78</f>
        <v>0</v>
      </c>
      <c r="G78" s="22">
        <f>PHF及轉向比!AA78</f>
        <v>0</v>
      </c>
    </row>
    <row r="79" spans="1:7">
      <c r="A79" s="18">
        <v>1830</v>
      </c>
      <c r="B79" s="19">
        <f>PHF及轉向比!B79</f>
        <v>0</v>
      </c>
      <c r="C79" s="20">
        <f>PHF及轉向比!G79</f>
        <v>0</v>
      </c>
      <c r="D79" s="21">
        <f>PHF及轉向比!L79</f>
        <v>0</v>
      </c>
      <c r="E79" s="21">
        <f>PHF及轉向比!Q79</f>
        <v>0</v>
      </c>
      <c r="F79" s="21">
        <f>PHF及轉向比!V79</f>
        <v>0</v>
      </c>
      <c r="G79" s="22">
        <f>PHF及轉向比!AA79</f>
        <v>0</v>
      </c>
    </row>
    <row r="80" spans="1:7">
      <c r="A80" s="18">
        <v>1845</v>
      </c>
      <c r="B80" s="19">
        <f>PHF及轉向比!B80</f>
        <v>0</v>
      </c>
      <c r="C80" s="20">
        <f>PHF及轉向比!G80</f>
        <v>0</v>
      </c>
      <c r="D80" s="21">
        <f>PHF及轉向比!L80</f>
        <v>0</v>
      </c>
      <c r="E80" s="21">
        <f>PHF及轉向比!Q80</f>
        <v>0</v>
      </c>
      <c r="F80" s="21">
        <f>PHF及轉向比!V80</f>
        <v>0</v>
      </c>
      <c r="G80" s="22">
        <f>PHF及轉向比!AA80</f>
        <v>0</v>
      </c>
    </row>
    <row r="81" spans="1:7">
      <c r="A81" s="18">
        <v>1900</v>
      </c>
      <c r="B81" s="19">
        <f>PHF及轉向比!B81</f>
        <v>0</v>
      </c>
      <c r="C81" s="20">
        <f>PHF及轉向比!G81</f>
        <v>0</v>
      </c>
      <c r="D81" s="21">
        <f>PHF及轉向比!L81</f>
        <v>0</v>
      </c>
      <c r="E81" s="21">
        <f>PHF及轉向比!Q81</f>
        <v>0</v>
      </c>
      <c r="F81" s="21">
        <f>PHF及轉向比!V81</f>
        <v>0</v>
      </c>
      <c r="G81" s="22">
        <f>PHF及轉向比!AA81</f>
        <v>0</v>
      </c>
    </row>
    <row r="82" spans="1:7">
      <c r="A82" s="18">
        <v>1915</v>
      </c>
      <c r="B82" s="19">
        <f>PHF及轉向比!B82</f>
        <v>0</v>
      </c>
      <c r="C82" s="20">
        <f>PHF及轉向比!G82</f>
        <v>0</v>
      </c>
      <c r="D82" s="21">
        <f>PHF及轉向比!L82</f>
        <v>0</v>
      </c>
      <c r="E82" s="21">
        <f>PHF及轉向比!Q82</f>
        <v>0</v>
      </c>
      <c r="F82" s="21">
        <f>PHF及轉向比!V82</f>
        <v>0</v>
      </c>
      <c r="G82" s="22">
        <f>PHF及轉向比!AA82</f>
        <v>0</v>
      </c>
    </row>
    <row r="83" spans="1:7">
      <c r="A83" s="18">
        <v>1930</v>
      </c>
      <c r="B83" s="19">
        <f>PHF及轉向比!B83</f>
        <v>0</v>
      </c>
      <c r="C83" s="20">
        <f>PHF及轉向比!G83</f>
        <v>0</v>
      </c>
      <c r="D83" s="21">
        <f>PHF及轉向比!L83</f>
        <v>0</v>
      </c>
      <c r="E83" s="21">
        <f>PHF及轉向比!Q83</f>
        <v>0</v>
      </c>
      <c r="F83" s="21">
        <f>PHF及轉向比!V83</f>
        <v>0</v>
      </c>
      <c r="G83" s="22">
        <f>PHF及轉向比!AA83</f>
        <v>0</v>
      </c>
    </row>
    <row r="84" spans="1:7">
      <c r="A84" s="18">
        <v>1945</v>
      </c>
      <c r="B84" s="19">
        <f>PHF及轉向比!B84</f>
        <v>0</v>
      </c>
      <c r="C84" s="20">
        <f>PHF及轉向比!G84</f>
        <v>0</v>
      </c>
      <c r="D84" s="21">
        <f>PHF及轉向比!L84</f>
        <v>0</v>
      </c>
      <c r="E84" s="21">
        <f>PHF及轉向比!Q84</f>
        <v>0</v>
      </c>
      <c r="F84" s="21">
        <f>PHF及轉向比!V84</f>
        <v>0</v>
      </c>
      <c r="G84" s="22">
        <f>PHF及轉向比!AA84</f>
        <v>0</v>
      </c>
    </row>
    <row r="85" spans="1:7">
      <c r="A85" s="18">
        <v>2000</v>
      </c>
      <c r="B85" s="19">
        <f>PHF及轉向比!B85</f>
        <v>0</v>
      </c>
      <c r="C85" s="20">
        <f>PHF及轉向比!G85</f>
        <v>0</v>
      </c>
      <c r="D85" s="21">
        <f>PHF及轉向比!L85</f>
        <v>0</v>
      </c>
      <c r="E85" s="21">
        <f>PHF及轉向比!Q85</f>
        <v>0</v>
      </c>
      <c r="F85" s="21">
        <f>PHF及轉向比!V85</f>
        <v>0</v>
      </c>
      <c r="G85" s="22">
        <f>PHF及轉向比!AA85</f>
        <v>0</v>
      </c>
    </row>
    <row r="86" spans="1:7">
      <c r="A86" s="18">
        <v>2015</v>
      </c>
      <c r="B86" s="19">
        <f>PHF及轉向比!B86</f>
        <v>0</v>
      </c>
      <c r="C86" s="20">
        <f>PHF及轉向比!G86</f>
        <v>0</v>
      </c>
      <c r="D86" s="21">
        <f>PHF及轉向比!L86</f>
        <v>0</v>
      </c>
      <c r="E86" s="21">
        <f>PHF及轉向比!Q86</f>
        <v>0</v>
      </c>
      <c r="F86" s="21">
        <f>PHF及轉向比!V86</f>
        <v>0</v>
      </c>
      <c r="G86" s="22">
        <f>PHF及轉向比!AA86</f>
        <v>0</v>
      </c>
    </row>
    <row r="87" spans="1:7">
      <c r="A87" s="18">
        <v>2030</v>
      </c>
      <c r="B87" s="19">
        <f>PHF及轉向比!B87</f>
        <v>0</v>
      </c>
      <c r="C87" s="20">
        <f>PHF及轉向比!G87</f>
        <v>0</v>
      </c>
      <c r="D87" s="21">
        <f>PHF及轉向比!L87</f>
        <v>0</v>
      </c>
      <c r="E87" s="21">
        <f>PHF及轉向比!Q87</f>
        <v>0</v>
      </c>
      <c r="F87" s="21">
        <f>PHF及轉向比!V87</f>
        <v>0</v>
      </c>
      <c r="G87" s="22">
        <f>PHF及轉向比!AA87</f>
        <v>0</v>
      </c>
    </row>
    <row r="88" spans="1:7">
      <c r="A88" s="18">
        <v>2045</v>
      </c>
      <c r="B88" s="19">
        <f>PHF及轉向比!B88</f>
        <v>0</v>
      </c>
      <c r="C88" s="20">
        <f>PHF及轉向比!G88</f>
        <v>0</v>
      </c>
      <c r="D88" s="21">
        <f>PHF及轉向比!L88</f>
        <v>0</v>
      </c>
      <c r="E88" s="21">
        <f>PHF及轉向比!Q88</f>
        <v>0</v>
      </c>
      <c r="F88" s="21">
        <f>PHF及轉向比!V88</f>
        <v>0</v>
      </c>
      <c r="G88" s="22">
        <f>PHF及轉向比!AA88</f>
        <v>0</v>
      </c>
    </row>
    <row r="89" spans="1:7">
      <c r="A89" s="18">
        <v>2100</v>
      </c>
      <c r="B89" s="19">
        <f>PHF及轉向比!B89</f>
        <v>0</v>
      </c>
      <c r="C89" s="20">
        <f>PHF及轉向比!G89</f>
        <v>0</v>
      </c>
      <c r="D89" s="21">
        <f>PHF及轉向比!L89</f>
        <v>0</v>
      </c>
      <c r="E89" s="21">
        <f>PHF及轉向比!Q89</f>
        <v>0</v>
      </c>
      <c r="F89" s="21">
        <f>PHF及轉向比!V89</f>
        <v>0</v>
      </c>
      <c r="G89" s="22">
        <f>PHF及轉向比!AA89</f>
        <v>0</v>
      </c>
    </row>
    <row r="90" spans="1:7">
      <c r="A90" s="18">
        <v>2115</v>
      </c>
      <c r="B90" s="19">
        <f>PHF及轉向比!B90</f>
        <v>0</v>
      </c>
      <c r="C90" s="20">
        <f>PHF及轉向比!G90</f>
        <v>0</v>
      </c>
      <c r="D90" s="21">
        <f>PHF及轉向比!L90</f>
        <v>0</v>
      </c>
      <c r="E90" s="21">
        <f>PHF及轉向比!Q90</f>
        <v>0</v>
      </c>
      <c r="F90" s="21">
        <f>PHF及轉向比!V90</f>
        <v>0</v>
      </c>
      <c r="G90" s="22">
        <f>PHF及轉向比!AA90</f>
        <v>0</v>
      </c>
    </row>
    <row r="91" spans="1:7">
      <c r="A91" s="18">
        <v>2130</v>
      </c>
      <c r="B91" s="19">
        <f>PHF及轉向比!B91</f>
        <v>0</v>
      </c>
      <c r="C91" s="20">
        <f>PHF及轉向比!G91</f>
        <v>0</v>
      </c>
      <c r="D91" s="21">
        <f>PHF及轉向比!L91</f>
        <v>0</v>
      </c>
      <c r="E91" s="21">
        <f>PHF及轉向比!Q91</f>
        <v>0</v>
      </c>
      <c r="F91" s="21">
        <f>PHF及轉向比!V91</f>
        <v>0</v>
      </c>
      <c r="G91" s="22">
        <f>PHF及轉向比!AA91</f>
        <v>0</v>
      </c>
    </row>
    <row r="92" spans="1:7">
      <c r="A92" s="18">
        <v>2145</v>
      </c>
      <c r="B92" s="19">
        <f>PHF及轉向比!B92</f>
        <v>0</v>
      </c>
      <c r="C92" s="20">
        <f>PHF及轉向比!G92</f>
        <v>0</v>
      </c>
      <c r="D92" s="21">
        <f>PHF及轉向比!L92</f>
        <v>0</v>
      </c>
      <c r="E92" s="21">
        <f>PHF及轉向比!Q92</f>
        <v>0</v>
      </c>
      <c r="F92" s="21">
        <f>PHF及轉向比!V92</f>
        <v>0</v>
      </c>
      <c r="G92" s="22">
        <f>PHF及轉向比!AA92</f>
        <v>0</v>
      </c>
    </row>
    <row r="93" spans="1:7">
      <c r="A93" s="18">
        <v>2200</v>
      </c>
      <c r="B93" s="19">
        <f>PHF及轉向比!B93</f>
        <v>0</v>
      </c>
      <c r="C93" s="20">
        <f>PHF及轉向比!G93</f>
        <v>0</v>
      </c>
      <c r="D93" s="21">
        <f>PHF及轉向比!L93</f>
        <v>0</v>
      </c>
      <c r="E93" s="21">
        <f>PHF及轉向比!Q93</f>
        <v>0</v>
      </c>
      <c r="F93" s="21">
        <f>PHF及轉向比!V93</f>
        <v>0</v>
      </c>
      <c r="G93" s="22">
        <f>PHF及轉向比!AA93</f>
        <v>0</v>
      </c>
    </row>
    <row r="94" spans="1:7">
      <c r="A94" s="18">
        <v>2215</v>
      </c>
      <c r="B94" s="19">
        <f>PHF及轉向比!B94</f>
        <v>0</v>
      </c>
      <c r="C94" s="20">
        <f>PHF及轉向比!G94</f>
        <v>0</v>
      </c>
      <c r="D94" s="21">
        <f>PHF及轉向比!L94</f>
        <v>0</v>
      </c>
      <c r="E94" s="21">
        <f>PHF及轉向比!Q94</f>
        <v>0</v>
      </c>
      <c r="F94" s="21">
        <f>PHF及轉向比!V94</f>
        <v>0</v>
      </c>
      <c r="G94" s="22">
        <f>PHF及轉向比!AA94</f>
        <v>0</v>
      </c>
    </row>
    <row r="95" spans="1:7">
      <c r="A95" s="18">
        <v>2230</v>
      </c>
      <c r="B95" s="19">
        <f>PHF及轉向比!B95</f>
        <v>0</v>
      </c>
      <c r="C95" s="20">
        <f>PHF及轉向比!G95</f>
        <v>0</v>
      </c>
      <c r="D95" s="21">
        <f>PHF及轉向比!L95</f>
        <v>0</v>
      </c>
      <c r="E95" s="21">
        <f>PHF及轉向比!Q95</f>
        <v>0</v>
      </c>
      <c r="F95" s="21">
        <f>PHF及轉向比!V95</f>
        <v>0</v>
      </c>
      <c r="G95" s="22">
        <f>PHF及轉向比!AA95</f>
        <v>0</v>
      </c>
    </row>
    <row r="96" spans="1:7">
      <c r="A96" s="18">
        <v>2245</v>
      </c>
      <c r="B96" s="19">
        <f>PHF及轉向比!B96</f>
        <v>0</v>
      </c>
      <c r="C96" s="20">
        <f>PHF及轉向比!G96</f>
        <v>0</v>
      </c>
      <c r="D96" s="21">
        <f>PHF及轉向比!L96</f>
        <v>0</v>
      </c>
      <c r="E96" s="21">
        <f>PHF及轉向比!Q96</f>
        <v>0</v>
      </c>
      <c r="F96" s="21">
        <f>PHF及轉向比!V96</f>
        <v>0</v>
      </c>
      <c r="G96" s="22">
        <f>PHF及轉向比!AA96</f>
        <v>0</v>
      </c>
    </row>
    <row r="97" spans="1:7">
      <c r="A97" s="18">
        <v>2300</v>
      </c>
      <c r="B97" s="19">
        <f>PHF及轉向比!B97</f>
        <v>0</v>
      </c>
      <c r="C97" s="20">
        <f>PHF及轉向比!G97</f>
        <v>0</v>
      </c>
      <c r="D97" s="21">
        <f>PHF及轉向比!L97</f>
        <v>0</v>
      </c>
      <c r="E97" s="21">
        <f>PHF及轉向比!Q97</f>
        <v>0</v>
      </c>
      <c r="F97" s="21">
        <f>PHF及轉向比!V97</f>
        <v>0</v>
      </c>
      <c r="G97" s="22">
        <f>PHF及轉向比!AA97</f>
        <v>0</v>
      </c>
    </row>
    <row r="98" spans="1:7">
      <c r="A98" s="18">
        <v>2315</v>
      </c>
      <c r="B98" s="19">
        <f>PHF及轉向比!B98</f>
        <v>0</v>
      </c>
      <c r="C98" s="20">
        <f>PHF及轉向比!G98</f>
        <v>0</v>
      </c>
      <c r="D98" s="21">
        <f>PHF及轉向比!L98</f>
        <v>0</v>
      </c>
      <c r="E98" s="21">
        <f>PHF及轉向比!Q98</f>
        <v>0</v>
      </c>
      <c r="F98" s="21">
        <f>PHF及轉向比!V98</f>
        <v>0</v>
      </c>
      <c r="G98" s="22">
        <f>PHF及轉向比!AA98</f>
        <v>0</v>
      </c>
    </row>
    <row r="99" spans="1:7">
      <c r="A99" s="18">
        <v>2330</v>
      </c>
      <c r="B99" s="19">
        <f>PHF及轉向比!B99</f>
        <v>0</v>
      </c>
      <c r="C99" s="20">
        <f>PHF及轉向比!G99</f>
        <v>0</v>
      </c>
      <c r="D99" s="21">
        <f>PHF及轉向比!L99</f>
        <v>0</v>
      </c>
      <c r="E99" s="21">
        <f>PHF及轉向比!Q99</f>
        <v>0</v>
      </c>
      <c r="F99" s="21">
        <f>PHF及轉向比!V99</f>
        <v>0</v>
      </c>
      <c r="G99" s="22">
        <f>PHF及轉向比!AA99</f>
        <v>0</v>
      </c>
    </row>
    <row r="100" spans="1:7">
      <c r="A100" s="18">
        <v>2345</v>
      </c>
      <c r="B100" s="19">
        <f>PHF及轉向比!B100</f>
        <v>0</v>
      </c>
      <c r="C100" s="20">
        <f>PHF及轉向比!G100</f>
        <v>0</v>
      </c>
      <c r="D100" s="21">
        <f>PHF及轉向比!L100</f>
        <v>0</v>
      </c>
      <c r="E100" s="21">
        <f>PHF及轉向比!Q100</f>
        <v>0</v>
      </c>
      <c r="F100" s="21">
        <f>PHF及轉向比!V100</f>
        <v>0</v>
      </c>
      <c r="G100" s="22">
        <f>PHF及轉向比!AA100</f>
        <v>0</v>
      </c>
    </row>
    <row r="101" spans="1:7">
      <c r="B101" s="19"/>
      <c r="C101" s="20"/>
      <c r="D101" s="21"/>
      <c r="E101" s="21"/>
      <c r="F101" s="21"/>
      <c r="G101" s="22"/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29:A92 A5:A7 A8:A2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F70"/>
  <sheetViews>
    <sheetView topLeftCell="A32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5"/>
      <c r="B1" s="35"/>
      <c r="C1" s="35"/>
      <c r="D1" s="35"/>
      <c r="E1" s="35"/>
      <c r="F1" s="35"/>
      <c r="G1" s="35"/>
      <c r="H1" s="37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15.75" customHeight="1">
      <c r="A2" s="57"/>
      <c r="B2" s="39"/>
      <c r="C2" s="58"/>
      <c r="D2" s="59"/>
      <c r="E2" s="86"/>
      <c r="F2" s="35"/>
      <c r="G2" s="35"/>
      <c r="H2" s="44" t="s">
        <v>101</v>
      </c>
      <c r="I2" s="35"/>
      <c r="J2" s="35"/>
      <c r="K2" s="43">
        <f>'調查資料(OUT)'!$AM$8</f>
        <v>0</v>
      </c>
      <c r="L2" s="35"/>
      <c r="M2" s="35"/>
      <c r="N2" s="35"/>
      <c r="O2" s="35"/>
      <c r="P2" s="86"/>
      <c r="Q2" s="35"/>
      <c r="R2" s="35"/>
      <c r="S2" s="60" t="s">
        <v>96</v>
      </c>
      <c r="T2" s="38"/>
      <c r="U2" s="35"/>
      <c r="V2" s="43">
        <f>'調查資料(OUT)'!$AY$8</f>
        <v>0</v>
      </c>
      <c r="W2" s="35"/>
      <c r="X2" s="35"/>
      <c r="Y2" s="35"/>
      <c r="Z2" s="35"/>
      <c r="AA2" s="35"/>
      <c r="AB2" s="97"/>
      <c r="AC2" s="35"/>
      <c r="AD2" s="61"/>
      <c r="AE2" s="35"/>
      <c r="AF2" s="35"/>
    </row>
    <row r="3" spans="1:32" ht="12.95" customHeight="1">
      <c r="A3" s="62"/>
      <c r="B3" s="62"/>
      <c r="C3" s="62"/>
      <c r="D3" s="62"/>
      <c r="E3" s="87"/>
      <c r="F3" s="35" t="s">
        <v>14</v>
      </c>
      <c r="G3" s="35"/>
      <c r="H3" s="41">
        <f>SUM(G5:J5)</f>
        <v>0</v>
      </c>
      <c r="I3" s="35"/>
      <c r="J3" s="35"/>
      <c r="K3" s="39"/>
      <c r="L3" s="35"/>
      <c r="M3" s="35"/>
      <c r="N3" s="35"/>
      <c r="O3" s="35"/>
      <c r="P3" s="86"/>
      <c r="Q3" s="35"/>
      <c r="R3" s="40" t="s">
        <v>14</v>
      </c>
      <c r="S3" s="41">
        <f>SUM(R5:U5)</f>
        <v>0</v>
      </c>
      <c r="T3" s="35"/>
      <c r="U3" s="35"/>
      <c r="V3" s="35"/>
      <c r="W3" s="35"/>
      <c r="X3" s="35"/>
      <c r="Y3" s="35"/>
      <c r="Z3" s="35"/>
      <c r="AA3" s="35"/>
      <c r="AB3" s="97"/>
      <c r="AC3" s="35"/>
      <c r="AD3" s="35"/>
      <c r="AE3" s="35"/>
      <c r="AF3" s="35"/>
    </row>
    <row r="4" spans="1:32" ht="12.95" customHeight="1">
      <c r="A4" s="63"/>
      <c r="B4" s="64"/>
      <c r="C4" s="64"/>
      <c r="D4" s="64"/>
      <c r="E4" s="88"/>
      <c r="F4" s="42"/>
      <c r="G4" s="65" t="str">
        <f>IF($H3=0,"--",G5/$H3)</f>
        <v>--</v>
      </c>
      <c r="H4" s="65" t="str">
        <f t="shared" ref="H4:J4" si="0">IF($H3=0,"--",H5/$H3)</f>
        <v>--</v>
      </c>
      <c r="I4" s="65" t="str">
        <f t="shared" si="0"/>
        <v>--</v>
      </c>
      <c r="J4" s="65" t="str">
        <f t="shared" si="0"/>
        <v>--</v>
      </c>
      <c r="K4" s="43"/>
      <c r="L4" s="35"/>
      <c r="M4" s="41">
        <f>SUM(L5:O5)</f>
        <v>0</v>
      </c>
      <c r="N4" s="35"/>
      <c r="O4" s="35"/>
      <c r="P4" s="86"/>
      <c r="Q4" s="42"/>
      <c r="R4" s="65" t="str">
        <f>IF($S3=0,"--",R5/$S3)</f>
        <v>--</v>
      </c>
      <c r="S4" s="65" t="str">
        <f>IF($S3=0,"--",S5/$S3)</f>
        <v>--</v>
      </c>
      <c r="T4" s="65" t="str">
        <f>IF($S3=0,"--",T5/$S3)</f>
        <v>--</v>
      </c>
      <c r="U4" s="65" t="str">
        <f>IF($S3=0,"--",U5/$S3)</f>
        <v>--</v>
      </c>
      <c r="V4" s="42"/>
      <c r="W4" s="42"/>
      <c r="X4" s="41">
        <f>SUM(W5:Z5)</f>
        <v>0</v>
      </c>
      <c r="Y4" s="42"/>
      <c r="Z4" s="42"/>
      <c r="AA4" s="42"/>
      <c r="AB4" s="93"/>
      <c r="AC4" s="42"/>
      <c r="AD4" s="35"/>
      <c r="AE4" s="42"/>
      <c r="AF4" s="42"/>
    </row>
    <row r="5" spans="1:32" ht="12.95" customHeight="1">
      <c r="A5" s="66"/>
      <c r="B5" s="66"/>
      <c r="C5" s="66"/>
      <c r="D5" s="66"/>
      <c r="E5" s="89"/>
      <c r="F5" s="42"/>
      <c r="G5" s="41">
        <f>PHF及轉向比!EC98</f>
        <v>0</v>
      </c>
      <c r="H5" s="41">
        <f>PHF及轉向比!DX98</f>
        <v>0</v>
      </c>
      <c r="I5" s="41">
        <f>PHF及轉向比!DS98</f>
        <v>0</v>
      </c>
      <c r="J5" s="41">
        <f>PHF及轉向比!EH98</f>
        <v>0</v>
      </c>
      <c r="K5" s="42"/>
      <c r="L5" s="41">
        <f>+D19</f>
        <v>0</v>
      </c>
      <c r="M5" s="41">
        <f>+S30</f>
        <v>0</v>
      </c>
      <c r="N5" s="41">
        <f>+AC14</f>
        <v>0</v>
      </c>
      <c r="O5" s="41">
        <f>+R5</f>
        <v>0</v>
      </c>
      <c r="P5" s="102"/>
      <c r="Q5" s="42"/>
      <c r="R5" s="41">
        <f>PHF及轉向比!FI98</f>
        <v>0</v>
      </c>
      <c r="S5" s="41">
        <f>PHF及轉向比!FD98</f>
        <v>0</v>
      </c>
      <c r="T5" s="41">
        <f>PHF及轉向比!EY98</f>
        <v>0</v>
      </c>
      <c r="U5" s="41">
        <f>PHF及轉向比!ET98</f>
        <v>0</v>
      </c>
      <c r="V5" s="42"/>
      <c r="W5" s="41">
        <f>+J5</f>
        <v>0</v>
      </c>
      <c r="X5" s="41">
        <f>+D20</f>
        <v>0</v>
      </c>
      <c r="Y5" s="41">
        <f>+T30</f>
        <v>0</v>
      </c>
      <c r="Z5" s="41">
        <f>+AC13</f>
        <v>0</v>
      </c>
      <c r="AA5" s="42"/>
      <c r="AB5" s="93"/>
      <c r="AC5" s="42"/>
      <c r="AD5" s="42"/>
      <c r="AE5" s="42"/>
      <c r="AF5" s="42"/>
    </row>
    <row r="6" spans="1:32" ht="12.95" customHeight="1" thickBot="1">
      <c r="A6" s="85"/>
      <c r="B6" s="85"/>
      <c r="C6" s="85"/>
      <c r="D6" s="85"/>
      <c r="E6" s="90"/>
      <c r="F6" s="42"/>
      <c r="G6" s="42"/>
      <c r="H6" s="67"/>
      <c r="I6" s="67"/>
      <c r="J6" s="67"/>
      <c r="K6" s="42"/>
      <c r="L6" s="67"/>
      <c r="M6" s="67"/>
      <c r="N6" s="67"/>
      <c r="O6" s="67"/>
      <c r="P6" s="88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98"/>
      <c r="AC6" s="85"/>
      <c r="AD6" s="85"/>
      <c r="AE6" s="85"/>
      <c r="AF6" s="85"/>
    </row>
    <row r="7" spans="1:32" ht="12.95" customHeight="1">
      <c r="A7" s="42"/>
      <c r="B7" s="42"/>
      <c r="C7" s="42"/>
      <c r="D7" s="42"/>
      <c r="E7" s="42"/>
      <c r="F7" s="42"/>
      <c r="G7" s="42"/>
      <c r="H7" s="67"/>
      <c r="I7" s="67"/>
      <c r="J7" s="67"/>
      <c r="K7" s="42"/>
      <c r="L7" s="67"/>
      <c r="M7" s="67"/>
      <c r="N7" s="67"/>
      <c r="O7" s="67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2" ht="12.95" customHeight="1">
      <c r="A8" s="35"/>
      <c r="B8" s="35"/>
      <c r="C8" s="35"/>
      <c r="D8" s="35"/>
      <c r="E8" s="35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35"/>
      <c r="AD8" s="35"/>
      <c r="AE8" s="35"/>
      <c r="AF8" s="35"/>
    </row>
    <row r="9" spans="1:32" ht="12.95" customHeight="1">
      <c r="A9" s="35"/>
      <c r="B9" s="35"/>
      <c r="C9" s="35"/>
      <c r="D9" s="35"/>
      <c r="E9" s="35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35"/>
      <c r="AD9" s="35"/>
      <c r="AE9" s="35"/>
      <c r="AF9" s="35"/>
    </row>
    <row r="10" spans="1:32" ht="12.95" customHeight="1">
      <c r="A10" s="35"/>
      <c r="B10" s="35"/>
      <c r="C10" s="35"/>
      <c r="D10" s="35"/>
      <c r="E10" s="3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35"/>
      <c r="AD10" s="35"/>
      <c r="AE10" s="35"/>
      <c r="AF10" s="35"/>
    </row>
    <row r="11" spans="1:32" ht="12.95" customHeight="1">
      <c r="A11" s="35"/>
      <c r="B11" s="35"/>
      <c r="C11" s="35"/>
      <c r="D11" s="35"/>
      <c r="E11" s="3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35"/>
      <c r="AD11" s="35"/>
      <c r="AE11" s="35"/>
      <c r="AF11" s="35"/>
    </row>
    <row r="12" spans="1:32" ht="12.95" customHeight="1">
      <c r="B12" s="35"/>
      <c r="C12" s="35"/>
      <c r="D12" s="35"/>
      <c r="E12" s="3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35"/>
      <c r="AD12" s="35"/>
      <c r="AE12" s="35"/>
      <c r="AF12" s="35"/>
    </row>
    <row r="13" spans="1:32" ht="12.95" customHeight="1">
      <c r="A13" s="35"/>
      <c r="B13" s="42"/>
      <c r="C13" s="42"/>
      <c r="D13" s="41">
        <f>+G5</f>
        <v>0</v>
      </c>
      <c r="E13" s="3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1">
        <f>PHF及轉向比!BE98</f>
        <v>0</v>
      </c>
      <c r="AD13" s="65" t="str">
        <f>IF(AE$14=0,"--",AC13/AE$14)</f>
        <v>--</v>
      </c>
      <c r="AE13" s="40"/>
      <c r="AF13" s="42"/>
    </row>
    <row r="14" spans="1:32" ht="12.95" customHeight="1">
      <c r="A14" s="35"/>
      <c r="B14" s="35"/>
      <c r="C14" s="42"/>
      <c r="D14" s="41">
        <f>+S5</f>
        <v>0</v>
      </c>
      <c r="E14" s="67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1">
        <f>PHF及轉向比!AZ98</f>
        <v>0</v>
      </c>
      <c r="AD14" s="65" t="str">
        <f>IF(AE$14=0,"--",AC14/AE$14)</f>
        <v>--</v>
      </c>
      <c r="AE14" s="41">
        <f>SUM(AC13:AC16)</f>
        <v>0</v>
      </c>
      <c r="AF14" s="44" t="s">
        <v>15</v>
      </c>
    </row>
    <row r="15" spans="1:32" ht="12.95" customHeight="1">
      <c r="A15" s="35"/>
      <c r="B15" s="35"/>
      <c r="C15" s="41">
        <f>SUM(D13:D16)</f>
        <v>0</v>
      </c>
      <c r="D15" s="41">
        <f>+AC15</f>
        <v>0</v>
      </c>
      <c r="E15" s="67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1">
        <f>PHF及轉向比!AU98</f>
        <v>0</v>
      </c>
      <c r="AD15" s="65" t="str">
        <f>IF(AE$14=0,"--",AC15/AE$14)</f>
        <v>--</v>
      </c>
      <c r="AE15" s="42"/>
      <c r="AF15" s="42"/>
    </row>
    <row r="16" spans="1:32" ht="12.95" customHeight="1">
      <c r="A16" s="35"/>
      <c r="B16" s="35" t="s">
        <v>14</v>
      </c>
      <c r="C16" s="42"/>
      <c r="D16" s="41">
        <f>+R30</f>
        <v>0</v>
      </c>
      <c r="E16" s="67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1">
        <f>PHF及轉向比!AP98</f>
        <v>0</v>
      </c>
      <c r="AD16" s="65" t="str">
        <f>IF(AE$14=0,"--",AC16/AE$14)</f>
        <v>--</v>
      </c>
      <c r="AE16" s="39"/>
      <c r="AF16" s="42"/>
    </row>
    <row r="17" spans="1:32" ht="12.95" customHeight="1">
      <c r="A17" s="42"/>
      <c r="B17" s="42"/>
      <c r="C17" s="42"/>
      <c r="D17" s="42"/>
      <c r="E17" s="67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35"/>
      <c r="AD17" s="35"/>
      <c r="AF17" s="45">
        <f>'調查資料(OUT)'!$C$8</f>
        <v>0</v>
      </c>
    </row>
    <row r="18" spans="1:32" ht="12.95" customHeight="1">
      <c r="A18" s="100">
        <f>'調查資料(OUT)'!$AA$8</f>
        <v>0</v>
      </c>
      <c r="B18" s="35"/>
      <c r="C18" s="35"/>
      <c r="D18" s="67"/>
      <c r="E18" s="3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1:32" ht="12.95" customHeight="1">
      <c r="A19" s="69"/>
      <c r="B19" s="35"/>
      <c r="C19" s="65" t="str">
        <f>IF(B$21=0,"--",D19/B$21)</f>
        <v>--</v>
      </c>
      <c r="D19" s="41">
        <f>PHF及轉向比!DB98</f>
        <v>0</v>
      </c>
      <c r="E19" s="67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1">
        <f>+U5</f>
        <v>0</v>
      </c>
      <c r="AD19" s="36"/>
      <c r="AE19" s="42"/>
      <c r="AF19" s="42"/>
    </row>
    <row r="20" spans="1:32" ht="12.95" customHeight="1">
      <c r="A20" s="42"/>
      <c r="B20" s="36"/>
      <c r="C20" s="65" t="str">
        <f>IF(B$21=0,"--",D20/B$21)</f>
        <v>--</v>
      </c>
      <c r="D20" s="41">
        <f>PHF及轉向比!DG98</f>
        <v>0</v>
      </c>
      <c r="E20" s="67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1">
        <f>+I5</f>
        <v>0</v>
      </c>
      <c r="AD20" s="41">
        <f>SUM(AC19:AC22)</f>
        <v>0</v>
      </c>
      <c r="AE20" s="42"/>
      <c r="AF20" s="42"/>
    </row>
    <row r="21" spans="1:32" ht="12.95" customHeight="1">
      <c r="A21" s="44" t="s">
        <v>17</v>
      </c>
      <c r="B21" s="41">
        <f>SUM(D19:D22)</f>
        <v>0</v>
      </c>
      <c r="C21" s="65" t="str">
        <f>IF(B$21=0,"--",D21/B$21)</f>
        <v>--</v>
      </c>
      <c r="D21" s="41">
        <f>PHF及轉向比!CR98</f>
        <v>0</v>
      </c>
      <c r="E21" s="67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1">
        <f>+D21</f>
        <v>0</v>
      </c>
      <c r="AD21" s="42"/>
      <c r="AE21" s="42"/>
      <c r="AF21" s="42"/>
    </row>
    <row r="22" spans="1:32" ht="12.95" customHeight="1">
      <c r="A22" s="42"/>
      <c r="B22" s="40"/>
      <c r="C22" s="65" t="str">
        <f>IF(B$21=0,"--",D22/B$21)</f>
        <v>--</v>
      </c>
      <c r="D22" s="41">
        <f>PHF及轉向比!CW98</f>
        <v>0</v>
      </c>
      <c r="E22" s="67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1">
        <f>+U30</f>
        <v>0</v>
      </c>
      <c r="AD22" s="35"/>
      <c r="AE22" s="35"/>
      <c r="AF22" s="35"/>
    </row>
    <row r="23" spans="1:32" ht="12.95" customHeight="1">
      <c r="A23" s="35"/>
      <c r="B23" s="35"/>
      <c r="C23" s="35"/>
      <c r="D23" s="35"/>
      <c r="E23" s="67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35"/>
      <c r="AD23" s="35"/>
      <c r="AE23" s="35"/>
      <c r="AF23" s="35"/>
    </row>
    <row r="24" spans="1:32" ht="12.95" customHeight="1">
      <c r="A24" s="35"/>
      <c r="B24" s="35"/>
      <c r="C24" s="35"/>
      <c r="D24" s="35"/>
      <c r="E24" s="45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35"/>
      <c r="AD24" s="35"/>
      <c r="AE24" s="35"/>
      <c r="AF24" s="35"/>
    </row>
    <row r="25" spans="1:32" ht="12.95" customHeight="1">
      <c r="A25" s="35"/>
      <c r="B25" s="35"/>
      <c r="C25" s="35"/>
      <c r="D25" s="35"/>
      <c r="E25" s="67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35"/>
      <c r="AD25" s="35"/>
      <c r="AE25" s="35"/>
      <c r="AF25" s="35"/>
    </row>
    <row r="26" spans="1:32" ht="12.95" customHeight="1">
      <c r="A26" s="35"/>
      <c r="B26" s="35"/>
      <c r="C26" s="35"/>
      <c r="D26" s="35"/>
      <c r="E26" s="67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35"/>
      <c r="AD26" s="35"/>
      <c r="AE26" s="35"/>
      <c r="AF26" s="35"/>
    </row>
    <row r="27" spans="1:32" ht="12.95" customHeight="1">
      <c r="A27" s="35"/>
      <c r="B27" s="35"/>
      <c r="C27" s="35"/>
      <c r="D27" s="35"/>
      <c r="E27" s="67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35"/>
      <c r="AD27" s="35"/>
      <c r="AE27" s="35"/>
      <c r="AF27" s="35"/>
    </row>
    <row r="28" spans="1:32" ht="12.95" customHeight="1" thickBot="1">
      <c r="A28" s="35"/>
      <c r="B28" s="35"/>
      <c r="C28" s="70"/>
      <c r="D28" s="67"/>
      <c r="E28" s="67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12.95" customHeight="1">
      <c r="A29" s="91"/>
      <c r="B29" s="91"/>
      <c r="C29" s="91"/>
      <c r="D29" s="91"/>
      <c r="E29" s="9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94"/>
      <c r="AC29" s="95" t="s">
        <v>77</v>
      </c>
      <c r="AD29" s="96"/>
      <c r="AE29" s="96">
        <f>路口基本資料!B4</f>
        <v>0</v>
      </c>
      <c r="AF29" s="96"/>
    </row>
    <row r="30" spans="1:32" ht="12.95" customHeight="1">
      <c r="A30" s="42"/>
      <c r="B30" s="42"/>
      <c r="C30" s="42"/>
      <c r="D30" s="42"/>
      <c r="E30" s="88"/>
      <c r="F30" s="42"/>
      <c r="H30" s="42"/>
      <c r="I30" s="42"/>
      <c r="J30" s="42"/>
      <c r="K30" s="42"/>
      <c r="L30" s="41">
        <f>+D22</f>
        <v>0</v>
      </c>
      <c r="M30" s="41">
        <f>+H5</f>
        <v>0</v>
      </c>
      <c r="N30" s="41">
        <f>+T5</f>
        <v>0</v>
      </c>
      <c r="O30" s="41">
        <f>+AC16</f>
        <v>0</v>
      </c>
      <c r="P30" s="42"/>
      <c r="Q30" s="39"/>
      <c r="R30" s="41">
        <f>PHF及轉向比!BV98</f>
        <v>0</v>
      </c>
      <c r="S30" s="41">
        <f>PHF及轉向比!CA98</f>
        <v>0</v>
      </c>
      <c r="T30" s="41">
        <f>PHF及轉向比!CF98</f>
        <v>0</v>
      </c>
      <c r="U30" s="41">
        <f>PHF及轉向比!BQ98</f>
        <v>0</v>
      </c>
      <c r="V30" s="42"/>
      <c r="W30" s="42"/>
      <c r="X30" s="42"/>
      <c r="Y30" s="42"/>
      <c r="Z30" s="42"/>
      <c r="AA30" s="67"/>
      <c r="AB30" s="93"/>
      <c r="AC30" s="83" t="s">
        <v>103</v>
      </c>
      <c r="AD30" s="84" t="s">
        <v>104</v>
      </c>
      <c r="AF30" s="71"/>
    </row>
    <row r="31" spans="1:32" ht="12.95" customHeight="1">
      <c r="A31" s="42"/>
      <c r="B31" s="42"/>
      <c r="C31" s="42"/>
      <c r="D31" s="42"/>
      <c r="E31" s="88"/>
      <c r="F31" s="42"/>
      <c r="G31" s="35"/>
      <c r="H31" s="42"/>
      <c r="I31" s="42"/>
      <c r="J31" s="42"/>
      <c r="K31" s="42"/>
      <c r="L31" s="42"/>
      <c r="M31" s="35"/>
      <c r="N31" s="41">
        <f>SUM(L30:O30)</f>
        <v>0</v>
      </c>
      <c r="O31" s="42"/>
      <c r="P31" s="39"/>
      <c r="Q31" s="39"/>
      <c r="R31" s="65" t="str">
        <f>IF($T32=0,"--",R30/$T32)</f>
        <v>--</v>
      </c>
      <c r="S31" s="65" t="str">
        <f>IF($T32=0,"--",S30/$T32)</f>
        <v>--</v>
      </c>
      <c r="T31" s="65" t="str">
        <f>IF($T32=0,"--",T30/$T32)</f>
        <v>--</v>
      </c>
      <c r="U31" s="65" t="str">
        <f>IF($T32=0,"--",U30/$T32)</f>
        <v>--</v>
      </c>
      <c r="V31" s="42"/>
      <c r="W31" s="42"/>
      <c r="X31" s="42"/>
      <c r="Y31" s="42"/>
      <c r="Z31" s="42"/>
      <c r="AA31" s="72"/>
      <c r="AB31" s="93"/>
      <c r="AC31" s="83" t="s">
        <v>102</v>
      </c>
      <c r="AD31" s="71"/>
      <c r="AE31" s="73" t="str">
        <f>路口基本資料!$B$8</f>
        <v>YYYY/MM/DD</v>
      </c>
      <c r="AF31" s="71"/>
    </row>
    <row r="32" spans="1:32" ht="12.95" customHeight="1">
      <c r="A32" s="42"/>
      <c r="B32" s="42"/>
      <c r="C32" s="42"/>
      <c r="D32" s="42"/>
      <c r="E32" s="88"/>
      <c r="F32" s="42"/>
      <c r="G32" s="35"/>
      <c r="H32" s="42"/>
      <c r="I32" s="42"/>
      <c r="J32" s="42"/>
      <c r="K32" s="42"/>
      <c r="L32" s="42"/>
      <c r="M32" s="36"/>
      <c r="N32" s="42"/>
      <c r="O32" s="43"/>
      <c r="P32" s="39"/>
      <c r="Q32" s="39"/>
      <c r="R32" s="42"/>
      <c r="S32" s="35"/>
      <c r="T32" s="41">
        <f>SUM(R30:U30)</f>
        <v>0</v>
      </c>
      <c r="U32" s="42"/>
      <c r="V32" s="42"/>
      <c r="W32" s="42"/>
      <c r="X32" s="42"/>
      <c r="Y32" s="42"/>
      <c r="Z32" s="42"/>
      <c r="AA32" s="42"/>
      <c r="AB32" s="93"/>
      <c r="AC32" s="83" t="s">
        <v>105</v>
      </c>
      <c r="AD32" s="82">
        <f>PHF及轉向比!$AN$98</f>
        <v>1200</v>
      </c>
      <c r="AE32" s="82" t="s">
        <v>106</v>
      </c>
      <c r="AF32" s="82">
        <f>PHF及轉向比!$AO$98</f>
        <v>1300</v>
      </c>
    </row>
    <row r="33" spans="1:32" ht="12.95" customHeight="1">
      <c r="A33" s="42"/>
      <c r="B33" s="42"/>
      <c r="C33" s="42"/>
      <c r="D33" s="42"/>
      <c r="E33" s="88"/>
      <c r="F33" s="42"/>
      <c r="G33" s="35"/>
      <c r="H33" s="42"/>
      <c r="I33" s="42"/>
      <c r="J33" s="42"/>
      <c r="K33" s="42"/>
      <c r="L33" s="42"/>
      <c r="M33" s="42"/>
      <c r="N33" s="42"/>
      <c r="O33" s="42"/>
      <c r="P33" s="43">
        <f>'調查資料(OUT)'!$O$8</f>
        <v>0</v>
      </c>
      <c r="Q33" s="39"/>
      <c r="R33" s="36"/>
      <c r="S33" s="35"/>
      <c r="T33" s="46" t="s">
        <v>16</v>
      </c>
      <c r="U33" s="42"/>
      <c r="V33" s="42"/>
      <c r="W33" s="42"/>
      <c r="X33" s="42"/>
      <c r="Y33" s="42"/>
      <c r="Z33" s="42"/>
      <c r="AA33" s="42"/>
      <c r="AB33" s="93"/>
      <c r="AC33" s="83" t="s">
        <v>107</v>
      </c>
      <c r="AD33" s="82"/>
      <c r="AE33" s="82"/>
      <c r="AF33" s="82"/>
    </row>
    <row r="34" spans="1:32" ht="12.9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36"/>
      <c r="M34" s="46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75"/>
      <c r="AD34" s="35"/>
      <c r="AE34" s="35"/>
      <c r="AF34" s="35"/>
    </row>
    <row r="35" spans="1:32" ht="21">
      <c r="A35" s="455" t="str">
        <f>SUBSTITUTE("x_轉向交通量(假日晨峰)","x",路口基本資料!B5)</f>
        <v>_轉向交通量(假日晨峰)</v>
      </c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</row>
    <row r="36" spans="1:32" ht="21">
      <c r="A36" s="76"/>
      <c r="B36" s="77"/>
      <c r="C36" s="78"/>
      <c r="D36" s="79"/>
      <c r="E36" s="79"/>
      <c r="F36" s="80"/>
      <c r="G36" s="81"/>
      <c r="H36" s="78"/>
      <c r="I36" s="81"/>
      <c r="J36" s="81"/>
      <c r="K36" s="79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78"/>
      <c r="AF36" s="78"/>
    </row>
    <row r="37" spans="1:32" ht="12.95" customHeight="1">
      <c r="A37" s="57"/>
      <c r="B37" s="39"/>
      <c r="C37" s="58"/>
      <c r="D37" s="59"/>
      <c r="E37" s="86"/>
      <c r="F37" s="35"/>
      <c r="G37" s="35"/>
      <c r="H37" s="44" t="s">
        <v>101</v>
      </c>
      <c r="I37" s="35"/>
      <c r="J37" s="35"/>
      <c r="K37" s="43">
        <f>'調查資料(OUT)'!$AM$8</f>
        <v>0</v>
      </c>
      <c r="L37" s="35"/>
      <c r="M37" s="35"/>
      <c r="N37" s="35"/>
      <c r="O37" s="35"/>
      <c r="P37" s="86"/>
      <c r="Q37" s="35"/>
      <c r="R37" s="35"/>
      <c r="S37" s="60" t="s">
        <v>96</v>
      </c>
      <c r="T37" s="38"/>
      <c r="U37" s="35"/>
      <c r="V37" s="43">
        <f>'調查資料(OUT)'!$AY$8</f>
        <v>0</v>
      </c>
      <c r="W37" s="35"/>
      <c r="X37" s="35"/>
      <c r="Y37" s="35"/>
      <c r="Z37" s="35"/>
      <c r="AA37" s="35"/>
      <c r="AB37" s="97"/>
      <c r="AC37" s="35"/>
      <c r="AD37" s="61"/>
      <c r="AE37" s="35"/>
      <c r="AF37" s="35"/>
    </row>
    <row r="38" spans="1:32" ht="12.95" customHeight="1">
      <c r="A38" s="62"/>
      <c r="B38" s="62"/>
      <c r="C38" s="62"/>
      <c r="D38" s="62"/>
      <c r="E38" s="87"/>
      <c r="F38" s="35" t="s">
        <v>14</v>
      </c>
      <c r="G38" s="35"/>
      <c r="H38" s="41">
        <f>SUM(G40:J40)</f>
        <v>0</v>
      </c>
      <c r="I38" s="35"/>
      <c r="J38" s="35"/>
      <c r="K38" s="39"/>
      <c r="L38" s="35"/>
      <c r="M38" s="35"/>
      <c r="N38" s="35"/>
      <c r="O38" s="35"/>
      <c r="P38" s="86"/>
      <c r="Q38" s="35"/>
      <c r="R38" s="40" t="s">
        <v>14</v>
      </c>
      <c r="S38" s="41">
        <f>SUM(R40:U40)</f>
        <v>0</v>
      </c>
      <c r="T38" s="35"/>
      <c r="U38" s="35"/>
      <c r="V38" s="35"/>
      <c r="W38" s="35"/>
      <c r="X38" s="35"/>
      <c r="Y38" s="35"/>
      <c r="Z38" s="35"/>
      <c r="AA38" s="35"/>
      <c r="AB38" s="97"/>
      <c r="AC38" s="35"/>
      <c r="AD38" s="35"/>
      <c r="AE38" s="35"/>
      <c r="AF38" s="35"/>
    </row>
    <row r="39" spans="1:32" ht="12.95" customHeight="1">
      <c r="A39" s="63"/>
      <c r="B39" s="64"/>
      <c r="C39" s="64"/>
      <c r="D39" s="64"/>
      <c r="E39" s="88"/>
      <c r="F39" s="42"/>
      <c r="G39" s="65" t="str">
        <f>IF($H38=0,"--",G40/$H38)</f>
        <v>--</v>
      </c>
      <c r="H39" s="65" t="str">
        <f t="shared" ref="H39:J39" si="1">IF($H38=0,"--",H40/$H38)</f>
        <v>--</v>
      </c>
      <c r="I39" s="65" t="str">
        <f t="shared" si="1"/>
        <v>--</v>
      </c>
      <c r="J39" s="65" t="str">
        <f t="shared" si="1"/>
        <v>--</v>
      </c>
      <c r="K39" s="43"/>
      <c r="L39" s="35"/>
      <c r="M39" s="41">
        <f>SUM(L40:O40)</f>
        <v>0</v>
      </c>
      <c r="N39" s="35"/>
      <c r="O39" s="35"/>
      <c r="P39" s="86"/>
      <c r="Q39" s="42"/>
      <c r="R39" s="65" t="str">
        <f>IF($S38=0,"--",R40/$S38)</f>
        <v>--</v>
      </c>
      <c r="S39" s="65" t="str">
        <f>IF($S38=0,"--",S40/$S38)</f>
        <v>--</v>
      </c>
      <c r="T39" s="65" t="str">
        <f>IF($S38=0,"--",T40/$S38)</f>
        <v>--</v>
      </c>
      <c r="U39" s="65" t="str">
        <f>IF($S38=0,"--",U40/$S38)</f>
        <v>--</v>
      </c>
      <c r="V39" s="42"/>
      <c r="W39" s="42"/>
      <c r="X39" s="41">
        <f>SUM(W40:Z40)</f>
        <v>0</v>
      </c>
      <c r="Y39" s="42"/>
      <c r="Z39" s="42"/>
      <c r="AA39" s="42"/>
      <c r="AB39" s="93"/>
      <c r="AC39" s="42"/>
      <c r="AD39" s="35"/>
      <c r="AE39" s="42"/>
      <c r="AF39" s="42"/>
    </row>
    <row r="40" spans="1:32" ht="12.95" customHeight="1">
      <c r="A40" s="66"/>
      <c r="B40" s="66"/>
      <c r="C40" s="66"/>
      <c r="D40" s="66"/>
      <c r="E40" s="89"/>
      <c r="F40" s="42"/>
      <c r="G40" s="41">
        <f>PHF及轉向比!EC100</f>
        <v>0</v>
      </c>
      <c r="H40" s="41">
        <f>PHF及轉向比!DX100</f>
        <v>0</v>
      </c>
      <c r="I40" s="41">
        <f>PHF及轉向比!DS100</f>
        <v>0</v>
      </c>
      <c r="J40" s="41">
        <f>PHF及轉向比!EH100</f>
        <v>0</v>
      </c>
      <c r="K40" s="42"/>
      <c r="L40" s="41">
        <f>+D54</f>
        <v>0</v>
      </c>
      <c r="M40" s="41">
        <f>+S65</f>
        <v>0</v>
      </c>
      <c r="N40" s="41">
        <f>+AC49</f>
        <v>0</v>
      </c>
      <c r="O40" s="41">
        <f>+R40</f>
        <v>0</v>
      </c>
      <c r="P40" s="102"/>
      <c r="Q40" s="42"/>
      <c r="R40" s="41">
        <f>PHF及轉向比!FI100</f>
        <v>0</v>
      </c>
      <c r="S40" s="41">
        <f>PHF及轉向比!FD100</f>
        <v>0</v>
      </c>
      <c r="T40" s="41">
        <f>PHF及轉向比!EY100</f>
        <v>0</v>
      </c>
      <c r="U40" s="41">
        <f>PHF及轉向比!ET100</f>
        <v>0</v>
      </c>
      <c r="V40" s="42"/>
      <c r="W40" s="41">
        <f>+J40</f>
        <v>0</v>
      </c>
      <c r="X40" s="41">
        <f>+D55</f>
        <v>0</v>
      </c>
      <c r="Y40" s="41">
        <f>+T65</f>
        <v>0</v>
      </c>
      <c r="Z40" s="41">
        <f>+AC48</f>
        <v>0</v>
      </c>
      <c r="AA40" s="42"/>
      <c r="AB40" s="93"/>
      <c r="AC40" s="42"/>
      <c r="AD40" s="42"/>
      <c r="AE40" s="42"/>
      <c r="AF40" s="42"/>
    </row>
    <row r="41" spans="1:32" ht="12.95" customHeight="1" thickBot="1">
      <c r="A41" s="85"/>
      <c r="B41" s="85"/>
      <c r="C41" s="85"/>
      <c r="D41" s="85"/>
      <c r="E41" s="90"/>
      <c r="F41" s="42"/>
      <c r="G41" s="42"/>
      <c r="H41" s="67"/>
      <c r="I41" s="67"/>
      <c r="J41" s="67"/>
      <c r="K41" s="42"/>
      <c r="L41" s="67"/>
      <c r="M41" s="67"/>
      <c r="N41" s="67"/>
      <c r="O41" s="67"/>
      <c r="P41" s="88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98"/>
      <c r="AC41" s="85"/>
      <c r="AD41" s="85"/>
      <c r="AE41" s="85"/>
      <c r="AF41" s="85"/>
    </row>
    <row r="42" spans="1:32" ht="12.95" customHeight="1">
      <c r="A42" s="42"/>
      <c r="B42" s="42"/>
      <c r="C42" s="42"/>
      <c r="D42" s="42"/>
      <c r="E42" s="42"/>
      <c r="F42" s="42"/>
      <c r="G42" s="42"/>
      <c r="H42" s="67"/>
      <c r="I42" s="67"/>
      <c r="J42" s="67"/>
      <c r="K42" s="42"/>
      <c r="L42" s="67"/>
      <c r="M42" s="67"/>
      <c r="N42" s="67"/>
      <c r="O42" s="67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12.95" customHeight="1">
      <c r="A43" s="35"/>
      <c r="B43" s="35"/>
      <c r="C43" s="35"/>
      <c r="D43" s="35"/>
      <c r="E43" s="3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35"/>
      <c r="AD43" s="35"/>
      <c r="AE43" s="35"/>
      <c r="AF43" s="35"/>
    </row>
    <row r="44" spans="1:32" ht="12.95" customHeight="1">
      <c r="A44" s="35"/>
      <c r="B44" s="35"/>
      <c r="C44" s="35"/>
      <c r="D44" s="35"/>
      <c r="E44" s="3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35"/>
      <c r="AD44" s="35"/>
      <c r="AE44" s="35"/>
      <c r="AF44" s="35"/>
    </row>
    <row r="45" spans="1:32" ht="12.95" customHeight="1">
      <c r="A45" s="35"/>
      <c r="B45" s="35"/>
      <c r="C45" s="35"/>
      <c r="D45" s="35"/>
      <c r="E45" s="3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35"/>
      <c r="AD45" s="35"/>
      <c r="AE45" s="35"/>
      <c r="AF45" s="35"/>
    </row>
    <row r="46" spans="1:32" ht="12.95" customHeight="1">
      <c r="A46" s="35"/>
      <c r="B46" s="35"/>
      <c r="C46" s="35"/>
      <c r="D46" s="35"/>
      <c r="E46" s="3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35"/>
      <c r="AD46" s="35"/>
      <c r="AE46" s="35"/>
      <c r="AF46" s="35"/>
    </row>
    <row r="47" spans="1:32" ht="12.95" customHeight="1">
      <c r="B47" s="35"/>
      <c r="C47" s="35"/>
      <c r="D47" s="35"/>
      <c r="E47" s="3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35"/>
      <c r="AD47" s="35"/>
      <c r="AE47" s="35"/>
      <c r="AF47" s="35"/>
    </row>
    <row r="48" spans="1:32" ht="12.95" customHeight="1">
      <c r="A48" s="35"/>
      <c r="B48" s="42"/>
      <c r="C48" s="42"/>
      <c r="D48" s="41">
        <f>+G40</f>
        <v>0</v>
      </c>
      <c r="E48" s="3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1">
        <f>PHF及轉向比!BE100</f>
        <v>0</v>
      </c>
      <c r="AD48" s="65" t="str">
        <f>IF(AE$49=0,"--",AC48/AE$49)</f>
        <v>--</v>
      </c>
      <c r="AE48" s="40"/>
      <c r="AF48" s="42"/>
    </row>
    <row r="49" spans="1:32" ht="12.95" customHeight="1">
      <c r="A49" s="35"/>
      <c r="B49" s="35"/>
      <c r="C49" s="42"/>
      <c r="D49" s="41">
        <f>+S40</f>
        <v>0</v>
      </c>
      <c r="E49" s="67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1">
        <f>PHF及轉向比!AZ100</f>
        <v>0</v>
      </c>
      <c r="AD49" s="65" t="str">
        <f>IF(AE$49=0,"--",AC49/AE$49)</f>
        <v>--</v>
      </c>
      <c r="AE49" s="41">
        <f>SUM(AC48:AC51)</f>
        <v>0</v>
      </c>
      <c r="AF49" s="44" t="s">
        <v>15</v>
      </c>
    </row>
    <row r="50" spans="1:32" ht="12.95" customHeight="1">
      <c r="A50" s="35"/>
      <c r="B50" s="35"/>
      <c r="C50" s="41">
        <f>SUM(D48:D51)</f>
        <v>0</v>
      </c>
      <c r="D50" s="41">
        <f>+AC50</f>
        <v>0</v>
      </c>
      <c r="E50" s="67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1">
        <f>PHF及轉向比!AU100</f>
        <v>0</v>
      </c>
      <c r="AD50" s="65" t="str">
        <f>IF(AE$49=0,"--",AC50/AE$49)</f>
        <v>--</v>
      </c>
      <c r="AE50" s="42"/>
      <c r="AF50" s="42"/>
    </row>
    <row r="51" spans="1:32" ht="12.95" customHeight="1">
      <c r="A51" s="35"/>
      <c r="B51" s="35" t="s">
        <v>14</v>
      </c>
      <c r="C51" s="42"/>
      <c r="D51" s="41">
        <f>+R65</f>
        <v>0</v>
      </c>
      <c r="E51" s="67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1">
        <f>PHF及轉向比!AP100</f>
        <v>0</v>
      </c>
      <c r="AD51" s="65" t="str">
        <f t="shared" ref="AD51" si="2">IF(AE$49=0,"--",AC51/AE$49)</f>
        <v>--</v>
      </c>
      <c r="AE51" s="39"/>
      <c r="AF51" s="42"/>
    </row>
    <row r="52" spans="1:32" ht="12.95" customHeight="1">
      <c r="A52" s="42"/>
      <c r="B52" s="42"/>
      <c r="C52" s="42"/>
      <c r="D52" s="42"/>
      <c r="E52" s="67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35"/>
      <c r="AD52" s="35"/>
      <c r="AF52" s="68">
        <f>'調查資料(OUT)'!$C$8</f>
        <v>0</v>
      </c>
    </row>
    <row r="53" spans="1:32" ht="12.95" customHeight="1">
      <c r="A53" s="100">
        <f>'調查資料(OUT)'!$AA$8</f>
        <v>0</v>
      </c>
      <c r="B53" s="35"/>
      <c r="C53" s="35"/>
      <c r="D53" s="67"/>
      <c r="E53" s="35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12.95" customHeight="1">
      <c r="A54" s="69"/>
      <c r="B54" s="35"/>
      <c r="C54" s="65" t="str">
        <f>IF(B$56=0,"--",D54/B$56)</f>
        <v>--</v>
      </c>
      <c r="D54" s="41">
        <f>PHF及轉向比!DB100</f>
        <v>0</v>
      </c>
      <c r="E54" s="67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1">
        <f>+U40</f>
        <v>0</v>
      </c>
      <c r="AD54" s="36"/>
      <c r="AE54" s="42"/>
      <c r="AF54" s="42"/>
    </row>
    <row r="55" spans="1:32" ht="12.95" customHeight="1">
      <c r="A55" s="42"/>
      <c r="B55" s="36"/>
      <c r="C55" s="65" t="str">
        <f t="shared" ref="C55:C57" si="3">IF(B$56=0,"--",D55/B$56)</f>
        <v>--</v>
      </c>
      <c r="D55" s="41">
        <f>PHF及轉向比!DG100</f>
        <v>0</v>
      </c>
      <c r="E55" s="67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1">
        <f>+I40</f>
        <v>0</v>
      </c>
      <c r="AD55" s="41">
        <f>SUM(AC54:AC57)</f>
        <v>0</v>
      </c>
      <c r="AE55" s="42"/>
      <c r="AF55" s="42"/>
    </row>
    <row r="56" spans="1:32" ht="12.95" customHeight="1">
      <c r="A56" s="44" t="s">
        <v>17</v>
      </c>
      <c r="B56" s="41">
        <f>SUM(D54:D57)</f>
        <v>0</v>
      </c>
      <c r="C56" s="65" t="str">
        <f t="shared" si="3"/>
        <v>--</v>
      </c>
      <c r="D56" s="41">
        <f>PHF及轉向比!CR100</f>
        <v>0</v>
      </c>
      <c r="E56" s="67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1">
        <f>+D56</f>
        <v>0</v>
      </c>
      <c r="AD56" s="42"/>
      <c r="AE56" s="42"/>
      <c r="AF56" s="42"/>
    </row>
    <row r="57" spans="1:32" ht="12.95" customHeight="1">
      <c r="A57" s="42"/>
      <c r="B57" s="40"/>
      <c r="C57" s="65" t="str">
        <f t="shared" si="3"/>
        <v>--</v>
      </c>
      <c r="D57" s="41">
        <f>PHF及轉向比!CW100</f>
        <v>0</v>
      </c>
      <c r="E57" s="67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1">
        <f>+U65</f>
        <v>0</v>
      </c>
      <c r="AD57" s="35"/>
      <c r="AE57" s="35"/>
      <c r="AF57" s="35"/>
    </row>
    <row r="58" spans="1:32" ht="12.95" customHeight="1">
      <c r="A58" s="35"/>
      <c r="B58" s="35"/>
      <c r="C58" s="35"/>
      <c r="D58" s="35"/>
      <c r="E58" s="67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35"/>
      <c r="AD58" s="35"/>
      <c r="AE58" s="35"/>
      <c r="AF58" s="35"/>
    </row>
    <row r="59" spans="1:32" ht="12.95" customHeight="1">
      <c r="A59" s="35"/>
      <c r="B59" s="35"/>
      <c r="C59" s="35"/>
      <c r="D59" s="35"/>
      <c r="E59" s="4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35"/>
      <c r="AD59" s="35"/>
      <c r="AE59" s="35"/>
      <c r="AF59" s="35"/>
    </row>
    <row r="60" spans="1:32" ht="12.95" customHeight="1">
      <c r="A60" s="35"/>
      <c r="B60" s="35"/>
      <c r="C60" s="35"/>
      <c r="D60" s="35"/>
      <c r="E60" s="67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35"/>
      <c r="AD60" s="35"/>
      <c r="AE60" s="35"/>
      <c r="AF60" s="35"/>
    </row>
    <row r="61" spans="1:32" ht="12.95" customHeight="1">
      <c r="A61" s="35"/>
      <c r="B61" s="35"/>
      <c r="C61" s="35"/>
      <c r="D61" s="35"/>
      <c r="E61" s="67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35"/>
      <c r="AD61" s="35"/>
      <c r="AE61" s="35"/>
      <c r="AF61" s="35"/>
    </row>
    <row r="62" spans="1:32" ht="12.95" customHeight="1">
      <c r="A62" s="35"/>
      <c r="B62" s="35"/>
      <c r="C62" s="35"/>
      <c r="D62" s="35"/>
      <c r="E62" s="67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35"/>
      <c r="AD62" s="35"/>
      <c r="AE62" s="35"/>
      <c r="AF62" s="35"/>
    </row>
    <row r="63" spans="1:32" ht="12.95" customHeight="1" thickBot="1">
      <c r="A63" s="35"/>
      <c r="B63" s="35"/>
      <c r="C63" s="70"/>
      <c r="D63" s="67"/>
      <c r="E63" s="67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12.95" customHeight="1">
      <c r="A64" s="91"/>
      <c r="B64" s="91"/>
      <c r="C64" s="91"/>
      <c r="D64" s="91"/>
      <c r="E64" s="9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94"/>
      <c r="AC64" s="95" t="s">
        <v>77</v>
      </c>
      <c r="AD64" s="96"/>
      <c r="AE64" s="96">
        <f>路口基本資料!B4</f>
        <v>0</v>
      </c>
      <c r="AF64" s="96"/>
    </row>
    <row r="65" spans="1:32" ht="12.95" customHeight="1">
      <c r="A65" s="42"/>
      <c r="B65" s="42"/>
      <c r="C65" s="42"/>
      <c r="D65" s="42"/>
      <c r="E65" s="88"/>
      <c r="F65" s="42"/>
      <c r="H65" s="42"/>
      <c r="I65" s="42"/>
      <c r="J65" s="42"/>
      <c r="K65" s="42"/>
      <c r="L65" s="41">
        <f>+D57</f>
        <v>0</v>
      </c>
      <c r="M65" s="41">
        <f>+H40</f>
        <v>0</v>
      </c>
      <c r="N65" s="41">
        <f>+T40</f>
        <v>0</v>
      </c>
      <c r="O65" s="41">
        <f>+AC51</f>
        <v>0</v>
      </c>
      <c r="P65" s="42"/>
      <c r="Q65" s="39"/>
      <c r="R65" s="41">
        <f>PHF及轉向比!BV100</f>
        <v>0</v>
      </c>
      <c r="S65" s="41">
        <f>PHF及轉向比!CA100</f>
        <v>0</v>
      </c>
      <c r="T65" s="41">
        <f>PHF及轉向比!CF100</f>
        <v>0</v>
      </c>
      <c r="U65" s="41">
        <f>PHF及轉向比!BQ100</f>
        <v>0</v>
      </c>
      <c r="V65" s="42"/>
      <c r="W65" s="42"/>
      <c r="X65" s="42"/>
      <c r="Y65" s="42"/>
      <c r="Z65" s="42"/>
      <c r="AA65" s="67"/>
      <c r="AB65" s="93"/>
      <c r="AC65" s="83" t="s">
        <v>103</v>
      </c>
      <c r="AD65" s="84" t="s">
        <v>104</v>
      </c>
      <c r="AF65" s="71"/>
    </row>
    <row r="66" spans="1:32" ht="12.95" customHeight="1">
      <c r="A66" s="42"/>
      <c r="B66" s="42"/>
      <c r="C66" s="42"/>
      <c r="D66" s="42"/>
      <c r="E66" s="88"/>
      <c r="F66" s="42"/>
      <c r="G66" s="35"/>
      <c r="H66" s="42"/>
      <c r="I66" s="42"/>
      <c r="J66" s="42"/>
      <c r="K66" s="42"/>
      <c r="L66" s="42"/>
      <c r="M66" s="35"/>
      <c r="N66" s="41">
        <f>SUM(L65:O65)</f>
        <v>0</v>
      </c>
      <c r="O66" s="42"/>
      <c r="P66" s="39"/>
      <c r="Q66" s="39"/>
      <c r="R66" s="65" t="str">
        <f>IF($T67=0,"--",R65/$T67)</f>
        <v>--</v>
      </c>
      <c r="S66" s="65" t="str">
        <f>IF($T67=0,"--",S65/$T67)</f>
        <v>--</v>
      </c>
      <c r="T66" s="65" t="str">
        <f>IF($T67=0,"--",T65/$T67)</f>
        <v>--</v>
      </c>
      <c r="U66" s="65" t="str">
        <f>IF($T67=0,"--",U65/$T67)</f>
        <v>--</v>
      </c>
      <c r="V66" s="42"/>
      <c r="W66" s="42"/>
      <c r="X66" s="42"/>
      <c r="Y66" s="42"/>
      <c r="Z66" s="42"/>
      <c r="AA66" s="72"/>
      <c r="AB66" s="93"/>
      <c r="AC66" s="83" t="s">
        <v>102</v>
      </c>
      <c r="AD66" s="71"/>
      <c r="AE66" s="73" t="str">
        <f>路口基本資料!$B$8</f>
        <v>YYYY/MM/DD</v>
      </c>
      <c r="AF66" s="71"/>
    </row>
    <row r="67" spans="1:32" ht="12.95" customHeight="1">
      <c r="A67" s="42"/>
      <c r="B67" s="42"/>
      <c r="C67" s="42"/>
      <c r="D67" s="42"/>
      <c r="E67" s="88"/>
      <c r="F67" s="42"/>
      <c r="G67" s="35"/>
      <c r="H67" s="42"/>
      <c r="I67" s="42"/>
      <c r="J67" s="42"/>
      <c r="K67" s="42"/>
      <c r="L67" s="42"/>
      <c r="M67" s="36"/>
      <c r="N67" s="42"/>
      <c r="O67" s="43"/>
      <c r="P67" s="39"/>
      <c r="Q67" s="39"/>
      <c r="R67" s="42"/>
      <c r="S67" s="35"/>
      <c r="T67" s="41">
        <f>SUM(R65:U65)</f>
        <v>0</v>
      </c>
      <c r="U67" s="42"/>
      <c r="V67" s="42"/>
      <c r="W67" s="42"/>
      <c r="X67" s="42"/>
      <c r="Y67" s="42"/>
      <c r="Z67" s="42"/>
      <c r="AA67" s="42"/>
      <c r="AB67" s="93"/>
      <c r="AC67" s="83" t="s">
        <v>105</v>
      </c>
      <c r="AD67" s="82">
        <f>PHF及轉向比!$AN$100</f>
        <v>1900</v>
      </c>
      <c r="AE67" s="82" t="s">
        <v>106</v>
      </c>
      <c r="AF67" s="82">
        <f>PHF及轉向比!$AO$100</f>
        <v>2000</v>
      </c>
    </row>
    <row r="68" spans="1:32" ht="12.95" customHeight="1">
      <c r="A68" s="42"/>
      <c r="B68" s="42"/>
      <c r="C68" s="42"/>
      <c r="D68" s="42"/>
      <c r="E68" s="88"/>
      <c r="F68" s="42"/>
      <c r="G68" s="35"/>
      <c r="H68" s="42"/>
      <c r="I68" s="42"/>
      <c r="J68" s="42"/>
      <c r="K68" s="42"/>
      <c r="L68" s="42"/>
      <c r="M68" s="42"/>
      <c r="N68" s="42"/>
      <c r="O68" s="42"/>
      <c r="P68" s="43">
        <f>'調查資料(OUT)'!$O$8</f>
        <v>0</v>
      </c>
      <c r="Q68" s="39"/>
      <c r="R68" s="36"/>
      <c r="S68" s="35"/>
      <c r="T68" s="46" t="s">
        <v>16</v>
      </c>
      <c r="U68" s="42"/>
      <c r="V68" s="42"/>
      <c r="W68" s="42"/>
      <c r="X68" s="42"/>
      <c r="Y68" s="42"/>
      <c r="Z68" s="42"/>
      <c r="AA68" s="42"/>
      <c r="AB68" s="93"/>
      <c r="AC68" s="83" t="s">
        <v>107</v>
      </c>
      <c r="AD68" s="82"/>
      <c r="AE68" s="82"/>
      <c r="AF68" s="82"/>
    </row>
    <row r="69" spans="1:32" ht="12.9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3"/>
      <c r="L69" s="36"/>
      <c r="M69" s="46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74"/>
      <c r="AD69" s="35"/>
      <c r="AE69" s="35"/>
      <c r="AF69" s="35"/>
    </row>
    <row r="70" spans="1:32" ht="21">
      <c r="A70" s="455" t="str">
        <f>SUBSTITUTE("x_轉向交通量(假日昏峰)","x",路口基本資料!B5)</f>
        <v>_轉向交通量(假日昏峰)</v>
      </c>
      <c r="B70" s="456"/>
      <c r="C70" s="456"/>
      <c r="D70" s="456"/>
      <c r="E70" s="456"/>
      <c r="F70" s="45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456"/>
      <c r="X70" s="456"/>
      <c r="Y70" s="456"/>
      <c r="Z70" s="456"/>
      <c r="AA70" s="456"/>
      <c r="AB70" s="456"/>
      <c r="AC70" s="456"/>
      <c r="AD70" s="456"/>
      <c r="AE70" s="456"/>
      <c r="AF70" s="456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70"/>
  <sheetViews>
    <sheetView topLeftCell="A32" workbookViewId="0">
      <selection activeCell="A35" sqref="A35:AF35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87"/>
      <c r="B1" s="387"/>
      <c r="C1" s="387"/>
      <c r="D1" s="387"/>
      <c r="E1" s="387"/>
      <c r="F1" s="387"/>
      <c r="G1" s="387"/>
      <c r="H1" s="388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</row>
    <row r="2" spans="1:32" ht="15.75" customHeight="1">
      <c r="A2" s="389"/>
      <c r="B2" s="390"/>
      <c r="C2" s="391"/>
      <c r="D2" s="392"/>
      <c r="E2" s="393"/>
      <c r="F2" s="387"/>
      <c r="G2" s="387"/>
      <c r="H2" s="394" t="s">
        <v>101</v>
      </c>
      <c r="I2" s="387"/>
      <c r="J2" s="387"/>
      <c r="K2" s="395">
        <f>'調查資料(OUT)'!$AM$8</f>
        <v>0</v>
      </c>
      <c r="L2" s="387"/>
      <c r="M2" s="387"/>
      <c r="N2" s="387"/>
      <c r="O2" s="387"/>
      <c r="P2" s="393"/>
      <c r="Q2" s="387"/>
      <c r="R2" s="387"/>
      <c r="S2" s="396" t="s">
        <v>96</v>
      </c>
      <c r="T2" s="397"/>
      <c r="U2" s="387"/>
      <c r="V2" s="395">
        <f>'調查資料(OUT)'!$AY$8</f>
        <v>0</v>
      </c>
      <c r="W2" s="387"/>
      <c r="X2" s="387"/>
      <c r="Y2" s="387"/>
      <c r="Z2" s="387"/>
      <c r="AA2" s="387"/>
      <c r="AB2" s="398"/>
      <c r="AC2" s="387"/>
      <c r="AD2" s="399"/>
      <c r="AE2" s="387"/>
      <c r="AF2" s="387"/>
    </row>
    <row r="3" spans="1:32" ht="12.95" customHeight="1">
      <c r="A3" s="400"/>
      <c r="B3" s="400"/>
      <c r="C3" s="400"/>
      <c r="D3" s="400"/>
      <c r="E3" s="401"/>
      <c r="F3" s="387" t="s">
        <v>14</v>
      </c>
      <c r="G3" s="387"/>
      <c r="H3" s="402">
        <f>SUM(G5:J5)</f>
        <v>0</v>
      </c>
      <c r="I3" s="387"/>
      <c r="J3" s="387"/>
      <c r="K3" s="390"/>
      <c r="L3" s="387"/>
      <c r="M3" s="387"/>
      <c r="N3" s="387"/>
      <c r="O3" s="387"/>
      <c r="P3" s="393"/>
      <c r="Q3" s="387"/>
      <c r="R3" s="403" t="s">
        <v>14</v>
      </c>
      <c r="S3" s="402">
        <f>SUM(R5:U5)</f>
        <v>0</v>
      </c>
      <c r="T3" s="387"/>
      <c r="U3" s="387"/>
      <c r="V3" s="387"/>
      <c r="W3" s="387"/>
      <c r="X3" s="387"/>
      <c r="Y3" s="387"/>
      <c r="Z3" s="387"/>
      <c r="AA3" s="387"/>
      <c r="AB3" s="398"/>
      <c r="AC3" s="387"/>
      <c r="AD3" s="387"/>
      <c r="AE3" s="387"/>
      <c r="AF3" s="387"/>
    </row>
    <row r="4" spans="1:32" ht="12.95" customHeight="1">
      <c r="A4" s="404"/>
      <c r="B4" s="405"/>
      <c r="C4" s="405"/>
      <c r="D4" s="405"/>
      <c r="E4" s="406"/>
      <c r="F4" s="407"/>
      <c r="G4" s="408" t="str">
        <f>IF($H3=0,"--",G5/$H3)</f>
        <v>--</v>
      </c>
      <c r="H4" s="408" t="str">
        <f t="shared" ref="H4:J4" si="0">IF($H3=0,"--",H5/$H3)</f>
        <v>--</v>
      </c>
      <c r="I4" s="408" t="str">
        <f t="shared" si="0"/>
        <v>--</v>
      </c>
      <c r="J4" s="408" t="str">
        <f t="shared" si="0"/>
        <v>--</v>
      </c>
      <c r="K4" s="395"/>
      <c r="L4" s="387"/>
      <c r="M4" s="402">
        <f>SUM(L5:O5)</f>
        <v>0</v>
      </c>
      <c r="N4" s="387"/>
      <c r="O4" s="387"/>
      <c r="P4" s="406"/>
      <c r="Q4" s="407"/>
      <c r="R4" s="408" t="str">
        <f>IF($S3=0,"--",R5/$S3)</f>
        <v>--</v>
      </c>
      <c r="S4" s="408" t="str">
        <f>IF($S3=0,"--",S5/$S3)</f>
        <v>--</v>
      </c>
      <c r="T4" s="408" t="str">
        <f>IF($S3=0,"--",T5/$S3)</f>
        <v>--</v>
      </c>
      <c r="U4" s="408" t="str">
        <f>IF($S3=0,"--",U5/$S3)</f>
        <v>--</v>
      </c>
      <c r="V4" s="407"/>
      <c r="W4" s="407"/>
      <c r="X4" s="402">
        <f>SUM(W5:Z5)</f>
        <v>0</v>
      </c>
      <c r="Y4" s="407"/>
      <c r="Z4" s="407"/>
      <c r="AA4" s="407"/>
      <c r="AB4" s="409"/>
      <c r="AC4" s="407"/>
      <c r="AD4" s="387"/>
      <c r="AE4" s="407"/>
      <c r="AF4" s="407"/>
    </row>
    <row r="5" spans="1:32" ht="12.95" customHeight="1">
      <c r="A5" s="410"/>
      <c r="B5" s="410"/>
      <c r="C5" s="410"/>
      <c r="D5" s="410"/>
      <c r="E5" s="411"/>
      <c r="F5" s="407"/>
      <c r="G5" s="402">
        <f>PHF及轉向比!ED98</f>
        <v>0</v>
      </c>
      <c r="H5" s="402">
        <f>PHF及轉向比!DY98</f>
        <v>0</v>
      </c>
      <c r="I5" s="402">
        <f>PHF及轉向比!DT98</f>
        <v>0</v>
      </c>
      <c r="J5" s="402">
        <f>PHF及轉向比!EI98</f>
        <v>0</v>
      </c>
      <c r="K5" s="407"/>
      <c r="L5" s="402">
        <f>+D19</f>
        <v>0</v>
      </c>
      <c r="M5" s="402">
        <f>+S30</f>
        <v>0</v>
      </c>
      <c r="N5" s="402">
        <f>+AC14</f>
        <v>0</v>
      </c>
      <c r="O5" s="402">
        <f>+R5</f>
        <v>0</v>
      </c>
      <c r="P5" s="406"/>
      <c r="Q5" s="407"/>
      <c r="R5" s="402">
        <f>PHF及轉向比!FJ98</f>
        <v>0</v>
      </c>
      <c r="S5" s="402">
        <f>PHF及轉向比!FE98</f>
        <v>0</v>
      </c>
      <c r="T5" s="402">
        <f>PHF及轉向比!EZ98</f>
        <v>0</v>
      </c>
      <c r="U5" s="402">
        <f>PHF及轉向比!EU98</f>
        <v>0</v>
      </c>
      <c r="V5" s="407"/>
      <c r="W5" s="402">
        <f>+J5</f>
        <v>0</v>
      </c>
      <c r="X5" s="402">
        <f>+D20</f>
        <v>0</v>
      </c>
      <c r="Y5" s="402">
        <f>+T30</f>
        <v>0</v>
      </c>
      <c r="Z5" s="402">
        <f>+AC13</f>
        <v>0</v>
      </c>
      <c r="AA5" s="407"/>
      <c r="AB5" s="409"/>
      <c r="AC5" s="407"/>
      <c r="AD5" s="407"/>
      <c r="AE5" s="407"/>
      <c r="AF5" s="407"/>
    </row>
    <row r="6" spans="1:32" ht="12.95" customHeight="1" thickBot="1">
      <c r="A6" s="412"/>
      <c r="B6" s="412"/>
      <c r="C6" s="412"/>
      <c r="D6" s="412"/>
      <c r="E6" s="413"/>
      <c r="F6" s="407"/>
      <c r="G6" s="407"/>
      <c r="H6" s="414"/>
      <c r="I6" s="414"/>
      <c r="J6" s="414"/>
      <c r="K6" s="407"/>
      <c r="L6" s="414"/>
      <c r="M6" s="414"/>
      <c r="N6" s="414"/>
      <c r="O6" s="414"/>
      <c r="P6" s="406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15"/>
      <c r="AC6" s="412"/>
      <c r="AD6" s="412"/>
      <c r="AE6" s="412"/>
      <c r="AF6" s="412"/>
    </row>
    <row r="7" spans="1:32" ht="12.95" customHeight="1">
      <c r="A7" s="387"/>
      <c r="B7" s="407"/>
      <c r="C7" s="407"/>
      <c r="D7" s="407"/>
      <c r="E7" s="407"/>
      <c r="F7" s="407"/>
      <c r="G7" s="407"/>
      <c r="H7" s="414"/>
      <c r="I7" s="414"/>
      <c r="J7" s="414"/>
      <c r="K7" s="407"/>
      <c r="L7" s="414"/>
      <c r="M7" s="414"/>
      <c r="N7" s="414"/>
      <c r="O7" s="414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</row>
    <row r="8" spans="1:32" ht="12.95" customHeight="1">
      <c r="A8" s="407"/>
      <c r="B8" s="407"/>
      <c r="C8" s="416"/>
      <c r="D8" s="387"/>
      <c r="E8" s="38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387"/>
      <c r="AD8" s="387"/>
      <c r="AE8" s="387"/>
      <c r="AF8" s="387"/>
    </row>
    <row r="9" spans="1:32" ht="12.95" customHeight="1">
      <c r="A9" s="407"/>
      <c r="B9" s="407"/>
      <c r="C9" s="387"/>
      <c r="D9" s="387"/>
      <c r="E9" s="38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387"/>
      <c r="AD9" s="387"/>
      <c r="AE9" s="387"/>
      <c r="AF9" s="387"/>
    </row>
    <row r="10" spans="1:32" ht="12.95" customHeight="1">
      <c r="A10" s="407"/>
      <c r="B10" s="407"/>
      <c r="C10" s="387"/>
      <c r="D10" s="387"/>
      <c r="E10" s="38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387"/>
      <c r="AD10" s="387"/>
      <c r="AE10" s="387"/>
      <c r="AF10" s="387"/>
    </row>
    <row r="11" spans="1:32" ht="12.95" customHeight="1">
      <c r="A11" s="407"/>
      <c r="B11" s="407"/>
      <c r="C11" s="387"/>
      <c r="D11" s="387"/>
      <c r="E11" s="38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387"/>
      <c r="AD11" s="387"/>
      <c r="AE11" s="387"/>
      <c r="AF11" s="387"/>
    </row>
    <row r="12" spans="1:32" ht="12.95" customHeight="1">
      <c r="A12" s="387"/>
      <c r="B12" s="417"/>
      <c r="C12" s="387"/>
      <c r="D12" s="387"/>
      <c r="E12" s="38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387"/>
      <c r="AD12" s="387"/>
      <c r="AE12" s="387"/>
      <c r="AF12" s="387"/>
    </row>
    <row r="13" spans="1:32" ht="12.95" customHeight="1">
      <c r="A13" s="387"/>
      <c r="B13" s="407"/>
      <c r="C13" s="418"/>
      <c r="D13" s="402">
        <f>+G5</f>
        <v>0</v>
      </c>
      <c r="E13" s="38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2">
        <f>PHF及轉向比!BF98</f>
        <v>0</v>
      </c>
      <c r="AD13" s="408" t="str">
        <f>IF(AE$14=0,"--",AC13/AE$14)</f>
        <v>--</v>
      </c>
      <c r="AE13" s="403"/>
      <c r="AF13" s="407"/>
    </row>
    <row r="14" spans="1:32" ht="12.95" customHeight="1">
      <c r="A14" s="407"/>
      <c r="B14" s="416"/>
      <c r="C14" s="418"/>
      <c r="D14" s="402">
        <f>+S5</f>
        <v>0</v>
      </c>
      <c r="E14" s="414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2">
        <f>PHF及轉向比!BA98</f>
        <v>0</v>
      </c>
      <c r="AD14" s="408" t="str">
        <f>IF(AE$14=0,"--",AC14/AE$14)</f>
        <v>--</v>
      </c>
      <c r="AE14" s="402">
        <f>SUM(AC13:AC16)</f>
        <v>0</v>
      </c>
      <c r="AF14" s="394" t="s">
        <v>15</v>
      </c>
    </row>
    <row r="15" spans="1:32" ht="12.95" customHeight="1">
      <c r="A15" s="387"/>
      <c r="B15" s="387"/>
      <c r="C15" s="402">
        <f>SUM(D13:D16)</f>
        <v>0</v>
      </c>
      <c r="D15" s="402">
        <f>+AC15</f>
        <v>0</v>
      </c>
      <c r="E15" s="414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2">
        <f>PHF及轉向比!AV98</f>
        <v>0</v>
      </c>
      <c r="AD15" s="408" t="str">
        <f>IF(AE$14=0,"--",AC15/AE$14)</f>
        <v>--</v>
      </c>
      <c r="AE15" s="407"/>
      <c r="AF15" s="407"/>
    </row>
    <row r="16" spans="1:32" ht="12.95" customHeight="1">
      <c r="A16" s="407"/>
      <c r="B16" s="403" t="s">
        <v>14</v>
      </c>
      <c r="C16" s="418"/>
      <c r="D16" s="402">
        <f>+R30</f>
        <v>0</v>
      </c>
      <c r="E16" s="38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2">
        <f>PHF及轉向比!AQ98</f>
        <v>0</v>
      </c>
      <c r="AD16" s="408" t="str">
        <f>IF(AE$14=0,"--",AC16/AE$14)</f>
        <v>--</v>
      </c>
      <c r="AE16" s="390"/>
      <c r="AF16" s="407"/>
    </row>
    <row r="17" spans="1:32" ht="12.95" customHeight="1">
      <c r="A17" s="418"/>
      <c r="B17" s="418"/>
      <c r="C17" s="418"/>
      <c r="D17" s="418"/>
      <c r="E17" s="414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387"/>
      <c r="AD17" s="387"/>
      <c r="AE17" s="387"/>
      <c r="AF17" s="419">
        <f>'調查資料(OUT)'!$C$8</f>
        <v>0</v>
      </c>
    </row>
    <row r="18" spans="1:32" ht="12.95" customHeight="1">
      <c r="A18" s="420">
        <f>'調查資料(OUT)'!$AA$8</f>
        <v>0</v>
      </c>
      <c r="B18" s="418"/>
      <c r="C18" s="418"/>
      <c r="D18" s="418"/>
      <c r="E18" s="38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387"/>
      <c r="AD18" s="387"/>
      <c r="AE18" s="387"/>
      <c r="AF18" s="387"/>
    </row>
    <row r="19" spans="1:32" ht="12.95" customHeight="1">
      <c r="A19" s="418"/>
      <c r="B19" s="418"/>
      <c r="C19" s="408" t="str">
        <f>IF(B$21=0,"--",D19/B$21)</f>
        <v>--</v>
      </c>
      <c r="D19" s="402">
        <f>PHF及轉向比!DC98</f>
        <v>0</v>
      </c>
      <c r="E19" s="414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2">
        <f>+U5</f>
        <v>0</v>
      </c>
      <c r="AD19" s="416"/>
      <c r="AE19" s="407"/>
      <c r="AF19" s="407"/>
    </row>
    <row r="20" spans="1:32" ht="12.95" customHeight="1">
      <c r="A20" s="421"/>
      <c r="B20" s="387"/>
      <c r="C20" s="408" t="str">
        <f>IF(B$21=0,"--",D20/B$21)</f>
        <v>--</v>
      </c>
      <c r="D20" s="402">
        <f>PHF及轉向比!DH98</f>
        <v>0</v>
      </c>
      <c r="E20" s="414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2">
        <f>+I5</f>
        <v>0</v>
      </c>
      <c r="AD20" s="402">
        <f>SUM(AC19:AC22)</f>
        <v>0</v>
      </c>
      <c r="AE20" s="407"/>
      <c r="AF20" s="407"/>
    </row>
    <row r="21" spans="1:32" ht="12.95" customHeight="1">
      <c r="A21" s="394" t="s">
        <v>17</v>
      </c>
      <c r="B21" s="402">
        <f>SUM(D19:D22)</f>
        <v>0</v>
      </c>
      <c r="C21" s="408" t="str">
        <f>IF(B$21=0,"--",D21/B$21)</f>
        <v>--</v>
      </c>
      <c r="D21" s="402">
        <f>PHF及轉向比!CS98</f>
        <v>0</v>
      </c>
      <c r="E21" s="414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2">
        <f>+D21</f>
        <v>0</v>
      </c>
      <c r="AD21" s="407"/>
      <c r="AE21" s="407"/>
      <c r="AF21" s="407"/>
    </row>
    <row r="22" spans="1:32" ht="12.95" customHeight="1">
      <c r="A22" s="394"/>
      <c r="B22" s="414"/>
      <c r="C22" s="408" t="str">
        <f>IF(B$21=0,"--",D22/B$21)</f>
        <v>--</v>
      </c>
      <c r="D22" s="402">
        <f>PHF及轉向比!CX98</f>
        <v>0</v>
      </c>
      <c r="E22" s="414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2">
        <f>+U30</f>
        <v>0</v>
      </c>
      <c r="AD22" s="387"/>
      <c r="AE22" s="387"/>
      <c r="AF22" s="387"/>
    </row>
    <row r="23" spans="1:32" ht="12.95" customHeight="1">
      <c r="A23" s="387"/>
      <c r="B23" s="387"/>
      <c r="C23" s="387"/>
      <c r="D23" s="387"/>
      <c r="E23" s="414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  <c r="AA23" s="407"/>
      <c r="AB23" s="407"/>
      <c r="AC23" s="387"/>
      <c r="AD23" s="387"/>
      <c r="AE23" s="387"/>
      <c r="AF23" s="387"/>
    </row>
    <row r="24" spans="1:32" ht="12.95" customHeight="1">
      <c r="A24" s="387"/>
      <c r="B24" s="387"/>
      <c r="C24" s="387"/>
      <c r="D24" s="387"/>
      <c r="E24" s="419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387"/>
      <c r="AD24" s="387"/>
      <c r="AE24" s="387"/>
      <c r="AF24" s="387"/>
    </row>
    <row r="25" spans="1:32" ht="12.95" customHeight="1">
      <c r="A25" s="387"/>
      <c r="B25" s="387"/>
      <c r="C25" s="387"/>
      <c r="D25" s="387"/>
      <c r="E25" s="414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  <c r="AA25" s="407"/>
      <c r="AB25" s="407"/>
      <c r="AC25" s="387"/>
      <c r="AD25" s="387"/>
      <c r="AE25" s="387"/>
      <c r="AF25" s="387"/>
    </row>
    <row r="26" spans="1:32" ht="12.95" customHeight="1">
      <c r="A26" s="387"/>
      <c r="B26" s="387"/>
      <c r="C26" s="387"/>
      <c r="D26" s="387"/>
      <c r="E26" s="414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387"/>
      <c r="AD26" s="387"/>
      <c r="AE26" s="387"/>
      <c r="AF26" s="387"/>
    </row>
    <row r="27" spans="1:32" ht="12.95" customHeight="1">
      <c r="A27" s="387"/>
      <c r="B27" s="387"/>
      <c r="C27" s="387"/>
      <c r="D27" s="387"/>
      <c r="E27" s="414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7"/>
      <c r="AC27" s="387"/>
      <c r="AD27" s="387"/>
      <c r="AE27" s="387"/>
      <c r="AF27" s="387"/>
    </row>
    <row r="28" spans="1:32" ht="12.95" customHeight="1" thickBot="1">
      <c r="A28" s="387"/>
      <c r="B28" s="387"/>
      <c r="C28" s="422"/>
      <c r="D28" s="414"/>
      <c r="E28" s="414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spans="1:32" ht="12.95" customHeight="1">
      <c r="A29" s="423"/>
      <c r="B29" s="423"/>
      <c r="C29" s="423"/>
      <c r="D29" s="423"/>
      <c r="E29" s="424"/>
      <c r="F29" s="407"/>
      <c r="G29" s="407"/>
      <c r="H29" s="407"/>
      <c r="I29" s="407"/>
      <c r="J29" s="407"/>
      <c r="K29" s="407"/>
      <c r="L29" s="407"/>
      <c r="M29" s="407"/>
      <c r="N29" s="407"/>
      <c r="O29" s="407"/>
      <c r="P29" s="387"/>
      <c r="Q29" s="407"/>
      <c r="R29" s="387"/>
      <c r="S29" s="387"/>
      <c r="T29" s="387"/>
      <c r="U29" s="387"/>
      <c r="V29" s="387"/>
      <c r="W29" s="387"/>
      <c r="X29" s="387"/>
      <c r="Y29" s="387"/>
      <c r="Z29" s="387"/>
      <c r="AA29" s="387"/>
      <c r="AB29" s="425"/>
      <c r="AC29" s="426" t="s">
        <v>77</v>
      </c>
      <c r="AD29" s="427"/>
      <c r="AE29" s="427">
        <f>路口基本資料!B4</f>
        <v>0</v>
      </c>
      <c r="AF29" s="427"/>
    </row>
    <row r="30" spans="1:32" ht="12.95" customHeight="1">
      <c r="A30" s="407"/>
      <c r="B30" s="407"/>
      <c r="C30" s="407"/>
      <c r="D30" s="407"/>
      <c r="E30" s="406"/>
      <c r="F30" s="407"/>
      <c r="G30" s="387"/>
      <c r="H30" s="387"/>
      <c r="I30" s="387"/>
      <c r="J30" s="387"/>
      <c r="K30" s="387"/>
      <c r="L30" s="402">
        <f>+D22</f>
        <v>0</v>
      </c>
      <c r="M30" s="402">
        <f>+H5</f>
        <v>0</v>
      </c>
      <c r="N30" s="402">
        <f>+T5</f>
        <v>0</v>
      </c>
      <c r="O30" s="402">
        <f>+AC16</f>
        <v>0</v>
      </c>
      <c r="P30" s="407"/>
      <c r="Q30" s="407"/>
      <c r="R30" s="402">
        <f>PHF及轉向比!BW98</f>
        <v>0</v>
      </c>
      <c r="S30" s="402">
        <f>PHF及轉向比!CB98</f>
        <v>0</v>
      </c>
      <c r="T30" s="402">
        <f>PHF及轉向比!CG98</f>
        <v>0</v>
      </c>
      <c r="U30" s="402">
        <f>PHF及轉向比!BR98</f>
        <v>0</v>
      </c>
      <c r="V30" s="387"/>
      <c r="W30" s="387"/>
      <c r="X30" s="387"/>
      <c r="Y30" s="387"/>
      <c r="Z30" s="387"/>
      <c r="AA30" s="387"/>
      <c r="AB30" s="409"/>
      <c r="AC30" s="428" t="s">
        <v>103</v>
      </c>
      <c r="AD30" s="429" t="s">
        <v>108</v>
      </c>
      <c r="AE30" s="387"/>
      <c r="AF30" s="430"/>
    </row>
    <row r="31" spans="1:32" ht="12.95" customHeight="1">
      <c r="A31" s="407"/>
      <c r="B31" s="407"/>
      <c r="C31" s="407"/>
      <c r="D31" s="407"/>
      <c r="E31" s="406"/>
      <c r="F31" s="407"/>
      <c r="G31" s="387"/>
      <c r="H31" s="387"/>
      <c r="I31" s="387"/>
      <c r="J31" s="387"/>
      <c r="K31" s="387"/>
      <c r="L31" s="407"/>
      <c r="M31" s="387"/>
      <c r="N31" s="402">
        <f>SUM(L30:O30)</f>
        <v>0</v>
      </c>
      <c r="O31" s="407"/>
      <c r="P31" s="390"/>
      <c r="Q31" s="407"/>
      <c r="R31" s="408" t="str">
        <f>IF($T32=0,"--",R30/$T32)</f>
        <v>--</v>
      </c>
      <c r="S31" s="408" t="str">
        <f>IF($T32=0,"--",S30/$T32)</f>
        <v>--</v>
      </c>
      <c r="T31" s="408" t="str">
        <f>IF($T32=0,"--",T30/$T32)</f>
        <v>--</v>
      </c>
      <c r="U31" s="408" t="str">
        <f>IF($T32=0,"--",U30/$T32)</f>
        <v>--</v>
      </c>
      <c r="V31" s="387"/>
      <c r="W31" s="387"/>
      <c r="X31" s="387"/>
      <c r="Y31" s="387"/>
      <c r="Z31" s="387"/>
      <c r="AA31" s="387"/>
      <c r="AB31" s="409"/>
      <c r="AC31" s="428" t="s">
        <v>102</v>
      </c>
      <c r="AD31" s="430"/>
      <c r="AE31" s="431" t="str">
        <f>路口基本資料!$B$8</f>
        <v>YYYY/MM/DD</v>
      </c>
      <c r="AF31" s="430"/>
    </row>
    <row r="32" spans="1:32" ht="12.95" customHeight="1">
      <c r="A32" s="407"/>
      <c r="B32" s="407"/>
      <c r="C32" s="407"/>
      <c r="D32" s="407"/>
      <c r="E32" s="406"/>
      <c r="F32" s="407"/>
      <c r="G32" s="387"/>
      <c r="H32" s="387"/>
      <c r="I32" s="387"/>
      <c r="J32" s="387"/>
      <c r="K32" s="387"/>
      <c r="L32" s="407"/>
      <c r="M32" s="416"/>
      <c r="N32" s="407"/>
      <c r="O32" s="395"/>
      <c r="P32" s="390"/>
      <c r="Q32" s="407"/>
      <c r="R32" s="407"/>
      <c r="S32" s="387"/>
      <c r="T32" s="402">
        <f>SUM(R30:U30)</f>
        <v>0</v>
      </c>
      <c r="U32" s="407"/>
      <c r="V32" s="387"/>
      <c r="W32" s="387"/>
      <c r="X32" s="387"/>
      <c r="Y32" s="387"/>
      <c r="Z32" s="387"/>
      <c r="AA32" s="387"/>
      <c r="AB32" s="409"/>
      <c r="AC32" s="428" t="s">
        <v>105</v>
      </c>
      <c r="AD32" s="432">
        <f>PHF及轉向比!$AN$98</f>
        <v>1200</v>
      </c>
      <c r="AE32" s="432" t="s">
        <v>106</v>
      </c>
      <c r="AF32" s="432">
        <f>PHF及轉向比!$AO$98</f>
        <v>1300</v>
      </c>
    </row>
    <row r="33" spans="1:32" ht="12.95" customHeight="1">
      <c r="A33" s="407"/>
      <c r="B33" s="407"/>
      <c r="C33" s="407"/>
      <c r="D33" s="407"/>
      <c r="E33" s="406"/>
      <c r="F33" s="407"/>
      <c r="G33" s="387"/>
      <c r="H33" s="387"/>
      <c r="I33" s="387"/>
      <c r="J33" s="387"/>
      <c r="K33" s="387"/>
      <c r="L33" s="407"/>
      <c r="M33" s="407"/>
      <c r="N33" s="407"/>
      <c r="O33" s="407"/>
      <c r="P33" s="395">
        <f>'調查資料(OUT)'!$O$8</f>
        <v>0</v>
      </c>
      <c r="Q33" s="387"/>
      <c r="R33" s="416"/>
      <c r="S33" s="387"/>
      <c r="T33" s="433" t="s">
        <v>16</v>
      </c>
      <c r="U33" s="407"/>
      <c r="V33" s="387"/>
      <c r="W33" s="387"/>
      <c r="X33" s="387"/>
      <c r="Y33" s="387"/>
      <c r="Z33" s="387"/>
      <c r="AA33" s="387"/>
      <c r="AB33" s="409"/>
      <c r="AC33" s="428" t="s">
        <v>107</v>
      </c>
      <c r="AD33" s="432"/>
      <c r="AE33" s="432"/>
      <c r="AF33" s="432"/>
    </row>
    <row r="34" spans="1:32" ht="12.95" customHeight="1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395"/>
      <c r="L34" s="387"/>
      <c r="M34" s="387"/>
      <c r="N34" s="387"/>
      <c r="O34" s="387"/>
      <c r="P34" s="387"/>
      <c r="Q34" s="387"/>
      <c r="R34" s="387"/>
      <c r="S34" s="387"/>
      <c r="T34" s="387"/>
      <c r="U34" s="407"/>
      <c r="V34" s="407"/>
      <c r="W34" s="407"/>
      <c r="X34" s="407"/>
      <c r="Y34" s="407"/>
      <c r="Z34" s="407"/>
      <c r="AA34" s="407"/>
      <c r="AB34" s="407"/>
      <c r="AC34" s="434"/>
      <c r="AD34" s="387"/>
      <c r="AE34" s="387"/>
      <c r="AF34" s="387"/>
    </row>
    <row r="35" spans="1:32" ht="21">
      <c r="A35" s="457" t="str">
        <f>SUBSTITUTE("x_大型車轉向交通量(假日晨峰)","x",路口基本資料!B5)</f>
        <v>_大型車轉向交通量(假日晨峰)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</row>
    <row r="36" spans="1:32" ht="21">
      <c r="A36" s="435"/>
      <c r="B36" s="436"/>
      <c r="C36" s="437"/>
      <c r="D36" s="438"/>
      <c r="E36" s="438"/>
      <c r="F36" s="439"/>
      <c r="G36" s="440"/>
      <c r="H36" s="437"/>
      <c r="I36" s="440"/>
      <c r="J36" s="440"/>
      <c r="K36" s="438"/>
      <c r="L36" s="440"/>
      <c r="M36" s="440"/>
      <c r="N36" s="440"/>
      <c r="O36" s="440"/>
      <c r="P36" s="440"/>
      <c r="Q36" s="440"/>
      <c r="R36" s="440"/>
      <c r="S36" s="407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37"/>
      <c r="AF36" s="437"/>
    </row>
    <row r="37" spans="1:32" ht="12.95" customHeight="1">
      <c r="A37" s="389"/>
      <c r="B37" s="390"/>
      <c r="C37" s="391"/>
      <c r="D37" s="392"/>
      <c r="E37" s="393"/>
      <c r="F37" s="387"/>
      <c r="G37" s="387"/>
      <c r="H37" s="394" t="s">
        <v>101</v>
      </c>
      <c r="I37" s="387"/>
      <c r="J37" s="387"/>
      <c r="K37" s="395">
        <f>'調查資料(OUT)'!$AM$8</f>
        <v>0</v>
      </c>
      <c r="L37" s="387"/>
      <c r="M37" s="387"/>
      <c r="N37" s="387"/>
      <c r="O37" s="387"/>
      <c r="P37" s="393"/>
      <c r="Q37" s="387"/>
      <c r="R37" s="387"/>
      <c r="S37" s="396" t="s">
        <v>96</v>
      </c>
      <c r="T37" s="397"/>
      <c r="U37" s="387"/>
      <c r="V37" s="395">
        <f>'調查資料(OUT)'!$AY$8</f>
        <v>0</v>
      </c>
      <c r="W37" s="387"/>
      <c r="X37" s="387"/>
      <c r="Y37" s="387"/>
      <c r="Z37" s="387"/>
      <c r="AA37" s="387"/>
      <c r="AB37" s="398"/>
      <c r="AC37" s="387"/>
      <c r="AD37" s="399"/>
      <c r="AE37" s="387"/>
      <c r="AF37" s="387"/>
    </row>
    <row r="38" spans="1:32" ht="12.95" customHeight="1">
      <c r="A38" s="400"/>
      <c r="B38" s="400"/>
      <c r="C38" s="400"/>
      <c r="D38" s="400"/>
      <c r="E38" s="401"/>
      <c r="F38" s="387" t="s">
        <v>14</v>
      </c>
      <c r="G38" s="387"/>
      <c r="H38" s="402">
        <f>SUM(G40:J40)</f>
        <v>0</v>
      </c>
      <c r="I38" s="387"/>
      <c r="J38" s="387"/>
      <c r="K38" s="390"/>
      <c r="L38" s="387"/>
      <c r="M38" s="387"/>
      <c r="N38" s="387"/>
      <c r="O38" s="387"/>
      <c r="P38" s="393"/>
      <c r="Q38" s="387"/>
      <c r="R38" s="403" t="s">
        <v>14</v>
      </c>
      <c r="S38" s="402">
        <f>SUM(R40:U40)</f>
        <v>0</v>
      </c>
      <c r="T38" s="387"/>
      <c r="U38" s="387"/>
      <c r="V38" s="387"/>
      <c r="W38" s="387"/>
      <c r="X38" s="387"/>
      <c r="Y38" s="387"/>
      <c r="Z38" s="387"/>
      <c r="AA38" s="387"/>
      <c r="AB38" s="398"/>
      <c r="AC38" s="387"/>
      <c r="AD38" s="387"/>
      <c r="AE38" s="387"/>
      <c r="AF38" s="387"/>
    </row>
    <row r="39" spans="1:32" ht="12.95" customHeight="1">
      <c r="A39" s="404"/>
      <c r="B39" s="405"/>
      <c r="C39" s="405"/>
      <c r="D39" s="405"/>
      <c r="E39" s="406"/>
      <c r="F39" s="407"/>
      <c r="G39" s="408" t="str">
        <f>IF($H38=0,"--",G40/$H38)</f>
        <v>--</v>
      </c>
      <c r="H39" s="408" t="str">
        <f t="shared" ref="H39:J39" si="1">IF($H38=0,"--",H40/$H38)</f>
        <v>--</v>
      </c>
      <c r="I39" s="408" t="str">
        <f t="shared" si="1"/>
        <v>--</v>
      </c>
      <c r="J39" s="408" t="str">
        <f t="shared" si="1"/>
        <v>--</v>
      </c>
      <c r="K39" s="395"/>
      <c r="L39" s="387"/>
      <c r="M39" s="402">
        <f>SUM(L40:O40)</f>
        <v>0</v>
      </c>
      <c r="N39" s="387"/>
      <c r="O39" s="387"/>
      <c r="P39" s="406"/>
      <c r="Q39" s="407"/>
      <c r="R39" s="408" t="str">
        <f>IF($S38=0,"--",R40/$S38)</f>
        <v>--</v>
      </c>
      <c r="S39" s="408" t="str">
        <f>IF($S38=0,"--",S40/$S38)</f>
        <v>--</v>
      </c>
      <c r="T39" s="408" t="str">
        <f>IF($S38=0,"--",T40/$S38)</f>
        <v>--</v>
      </c>
      <c r="U39" s="408" t="str">
        <f>IF($S38=0,"--",U40/$S38)</f>
        <v>--</v>
      </c>
      <c r="V39" s="407"/>
      <c r="W39" s="407"/>
      <c r="X39" s="402">
        <f>SUM(W40:Z40)</f>
        <v>0</v>
      </c>
      <c r="Y39" s="407"/>
      <c r="Z39" s="407"/>
      <c r="AA39" s="407"/>
      <c r="AB39" s="409"/>
      <c r="AC39" s="407"/>
      <c r="AD39" s="387"/>
      <c r="AE39" s="407"/>
      <c r="AF39" s="407"/>
    </row>
    <row r="40" spans="1:32" ht="12.95" customHeight="1">
      <c r="A40" s="410"/>
      <c r="B40" s="410"/>
      <c r="C40" s="410"/>
      <c r="D40" s="410"/>
      <c r="E40" s="411"/>
      <c r="F40" s="407"/>
      <c r="G40" s="402">
        <f>PHF及轉向比!ED100</f>
        <v>0</v>
      </c>
      <c r="H40" s="402">
        <f>PHF及轉向比!DY100</f>
        <v>0</v>
      </c>
      <c r="I40" s="402">
        <f>PHF及轉向比!DT100</f>
        <v>0</v>
      </c>
      <c r="J40" s="402">
        <f>PHF及轉向比!EI100</f>
        <v>0</v>
      </c>
      <c r="K40" s="407"/>
      <c r="L40" s="402">
        <f>+D54</f>
        <v>0</v>
      </c>
      <c r="M40" s="402">
        <f>+S65</f>
        <v>0</v>
      </c>
      <c r="N40" s="402">
        <f>+AC49</f>
        <v>0</v>
      </c>
      <c r="O40" s="402">
        <f>+R40</f>
        <v>0</v>
      </c>
      <c r="P40" s="406"/>
      <c r="Q40" s="407"/>
      <c r="R40" s="402">
        <f>PHF及轉向比!FJ100</f>
        <v>0</v>
      </c>
      <c r="S40" s="402">
        <f>PHF及轉向比!FE100</f>
        <v>0</v>
      </c>
      <c r="T40" s="402">
        <f>PHF及轉向比!EZ100</f>
        <v>0</v>
      </c>
      <c r="U40" s="402">
        <f>PHF及轉向比!EU100</f>
        <v>0</v>
      </c>
      <c r="V40" s="407"/>
      <c r="W40" s="402">
        <f>+J40</f>
        <v>0</v>
      </c>
      <c r="X40" s="402">
        <f>+D55</f>
        <v>0</v>
      </c>
      <c r="Y40" s="402">
        <f>+T65</f>
        <v>0</v>
      </c>
      <c r="Z40" s="402">
        <f>+AC48</f>
        <v>0</v>
      </c>
      <c r="AA40" s="407"/>
      <c r="AB40" s="409"/>
      <c r="AC40" s="407"/>
      <c r="AD40" s="407"/>
      <c r="AE40" s="407"/>
      <c r="AF40" s="407"/>
    </row>
    <row r="41" spans="1:32" ht="12.95" customHeight="1" thickBot="1">
      <c r="A41" s="412"/>
      <c r="B41" s="412"/>
      <c r="C41" s="412"/>
      <c r="D41" s="412"/>
      <c r="E41" s="413"/>
      <c r="F41" s="407"/>
      <c r="G41" s="407"/>
      <c r="H41" s="414"/>
      <c r="I41" s="414"/>
      <c r="J41" s="414"/>
      <c r="K41" s="407"/>
      <c r="L41" s="414"/>
      <c r="M41" s="414"/>
      <c r="N41" s="414"/>
      <c r="O41" s="414"/>
      <c r="P41" s="406"/>
      <c r="Q41" s="407"/>
      <c r="R41" s="407"/>
      <c r="S41" s="407"/>
      <c r="T41" s="407"/>
      <c r="U41" s="407"/>
      <c r="V41" s="407"/>
      <c r="W41" s="407"/>
      <c r="X41" s="407"/>
      <c r="Y41" s="407"/>
      <c r="Z41" s="407"/>
      <c r="AA41" s="407"/>
      <c r="AB41" s="415"/>
      <c r="AC41" s="412"/>
      <c r="AD41" s="412"/>
      <c r="AE41" s="412"/>
      <c r="AF41" s="412"/>
    </row>
    <row r="42" spans="1:32" ht="12.95" customHeight="1">
      <c r="A42" s="387"/>
      <c r="B42" s="407"/>
      <c r="C42" s="407"/>
      <c r="D42" s="407"/>
      <c r="E42" s="407"/>
      <c r="F42" s="407"/>
      <c r="G42" s="407"/>
      <c r="H42" s="414"/>
      <c r="I42" s="414"/>
      <c r="J42" s="414"/>
      <c r="K42" s="407"/>
      <c r="L42" s="414"/>
      <c r="M42" s="414"/>
      <c r="N42" s="414"/>
      <c r="O42" s="414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 ht="12.95" customHeight="1">
      <c r="A43" s="407"/>
      <c r="B43" s="407"/>
      <c r="C43" s="416"/>
      <c r="D43" s="387"/>
      <c r="E43" s="38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387"/>
      <c r="AD43" s="387"/>
      <c r="AE43" s="387"/>
      <c r="AF43" s="387"/>
    </row>
    <row r="44" spans="1:32" ht="12.95" customHeight="1">
      <c r="A44" s="407"/>
      <c r="B44" s="407"/>
      <c r="C44" s="387"/>
      <c r="D44" s="387"/>
      <c r="E44" s="38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387"/>
      <c r="AD44" s="387"/>
      <c r="AE44" s="387"/>
      <c r="AF44" s="387"/>
    </row>
    <row r="45" spans="1:32" ht="12.95" customHeight="1">
      <c r="A45" s="407"/>
      <c r="B45" s="407"/>
      <c r="C45" s="387"/>
      <c r="D45" s="387"/>
      <c r="E45" s="38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  <c r="AB45" s="407"/>
      <c r="AC45" s="387"/>
      <c r="AD45" s="387"/>
      <c r="AE45" s="387"/>
      <c r="AF45" s="387"/>
    </row>
    <row r="46" spans="1:32" ht="12.95" customHeight="1">
      <c r="A46" s="407"/>
      <c r="B46" s="407"/>
      <c r="C46" s="387"/>
      <c r="D46" s="387"/>
      <c r="E46" s="38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387"/>
      <c r="AD46" s="387"/>
      <c r="AE46" s="387"/>
      <c r="AF46" s="387"/>
    </row>
    <row r="47" spans="1:32" ht="12.95" customHeight="1">
      <c r="A47" s="387"/>
      <c r="B47" s="417"/>
      <c r="C47" s="387"/>
      <c r="D47" s="387"/>
      <c r="E47" s="38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87"/>
      <c r="AD47" s="387"/>
      <c r="AE47" s="387"/>
      <c r="AF47" s="387"/>
    </row>
    <row r="48" spans="1:32" ht="12.95" customHeight="1">
      <c r="A48" s="387"/>
      <c r="B48" s="407"/>
      <c r="C48" s="418"/>
      <c r="D48" s="402">
        <f>+G40</f>
        <v>0</v>
      </c>
      <c r="E48" s="38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2">
        <f>PHF及轉向比!BF100</f>
        <v>0</v>
      </c>
      <c r="AD48" s="408" t="str">
        <f>IF(AE$49=0,"--",AC48/AE$49)</f>
        <v>--</v>
      </c>
      <c r="AE48" s="403"/>
      <c r="AF48" s="407"/>
    </row>
    <row r="49" spans="1:32" ht="12.95" customHeight="1">
      <c r="A49" s="407"/>
      <c r="B49" s="416"/>
      <c r="C49" s="418"/>
      <c r="D49" s="402">
        <f>+S40</f>
        <v>0</v>
      </c>
      <c r="E49" s="414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2">
        <f>PHF及轉向比!BA100</f>
        <v>0</v>
      </c>
      <c r="AD49" s="408" t="str">
        <f t="shared" ref="AD49:AD51" si="2">IF(AE$49=0,"--",AC49/AE$49)</f>
        <v>--</v>
      </c>
      <c r="AE49" s="402">
        <f>SUM(AC48:AC51)</f>
        <v>0</v>
      </c>
      <c r="AF49" s="394" t="s">
        <v>15</v>
      </c>
    </row>
    <row r="50" spans="1:32" ht="12.95" customHeight="1">
      <c r="A50" s="387"/>
      <c r="B50" s="387"/>
      <c r="C50" s="402">
        <f>SUM(D48:D51)</f>
        <v>0</v>
      </c>
      <c r="D50" s="402">
        <f>+AC50</f>
        <v>0</v>
      </c>
      <c r="E50" s="414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2">
        <f>PHF及轉向比!AV100</f>
        <v>0</v>
      </c>
      <c r="AD50" s="408" t="str">
        <f t="shared" si="2"/>
        <v>--</v>
      </c>
      <c r="AE50" s="407"/>
      <c r="AF50" s="407"/>
    </row>
    <row r="51" spans="1:32" ht="12.95" customHeight="1">
      <c r="A51" s="407"/>
      <c r="B51" s="403" t="s">
        <v>14</v>
      </c>
      <c r="C51" s="418"/>
      <c r="D51" s="402">
        <f>+R65</f>
        <v>0</v>
      </c>
      <c r="E51" s="38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2">
        <f>PHF及轉向比!AQ100</f>
        <v>0</v>
      </c>
      <c r="AD51" s="408" t="str">
        <f t="shared" si="2"/>
        <v>--</v>
      </c>
      <c r="AE51" s="390"/>
      <c r="AF51" s="407"/>
    </row>
    <row r="52" spans="1:32" ht="12.95" customHeight="1">
      <c r="A52" s="418"/>
      <c r="B52" s="418"/>
      <c r="C52" s="418"/>
      <c r="D52" s="418"/>
      <c r="E52" s="414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  <c r="AB52" s="407"/>
      <c r="AC52" s="387"/>
      <c r="AD52" s="387"/>
      <c r="AE52" s="387"/>
      <c r="AF52" s="419">
        <f>'調查資料(OUT)'!$C$8</f>
        <v>0</v>
      </c>
    </row>
    <row r="53" spans="1:32" ht="12.95" customHeight="1">
      <c r="A53" s="420">
        <f>'調查資料(OUT)'!$AA$8</f>
        <v>0</v>
      </c>
      <c r="B53" s="418"/>
      <c r="C53" s="418"/>
      <c r="D53" s="418"/>
      <c r="E53" s="38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387"/>
      <c r="AD53" s="387"/>
      <c r="AE53" s="387"/>
      <c r="AF53" s="387"/>
    </row>
    <row r="54" spans="1:32" ht="12.95" customHeight="1">
      <c r="A54" s="418"/>
      <c r="B54" s="418"/>
      <c r="C54" s="408" t="str">
        <f>IF(B$56=0,"--",D54/B$56)</f>
        <v>--</v>
      </c>
      <c r="D54" s="402">
        <f>PHF及轉向比!DC100</f>
        <v>0</v>
      </c>
      <c r="E54" s="414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2">
        <f>+U40</f>
        <v>0</v>
      </c>
      <c r="AD54" s="416"/>
      <c r="AE54" s="407"/>
      <c r="AF54" s="407"/>
    </row>
    <row r="55" spans="1:32" ht="12.95" customHeight="1">
      <c r="A55" s="421"/>
      <c r="B55" s="387"/>
      <c r="C55" s="408" t="str">
        <f t="shared" ref="C55:C57" si="3">IF(B$56=0,"--",D55/B$56)</f>
        <v>--</v>
      </c>
      <c r="D55" s="402">
        <f>PHF及轉向比!DH100</f>
        <v>0</v>
      </c>
      <c r="E55" s="414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2">
        <f>+I40</f>
        <v>0</v>
      </c>
      <c r="AD55" s="402">
        <f>SUM(AC54:AC57)</f>
        <v>0</v>
      </c>
      <c r="AE55" s="407"/>
      <c r="AF55" s="407"/>
    </row>
    <row r="56" spans="1:32" ht="12.95" customHeight="1">
      <c r="A56" s="394" t="s">
        <v>17</v>
      </c>
      <c r="B56" s="402">
        <f>SUM(D54:D57)</f>
        <v>0</v>
      </c>
      <c r="C56" s="408" t="str">
        <f t="shared" si="3"/>
        <v>--</v>
      </c>
      <c r="D56" s="402">
        <f>PHF及轉向比!CS100</f>
        <v>0</v>
      </c>
      <c r="E56" s="414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2">
        <f>+D56</f>
        <v>0</v>
      </c>
      <c r="AD56" s="407"/>
      <c r="AE56" s="407"/>
      <c r="AF56" s="407"/>
    </row>
    <row r="57" spans="1:32" ht="12.95" customHeight="1">
      <c r="A57" s="394"/>
      <c r="B57" s="414"/>
      <c r="C57" s="408" t="str">
        <f t="shared" si="3"/>
        <v>--</v>
      </c>
      <c r="D57" s="402">
        <f>PHF及轉向比!CX100</f>
        <v>0</v>
      </c>
      <c r="E57" s="414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  <c r="AB57" s="407"/>
      <c r="AC57" s="402">
        <f>+U65</f>
        <v>0</v>
      </c>
      <c r="AD57" s="387"/>
      <c r="AE57" s="387"/>
      <c r="AF57" s="387"/>
    </row>
    <row r="58" spans="1:32" ht="12.95" customHeight="1">
      <c r="A58" s="387"/>
      <c r="B58" s="387"/>
      <c r="C58" s="387"/>
      <c r="D58" s="387"/>
      <c r="E58" s="414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  <c r="AB58" s="407"/>
      <c r="AC58" s="387"/>
      <c r="AD58" s="387"/>
      <c r="AE58" s="387"/>
      <c r="AF58" s="387"/>
    </row>
    <row r="59" spans="1:32" ht="12.95" customHeight="1">
      <c r="A59" s="387"/>
      <c r="B59" s="387"/>
      <c r="C59" s="387"/>
      <c r="D59" s="387"/>
      <c r="E59" s="419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387"/>
      <c r="AD59" s="387"/>
      <c r="AE59" s="387"/>
      <c r="AF59" s="387"/>
    </row>
    <row r="60" spans="1:32" ht="12.95" customHeight="1">
      <c r="A60" s="387"/>
      <c r="B60" s="387"/>
      <c r="C60" s="387"/>
      <c r="D60" s="387"/>
      <c r="E60" s="414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  <c r="AB60" s="407"/>
      <c r="AC60" s="387"/>
      <c r="AD60" s="387"/>
      <c r="AE60" s="387"/>
      <c r="AF60" s="387"/>
    </row>
    <row r="61" spans="1:32" ht="12.95" customHeight="1">
      <c r="A61" s="387"/>
      <c r="B61" s="387"/>
      <c r="C61" s="387"/>
      <c r="D61" s="387"/>
      <c r="E61" s="414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387"/>
      <c r="AD61" s="387"/>
      <c r="AE61" s="387"/>
      <c r="AF61" s="387"/>
    </row>
    <row r="62" spans="1:32" ht="12.95" customHeight="1">
      <c r="A62" s="387"/>
      <c r="B62" s="387"/>
      <c r="C62" s="387"/>
      <c r="D62" s="387"/>
      <c r="E62" s="414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387"/>
      <c r="AD62" s="387"/>
      <c r="AE62" s="387"/>
      <c r="AF62" s="387"/>
    </row>
    <row r="63" spans="1:32" ht="12.95" customHeight="1" thickBot="1">
      <c r="A63" s="387"/>
      <c r="B63" s="387"/>
      <c r="C63" s="422"/>
      <c r="D63" s="414"/>
      <c r="E63" s="414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</row>
    <row r="64" spans="1:32" ht="12.95" customHeight="1">
      <c r="A64" s="423"/>
      <c r="B64" s="423"/>
      <c r="C64" s="423"/>
      <c r="D64" s="423"/>
      <c r="E64" s="424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387"/>
      <c r="Q64" s="407"/>
      <c r="R64" s="387"/>
      <c r="S64" s="387"/>
      <c r="T64" s="387"/>
      <c r="U64" s="387"/>
      <c r="V64" s="387"/>
      <c r="W64" s="387"/>
      <c r="X64" s="387"/>
      <c r="Y64" s="387"/>
      <c r="Z64" s="387"/>
      <c r="AA64" s="387"/>
      <c r="AB64" s="425"/>
      <c r="AC64" s="426" t="s">
        <v>77</v>
      </c>
      <c r="AD64" s="427"/>
      <c r="AE64" s="427">
        <f>路口基本資料!B4</f>
        <v>0</v>
      </c>
      <c r="AF64" s="427"/>
    </row>
    <row r="65" spans="1:32" ht="12.95" customHeight="1">
      <c r="A65" s="407"/>
      <c r="B65" s="407"/>
      <c r="C65" s="407"/>
      <c r="D65" s="407"/>
      <c r="E65" s="406"/>
      <c r="F65" s="407"/>
      <c r="G65" s="387"/>
      <c r="H65" s="387"/>
      <c r="I65" s="387"/>
      <c r="J65" s="387"/>
      <c r="K65" s="387"/>
      <c r="L65" s="402">
        <f>+D57</f>
        <v>0</v>
      </c>
      <c r="M65" s="402">
        <f>+H40</f>
        <v>0</v>
      </c>
      <c r="N65" s="402">
        <f>+T40</f>
        <v>0</v>
      </c>
      <c r="O65" s="402">
        <f>+AC51</f>
        <v>0</v>
      </c>
      <c r="P65" s="407"/>
      <c r="Q65" s="407"/>
      <c r="R65" s="402">
        <f>PHF及轉向比!BW100</f>
        <v>0</v>
      </c>
      <c r="S65" s="402">
        <f>PHF及轉向比!CB100</f>
        <v>0</v>
      </c>
      <c r="T65" s="402">
        <f>PHF及轉向比!CG100</f>
        <v>0</v>
      </c>
      <c r="U65" s="402">
        <f>PHF及轉向比!BR100</f>
        <v>0</v>
      </c>
      <c r="V65" s="387"/>
      <c r="W65" s="387"/>
      <c r="X65" s="387"/>
      <c r="Y65" s="387"/>
      <c r="Z65" s="387"/>
      <c r="AA65" s="387"/>
      <c r="AB65" s="409"/>
      <c r="AC65" s="428" t="s">
        <v>103</v>
      </c>
      <c r="AD65" s="429" t="s">
        <v>108</v>
      </c>
      <c r="AE65" s="387"/>
      <c r="AF65" s="430"/>
    </row>
    <row r="66" spans="1:32" ht="12.95" customHeight="1">
      <c r="A66" s="407"/>
      <c r="B66" s="407"/>
      <c r="C66" s="407"/>
      <c r="D66" s="407"/>
      <c r="E66" s="406"/>
      <c r="F66" s="407"/>
      <c r="G66" s="387"/>
      <c r="H66" s="387"/>
      <c r="I66" s="387"/>
      <c r="J66" s="387"/>
      <c r="K66" s="387"/>
      <c r="L66" s="407"/>
      <c r="M66" s="387"/>
      <c r="N66" s="402">
        <f>SUM(L65:O65)</f>
        <v>0</v>
      </c>
      <c r="O66" s="407"/>
      <c r="P66" s="390"/>
      <c r="Q66" s="407"/>
      <c r="R66" s="408" t="str">
        <f>IF($T67=0,"--",R65/$T67)</f>
        <v>--</v>
      </c>
      <c r="S66" s="408" t="str">
        <f>IF($T67=0,"--",S65/$T67)</f>
        <v>--</v>
      </c>
      <c r="T66" s="408" t="str">
        <f>IF($T67=0,"--",T65/$T67)</f>
        <v>--</v>
      </c>
      <c r="U66" s="408" t="str">
        <f>IF($T67=0,"--",U65/$T67)</f>
        <v>--</v>
      </c>
      <c r="V66" s="387"/>
      <c r="W66" s="387"/>
      <c r="X66" s="387"/>
      <c r="Y66" s="387"/>
      <c r="Z66" s="387"/>
      <c r="AA66" s="387"/>
      <c r="AB66" s="409"/>
      <c r="AC66" s="428" t="s">
        <v>102</v>
      </c>
      <c r="AD66" s="430"/>
      <c r="AE66" s="431" t="str">
        <f>路口基本資料!$B$8</f>
        <v>YYYY/MM/DD</v>
      </c>
      <c r="AF66" s="430"/>
    </row>
    <row r="67" spans="1:32" ht="12.95" customHeight="1">
      <c r="A67" s="407"/>
      <c r="B67" s="407"/>
      <c r="C67" s="407"/>
      <c r="D67" s="407"/>
      <c r="E67" s="406"/>
      <c r="F67" s="407"/>
      <c r="G67" s="387"/>
      <c r="H67" s="387"/>
      <c r="I67" s="387"/>
      <c r="J67" s="387"/>
      <c r="K67" s="387"/>
      <c r="L67" s="407"/>
      <c r="M67" s="416"/>
      <c r="N67" s="407"/>
      <c r="O67" s="395"/>
      <c r="P67" s="390"/>
      <c r="Q67" s="407"/>
      <c r="R67" s="407"/>
      <c r="S67" s="387"/>
      <c r="T67" s="402">
        <f>SUM(R65:U65)</f>
        <v>0</v>
      </c>
      <c r="U67" s="407"/>
      <c r="V67" s="387"/>
      <c r="W67" s="387"/>
      <c r="X67" s="387"/>
      <c r="Y67" s="387"/>
      <c r="Z67" s="387"/>
      <c r="AA67" s="387"/>
      <c r="AB67" s="409"/>
      <c r="AC67" s="428" t="s">
        <v>105</v>
      </c>
      <c r="AD67" s="432">
        <f>PHF及轉向比!$AN$99</f>
        <v>1500</v>
      </c>
      <c r="AE67" s="432" t="s">
        <v>106</v>
      </c>
      <c r="AF67" s="432">
        <f>PHF及轉向比!$AO$99</f>
        <v>1600</v>
      </c>
    </row>
    <row r="68" spans="1:32" ht="12.95" customHeight="1">
      <c r="A68" s="407"/>
      <c r="B68" s="407"/>
      <c r="C68" s="407"/>
      <c r="D68" s="407"/>
      <c r="E68" s="406"/>
      <c r="F68" s="407"/>
      <c r="G68" s="387"/>
      <c r="H68" s="387"/>
      <c r="I68" s="387"/>
      <c r="J68" s="387"/>
      <c r="K68" s="387"/>
      <c r="L68" s="407"/>
      <c r="M68" s="407"/>
      <c r="N68" s="407"/>
      <c r="O68" s="407"/>
      <c r="P68" s="395">
        <f>'調查資料(OUT)'!$O$8</f>
        <v>0</v>
      </c>
      <c r="Q68" s="387"/>
      <c r="R68" s="416"/>
      <c r="S68" s="387"/>
      <c r="T68" s="433" t="s">
        <v>16</v>
      </c>
      <c r="U68" s="407"/>
      <c r="V68" s="387"/>
      <c r="W68" s="387"/>
      <c r="X68" s="387"/>
      <c r="Y68" s="387"/>
      <c r="Z68" s="387"/>
      <c r="AA68" s="387"/>
      <c r="AB68" s="409"/>
      <c r="AC68" s="428" t="s">
        <v>107</v>
      </c>
      <c r="AD68" s="432"/>
      <c r="AE68" s="432"/>
      <c r="AF68" s="432"/>
    </row>
    <row r="69" spans="1:32" ht="12.95" customHeight="1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407"/>
      <c r="L69" s="407"/>
      <c r="M69" s="407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  <c r="AB69" s="407"/>
      <c r="AC69" s="441"/>
      <c r="AD69" s="387"/>
      <c r="AE69" s="387"/>
      <c r="AF69" s="387"/>
    </row>
    <row r="70" spans="1:32" ht="21">
      <c r="A70" s="457" t="str">
        <f>SUBSTITUTE("x_大型車轉向交通量(假日昏峰)","x",路口基本資料!B5)</f>
        <v>_大型車轉向交通量(假日昏峰)</v>
      </c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8"/>
      <c r="AD70" s="458"/>
      <c r="AE70" s="458"/>
      <c r="AF70" s="458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70"/>
  <sheetViews>
    <sheetView topLeftCell="A38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87"/>
      <c r="B1" s="387"/>
      <c r="C1" s="387"/>
      <c r="D1" s="387"/>
      <c r="E1" s="387"/>
      <c r="F1" s="387"/>
      <c r="G1" s="387"/>
      <c r="H1" s="388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</row>
    <row r="2" spans="1:32" ht="15.75" customHeight="1">
      <c r="A2" s="389"/>
      <c r="B2" s="390"/>
      <c r="C2" s="391"/>
      <c r="D2" s="392"/>
      <c r="E2" s="393"/>
      <c r="F2" s="387"/>
      <c r="G2" s="387"/>
      <c r="H2" s="394" t="s">
        <v>101</v>
      </c>
      <c r="I2" s="387"/>
      <c r="J2" s="387"/>
      <c r="K2" s="395">
        <f>'調查資料(OUT)'!$AM$8</f>
        <v>0</v>
      </c>
      <c r="L2" s="387"/>
      <c r="M2" s="387"/>
      <c r="N2" s="387"/>
      <c r="O2" s="387"/>
      <c r="P2" s="393"/>
      <c r="Q2" s="387"/>
      <c r="R2" s="387"/>
      <c r="S2" s="396" t="s">
        <v>96</v>
      </c>
      <c r="T2" s="397"/>
      <c r="U2" s="387"/>
      <c r="V2" s="395">
        <f>'調查資料(OUT)'!$AY$8</f>
        <v>0</v>
      </c>
      <c r="W2" s="387"/>
      <c r="X2" s="387"/>
      <c r="Y2" s="387"/>
      <c r="Z2" s="387"/>
      <c r="AA2" s="387"/>
      <c r="AB2" s="398"/>
      <c r="AC2" s="387"/>
      <c r="AD2" s="399"/>
      <c r="AE2" s="387"/>
      <c r="AF2" s="387"/>
    </row>
    <row r="3" spans="1:32" ht="12.95" customHeight="1">
      <c r="A3" s="400"/>
      <c r="B3" s="400"/>
      <c r="C3" s="400"/>
      <c r="D3" s="400"/>
      <c r="E3" s="401"/>
      <c r="F3" s="387" t="s">
        <v>14</v>
      </c>
      <c r="G3" s="387"/>
      <c r="H3" s="402">
        <f>SUM(G5:J5)</f>
        <v>0</v>
      </c>
      <c r="I3" s="387"/>
      <c r="J3" s="387"/>
      <c r="K3" s="390"/>
      <c r="L3" s="387"/>
      <c r="M3" s="387"/>
      <c r="N3" s="387"/>
      <c r="O3" s="387"/>
      <c r="P3" s="393"/>
      <c r="Q3" s="387"/>
      <c r="R3" s="403" t="s">
        <v>14</v>
      </c>
      <c r="S3" s="402">
        <f>SUM(R5:U5)</f>
        <v>0</v>
      </c>
      <c r="T3" s="387"/>
      <c r="U3" s="387"/>
      <c r="V3" s="387"/>
      <c r="W3" s="387"/>
      <c r="X3" s="387"/>
      <c r="Y3" s="387"/>
      <c r="Z3" s="387"/>
      <c r="AA3" s="387"/>
      <c r="AB3" s="398"/>
      <c r="AC3" s="387"/>
      <c r="AD3" s="387"/>
      <c r="AE3" s="387"/>
      <c r="AF3" s="387"/>
    </row>
    <row r="4" spans="1:32" ht="12.95" customHeight="1">
      <c r="A4" s="404"/>
      <c r="B4" s="405"/>
      <c r="C4" s="405"/>
      <c r="D4" s="405"/>
      <c r="E4" s="406"/>
      <c r="F4" s="407"/>
      <c r="G4" s="408" t="str">
        <f>IF($H3=0,"--",G5/$H3)</f>
        <v>--</v>
      </c>
      <c r="H4" s="408" t="str">
        <f t="shared" ref="H4:I4" si="0">IF($H3=0,"--",H5/$H3)</f>
        <v>--</v>
      </c>
      <c r="I4" s="408" t="str">
        <f t="shared" si="0"/>
        <v>--</v>
      </c>
      <c r="J4" s="408" t="str">
        <f>IF($H3=0,"--",J5/$H3)</f>
        <v>--</v>
      </c>
      <c r="K4" s="395"/>
      <c r="L4" s="387"/>
      <c r="M4" s="402">
        <f>SUM(L5:O5)</f>
        <v>0</v>
      </c>
      <c r="N4" s="387"/>
      <c r="O4" s="387"/>
      <c r="P4" s="393"/>
      <c r="Q4" s="407"/>
      <c r="R4" s="408" t="str">
        <f>IF($S3=0,"--",R5/$S3)</f>
        <v>--</v>
      </c>
      <c r="S4" s="408" t="str">
        <f>IF($S3=0,"--",S5/$S3)</f>
        <v>--</v>
      </c>
      <c r="T4" s="408" t="str">
        <f>IF($S3=0,"--",T5/$S3)</f>
        <v>--</v>
      </c>
      <c r="U4" s="408" t="str">
        <f>IF($S3=0,"--",U5/$S3)</f>
        <v>--</v>
      </c>
      <c r="V4" s="407"/>
      <c r="W4" s="407"/>
      <c r="X4" s="402">
        <f>SUM(W5:Z5)</f>
        <v>0</v>
      </c>
      <c r="Y4" s="407"/>
      <c r="Z4" s="407"/>
      <c r="AA4" s="407"/>
      <c r="AB4" s="409"/>
      <c r="AC4" s="407"/>
      <c r="AD4" s="387"/>
      <c r="AE4" s="407"/>
      <c r="AF4" s="407"/>
    </row>
    <row r="5" spans="1:32" ht="12.95" customHeight="1">
      <c r="A5" s="410"/>
      <c r="B5" s="410"/>
      <c r="C5" s="410"/>
      <c r="D5" s="410"/>
      <c r="E5" s="411"/>
      <c r="F5" s="407"/>
      <c r="G5" s="402">
        <f>PHF及轉向比!EE98</f>
        <v>0</v>
      </c>
      <c r="H5" s="402">
        <f>PHF及轉向比!DZ98</f>
        <v>0</v>
      </c>
      <c r="I5" s="402">
        <f>PHF及轉向比!DU98</f>
        <v>0</v>
      </c>
      <c r="J5" s="402">
        <f>PHF及轉向比!EJ98</f>
        <v>0</v>
      </c>
      <c r="K5" s="407"/>
      <c r="L5" s="402">
        <f>+D19</f>
        <v>0</v>
      </c>
      <c r="M5" s="402">
        <f>+S30</f>
        <v>0</v>
      </c>
      <c r="N5" s="402">
        <f>+AC14</f>
        <v>0</v>
      </c>
      <c r="O5" s="402">
        <f>+R5</f>
        <v>0</v>
      </c>
      <c r="P5" s="393"/>
      <c r="Q5" s="407"/>
      <c r="R5" s="402">
        <f>PHF及轉向比!FK98</f>
        <v>0</v>
      </c>
      <c r="S5" s="402">
        <f>PHF及轉向比!FF98</f>
        <v>0</v>
      </c>
      <c r="T5" s="402">
        <f>PHF及轉向比!FA98</f>
        <v>0</v>
      </c>
      <c r="U5" s="402">
        <f>PHF及轉向比!EV98</f>
        <v>0</v>
      </c>
      <c r="V5" s="407"/>
      <c r="W5" s="402">
        <f>+J5</f>
        <v>0</v>
      </c>
      <c r="X5" s="402">
        <f>+D20</f>
        <v>0</v>
      </c>
      <c r="Y5" s="402">
        <f>+T30</f>
        <v>0</v>
      </c>
      <c r="Z5" s="402">
        <f>+AC13</f>
        <v>0</v>
      </c>
      <c r="AA5" s="407"/>
      <c r="AB5" s="409"/>
      <c r="AC5" s="407"/>
      <c r="AD5" s="407"/>
      <c r="AE5" s="407"/>
      <c r="AF5" s="407"/>
    </row>
    <row r="6" spans="1:32" ht="12.95" customHeight="1" thickBot="1">
      <c r="A6" s="412"/>
      <c r="B6" s="412"/>
      <c r="C6" s="412"/>
      <c r="D6" s="412"/>
      <c r="E6" s="413"/>
      <c r="F6" s="407"/>
      <c r="G6" s="407"/>
      <c r="H6" s="414"/>
      <c r="I6" s="414"/>
      <c r="J6" s="414"/>
      <c r="K6" s="407"/>
      <c r="L6" s="414"/>
      <c r="M6" s="414"/>
      <c r="N6" s="414"/>
      <c r="O6" s="414"/>
      <c r="P6" s="406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15"/>
      <c r="AC6" s="412"/>
      <c r="AD6" s="412"/>
      <c r="AE6" s="412"/>
      <c r="AF6" s="412"/>
    </row>
    <row r="7" spans="1:32" ht="12.95" customHeight="1">
      <c r="A7" s="407"/>
      <c r="B7" s="407"/>
      <c r="C7" s="407"/>
      <c r="D7" s="407"/>
      <c r="E7" s="407"/>
      <c r="F7" s="407"/>
      <c r="G7" s="407"/>
      <c r="H7" s="414"/>
      <c r="I7" s="414"/>
      <c r="J7" s="414"/>
      <c r="K7" s="407"/>
      <c r="L7" s="414"/>
      <c r="M7" s="414"/>
      <c r="N7" s="414"/>
      <c r="O7" s="414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</row>
    <row r="8" spans="1:32" ht="12.95" customHeight="1">
      <c r="A8" s="407"/>
      <c r="B8" s="407"/>
      <c r="C8" s="416"/>
      <c r="D8" s="387"/>
      <c r="E8" s="38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387"/>
      <c r="AD8" s="387"/>
      <c r="AE8" s="387"/>
      <c r="AF8" s="387"/>
    </row>
    <row r="9" spans="1:32" ht="12.95" customHeight="1">
      <c r="A9" s="407"/>
      <c r="B9" s="407"/>
      <c r="C9" s="387"/>
      <c r="D9" s="387"/>
      <c r="E9" s="38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387"/>
      <c r="AD9" s="387"/>
      <c r="AE9" s="387"/>
      <c r="AF9" s="387"/>
    </row>
    <row r="10" spans="1:32" ht="12.95" customHeight="1">
      <c r="A10" s="407"/>
      <c r="B10" s="407"/>
      <c r="C10" s="387"/>
      <c r="D10" s="387"/>
      <c r="E10" s="38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387"/>
      <c r="AD10" s="387"/>
      <c r="AE10" s="387"/>
      <c r="AF10" s="387"/>
    </row>
    <row r="11" spans="1:32" ht="12.95" customHeight="1">
      <c r="A11" s="407"/>
      <c r="B11" s="407"/>
      <c r="C11" s="387"/>
      <c r="D11" s="387"/>
      <c r="E11" s="38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387"/>
      <c r="AD11" s="387"/>
      <c r="AE11" s="387"/>
      <c r="AF11" s="387"/>
    </row>
    <row r="12" spans="1:32" ht="12.95" customHeight="1">
      <c r="A12" s="387"/>
      <c r="B12" s="417"/>
      <c r="C12" s="387"/>
      <c r="D12" s="387"/>
      <c r="E12" s="38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387"/>
      <c r="AD12" s="387"/>
      <c r="AE12" s="387"/>
      <c r="AF12" s="387"/>
    </row>
    <row r="13" spans="1:32" ht="12.95" customHeight="1">
      <c r="A13" s="387"/>
      <c r="B13" s="407"/>
      <c r="C13" s="407"/>
      <c r="D13" s="402">
        <f>+G5</f>
        <v>0</v>
      </c>
      <c r="E13" s="38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2">
        <f>PHF及轉向比!BG98</f>
        <v>0</v>
      </c>
      <c r="AD13" s="408" t="str">
        <f>IF(AE$14=0,"--",AC13/AE$14)</f>
        <v>--</v>
      </c>
      <c r="AE13" s="403"/>
      <c r="AF13" s="407"/>
    </row>
    <row r="14" spans="1:32" ht="12.95" customHeight="1">
      <c r="A14" s="407"/>
      <c r="B14" s="416"/>
      <c r="C14" s="407"/>
      <c r="D14" s="402">
        <f>+S5</f>
        <v>0</v>
      </c>
      <c r="E14" s="414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2">
        <f>PHF及轉向比!BB98</f>
        <v>0</v>
      </c>
      <c r="AD14" s="408" t="str">
        <f>IF(AE$14=0,"--",AC14/AE$14)</f>
        <v>--</v>
      </c>
      <c r="AE14" s="402">
        <f>SUM(AC13:AC16)</f>
        <v>0</v>
      </c>
      <c r="AF14" s="394" t="s">
        <v>15</v>
      </c>
    </row>
    <row r="15" spans="1:32" ht="12.95" customHeight="1">
      <c r="A15" s="387"/>
      <c r="B15" s="387"/>
      <c r="C15" s="402">
        <f>SUM(D13:D16)</f>
        <v>0</v>
      </c>
      <c r="D15" s="402">
        <f>+AC15</f>
        <v>0</v>
      </c>
      <c r="E15" s="414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2">
        <f>PHF及轉向比!AW98</f>
        <v>0</v>
      </c>
      <c r="AD15" s="408" t="str">
        <f>IF(AE$14=0,"--",AC15/AE$14)</f>
        <v>--</v>
      </c>
      <c r="AE15" s="407"/>
      <c r="AF15" s="407"/>
    </row>
    <row r="16" spans="1:32" ht="12.95" customHeight="1">
      <c r="A16" s="407"/>
      <c r="B16" s="403" t="s">
        <v>14</v>
      </c>
      <c r="C16" s="407"/>
      <c r="D16" s="402">
        <f>+R30</f>
        <v>0</v>
      </c>
      <c r="E16" s="414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2">
        <f>PHF及轉向比!AR98</f>
        <v>0</v>
      </c>
      <c r="AD16" s="408" t="str">
        <f>IF(AE$14=0,"--",AC16/AE$14)</f>
        <v>--</v>
      </c>
      <c r="AE16" s="390"/>
      <c r="AF16" s="407"/>
    </row>
    <row r="17" spans="1:32" ht="12.95" customHeight="1">
      <c r="A17" s="407"/>
      <c r="B17" s="407"/>
      <c r="C17" s="407"/>
      <c r="D17" s="407"/>
      <c r="E17" s="414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387"/>
      <c r="AD17" s="387"/>
      <c r="AE17" s="387"/>
      <c r="AF17" s="419">
        <f>'調查資料(OUT)'!$C$8</f>
        <v>0</v>
      </c>
    </row>
    <row r="18" spans="1:32" ht="12.95" customHeight="1">
      <c r="A18" s="420">
        <f>'調查資料(OUT)'!$AA$8</f>
        <v>0</v>
      </c>
      <c r="B18" s="387"/>
      <c r="C18" s="387"/>
      <c r="D18" s="414"/>
      <c r="E18" s="38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387"/>
      <c r="AD18" s="387"/>
      <c r="AE18" s="387"/>
      <c r="AF18" s="387"/>
    </row>
    <row r="19" spans="1:32" ht="12.95" customHeight="1">
      <c r="A19" s="421"/>
      <c r="B19" s="387"/>
      <c r="C19" s="408" t="str">
        <f>IF(B$21=0,"--",D19/B$21)</f>
        <v>--</v>
      </c>
      <c r="D19" s="402">
        <f>PHF及轉向比!DD98</f>
        <v>0</v>
      </c>
      <c r="E19" s="414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2">
        <f>+U5</f>
        <v>0</v>
      </c>
      <c r="AD19" s="416"/>
      <c r="AE19" s="407"/>
      <c r="AF19" s="407"/>
    </row>
    <row r="20" spans="1:32" ht="12.95" customHeight="1">
      <c r="A20" s="407"/>
      <c r="B20" s="416"/>
      <c r="C20" s="408" t="str">
        <f>IF(B$21=0,"--",D20/B$21)</f>
        <v>--</v>
      </c>
      <c r="D20" s="402">
        <f>PHF及轉向比!DI98</f>
        <v>0</v>
      </c>
      <c r="E20" s="414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2">
        <f>+I5</f>
        <v>0</v>
      </c>
      <c r="AD20" s="402">
        <f>SUM(AC19:AC22)</f>
        <v>0</v>
      </c>
      <c r="AE20" s="407"/>
      <c r="AF20" s="407"/>
    </row>
    <row r="21" spans="1:32" ht="12.95" customHeight="1">
      <c r="A21" s="394" t="s">
        <v>17</v>
      </c>
      <c r="B21" s="402">
        <f>SUM(D19:D22)</f>
        <v>0</v>
      </c>
      <c r="C21" s="408" t="str">
        <f>IF(B$21=0,"--",D21/B$21)</f>
        <v>--</v>
      </c>
      <c r="D21" s="402">
        <f>PHF及轉向比!CT98</f>
        <v>0</v>
      </c>
      <c r="E21" s="414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2">
        <f>+D21</f>
        <v>0</v>
      </c>
      <c r="AD21" s="407"/>
      <c r="AE21" s="407"/>
      <c r="AF21" s="407"/>
    </row>
    <row r="22" spans="1:32" ht="12.95" customHeight="1">
      <c r="A22" s="407"/>
      <c r="B22" s="403"/>
      <c r="C22" s="408" t="str">
        <f>IF(B$21=0,"--",D22/B$21)</f>
        <v>--</v>
      </c>
      <c r="D22" s="402">
        <f>PHF及轉向比!CY98</f>
        <v>0</v>
      </c>
      <c r="E22" s="414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2">
        <f>+U30</f>
        <v>0</v>
      </c>
      <c r="AD22" s="387"/>
      <c r="AE22" s="387"/>
      <c r="AF22" s="387"/>
    </row>
    <row r="23" spans="1:32" ht="12.95" customHeight="1">
      <c r="A23" s="387"/>
      <c r="B23" s="387"/>
      <c r="C23" s="387"/>
      <c r="D23" s="387"/>
      <c r="E23" s="414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  <c r="AA23" s="407"/>
      <c r="AB23" s="407"/>
      <c r="AC23" s="387"/>
      <c r="AD23" s="387"/>
      <c r="AE23" s="387"/>
      <c r="AF23" s="387"/>
    </row>
    <row r="24" spans="1:32" ht="12.95" customHeight="1">
      <c r="A24" s="387"/>
      <c r="B24" s="387"/>
      <c r="C24" s="387"/>
      <c r="D24" s="387"/>
      <c r="E24" s="419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387"/>
      <c r="AD24" s="387"/>
      <c r="AE24" s="387"/>
      <c r="AF24" s="387"/>
    </row>
    <row r="25" spans="1:32" ht="12.95" customHeight="1">
      <c r="A25" s="387"/>
      <c r="B25" s="387"/>
      <c r="C25" s="387"/>
      <c r="D25" s="387"/>
      <c r="E25" s="414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  <c r="AA25" s="407"/>
      <c r="AB25" s="407"/>
      <c r="AC25" s="387"/>
      <c r="AD25" s="387"/>
      <c r="AE25" s="387"/>
      <c r="AF25" s="387"/>
    </row>
    <row r="26" spans="1:32" ht="12.95" customHeight="1">
      <c r="A26" s="387"/>
      <c r="B26" s="387"/>
      <c r="C26" s="387"/>
      <c r="D26" s="387"/>
      <c r="E26" s="414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387"/>
      <c r="AD26" s="387"/>
      <c r="AE26" s="387"/>
      <c r="AF26" s="387"/>
    </row>
    <row r="27" spans="1:32" ht="12.95" customHeight="1">
      <c r="A27" s="387"/>
      <c r="B27" s="387"/>
      <c r="C27" s="387"/>
      <c r="D27" s="387"/>
      <c r="E27" s="414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7"/>
      <c r="AC27" s="387"/>
      <c r="AD27" s="387"/>
      <c r="AE27" s="387"/>
      <c r="AF27" s="387"/>
    </row>
    <row r="28" spans="1:32" ht="12.95" customHeight="1" thickBot="1">
      <c r="A28" s="387"/>
      <c r="B28" s="387"/>
      <c r="C28" s="422"/>
      <c r="D28" s="414"/>
      <c r="E28" s="414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spans="1:32" ht="12.95" customHeight="1">
      <c r="A29" s="423"/>
      <c r="B29" s="423"/>
      <c r="C29" s="423"/>
      <c r="D29" s="423"/>
      <c r="E29" s="424"/>
      <c r="F29" s="407"/>
      <c r="G29" s="407"/>
      <c r="H29" s="407"/>
      <c r="I29" s="407"/>
      <c r="J29" s="407"/>
      <c r="K29" s="407"/>
      <c r="L29" s="407"/>
      <c r="M29" s="407"/>
      <c r="N29" s="407"/>
      <c r="O29" s="407"/>
      <c r="P29" s="407"/>
      <c r="Q29" s="407"/>
      <c r="R29" s="407"/>
      <c r="S29" s="407"/>
      <c r="T29" s="407"/>
      <c r="U29" s="407"/>
      <c r="V29" s="407"/>
      <c r="W29" s="407"/>
      <c r="X29" s="407"/>
      <c r="Y29" s="407"/>
      <c r="Z29" s="407"/>
      <c r="AA29" s="407"/>
      <c r="AB29" s="425"/>
      <c r="AC29" s="426" t="s">
        <v>77</v>
      </c>
      <c r="AD29" s="427"/>
      <c r="AE29" s="427">
        <f>路口基本資料!B4</f>
        <v>0</v>
      </c>
      <c r="AF29" s="427"/>
    </row>
    <row r="30" spans="1:32" ht="12.95" customHeight="1">
      <c r="A30" s="407"/>
      <c r="B30" s="407"/>
      <c r="C30" s="407"/>
      <c r="D30" s="407"/>
      <c r="E30" s="406"/>
      <c r="F30" s="407"/>
      <c r="G30" s="407"/>
      <c r="H30" s="407"/>
      <c r="I30" s="407"/>
      <c r="J30" s="407"/>
      <c r="K30" s="407"/>
      <c r="L30" s="402">
        <f>+D22</f>
        <v>0</v>
      </c>
      <c r="M30" s="402">
        <f>+H5</f>
        <v>0</v>
      </c>
      <c r="N30" s="402">
        <f>+T5</f>
        <v>0</v>
      </c>
      <c r="O30" s="402">
        <f>+AC16</f>
        <v>0</v>
      </c>
      <c r="P30" s="407"/>
      <c r="Q30" s="387"/>
      <c r="R30" s="402">
        <f>PHF及轉向比!BX98</f>
        <v>0</v>
      </c>
      <c r="S30" s="402">
        <f>PHF及轉向比!CC98</f>
        <v>0</v>
      </c>
      <c r="T30" s="402">
        <f>PHF及轉向比!CH98</f>
        <v>0</v>
      </c>
      <c r="U30" s="402">
        <f>PHF及轉向比!BS98</f>
        <v>0</v>
      </c>
      <c r="V30" s="407"/>
      <c r="W30" s="407"/>
      <c r="X30" s="407"/>
      <c r="Y30" s="407"/>
      <c r="Z30" s="407"/>
      <c r="AA30" s="414"/>
      <c r="AB30" s="409"/>
      <c r="AC30" s="428" t="s">
        <v>103</v>
      </c>
      <c r="AD30" s="429" t="s">
        <v>108</v>
      </c>
      <c r="AE30" s="387"/>
      <c r="AF30" s="430"/>
    </row>
    <row r="31" spans="1:32" ht="12.95" customHeight="1">
      <c r="A31" s="407"/>
      <c r="B31" s="407"/>
      <c r="C31" s="407"/>
      <c r="D31" s="407"/>
      <c r="E31" s="406"/>
      <c r="F31" s="407"/>
      <c r="G31" s="407"/>
      <c r="H31" s="407"/>
      <c r="I31" s="407"/>
      <c r="J31" s="407"/>
      <c r="K31" s="407"/>
      <c r="L31" s="407"/>
      <c r="M31" s="387"/>
      <c r="N31" s="402">
        <f>SUM(L30:O30)</f>
        <v>0</v>
      </c>
      <c r="O31" s="407"/>
      <c r="P31" s="390"/>
      <c r="Q31" s="387"/>
      <c r="R31" s="408" t="str">
        <f>IF($T32=0,"--",R30/$T32)</f>
        <v>--</v>
      </c>
      <c r="S31" s="408" t="str">
        <f>IF($T32=0,"--",S30/$T32)</f>
        <v>--</v>
      </c>
      <c r="T31" s="408" t="str">
        <f>IF($T32=0,"--",T30/$T32)</f>
        <v>--</v>
      </c>
      <c r="U31" s="408" t="str">
        <f>IF($T32=0,"--",U30/$T32)</f>
        <v>--</v>
      </c>
      <c r="V31" s="407"/>
      <c r="W31" s="407"/>
      <c r="X31" s="407"/>
      <c r="Y31" s="407"/>
      <c r="Z31" s="407"/>
      <c r="AA31" s="442"/>
      <c r="AB31" s="409"/>
      <c r="AC31" s="428" t="s">
        <v>102</v>
      </c>
      <c r="AD31" s="430"/>
      <c r="AE31" s="431" t="str">
        <f>路口基本資料!$B$8</f>
        <v>YYYY/MM/DD</v>
      </c>
      <c r="AF31" s="430"/>
    </row>
    <row r="32" spans="1:32" ht="12.95" customHeight="1">
      <c r="A32" s="407"/>
      <c r="B32" s="407"/>
      <c r="C32" s="407"/>
      <c r="D32" s="407"/>
      <c r="E32" s="406"/>
      <c r="F32" s="407"/>
      <c r="G32" s="407"/>
      <c r="H32" s="407"/>
      <c r="I32" s="407"/>
      <c r="J32" s="407"/>
      <c r="K32" s="407"/>
      <c r="L32" s="407"/>
      <c r="M32" s="416"/>
      <c r="N32" s="407"/>
      <c r="O32" s="395"/>
      <c r="P32" s="390"/>
      <c r="Q32" s="387"/>
      <c r="R32" s="407"/>
      <c r="S32" s="387"/>
      <c r="T32" s="402">
        <f>SUM(R30:U30)</f>
        <v>0</v>
      </c>
      <c r="U32" s="407"/>
      <c r="V32" s="407"/>
      <c r="W32" s="407"/>
      <c r="X32" s="407"/>
      <c r="Y32" s="407"/>
      <c r="Z32" s="407"/>
      <c r="AA32" s="407"/>
      <c r="AB32" s="409"/>
      <c r="AC32" s="428" t="s">
        <v>105</v>
      </c>
      <c r="AD32" s="432">
        <f>PHF及轉向比!$AN$98</f>
        <v>1200</v>
      </c>
      <c r="AE32" s="432" t="s">
        <v>106</v>
      </c>
      <c r="AF32" s="432">
        <f>PHF及轉向比!$AO$98</f>
        <v>1300</v>
      </c>
    </row>
    <row r="33" spans="1:32" ht="12.95" customHeight="1">
      <c r="A33" s="407"/>
      <c r="B33" s="407"/>
      <c r="C33" s="407"/>
      <c r="D33" s="407"/>
      <c r="E33" s="406"/>
      <c r="F33" s="407"/>
      <c r="G33" s="407"/>
      <c r="H33" s="407"/>
      <c r="I33" s="407"/>
      <c r="J33" s="407"/>
      <c r="K33" s="407"/>
      <c r="L33" s="407"/>
      <c r="M33" s="407"/>
      <c r="N33" s="407"/>
      <c r="O33" s="407"/>
      <c r="P33" s="395">
        <f>'調查資料(OUT)'!$O$8</f>
        <v>0</v>
      </c>
      <c r="Q33" s="387"/>
      <c r="R33" s="416"/>
      <c r="S33" s="387"/>
      <c r="T33" s="433" t="s">
        <v>16</v>
      </c>
      <c r="U33" s="407"/>
      <c r="V33" s="407"/>
      <c r="W33" s="407"/>
      <c r="X33" s="407"/>
      <c r="Y33" s="407"/>
      <c r="Z33" s="407"/>
      <c r="AA33" s="407"/>
      <c r="AB33" s="409"/>
      <c r="AC33" s="428" t="s">
        <v>107</v>
      </c>
      <c r="AD33" s="432"/>
      <c r="AE33" s="432"/>
      <c r="AF33" s="432"/>
    </row>
    <row r="34" spans="1:32" ht="12.95" customHeight="1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395"/>
      <c r="L34" s="416"/>
      <c r="M34" s="433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  <c r="AA34" s="407"/>
      <c r="AB34" s="407"/>
      <c r="AC34" s="434"/>
      <c r="AD34" s="387"/>
      <c r="AE34" s="387"/>
      <c r="AF34" s="387"/>
    </row>
    <row r="35" spans="1:32" ht="21">
      <c r="A35" s="457" t="str">
        <f>SUBSTITUTE("x_小型車轉向交通量(假日晨峰)","x",路口基本資料!B5)</f>
        <v>_小型車轉向交通量(假日晨峰)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</row>
    <row r="36" spans="1:32" ht="21">
      <c r="A36" s="435"/>
      <c r="B36" s="436"/>
      <c r="C36" s="437"/>
      <c r="D36" s="438"/>
      <c r="E36" s="438"/>
      <c r="F36" s="439"/>
      <c r="G36" s="440"/>
      <c r="H36" s="437"/>
      <c r="I36" s="440"/>
      <c r="J36" s="440"/>
      <c r="K36" s="438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37"/>
      <c r="AF36" s="437"/>
    </row>
    <row r="37" spans="1:32" ht="12.95" customHeight="1">
      <c r="A37" s="389"/>
      <c r="B37" s="390"/>
      <c r="C37" s="391"/>
      <c r="D37" s="392"/>
      <c r="E37" s="393"/>
      <c r="F37" s="387"/>
      <c r="G37" s="387"/>
      <c r="H37" s="394" t="s">
        <v>101</v>
      </c>
      <c r="I37" s="387"/>
      <c r="J37" s="387"/>
      <c r="K37" s="395">
        <f>'調查資料(OUT)'!$AM$8</f>
        <v>0</v>
      </c>
      <c r="L37" s="387"/>
      <c r="M37" s="387"/>
      <c r="N37" s="387"/>
      <c r="O37" s="387"/>
      <c r="P37" s="393"/>
      <c r="Q37" s="387"/>
      <c r="R37" s="387"/>
      <c r="S37" s="396" t="s">
        <v>96</v>
      </c>
      <c r="T37" s="397"/>
      <c r="U37" s="387"/>
      <c r="V37" s="395">
        <f>'調查資料(OUT)'!$AY$8</f>
        <v>0</v>
      </c>
      <c r="W37" s="387"/>
      <c r="X37" s="387"/>
      <c r="Y37" s="387"/>
      <c r="Z37" s="387"/>
      <c r="AA37" s="387"/>
      <c r="AB37" s="398"/>
      <c r="AC37" s="387"/>
      <c r="AD37" s="399"/>
      <c r="AE37" s="387"/>
      <c r="AF37" s="387"/>
    </row>
    <row r="38" spans="1:32" ht="12.95" customHeight="1">
      <c r="A38" s="400"/>
      <c r="B38" s="400"/>
      <c r="C38" s="400"/>
      <c r="D38" s="400"/>
      <c r="E38" s="401"/>
      <c r="F38" s="387" t="s">
        <v>14</v>
      </c>
      <c r="G38" s="387"/>
      <c r="H38" s="402">
        <f>SUM(G40:J40)</f>
        <v>0</v>
      </c>
      <c r="I38" s="387"/>
      <c r="J38" s="387"/>
      <c r="K38" s="390"/>
      <c r="L38" s="387"/>
      <c r="M38" s="387"/>
      <c r="N38" s="387"/>
      <c r="O38" s="387"/>
      <c r="P38" s="393"/>
      <c r="Q38" s="387"/>
      <c r="R38" s="403" t="s">
        <v>14</v>
      </c>
      <c r="S38" s="402">
        <f>SUM(R40:U40)</f>
        <v>0</v>
      </c>
      <c r="T38" s="387"/>
      <c r="U38" s="387"/>
      <c r="V38" s="387"/>
      <c r="W38" s="387"/>
      <c r="X38" s="387"/>
      <c r="Y38" s="387"/>
      <c r="Z38" s="387"/>
      <c r="AA38" s="387"/>
      <c r="AB38" s="398"/>
      <c r="AC38" s="387"/>
      <c r="AD38" s="387"/>
      <c r="AE38" s="387"/>
      <c r="AF38" s="387"/>
    </row>
    <row r="39" spans="1:32" ht="12.95" customHeight="1">
      <c r="A39" s="404"/>
      <c r="B39" s="405"/>
      <c r="C39" s="405"/>
      <c r="D39" s="405"/>
      <c r="E39" s="406"/>
      <c r="F39" s="407"/>
      <c r="G39" s="408" t="str">
        <f>IF($H38=0,"--",G40/$H38)</f>
        <v>--</v>
      </c>
      <c r="H39" s="408" t="str">
        <f t="shared" ref="H39:J39" si="1">IF($H38=0,"--",H40/$H38)</f>
        <v>--</v>
      </c>
      <c r="I39" s="408" t="str">
        <f t="shared" si="1"/>
        <v>--</v>
      </c>
      <c r="J39" s="408" t="str">
        <f t="shared" si="1"/>
        <v>--</v>
      </c>
      <c r="K39" s="395"/>
      <c r="L39" s="387"/>
      <c r="M39" s="402">
        <f>SUM(L40:O40)</f>
        <v>0</v>
      </c>
      <c r="N39" s="387"/>
      <c r="O39" s="387"/>
      <c r="P39" s="393"/>
      <c r="Q39" s="407"/>
      <c r="R39" s="408" t="str">
        <f>IF($S38=0,"--",R40/$S38)</f>
        <v>--</v>
      </c>
      <c r="S39" s="408" t="str">
        <f>IF($S38=0,"--",S40/$S38)</f>
        <v>--</v>
      </c>
      <c r="T39" s="408" t="str">
        <f>IF($S38=0,"--",T40/$S38)</f>
        <v>--</v>
      </c>
      <c r="U39" s="408" t="str">
        <f>IF($S38=0,"--",U40/$S38)</f>
        <v>--</v>
      </c>
      <c r="V39" s="407"/>
      <c r="W39" s="407"/>
      <c r="X39" s="402">
        <f>SUM(W40:Z40)</f>
        <v>0</v>
      </c>
      <c r="Y39" s="407"/>
      <c r="Z39" s="407"/>
      <c r="AA39" s="407"/>
      <c r="AB39" s="409"/>
      <c r="AC39" s="407"/>
      <c r="AD39" s="387"/>
      <c r="AE39" s="407"/>
      <c r="AF39" s="407"/>
    </row>
    <row r="40" spans="1:32" ht="12.95" customHeight="1">
      <c r="A40" s="410"/>
      <c r="B40" s="410"/>
      <c r="C40" s="410"/>
      <c r="D40" s="410"/>
      <c r="E40" s="411"/>
      <c r="F40" s="407"/>
      <c r="G40" s="402">
        <f>PHF及轉向比!EE100</f>
        <v>0</v>
      </c>
      <c r="H40" s="402">
        <f>PHF及轉向比!DZ100</f>
        <v>0</v>
      </c>
      <c r="I40" s="402">
        <f>PHF及轉向比!DU100</f>
        <v>0</v>
      </c>
      <c r="J40" s="402">
        <f>PHF及轉向比!EJ100</f>
        <v>0</v>
      </c>
      <c r="K40" s="407"/>
      <c r="L40" s="402">
        <f>+D54</f>
        <v>0</v>
      </c>
      <c r="M40" s="402">
        <f>+S65</f>
        <v>0</v>
      </c>
      <c r="N40" s="402">
        <f>+AC49</f>
        <v>0</v>
      </c>
      <c r="O40" s="402">
        <f>+R40</f>
        <v>0</v>
      </c>
      <c r="P40" s="393"/>
      <c r="Q40" s="407"/>
      <c r="R40" s="402">
        <f>PHF及轉向比!FK100</f>
        <v>0</v>
      </c>
      <c r="S40" s="402">
        <f>PHF及轉向比!FF100</f>
        <v>0</v>
      </c>
      <c r="T40" s="402">
        <f>PHF及轉向比!FA100</f>
        <v>0</v>
      </c>
      <c r="U40" s="402">
        <f>PHF及轉向比!EV100</f>
        <v>0</v>
      </c>
      <c r="V40" s="407"/>
      <c r="W40" s="402">
        <f>+J40</f>
        <v>0</v>
      </c>
      <c r="X40" s="402">
        <f>+D55</f>
        <v>0</v>
      </c>
      <c r="Y40" s="402">
        <f>+T65</f>
        <v>0</v>
      </c>
      <c r="Z40" s="402">
        <f>+AC48</f>
        <v>0</v>
      </c>
      <c r="AA40" s="407"/>
      <c r="AB40" s="409"/>
      <c r="AC40" s="407"/>
      <c r="AD40" s="407"/>
      <c r="AE40" s="407"/>
      <c r="AF40" s="407"/>
    </row>
    <row r="41" spans="1:32" ht="12.95" customHeight="1" thickBot="1">
      <c r="A41" s="412"/>
      <c r="B41" s="412"/>
      <c r="C41" s="412"/>
      <c r="D41" s="412"/>
      <c r="E41" s="413"/>
      <c r="F41" s="407"/>
      <c r="G41" s="407"/>
      <c r="H41" s="414"/>
      <c r="I41" s="414"/>
      <c r="J41" s="414"/>
      <c r="K41" s="407"/>
      <c r="L41" s="414"/>
      <c r="M41" s="414"/>
      <c r="N41" s="414"/>
      <c r="O41" s="414"/>
      <c r="P41" s="406"/>
      <c r="Q41" s="407"/>
      <c r="R41" s="407"/>
      <c r="S41" s="407"/>
      <c r="T41" s="407"/>
      <c r="U41" s="407"/>
      <c r="V41" s="407"/>
      <c r="W41" s="407"/>
      <c r="X41" s="407"/>
      <c r="Y41" s="407"/>
      <c r="Z41" s="407"/>
      <c r="AA41" s="407"/>
      <c r="AB41" s="415"/>
      <c r="AC41" s="412"/>
      <c r="AD41" s="412"/>
      <c r="AE41" s="412"/>
      <c r="AF41" s="412"/>
    </row>
    <row r="42" spans="1:32" ht="12.95" customHeight="1">
      <c r="A42" s="407"/>
      <c r="B42" s="407"/>
      <c r="C42" s="407"/>
      <c r="D42" s="407"/>
      <c r="E42" s="407"/>
      <c r="F42" s="407"/>
      <c r="G42" s="407"/>
      <c r="H42" s="414"/>
      <c r="I42" s="414"/>
      <c r="J42" s="414"/>
      <c r="K42" s="407"/>
      <c r="L42" s="414"/>
      <c r="M42" s="414"/>
      <c r="N42" s="414"/>
      <c r="O42" s="414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 ht="12.95" customHeight="1">
      <c r="A43" s="407"/>
      <c r="B43" s="407"/>
      <c r="C43" s="416"/>
      <c r="D43" s="387"/>
      <c r="E43" s="38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387"/>
      <c r="AD43" s="387"/>
      <c r="AE43" s="387"/>
      <c r="AF43" s="387"/>
    </row>
    <row r="44" spans="1:32" ht="12.95" customHeight="1">
      <c r="A44" s="407"/>
      <c r="B44" s="407"/>
      <c r="C44" s="387"/>
      <c r="D44" s="387"/>
      <c r="E44" s="38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387"/>
      <c r="AD44" s="387"/>
      <c r="AE44" s="387"/>
      <c r="AF44" s="387"/>
    </row>
    <row r="45" spans="1:32" ht="12.95" customHeight="1">
      <c r="A45" s="407"/>
      <c r="B45" s="407"/>
      <c r="C45" s="387"/>
      <c r="D45" s="387"/>
      <c r="E45" s="38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  <c r="AB45" s="407"/>
      <c r="AC45" s="387"/>
      <c r="AD45" s="387"/>
      <c r="AE45" s="387"/>
      <c r="AF45" s="387"/>
    </row>
    <row r="46" spans="1:32" ht="12.95" customHeight="1">
      <c r="A46" s="407"/>
      <c r="B46" s="407"/>
      <c r="C46" s="387"/>
      <c r="D46" s="387"/>
      <c r="E46" s="38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387"/>
      <c r="AD46" s="387"/>
      <c r="AE46" s="387"/>
      <c r="AF46" s="387"/>
    </row>
    <row r="47" spans="1:32" ht="12.95" customHeight="1">
      <c r="A47" s="387"/>
      <c r="B47" s="417"/>
      <c r="C47" s="387"/>
      <c r="D47" s="387"/>
      <c r="E47" s="38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87"/>
      <c r="AD47" s="387"/>
      <c r="AE47" s="387"/>
      <c r="AF47" s="387"/>
    </row>
    <row r="48" spans="1:32" ht="12.95" customHeight="1">
      <c r="A48" s="387"/>
      <c r="B48" s="407"/>
      <c r="C48" s="407"/>
      <c r="D48" s="402">
        <f>+G40</f>
        <v>0</v>
      </c>
      <c r="E48" s="38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2">
        <f>PHF及轉向比!BG100</f>
        <v>0</v>
      </c>
      <c r="AD48" s="408" t="str">
        <f>IF(AE$49=0,"--",AC48/AE$49)</f>
        <v>--</v>
      </c>
      <c r="AE48" s="403"/>
      <c r="AF48" s="407"/>
    </row>
    <row r="49" spans="1:32" ht="12.95" customHeight="1">
      <c r="A49" s="407"/>
      <c r="B49" s="416"/>
      <c r="C49" s="407"/>
      <c r="D49" s="402">
        <f>+S40</f>
        <v>0</v>
      </c>
      <c r="E49" s="414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2">
        <f>PHF及轉向比!BB100</f>
        <v>0</v>
      </c>
      <c r="AD49" s="408" t="str">
        <f t="shared" ref="AD49:AD51" si="2">IF(AE$49=0,"--",AC49/AE$49)</f>
        <v>--</v>
      </c>
      <c r="AE49" s="402">
        <f>SUM(AC48:AC51)</f>
        <v>0</v>
      </c>
      <c r="AF49" s="394" t="s">
        <v>15</v>
      </c>
    </row>
    <row r="50" spans="1:32" ht="12.95" customHeight="1">
      <c r="A50" s="387"/>
      <c r="B50" s="387"/>
      <c r="C50" s="402">
        <f>SUM(D48:D51)</f>
        <v>0</v>
      </c>
      <c r="D50" s="402">
        <f>+AC50</f>
        <v>0</v>
      </c>
      <c r="E50" s="414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2">
        <f>PHF及轉向比!AW100</f>
        <v>0</v>
      </c>
      <c r="AD50" s="408" t="str">
        <f t="shared" si="2"/>
        <v>--</v>
      </c>
      <c r="AE50" s="407"/>
      <c r="AF50" s="407"/>
    </row>
    <row r="51" spans="1:32" ht="12.95" customHeight="1">
      <c r="A51" s="407"/>
      <c r="B51" s="403" t="s">
        <v>14</v>
      </c>
      <c r="C51" s="407"/>
      <c r="D51" s="402">
        <f>+R65</f>
        <v>0</v>
      </c>
      <c r="E51" s="414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2">
        <f>PHF及轉向比!AR100</f>
        <v>0</v>
      </c>
      <c r="AD51" s="408" t="str">
        <f t="shared" si="2"/>
        <v>--</v>
      </c>
      <c r="AE51" s="390"/>
      <c r="AF51" s="407"/>
    </row>
    <row r="52" spans="1:32" ht="12.95" customHeight="1">
      <c r="A52" s="407"/>
      <c r="B52" s="407"/>
      <c r="C52" s="407"/>
      <c r="D52" s="407"/>
      <c r="E52" s="414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  <c r="AB52" s="407"/>
      <c r="AC52" s="387"/>
      <c r="AD52" s="387"/>
      <c r="AE52" s="387"/>
      <c r="AF52" s="419">
        <f>'調查資料(OUT)'!$C$8</f>
        <v>0</v>
      </c>
    </row>
    <row r="53" spans="1:32" ht="12.95" customHeight="1">
      <c r="A53" s="420">
        <f>'調查資料(OUT)'!$AA$8</f>
        <v>0</v>
      </c>
      <c r="B53" s="387"/>
      <c r="C53" s="387"/>
      <c r="D53" s="414"/>
      <c r="E53" s="38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387"/>
      <c r="AD53" s="387"/>
      <c r="AE53" s="387"/>
      <c r="AF53" s="387"/>
    </row>
    <row r="54" spans="1:32" ht="12.95" customHeight="1">
      <c r="A54" s="421"/>
      <c r="B54" s="387"/>
      <c r="C54" s="408" t="str">
        <f>IF(B$56=0,"--",D54/B$56)</f>
        <v>--</v>
      </c>
      <c r="D54" s="402">
        <f>PHF及轉向比!DD100</f>
        <v>0</v>
      </c>
      <c r="E54" s="414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2">
        <f>+U40</f>
        <v>0</v>
      </c>
      <c r="AD54" s="416"/>
      <c r="AE54" s="407"/>
      <c r="AF54" s="407"/>
    </row>
    <row r="55" spans="1:32" ht="12.95" customHeight="1">
      <c r="A55" s="407"/>
      <c r="B55" s="416"/>
      <c r="C55" s="408" t="str">
        <f t="shared" ref="C55:C57" si="3">IF(B$56=0,"--",D55/B$56)</f>
        <v>--</v>
      </c>
      <c r="D55" s="402">
        <f>PHF及轉向比!DI100</f>
        <v>0</v>
      </c>
      <c r="E55" s="414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2">
        <f>+I40</f>
        <v>0</v>
      </c>
      <c r="AD55" s="402">
        <f>SUM(AC54:AC57)</f>
        <v>0</v>
      </c>
      <c r="AE55" s="407"/>
      <c r="AF55" s="407"/>
    </row>
    <row r="56" spans="1:32" ht="12.95" customHeight="1">
      <c r="A56" s="394" t="s">
        <v>17</v>
      </c>
      <c r="B56" s="402">
        <f>SUM(D54:D57)</f>
        <v>0</v>
      </c>
      <c r="C56" s="408" t="str">
        <f t="shared" si="3"/>
        <v>--</v>
      </c>
      <c r="D56" s="402">
        <f>PHF及轉向比!CT100</f>
        <v>0</v>
      </c>
      <c r="E56" s="414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2">
        <f>+D56</f>
        <v>0</v>
      </c>
      <c r="AD56" s="407"/>
      <c r="AE56" s="407"/>
      <c r="AF56" s="407"/>
    </row>
    <row r="57" spans="1:32" ht="12.95" customHeight="1">
      <c r="A57" s="407"/>
      <c r="B57" s="403"/>
      <c r="C57" s="408" t="str">
        <f t="shared" si="3"/>
        <v>--</v>
      </c>
      <c r="D57" s="402">
        <f>PHF及轉向比!CY100</f>
        <v>0</v>
      </c>
      <c r="E57" s="414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  <c r="AB57" s="407"/>
      <c r="AC57" s="402">
        <f>+U65</f>
        <v>0</v>
      </c>
      <c r="AD57" s="387"/>
      <c r="AE57" s="387"/>
      <c r="AF57" s="387"/>
    </row>
    <row r="58" spans="1:32" ht="12.95" customHeight="1">
      <c r="A58" s="387"/>
      <c r="B58" s="387"/>
      <c r="C58" s="387"/>
      <c r="D58" s="387"/>
      <c r="E58" s="414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  <c r="AB58" s="407"/>
      <c r="AC58" s="387"/>
      <c r="AD58" s="387"/>
      <c r="AE58" s="387"/>
      <c r="AF58" s="387"/>
    </row>
    <row r="59" spans="1:32" ht="12.95" customHeight="1">
      <c r="A59" s="387"/>
      <c r="B59" s="387"/>
      <c r="C59" s="387"/>
      <c r="D59" s="387"/>
      <c r="E59" s="419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387"/>
      <c r="AD59" s="387"/>
      <c r="AE59" s="387"/>
      <c r="AF59" s="387"/>
    </row>
    <row r="60" spans="1:32" ht="12.95" customHeight="1">
      <c r="A60" s="387"/>
      <c r="B60" s="387"/>
      <c r="C60" s="387"/>
      <c r="D60" s="387"/>
      <c r="E60" s="414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  <c r="AB60" s="407"/>
      <c r="AC60" s="387"/>
      <c r="AD60" s="387"/>
      <c r="AE60" s="387"/>
      <c r="AF60" s="387"/>
    </row>
    <row r="61" spans="1:32" ht="12.95" customHeight="1">
      <c r="A61" s="387"/>
      <c r="B61" s="387"/>
      <c r="C61" s="387"/>
      <c r="D61" s="387"/>
      <c r="E61" s="414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387"/>
      <c r="AD61" s="387"/>
      <c r="AE61" s="387"/>
      <c r="AF61" s="387"/>
    </row>
    <row r="62" spans="1:32" ht="12.95" customHeight="1">
      <c r="A62" s="387"/>
      <c r="B62" s="387"/>
      <c r="C62" s="387"/>
      <c r="D62" s="387"/>
      <c r="E62" s="414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387"/>
      <c r="AD62" s="387"/>
      <c r="AE62" s="387"/>
      <c r="AF62" s="387"/>
    </row>
    <row r="63" spans="1:32" ht="12.95" customHeight="1" thickBot="1">
      <c r="A63" s="387"/>
      <c r="B63" s="387"/>
      <c r="C63" s="422"/>
      <c r="D63" s="414"/>
      <c r="E63" s="414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</row>
    <row r="64" spans="1:32" ht="12.95" customHeight="1">
      <c r="A64" s="423"/>
      <c r="B64" s="423"/>
      <c r="C64" s="423"/>
      <c r="D64" s="423"/>
      <c r="E64" s="424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407"/>
      <c r="Q64" s="40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  <c r="AB64" s="425"/>
      <c r="AC64" s="426" t="s">
        <v>77</v>
      </c>
      <c r="AD64" s="427"/>
      <c r="AE64" s="427">
        <f>路口基本資料!B4</f>
        <v>0</v>
      </c>
      <c r="AF64" s="427"/>
    </row>
    <row r="65" spans="1:32" ht="12.95" customHeight="1">
      <c r="A65" s="407"/>
      <c r="B65" s="407"/>
      <c r="C65" s="407"/>
      <c r="D65" s="407"/>
      <c r="E65" s="406"/>
      <c r="F65" s="407"/>
      <c r="G65" s="407"/>
      <c r="H65" s="407"/>
      <c r="I65" s="407"/>
      <c r="J65" s="407"/>
      <c r="K65" s="407"/>
      <c r="L65" s="402">
        <f>+D57</f>
        <v>0</v>
      </c>
      <c r="M65" s="402">
        <f>+H40</f>
        <v>0</v>
      </c>
      <c r="N65" s="402">
        <f>+T40</f>
        <v>0</v>
      </c>
      <c r="O65" s="402">
        <f>+AC51</f>
        <v>0</v>
      </c>
      <c r="P65" s="407"/>
      <c r="Q65" s="387"/>
      <c r="R65" s="402">
        <f>PHF及轉向比!BX100</f>
        <v>0</v>
      </c>
      <c r="S65" s="402">
        <f>PHF及轉向比!CC100</f>
        <v>0</v>
      </c>
      <c r="T65" s="402">
        <f>PHF及轉向比!CH100</f>
        <v>0</v>
      </c>
      <c r="U65" s="402">
        <f>PHF及轉向比!BS100</f>
        <v>0</v>
      </c>
      <c r="V65" s="407"/>
      <c r="W65" s="407"/>
      <c r="X65" s="407"/>
      <c r="Y65" s="407"/>
      <c r="Z65" s="407"/>
      <c r="AA65" s="414"/>
      <c r="AB65" s="409"/>
      <c r="AC65" s="428" t="s">
        <v>103</v>
      </c>
      <c r="AD65" s="429" t="s">
        <v>108</v>
      </c>
      <c r="AE65" s="387"/>
      <c r="AF65" s="430"/>
    </row>
    <row r="66" spans="1:32" ht="12.95" customHeight="1">
      <c r="A66" s="407"/>
      <c r="B66" s="407"/>
      <c r="C66" s="407"/>
      <c r="D66" s="407"/>
      <c r="E66" s="406"/>
      <c r="F66" s="407"/>
      <c r="G66" s="407"/>
      <c r="H66" s="407"/>
      <c r="I66" s="407"/>
      <c r="J66" s="407"/>
      <c r="K66" s="407"/>
      <c r="L66" s="407"/>
      <c r="M66" s="387"/>
      <c r="N66" s="402">
        <f>SUM(L65:O65)</f>
        <v>0</v>
      </c>
      <c r="O66" s="407"/>
      <c r="P66" s="390"/>
      <c r="Q66" s="387"/>
      <c r="R66" s="408" t="str">
        <f>IF($T67=0,"--",R65/$T67)</f>
        <v>--</v>
      </c>
      <c r="S66" s="408" t="str">
        <f>IF($T67=0,"--",S65/$T67)</f>
        <v>--</v>
      </c>
      <c r="T66" s="408" t="str">
        <f>IF($T67=0,"--",T65/$T67)</f>
        <v>--</v>
      </c>
      <c r="U66" s="408" t="str">
        <f>IF($T67=0,"--",U65/$T67)</f>
        <v>--</v>
      </c>
      <c r="V66" s="407"/>
      <c r="W66" s="407"/>
      <c r="X66" s="407"/>
      <c r="Y66" s="407"/>
      <c r="Z66" s="407"/>
      <c r="AA66" s="442"/>
      <c r="AB66" s="409"/>
      <c r="AC66" s="428" t="s">
        <v>102</v>
      </c>
      <c r="AD66" s="430"/>
      <c r="AE66" s="431" t="str">
        <f>路口基本資料!$B$8</f>
        <v>YYYY/MM/DD</v>
      </c>
      <c r="AF66" s="430"/>
    </row>
    <row r="67" spans="1:32" ht="12.95" customHeight="1">
      <c r="A67" s="407"/>
      <c r="B67" s="407"/>
      <c r="C67" s="407"/>
      <c r="D67" s="407"/>
      <c r="E67" s="406"/>
      <c r="F67" s="407"/>
      <c r="G67" s="407"/>
      <c r="H67" s="407"/>
      <c r="I67" s="407"/>
      <c r="J67" s="407"/>
      <c r="K67" s="407"/>
      <c r="L67" s="407"/>
      <c r="M67" s="416"/>
      <c r="N67" s="407"/>
      <c r="O67" s="395"/>
      <c r="P67" s="390"/>
      <c r="Q67" s="387"/>
      <c r="R67" s="407"/>
      <c r="S67" s="387"/>
      <c r="T67" s="402">
        <f>SUM(R65:U65)</f>
        <v>0</v>
      </c>
      <c r="U67" s="407"/>
      <c r="V67" s="407"/>
      <c r="W67" s="407"/>
      <c r="X67" s="407"/>
      <c r="Y67" s="407"/>
      <c r="Z67" s="407"/>
      <c r="AA67" s="407"/>
      <c r="AB67" s="409"/>
      <c r="AC67" s="428" t="s">
        <v>105</v>
      </c>
      <c r="AD67" s="432">
        <f>PHF及轉向比!$AN$100</f>
        <v>1900</v>
      </c>
      <c r="AE67" s="432" t="s">
        <v>106</v>
      </c>
      <c r="AF67" s="432">
        <f>PHF及轉向比!$AO$100</f>
        <v>2000</v>
      </c>
    </row>
    <row r="68" spans="1:32" ht="12.95" customHeight="1">
      <c r="A68" s="407"/>
      <c r="B68" s="407"/>
      <c r="C68" s="407"/>
      <c r="D68" s="407"/>
      <c r="E68" s="406"/>
      <c r="F68" s="407"/>
      <c r="G68" s="407"/>
      <c r="H68" s="407"/>
      <c r="I68" s="407"/>
      <c r="J68" s="407"/>
      <c r="K68" s="407"/>
      <c r="L68" s="407"/>
      <c r="M68" s="407"/>
      <c r="N68" s="407"/>
      <c r="O68" s="407"/>
      <c r="P68" s="395">
        <f>'調查資料(OUT)'!$O$8</f>
        <v>0</v>
      </c>
      <c r="Q68" s="387"/>
      <c r="R68" s="416"/>
      <c r="S68" s="387"/>
      <c r="T68" s="433" t="s">
        <v>16</v>
      </c>
      <c r="U68" s="407"/>
      <c r="V68" s="407"/>
      <c r="W68" s="407"/>
      <c r="X68" s="407"/>
      <c r="Y68" s="407"/>
      <c r="Z68" s="407"/>
      <c r="AA68" s="407"/>
      <c r="AB68" s="409"/>
      <c r="AC68" s="428" t="s">
        <v>107</v>
      </c>
      <c r="AD68" s="432"/>
      <c r="AE68" s="432"/>
      <c r="AF68" s="432"/>
    </row>
    <row r="69" spans="1:32" ht="12.95" customHeight="1">
      <c r="A69" s="407"/>
      <c r="B69" s="407"/>
      <c r="C69" s="407"/>
      <c r="D69" s="407"/>
      <c r="E69" s="407"/>
      <c r="F69" s="407"/>
      <c r="G69" s="387"/>
      <c r="H69" s="387"/>
      <c r="I69" s="387"/>
      <c r="J69" s="387"/>
      <c r="K69" s="387"/>
      <c r="L69" s="387"/>
      <c r="M69" s="387"/>
      <c r="N69" s="387"/>
      <c r="O69" s="387"/>
      <c r="P69" s="387"/>
      <c r="Q69" s="40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  <c r="AB69" s="407"/>
      <c r="AC69" s="441"/>
      <c r="AD69" s="387"/>
      <c r="AE69" s="387"/>
      <c r="AF69" s="387"/>
    </row>
    <row r="70" spans="1:32" ht="21">
      <c r="A70" s="457" t="str">
        <f>SUBSTITUTE("x_小型車轉向交通量(假日昏峰)","x",路口基本資料!B5)</f>
        <v>_小型車轉向交通量(假日昏峰)</v>
      </c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8"/>
      <c r="AD70" s="458"/>
      <c r="AE70" s="458"/>
      <c r="AF70" s="458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70"/>
  <sheetViews>
    <sheetView topLeftCell="A23" workbookViewId="0">
      <selection activeCell="AE67" sqref="AE67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87"/>
      <c r="B1" s="387"/>
      <c r="C1" s="387"/>
      <c r="D1" s="387"/>
      <c r="E1" s="387"/>
      <c r="F1" s="387"/>
      <c r="G1" s="387"/>
      <c r="H1" s="388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</row>
    <row r="2" spans="1:32" ht="15.75" customHeight="1">
      <c r="A2" s="389"/>
      <c r="B2" s="390"/>
      <c r="C2" s="391"/>
      <c r="D2" s="392"/>
      <c r="E2" s="393"/>
      <c r="F2" s="387"/>
      <c r="G2" s="387"/>
      <c r="H2" s="394" t="s">
        <v>101</v>
      </c>
      <c r="I2" s="387"/>
      <c r="J2" s="387"/>
      <c r="K2" s="395">
        <f>'調查資料(OUT)'!$AM$8</f>
        <v>0</v>
      </c>
      <c r="L2" s="387"/>
      <c r="M2" s="387"/>
      <c r="N2" s="387"/>
      <c r="O2" s="387"/>
      <c r="P2" s="393"/>
      <c r="Q2" s="387"/>
      <c r="R2" s="387"/>
      <c r="S2" s="396" t="s">
        <v>96</v>
      </c>
      <c r="T2" s="397"/>
      <c r="U2" s="387"/>
      <c r="V2" s="395">
        <f>'調查資料(OUT)'!$AY$8</f>
        <v>0</v>
      </c>
      <c r="W2" s="387"/>
      <c r="X2" s="387"/>
      <c r="Y2" s="387"/>
      <c r="Z2" s="387"/>
      <c r="AA2" s="387"/>
      <c r="AB2" s="398"/>
      <c r="AC2" s="387"/>
      <c r="AD2" s="399"/>
      <c r="AE2" s="387"/>
      <c r="AF2" s="387"/>
    </row>
    <row r="3" spans="1:32" ht="12.95" customHeight="1">
      <c r="A3" s="400"/>
      <c r="B3" s="400"/>
      <c r="C3" s="400"/>
      <c r="D3" s="400"/>
      <c r="E3" s="401"/>
      <c r="F3" s="387" t="s">
        <v>14</v>
      </c>
      <c r="G3" s="387"/>
      <c r="H3" s="402">
        <f>SUM(G5:J5)</f>
        <v>0</v>
      </c>
      <c r="I3" s="387"/>
      <c r="J3" s="387"/>
      <c r="K3" s="390"/>
      <c r="L3" s="387"/>
      <c r="M3" s="387"/>
      <c r="N3" s="387"/>
      <c r="O3" s="387"/>
      <c r="P3" s="393"/>
      <c r="Q3" s="387"/>
      <c r="R3" s="403" t="s">
        <v>14</v>
      </c>
      <c r="S3" s="402">
        <f>SUM(R5:U5)</f>
        <v>0</v>
      </c>
      <c r="T3" s="387"/>
      <c r="U3" s="387"/>
      <c r="V3" s="387"/>
      <c r="W3" s="387"/>
      <c r="X3" s="387"/>
      <c r="Y3" s="387"/>
      <c r="Z3" s="387"/>
      <c r="AA3" s="387"/>
      <c r="AB3" s="398"/>
      <c r="AC3" s="387"/>
      <c r="AD3" s="387"/>
      <c r="AE3" s="387"/>
      <c r="AF3" s="387"/>
    </row>
    <row r="4" spans="1:32" ht="12.95" customHeight="1">
      <c r="A4" s="404"/>
      <c r="B4" s="405"/>
      <c r="C4" s="405"/>
      <c r="D4" s="405"/>
      <c r="E4" s="406"/>
      <c r="F4" s="407"/>
      <c r="G4" s="408" t="str">
        <f>IF($H3=0,"--",G5/$H3)</f>
        <v>--</v>
      </c>
      <c r="H4" s="408" t="str">
        <f t="shared" ref="H4:J4" si="0">IF($H3=0,"--",H5/$H3)</f>
        <v>--</v>
      </c>
      <c r="I4" s="408" t="str">
        <f>IF($H3=0,"--",I5/$H3)</f>
        <v>--</v>
      </c>
      <c r="J4" s="408" t="str">
        <f t="shared" si="0"/>
        <v>--</v>
      </c>
      <c r="K4" s="395"/>
      <c r="L4" s="387"/>
      <c r="M4" s="402">
        <f>SUM(L5:O5)</f>
        <v>0</v>
      </c>
      <c r="N4" s="387"/>
      <c r="O4" s="387"/>
      <c r="P4" s="393"/>
      <c r="Q4" s="407"/>
      <c r="R4" s="408" t="str">
        <f>IF($S3=0,"--",R5/$S3)</f>
        <v>--</v>
      </c>
      <c r="S4" s="408" t="str">
        <f>IF($S3=0,"--",S5/$S3)</f>
        <v>--</v>
      </c>
      <c r="T4" s="408" t="str">
        <f>IF($S3=0,"--",T5/$S3)</f>
        <v>--</v>
      </c>
      <c r="U4" s="408" t="str">
        <f>IF($S3=0,"--",U5/$S3)</f>
        <v>--</v>
      </c>
      <c r="V4" s="407"/>
      <c r="W4" s="407"/>
      <c r="X4" s="402">
        <f>SUM(W5:Z5)</f>
        <v>0</v>
      </c>
      <c r="Y4" s="407"/>
      <c r="Z4" s="407"/>
      <c r="AA4" s="407"/>
      <c r="AB4" s="409"/>
      <c r="AC4" s="407"/>
      <c r="AD4" s="387"/>
      <c r="AE4" s="407"/>
      <c r="AF4" s="407"/>
    </row>
    <row r="5" spans="1:32" ht="12.95" customHeight="1">
      <c r="A5" s="410"/>
      <c r="B5" s="410"/>
      <c r="C5" s="410"/>
      <c r="D5" s="410"/>
      <c r="E5" s="411"/>
      <c r="F5" s="407"/>
      <c r="G5" s="402">
        <f>PHF及轉向比!EF98</f>
        <v>0</v>
      </c>
      <c r="H5" s="402">
        <f>PHF及轉向比!EA98</f>
        <v>0</v>
      </c>
      <c r="I5" s="402">
        <f>PHF及轉向比!DV98</f>
        <v>0</v>
      </c>
      <c r="J5" s="402">
        <f>PHF及轉向比!EK98</f>
        <v>0</v>
      </c>
      <c r="K5" s="407"/>
      <c r="L5" s="402">
        <f>+D19</f>
        <v>0</v>
      </c>
      <c r="M5" s="402">
        <f>+S30</f>
        <v>0</v>
      </c>
      <c r="N5" s="402">
        <f>+AC14</f>
        <v>0</v>
      </c>
      <c r="O5" s="402">
        <f>+R5</f>
        <v>0</v>
      </c>
      <c r="P5" s="393"/>
      <c r="Q5" s="407"/>
      <c r="R5" s="402">
        <f>PHF及轉向比!FL98</f>
        <v>0</v>
      </c>
      <c r="S5" s="402">
        <f>PHF及轉向比!FG98</f>
        <v>0</v>
      </c>
      <c r="T5" s="402">
        <f>PHF及轉向比!FB98</f>
        <v>0</v>
      </c>
      <c r="U5" s="402">
        <f>PHF及轉向比!EW98</f>
        <v>0</v>
      </c>
      <c r="V5" s="407"/>
      <c r="W5" s="402">
        <f>+J5</f>
        <v>0</v>
      </c>
      <c r="X5" s="402">
        <f>+D20</f>
        <v>0</v>
      </c>
      <c r="Y5" s="402">
        <f>+T30</f>
        <v>0</v>
      </c>
      <c r="Z5" s="402">
        <f>+AC13</f>
        <v>0</v>
      </c>
      <c r="AA5" s="407"/>
      <c r="AB5" s="409"/>
      <c r="AC5" s="407"/>
      <c r="AD5" s="407"/>
      <c r="AE5" s="407"/>
      <c r="AF5" s="407"/>
    </row>
    <row r="6" spans="1:32" ht="12.95" customHeight="1" thickBot="1">
      <c r="A6" s="412"/>
      <c r="B6" s="412"/>
      <c r="C6" s="412"/>
      <c r="D6" s="412"/>
      <c r="E6" s="413"/>
      <c r="F6" s="407"/>
      <c r="G6" s="407"/>
      <c r="H6" s="414"/>
      <c r="I6" s="414"/>
      <c r="J6" s="414"/>
      <c r="K6" s="407"/>
      <c r="L6" s="414"/>
      <c r="M6" s="414"/>
      <c r="N6" s="414"/>
      <c r="O6" s="414"/>
      <c r="P6" s="406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15"/>
      <c r="AC6" s="412"/>
      <c r="AD6" s="412"/>
      <c r="AE6" s="412"/>
      <c r="AF6" s="412"/>
    </row>
    <row r="7" spans="1:32" ht="12.95" customHeight="1">
      <c r="A7" s="407"/>
      <c r="B7" s="407"/>
      <c r="C7" s="407"/>
      <c r="D7" s="407"/>
      <c r="E7" s="407"/>
      <c r="F7" s="407"/>
      <c r="G7" s="407"/>
      <c r="H7" s="414"/>
      <c r="I7" s="414"/>
      <c r="J7" s="414"/>
      <c r="K7" s="407"/>
      <c r="L7" s="414"/>
      <c r="M7" s="414"/>
      <c r="N7" s="414"/>
      <c r="O7" s="414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</row>
    <row r="8" spans="1:32" ht="12.95" customHeight="1">
      <c r="A8" s="407"/>
      <c r="B8" s="407"/>
      <c r="C8" s="416"/>
      <c r="D8" s="387"/>
      <c r="E8" s="38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387"/>
      <c r="AD8" s="387"/>
      <c r="AE8" s="387"/>
      <c r="AF8" s="387"/>
    </row>
    <row r="9" spans="1:32" ht="12.95" customHeight="1">
      <c r="A9" s="407"/>
      <c r="B9" s="407"/>
      <c r="C9" s="387"/>
      <c r="D9" s="387"/>
      <c r="E9" s="38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387"/>
      <c r="AD9" s="387"/>
      <c r="AE9" s="387"/>
      <c r="AF9" s="387"/>
    </row>
    <row r="10" spans="1:32" ht="12.95" customHeight="1">
      <c r="A10" s="407"/>
      <c r="B10" s="407"/>
      <c r="C10" s="387"/>
      <c r="D10" s="387"/>
      <c r="E10" s="38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387"/>
      <c r="AD10" s="387"/>
      <c r="AE10" s="387"/>
      <c r="AF10" s="387"/>
    </row>
    <row r="11" spans="1:32" ht="12.95" customHeight="1">
      <c r="A11" s="407"/>
      <c r="B11" s="407"/>
      <c r="C11" s="387"/>
      <c r="D11" s="387"/>
      <c r="E11" s="38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387"/>
      <c r="AD11" s="387"/>
      <c r="AE11" s="387"/>
      <c r="AF11" s="387"/>
    </row>
    <row r="12" spans="1:32" ht="12.95" customHeight="1">
      <c r="A12" s="387"/>
      <c r="B12" s="417"/>
      <c r="C12" s="387"/>
      <c r="D12" s="387"/>
      <c r="E12" s="38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387"/>
      <c r="AD12" s="387"/>
      <c r="AE12" s="387"/>
      <c r="AF12" s="387"/>
    </row>
    <row r="13" spans="1:32" ht="12.95" customHeight="1">
      <c r="A13" s="419"/>
      <c r="B13" s="419"/>
      <c r="C13" s="419"/>
      <c r="D13" s="402">
        <f>+G5</f>
        <v>0</v>
      </c>
      <c r="E13" s="38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2">
        <f>PHF及轉向比!BH98</f>
        <v>0</v>
      </c>
      <c r="AD13" s="408" t="str">
        <f>IF(AE$14=0,"--",AC13/AE$14)</f>
        <v>--</v>
      </c>
      <c r="AE13" s="403"/>
      <c r="AF13" s="407"/>
    </row>
    <row r="14" spans="1:32" ht="12.95" customHeight="1">
      <c r="A14" s="419"/>
      <c r="B14" s="419"/>
      <c r="C14" s="419"/>
      <c r="D14" s="402">
        <f>+S5</f>
        <v>0</v>
      </c>
      <c r="E14" s="414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2">
        <f>PHF及轉向比!BC98</f>
        <v>0</v>
      </c>
      <c r="AD14" s="408" t="str">
        <f>IF(AE$14=0,"--",AC14/AE$14)</f>
        <v>--</v>
      </c>
      <c r="AE14" s="402">
        <f>SUM(AC13:AC16)</f>
        <v>0</v>
      </c>
      <c r="AF14" s="394" t="s">
        <v>15</v>
      </c>
    </row>
    <row r="15" spans="1:32" ht="12.95" customHeight="1">
      <c r="A15" s="419"/>
      <c r="B15" s="419"/>
      <c r="C15" s="402">
        <f>SUM(D13:D16)</f>
        <v>0</v>
      </c>
      <c r="D15" s="402">
        <f>+AC15</f>
        <v>0</v>
      </c>
      <c r="E15" s="414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2">
        <f>PHF及轉向比!AX98</f>
        <v>0</v>
      </c>
      <c r="AD15" s="408" t="str">
        <f>IF(AE$14=0,"--",AC15/AE$14)</f>
        <v>--</v>
      </c>
      <c r="AE15" s="407"/>
      <c r="AF15" s="407"/>
    </row>
    <row r="16" spans="1:32" ht="12.95" customHeight="1">
      <c r="A16" s="419"/>
      <c r="B16" s="419"/>
      <c r="C16" s="419"/>
      <c r="D16" s="402">
        <f>+R30</f>
        <v>0</v>
      </c>
      <c r="E16" s="414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2">
        <f>PHF及轉向比!AS98</f>
        <v>0</v>
      </c>
      <c r="AD16" s="408" t="str">
        <f>IF(AE$14=0,"--",AC16/AE$14)</f>
        <v>--</v>
      </c>
      <c r="AE16" s="390"/>
      <c r="AF16" s="407"/>
    </row>
    <row r="17" spans="1:32" ht="12.95" customHeight="1">
      <c r="A17" s="419"/>
      <c r="B17" s="419"/>
      <c r="C17" s="419"/>
      <c r="D17" s="419"/>
      <c r="E17" s="414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387"/>
      <c r="AD17" s="387"/>
      <c r="AE17" s="387"/>
      <c r="AF17" s="419">
        <f>'調查資料(OUT)'!$C$8</f>
        <v>0</v>
      </c>
    </row>
    <row r="18" spans="1:32" ht="12.95" customHeight="1">
      <c r="A18" s="420">
        <f>'調查資料(OUT)'!$AA$8</f>
        <v>0</v>
      </c>
      <c r="B18" s="387"/>
      <c r="C18" s="387"/>
      <c r="D18" s="414"/>
      <c r="E18" s="38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387"/>
      <c r="AD18" s="387"/>
      <c r="AE18" s="387"/>
      <c r="AF18" s="387"/>
    </row>
    <row r="19" spans="1:32" ht="12.95" customHeight="1">
      <c r="A19" s="421"/>
      <c r="B19" s="387"/>
      <c r="C19" s="408" t="str">
        <f>IF(B$21=0,"--",D19/B$21)</f>
        <v>--</v>
      </c>
      <c r="D19" s="402">
        <f>PHF及轉向比!DE98</f>
        <v>0</v>
      </c>
      <c r="E19" s="414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2">
        <f>+U5</f>
        <v>0</v>
      </c>
      <c r="AD19" s="416"/>
      <c r="AE19" s="407"/>
      <c r="AF19" s="407"/>
    </row>
    <row r="20" spans="1:32" ht="12.95" customHeight="1">
      <c r="A20" s="407"/>
      <c r="B20" s="416"/>
      <c r="C20" s="408" t="str">
        <f>IF(B$21=0,"--",D20/B$21)</f>
        <v>--</v>
      </c>
      <c r="D20" s="402">
        <f>PHF及轉向比!DJ98</f>
        <v>0</v>
      </c>
      <c r="E20" s="414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2">
        <f>+I5</f>
        <v>0</v>
      </c>
      <c r="AD20" s="402">
        <f>SUM(AC19:AC22)</f>
        <v>0</v>
      </c>
      <c r="AE20" s="407"/>
      <c r="AF20" s="407"/>
    </row>
    <row r="21" spans="1:32" ht="12.95" customHeight="1">
      <c r="A21" s="394" t="s">
        <v>17</v>
      </c>
      <c r="B21" s="402">
        <f>SUM(D19:D22)</f>
        <v>0</v>
      </c>
      <c r="C21" s="408" t="str">
        <f>IF(B$21=0,"--",D21/B$21)</f>
        <v>--</v>
      </c>
      <c r="D21" s="402">
        <f>PHF及轉向比!CU98</f>
        <v>0</v>
      </c>
      <c r="E21" s="414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2">
        <f>+D21</f>
        <v>0</v>
      </c>
      <c r="AD21" s="407"/>
      <c r="AE21" s="407"/>
      <c r="AF21" s="407"/>
    </row>
    <row r="22" spans="1:32" ht="12.95" customHeight="1">
      <c r="A22" s="407"/>
      <c r="B22" s="403"/>
      <c r="C22" s="408" t="str">
        <f>IF(B$21=0,"--",D22/B$21)</f>
        <v>--</v>
      </c>
      <c r="D22" s="402">
        <f>PHF及轉向比!CZ98</f>
        <v>0</v>
      </c>
      <c r="E22" s="414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2">
        <f>+U30</f>
        <v>0</v>
      </c>
      <c r="AD22" s="387"/>
      <c r="AE22" s="387"/>
      <c r="AF22" s="387"/>
    </row>
    <row r="23" spans="1:32" ht="12.95" customHeight="1">
      <c r="A23" s="387"/>
      <c r="B23" s="387"/>
      <c r="C23" s="387"/>
      <c r="D23" s="387"/>
      <c r="E23" s="414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  <c r="AA23" s="407"/>
      <c r="AB23" s="407"/>
      <c r="AC23" s="387"/>
      <c r="AD23" s="387"/>
      <c r="AE23" s="387"/>
      <c r="AF23" s="387"/>
    </row>
    <row r="24" spans="1:32" ht="12.95" customHeight="1">
      <c r="A24" s="387"/>
      <c r="B24" s="387"/>
      <c r="C24" s="387"/>
      <c r="D24" s="387"/>
      <c r="E24" s="419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387"/>
      <c r="AD24" s="387"/>
      <c r="AE24" s="387"/>
      <c r="AF24" s="387"/>
    </row>
    <row r="25" spans="1:32" ht="12.95" customHeight="1">
      <c r="A25" s="387"/>
      <c r="B25" s="387"/>
      <c r="C25" s="387"/>
      <c r="D25" s="387"/>
      <c r="E25" s="414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  <c r="AA25" s="407"/>
      <c r="AB25" s="407"/>
      <c r="AC25" s="387"/>
      <c r="AD25" s="387"/>
      <c r="AE25" s="387"/>
      <c r="AF25" s="387"/>
    </row>
    <row r="26" spans="1:32" ht="12.95" customHeight="1">
      <c r="A26" s="387"/>
      <c r="B26" s="387"/>
      <c r="C26" s="387"/>
      <c r="D26" s="387"/>
      <c r="E26" s="414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387"/>
      <c r="AD26" s="387"/>
      <c r="AE26" s="387"/>
      <c r="AF26" s="387"/>
    </row>
    <row r="27" spans="1:32" ht="12.95" customHeight="1">
      <c r="A27" s="387"/>
      <c r="B27" s="387"/>
      <c r="C27" s="387"/>
      <c r="D27" s="387"/>
      <c r="E27" s="414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7"/>
      <c r="AC27" s="387"/>
      <c r="AD27" s="387"/>
      <c r="AE27" s="387"/>
      <c r="AF27" s="387"/>
    </row>
    <row r="28" spans="1:32" ht="12.95" customHeight="1" thickBot="1">
      <c r="A28" s="387"/>
      <c r="B28" s="387"/>
      <c r="C28" s="422"/>
      <c r="D28" s="414"/>
      <c r="E28" s="414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spans="1:32" ht="12.95" customHeight="1">
      <c r="A29" s="423"/>
      <c r="B29" s="423"/>
      <c r="C29" s="423"/>
      <c r="D29" s="423"/>
      <c r="E29" s="424"/>
      <c r="F29" s="407"/>
      <c r="G29" s="40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407"/>
      <c r="S29" s="407"/>
      <c r="T29" s="407"/>
      <c r="U29" s="407"/>
      <c r="V29" s="407"/>
      <c r="W29" s="407"/>
      <c r="X29" s="407"/>
      <c r="Y29" s="407"/>
      <c r="Z29" s="407"/>
      <c r="AA29" s="407"/>
      <c r="AB29" s="425"/>
      <c r="AC29" s="426" t="s">
        <v>77</v>
      </c>
      <c r="AD29" s="427"/>
      <c r="AE29" s="427">
        <f>路口基本資料!B4</f>
        <v>0</v>
      </c>
      <c r="AF29" s="427"/>
    </row>
    <row r="30" spans="1:32" ht="12.95" customHeight="1">
      <c r="A30" s="407"/>
      <c r="B30" s="407"/>
      <c r="C30" s="407"/>
      <c r="D30" s="407"/>
      <c r="E30" s="406"/>
      <c r="F30" s="407"/>
      <c r="G30" s="387"/>
      <c r="H30" s="387"/>
      <c r="I30" s="387"/>
      <c r="J30" s="387"/>
      <c r="K30" s="387"/>
      <c r="L30" s="402">
        <f>+D22</f>
        <v>0</v>
      </c>
      <c r="M30" s="402">
        <f>+H5</f>
        <v>0</v>
      </c>
      <c r="N30" s="402">
        <f>+T5</f>
        <v>0</v>
      </c>
      <c r="O30" s="402">
        <f>+AC16</f>
        <v>0</v>
      </c>
      <c r="P30" s="407"/>
      <c r="Q30" s="407"/>
      <c r="R30" s="402">
        <f>PHF及轉向比!BY98</f>
        <v>0</v>
      </c>
      <c r="S30" s="402">
        <f>PHF及轉向比!CD98</f>
        <v>0</v>
      </c>
      <c r="T30" s="402">
        <f>PHF及轉向比!CI98</f>
        <v>0</v>
      </c>
      <c r="U30" s="402">
        <f>PHF及轉向比!BT98</f>
        <v>0</v>
      </c>
      <c r="V30" s="407"/>
      <c r="W30" s="407"/>
      <c r="X30" s="407"/>
      <c r="Y30" s="407"/>
      <c r="Z30" s="407"/>
      <c r="AA30" s="414"/>
      <c r="AB30" s="409"/>
      <c r="AC30" s="428" t="s">
        <v>103</v>
      </c>
      <c r="AD30" s="429" t="s">
        <v>108</v>
      </c>
      <c r="AE30" s="387"/>
      <c r="AF30" s="430"/>
    </row>
    <row r="31" spans="1:32" ht="12.95" customHeight="1">
      <c r="A31" s="407"/>
      <c r="B31" s="407"/>
      <c r="C31" s="407"/>
      <c r="D31" s="407"/>
      <c r="E31" s="406"/>
      <c r="F31" s="407"/>
      <c r="G31" s="387"/>
      <c r="H31" s="387"/>
      <c r="I31" s="387"/>
      <c r="J31" s="387"/>
      <c r="K31" s="387"/>
      <c r="L31" s="407"/>
      <c r="M31" s="387"/>
      <c r="N31" s="402">
        <f>SUM(L30:O30)</f>
        <v>0</v>
      </c>
      <c r="O31" s="407"/>
      <c r="P31" s="390"/>
      <c r="Q31" s="407"/>
      <c r="R31" s="408" t="str">
        <f>IF($T32=0,"--",R30/$T32)</f>
        <v>--</v>
      </c>
      <c r="S31" s="408" t="str">
        <f>IF($T32=0,"--",S30/$T32)</f>
        <v>--</v>
      </c>
      <c r="T31" s="408" t="str">
        <f>IF($T32=0,"--",T30/$T32)</f>
        <v>--</v>
      </c>
      <c r="U31" s="408" t="str">
        <f>IF($T32=0,"--",U30/$T32)</f>
        <v>--</v>
      </c>
      <c r="V31" s="407"/>
      <c r="W31" s="407"/>
      <c r="X31" s="407"/>
      <c r="Y31" s="407"/>
      <c r="Z31" s="407"/>
      <c r="AA31" s="442"/>
      <c r="AB31" s="409"/>
      <c r="AC31" s="428" t="s">
        <v>102</v>
      </c>
      <c r="AD31" s="430"/>
      <c r="AE31" s="431" t="str">
        <f>路口基本資料!$B$8</f>
        <v>YYYY/MM/DD</v>
      </c>
      <c r="AF31" s="430"/>
    </row>
    <row r="32" spans="1:32" ht="12.95" customHeight="1">
      <c r="A32" s="407"/>
      <c r="B32" s="407"/>
      <c r="C32" s="407"/>
      <c r="D32" s="407"/>
      <c r="E32" s="406"/>
      <c r="F32" s="407"/>
      <c r="G32" s="387"/>
      <c r="H32" s="387"/>
      <c r="I32" s="387"/>
      <c r="J32" s="387"/>
      <c r="K32" s="387"/>
      <c r="L32" s="407"/>
      <c r="M32" s="416"/>
      <c r="N32" s="407"/>
      <c r="O32" s="395"/>
      <c r="P32" s="390"/>
      <c r="Q32" s="407"/>
      <c r="R32" s="407"/>
      <c r="S32" s="387"/>
      <c r="T32" s="402">
        <f>SUM(R30:U30)</f>
        <v>0</v>
      </c>
      <c r="U32" s="407"/>
      <c r="V32" s="407"/>
      <c r="W32" s="407"/>
      <c r="X32" s="407"/>
      <c r="Y32" s="407"/>
      <c r="Z32" s="407"/>
      <c r="AA32" s="407"/>
      <c r="AB32" s="409"/>
      <c r="AC32" s="428" t="s">
        <v>105</v>
      </c>
      <c r="AD32" s="432">
        <f>PHF及轉向比!$AN$98</f>
        <v>1200</v>
      </c>
      <c r="AE32" s="432" t="s">
        <v>106</v>
      </c>
      <c r="AF32" s="432">
        <f>PHF及轉向比!$AO$98</f>
        <v>1300</v>
      </c>
    </row>
    <row r="33" spans="1:32" ht="12.95" customHeight="1">
      <c r="A33" s="407"/>
      <c r="B33" s="407"/>
      <c r="C33" s="407"/>
      <c r="D33" s="407"/>
      <c r="E33" s="406"/>
      <c r="F33" s="407"/>
      <c r="G33" s="387"/>
      <c r="H33" s="387"/>
      <c r="I33" s="387"/>
      <c r="J33" s="387"/>
      <c r="K33" s="387"/>
      <c r="L33" s="407"/>
      <c r="M33" s="407"/>
      <c r="N33" s="407"/>
      <c r="O33" s="407"/>
      <c r="P33" s="395">
        <f>'調查資料(OUT)'!$O$8</f>
        <v>0</v>
      </c>
      <c r="Q33" s="387"/>
      <c r="R33" s="416"/>
      <c r="S33" s="387"/>
      <c r="T33" s="433" t="s">
        <v>16</v>
      </c>
      <c r="U33" s="407"/>
      <c r="V33" s="407"/>
      <c r="W33" s="407"/>
      <c r="X33" s="407"/>
      <c r="Y33" s="407"/>
      <c r="Z33" s="407"/>
      <c r="AA33" s="407"/>
      <c r="AB33" s="409"/>
      <c r="AC33" s="428" t="s">
        <v>107</v>
      </c>
      <c r="AD33" s="432"/>
      <c r="AE33" s="432"/>
      <c r="AF33" s="432"/>
    </row>
    <row r="34" spans="1:32" ht="12.95" customHeight="1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395"/>
      <c r="L34" s="416"/>
      <c r="M34" s="433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  <c r="AA34" s="407"/>
      <c r="AB34" s="407"/>
      <c r="AC34" s="434"/>
      <c r="AD34" s="387"/>
      <c r="AE34" s="387"/>
      <c r="AF34" s="387"/>
    </row>
    <row r="35" spans="1:32" ht="21">
      <c r="A35" s="457" t="str">
        <f>SUBSTITUTE("x_機車轉向交通量(假日晨峰)","x",路口基本資料!B5)</f>
        <v>_機車轉向交通量(假日晨峰)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</row>
    <row r="36" spans="1:32" ht="21">
      <c r="A36" s="435"/>
      <c r="B36" s="436"/>
      <c r="C36" s="437"/>
      <c r="D36" s="438"/>
      <c r="E36" s="438"/>
      <c r="F36" s="439"/>
      <c r="G36" s="440"/>
      <c r="H36" s="437"/>
      <c r="I36" s="440"/>
      <c r="J36" s="440"/>
      <c r="K36" s="438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37"/>
      <c r="AF36" s="437"/>
    </row>
    <row r="37" spans="1:32" ht="12.95" customHeight="1">
      <c r="A37" s="389"/>
      <c r="B37" s="390"/>
      <c r="C37" s="391"/>
      <c r="D37" s="392"/>
      <c r="E37" s="393"/>
      <c r="F37" s="387"/>
      <c r="G37" s="387"/>
      <c r="H37" s="394" t="s">
        <v>101</v>
      </c>
      <c r="I37" s="387"/>
      <c r="J37" s="387"/>
      <c r="K37" s="395">
        <f>'調查資料(OUT)'!$AM$8</f>
        <v>0</v>
      </c>
      <c r="L37" s="387"/>
      <c r="M37" s="387"/>
      <c r="N37" s="387"/>
      <c r="O37" s="387"/>
      <c r="P37" s="393"/>
      <c r="Q37" s="387"/>
      <c r="R37" s="387"/>
      <c r="S37" s="396" t="s">
        <v>96</v>
      </c>
      <c r="T37" s="397"/>
      <c r="U37" s="387"/>
      <c r="V37" s="395">
        <f>'調查資料(OUT)'!$AY$8</f>
        <v>0</v>
      </c>
      <c r="W37" s="387"/>
      <c r="X37" s="387"/>
      <c r="Y37" s="387"/>
      <c r="Z37" s="387"/>
      <c r="AA37" s="387"/>
      <c r="AB37" s="398"/>
      <c r="AC37" s="387"/>
      <c r="AD37" s="399"/>
      <c r="AE37" s="387"/>
      <c r="AF37" s="387"/>
    </row>
    <row r="38" spans="1:32" ht="12.95" customHeight="1">
      <c r="A38" s="400"/>
      <c r="B38" s="400"/>
      <c r="C38" s="400"/>
      <c r="D38" s="400"/>
      <c r="E38" s="401"/>
      <c r="F38" s="387" t="s">
        <v>14</v>
      </c>
      <c r="G38" s="387"/>
      <c r="H38" s="402">
        <f>SUM(G40:J40)</f>
        <v>0</v>
      </c>
      <c r="I38" s="387"/>
      <c r="J38" s="387"/>
      <c r="K38" s="390"/>
      <c r="L38" s="387"/>
      <c r="M38" s="387"/>
      <c r="N38" s="387"/>
      <c r="O38" s="387"/>
      <c r="P38" s="393"/>
      <c r="Q38" s="387"/>
      <c r="R38" s="403" t="s">
        <v>14</v>
      </c>
      <c r="S38" s="402">
        <f>SUM(R40:U40)</f>
        <v>0</v>
      </c>
      <c r="T38" s="387"/>
      <c r="U38" s="387"/>
      <c r="V38" s="387"/>
      <c r="W38" s="387"/>
      <c r="X38" s="387"/>
      <c r="Y38" s="387"/>
      <c r="Z38" s="387"/>
      <c r="AA38" s="387"/>
      <c r="AB38" s="398"/>
      <c r="AC38" s="387"/>
      <c r="AD38" s="387"/>
      <c r="AE38" s="387"/>
      <c r="AF38" s="387"/>
    </row>
    <row r="39" spans="1:32" ht="12.95" customHeight="1">
      <c r="A39" s="404"/>
      <c r="B39" s="405"/>
      <c r="C39" s="405"/>
      <c r="D39" s="405"/>
      <c r="E39" s="406"/>
      <c r="F39" s="407"/>
      <c r="G39" s="408" t="str">
        <f>IF($H38=0,"--",G40/$H38)</f>
        <v>--</v>
      </c>
      <c r="H39" s="408" t="str">
        <f t="shared" ref="H39:J39" si="1">IF($H38=0,"--",H40/$H38)</f>
        <v>--</v>
      </c>
      <c r="I39" s="408" t="str">
        <f t="shared" si="1"/>
        <v>--</v>
      </c>
      <c r="J39" s="408" t="str">
        <f t="shared" si="1"/>
        <v>--</v>
      </c>
      <c r="K39" s="395"/>
      <c r="L39" s="387"/>
      <c r="M39" s="402">
        <f>SUM(L40:O40)</f>
        <v>0</v>
      </c>
      <c r="N39" s="387"/>
      <c r="O39" s="387"/>
      <c r="P39" s="393"/>
      <c r="Q39" s="407"/>
      <c r="R39" s="408" t="str">
        <f>IF($S38=0,"--",R40/$S38)</f>
        <v>--</v>
      </c>
      <c r="S39" s="408" t="str">
        <f>IF($S38=0,"--",S40/$S38)</f>
        <v>--</v>
      </c>
      <c r="T39" s="408" t="str">
        <f>IF($S38=0,"--",T40/$S38)</f>
        <v>--</v>
      </c>
      <c r="U39" s="408" t="str">
        <f>IF($S38=0,"--",U40/$S38)</f>
        <v>--</v>
      </c>
      <c r="V39" s="407"/>
      <c r="W39" s="407"/>
      <c r="X39" s="402">
        <f>SUM(W40:Z40)</f>
        <v>0</v>
      </c>
      <c r="Y39" s="407"/>
      <c r="Z39" s="407"/>
      <c r="AA39" s="407"/>
      <c r="AB39" s="409"/>
      <c r="AC39" s="407"/>
      <c r="AD39" s="387"/>
      <c r="AE39" s="407"/>
      <c r="AF39" s="407"/>
    </row>
    <row r="40" spans="1:32" ht="12.95" customHeight="1">
      <c r="A40" s="410"/>
      <c r="B40" s="410"/>
      <c r="C40" s="410"/>
      <c r="D40" s="410"/>
      <c r="E40" s="411"/>
      <c r="F40" s="407"/>
      <c r="G40" s="402">
        <f>PHF及轉向比!EF100</f>
        <v>0</v>
      </c>
      <c r="H40" s="402">
        <f>PHF及轉向比!EA100</f>
        <v>0</v>
      </c>
      <c r="I40" s="402">
        <f>PHF及轉向比!DV100</f>
        <v>0</v>
      </c>
      <c r="J40" s="402">
        <f>PHF及轉向比!EK100</f>
        <v>0</v>
      </c>
      <c r="K40" s="407"/>
      <c r="L40" s="402">
        <f>+D54</f>
        <v>0</v>
      </c>
      <c r="M40" s="402">
        <f>+S65</f>
        <v>0</v>
      </c>
      <c r="N40" s="402">
        <f>+AC49</f>
        <v>0</v>
      </c>
      <c r="O40" s="402">
        <f>+R40</f>
        <v>0</v>
      </c>
      <c r="P40" s="393"/>
      <c r="Q40" s="407"/>
      <c r="R40" s="402">
        <f>PHF及轉向比!FL100</f>
        <v>0</v>
      </c>
      <c r="S40" s="402">
        <f>PHF及轉向比!FG100</f>
        <v>0</v>
      </c>
      <c r="T40" s="402">
        <f>PHF及轉向比!FB100</f>
        <v>0</v>
      </c>
      <c r="U40" s="402">
        <f>PHF及轉向比!EW100</f>
        <v>0</v>
      </c>
      <c r="V40" s="407"/>
      <c r="W40" s="402">
        <f>+J40</f>
        <v>0</v>
      </c>
      <c r="X40" s="402">
        <f>+D55</f>
        <v>0</v>
      </c>
      <c r="Y40" s="402">
        <f>+T65</f>
        <v>0</v>
      </c>
      <c r="Z40" s="402">
        <f>+AC48</f>
        <v>0</v>
      </c>
      <c r="AA40" s="407"/>
      <c r="AB40" s="409"/>
      <c r="AC40" s="407"/>
      <c r="AD40" s="407"/>
      <c r="AE40" s="407"/>
      <c r="AF40" s="407"/>
    </row>
    <row r="41" spans="1:32" ht="12.95" customHeight="1" thickBot="1">
      <c r="A41" s="412"/>
      <c r="B41" s="412"/>
      <c r="C41" s="412"/>
      <c r="D41" s="412"/>
      <c r="E41" s="413"/>
      <c r="F41" s="407"/>
      <c r="G41" s="407"/>
      <c r="H41" s="414"/>
      <c r="I41" s="414"/>
      <c r="J41" s="414"/>
      <c r="K41" s="407"/>
      <c r="L41" s="414"/>
      <c r="M41" s="414"/>
      <c r="N41" s="414"/>
      <c r="O41" s="414"/>
      <c r="P41" s="406"/>
      <c r="Q41" s="407"/>
      <c r="R41" s="407"/>
      <c r="S41" s="407"/>
      <c r="T41" s="407"/>
      <c r="U41" s="407"/>
      <c r="V41" s="407"/>
      <c r="W41" s="407"/>
      <c r="X41" s="407"/>
      <c r="Y41" s="407"/>
      <c r="Z41" s="407"/>
      <c r="AA41" s="407"/>
      <c r="AB41" s="415"/>
      <c r="AC41" s="412"/>
      <c r="AD41" s="412"/>
      <c r="AE41" s="412"/>
      <c r="AF41" s="412"/>
    </row>
    <row r="42" spans="1:32" ht="12.95" customHeight="1">
      <c r="A42" s="407"/>
      <c r="B42" s="407"/>
      <c r="C42" s="407"/>
      <c r="D42" s="407"/>
      <c r="E42" s="407"/>
      <c r="F42" s="407"/>
      <c r="G42" s="407"/>
      <c r="H42" s="414"/>
      <c r="I42" s="414"/>
      <c r="J42" s="414"/>
      <c r="K42" s="407"/>
      <c r="L42" s="414"/>
      <c r="M42" s="414"/>
      <c r="N42" s="414"/>
      <c r="O42" s="414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 ht="12.95" customHeight="1">
      <c r="A43" s="407"/>
      <c r="B43" s="407"/>
      <c r="C43" s="416"/>
      <c r="D43" s="387"/>
      <c r="E43" s="38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387"/>
      <c r="AD43" s="387"/>
      <c r="AE43" s="387"/>
      <c r="AF43" s="387"/>
    </row>
    <row r="44" spans="1:32" ht="12.95" customHeight="1">
      <c r="A44" s="407"/>
      <c r="B44" s="407"/>
      <c r="C44" s="387"/>
      <c r="D44" s="387"/>
      <c r="E44" s="38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387"/>
      <c r="AD44" s="387"/>
      <c r="AE44" s="387"/>
      <c r="AF44" s="387"/>
    </row>
    <row r="45" spans="1:32" ht="12.95" customHeight="1">
      <c r="A45" s="407"/>
      <c r="B45" s="407"/>
      <c r="C45" s="387"/>
      <c r="D45" s="387"/>
      <c r="E45" s="38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  <c r="AB45" s="407"/>
      <c r="AC45" s="387"/>
      <c r="AD45" s="387"/>
      <c r="AE45" s="387"/>
      <c r="AF45" s="387"/>
    </row>
    <row r="46" spans="1:32" ht="12.95" customHeight="1">
      <c r="A46" s="407"/>
      <c r="B46" s="407"/>
      <c r="C46" s="387"/>
      <c r="D46" s="387"/>
      <c r="E46" s="38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387"/>
      <c r="AD46" s="387"/>
      <c r="AE46" s="387"/>
      <c r="AF46" s="387"/>
    </row>
    <row r="47" spans="1:32" ht="12.95" customHeight="1">
      <c r="A47" s="387"/>
      <c r="B47" s="417"/>
      <c r="C47" s="387"/>
      <c r="D47" s="387"/>
      <c r="E47" s="38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87"/>
      <c r="AD47" s="387"/>
      <c r="AE47" s="387"/>
      <c r="AF47" s="387"/>
    </row>
    <row r="48" spans="1:32" ht="12.95" customHeight="1">
      <c r="A48" s="419"/>
      <c r="B48" s="419"/>
      <c r="C48" s="419"/>
      <c r="D48" s="402">
        <f>+G40</f>
        <v>0</v>
      </c>
      <c r="E48" s="38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2">
        <f>PHF及轉向比!BH100</f>
        <v>0</v>
      </c>
      <c r="AD48" s="408" t="str">
        <f>IF(AE$49=0,"--",AC48/AE$49)</f>
        <v>--</v>
      </c>
      <c r="AE48" s="403"/>
      <c r="AF48" s="407"/>
    </row>
    <row r="49" spans="1:32" ht="12.95" customHeight="1">
      <c r="A49" s="419"/>
      <c r="B49" s="419"/>
      <c r="C49" s="419"/>
      <c r="D49" s="402">
        <f>+S40</f>
        <v>0</v>
      </c>
      <c r="E49" s="414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2">
        <f>PHF及轉向比!BC100</f>
        <v>0</v>
      </c>
      <c r="AD49" s="408" t="str">
        <f t="shared" ref="AD49:AD51" si="2">IF(AE$49=0,"--",AC49/AE$49)</f>
        <v>--</v>
      </c>
      <c r="AE49" s="402">
        <f>SUM(AC48:AC51)</f>
        <v>0</v>
      </c>
      <c r="AF49" s="394" t="s">
        <v>15</v>
      </c>
    </row>
    <row r="50" spans="1:32" ht="12.95" customHeight="1">
      <c r="A50" s="419"/>
      <c r="B50" s="419"/>
      <c r="C50" s="402">
        <f>SUM(D48:D51)</f>
        <v>0</v>
      </c>
      <c r="D50" s="402">
        <f>+AC50</f>
        <v>0</v>
      </c>
      <c r="E50" s="414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2">
        <f>PHF及轉向比!AX100</f>
        <v>0</v>
      </c>
      <c r="AD50" s="408" t="str">
        <f t="shared" si="2"/>
        <v>--</v>
      </c>
      <c r="AE50" s="407"/>
      <c r="AF50" s="407"/>
    </row>
    <row r="51" spans="1:32" ht="12.95" customHeight="1">
      <c r="A51" s="419"/>
      <c r="B51" s="419"/>
      <c r="C51" s="419"/>
      <c r="D51" s="402">
        <f>+R65</f>
        <v>0</v>
      </c>
      <c r="E51" s="414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2">
        <f>PHF及轉向比!AS100</f>
        <v>0</v>
      </c>
      <c r="AD51" s="408" t="str">
        <f t="shared" si="2"/>
        <v>--</v>
      </c>
      <c r="AE51" s="390"/>
      <c r="AF51" s="407"/>
    </row>
    <row r="52" spans="1:32" ht="12.95" customHeight="1">
      <c r="A52" s="419"/>
      <c r="B52" s="419"/>
      <c r="C52" s="419"/>
      <c r="D52" s="419"/>
      <c r="E52" s="414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  <c r="AB52" s="407"/>
      <c r="AC52" s="387"/>
      <c r="AD52" s="387"/>
      <c r="AE52" s="387"/>
      <c r="AF52" s="419">
        <f>'調查資料(OUT)'!$C$8</f>
        <v>0</v>
      </c>
    </row>
    <row r="53" spans="1:32" ht="12.95" customHeight="1">
      <c r="A53" s="420">
        <f>'調查資料(OUT)'!$AA$8</f>
        <v>0</v>
      </c>
      <c r="B53" s="387"/>
      <c r="C53" s="387"/>
      <c r="D53" s="414"/>
      <c r="E53" s="38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387"/>
      <c r="AD53" s="387"/>
      <c r="AE53" s="387"/>
      <c r="AF53" s="387"/>
    </row>
    <row r="54" spans="1:32" ht="12.95" customHeight="1">
      <c r="A54" s="421"/>
      <c r="B54" s="387"/>
      <c r="C54" s="408" t="str">
        <f>IF(B$56=0,"--",D54/B$56)</f>
        <v>--</v>
      </c>
      <c r="D54" s="402">
        <f>PHF及轉向比!DE100</f>
        <v>0</v>
      </c>
      <c r="E54" s="414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2">
        <f>+U40</f>
        <v>0</v>
      </c>
      <c r="AD54" s="416"/>
      <c r="AE54" s="407"/>
      <c r="AF54" s="407"/>
    </row>
    <row r="55" spans="1:32" ht="12.95" customHeight="1">
      <c r="A55" s="407"/>
      <c r="B55" s="416"/>
      <c r="C55" s="408" t="str">
        <f t="shared" ref="C55:C57" si="3">IF(B$56=0,"--",D55/B$56)</f>
        <v>--</v>
      </c>
      <c r="D55" s="402">
        <f>PHF及轉向比!DJ100</f>
        <v>0</v>
      </c>
      <c r="E55" s="414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2">
        <f>+I40</f>
        <v>0</v>
      </c>
      <c r="AD55" s="402">
        <f>SUM(AC54:AC57)</f>
        <v>0</v>
      </c>
      <c r="AE55" s="407"/>
      <c r="AF55" s="407"/>
    </row>
    <row r="56" spans="1:32" ht="12.95" customHeight="1">
      <c r="A56" s="394" t="s">
        <v>17</v>
      </c>
      <c r="B56" s="402">
        <f>SUM(D54:D57)</f>
        <v>0</v>
      </c>
      <c r="C56" s="408" t="str">
        <f t="shared" si="3"/>
        <v>--</v>
      </c>
      <c r="D56" s="402">
        <f>PHF及轉向比!CU100</f>
        <v>0</v>
      </c>
      <c r="E56" s="414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2">
        <f>+D56</f>
        <v>0</v>
      </c>
      <c r="AD56" s="407"/>
      <c r="AE56" s="407"/>
      <c r="AF56" s="407"/>
    </row>
    <row r="57" spans="1:32" ht="12.95" customHeight="1">
      <c r="A57" s="407"/>
      <c r="B57" s="403"/>
      <c r="C57" s="408" t="str">
        <f t="shared" si="3"/>
        <v>--</v>
      </c>
      <c r="D57" s="402">
        <f>PHF及轉向比!CZ100</f>
        <v>0</v>
      </c>
      <c r="E57" s="414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  <c r="AB57" s="407"/>
      <c r="AC57" s="402">
        <f>+U65</f>
        <v>0</v>
      </c>
      <c r="AD57" s="387"/>
      <c r="AE57" s="387"/>
      <c r="AF57" s="387"/>
    </row>
    <row r="58" spans="1:32" ht="12.95" customHeight="1">
      <c r="A58" s="387"/>
      <c r="B58" s="387"/>
      <c r="C58" s="387"/>
      <c r="D58" s="387"/>
      <c r="E58" s="414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  <c r="AB58" s="407"/>
      <c r="AC58" s="387"/>
      <c r="AD58" s="387"/>
      <c r="AE58" s="387"/>
      <c r="AF58" s="387"/>
    </row>
    <row r="59" spans="1:32" ht="12.95" customHeight="1">
      <c r="A59" s="387"/>
      <c r="B59" s="387"/>
      <c r="C59" s="387"/>
      <c r="D59" s="387"/>
      <c r="E59" s="419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387"/>
      <c r="AD59" s="387"/>
      <c r="AE59" s="387"/>
      <c r="AF59" s="387"/>
    </row>
    <row r="60" spans="1:32" ht="12.95" customHeight="1">
      <c r="A60" s="387"/>
      <c r="B60" s="387"/>
      <c r="C60" s="387"/>
      <c r="D60" s="387"/>
      <c r="E60" s="414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  <c r="AB60" s="407"/>
      <c r="AC60" s="387"/>
      <c r="AD60" s="387"/>
      <c r="AE60" s="387"/>
      <c r="AF60" s="387"/>
    </row>
    <row r="61" spans="1:32" ht="12.95" customHeight="1">
      <c r="A61" s="387"/>
      <c r="B61" s="387"/>
      <c r="C61" s="387"/>
      <c r="D61" s="387"/>
      <c r="E61" s="414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387"/>
      <c r="AD61" s="387"/>
      <c r="AE61" s="387"/>
      <c r="AF61" s="387"/>
    </row>
    <row r="62" spans="1:32" ht="12.95" customHeight="1">
      <c r="A62" s="387"/>
      <c r="B62" s="387"/>
      <c r="C62" s="387"/>
      <c r="D62" s="387"/>
      <c r="E62" s="414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387"/>
      <c r="AD62" s="387"/>
      <c r="AE62" s="387"/>
      <c r="AF62" s="387"/>
    </row>
    <row r="63" spans="1:32" ht="12.95" customHeight="1" thickBot="1">
      <c r="A63" s="387"/>
      <c r="B63" s="387"/>
      <c r="C63" s="422"/>
      <c r="D63" s="414"/>
      <c r="E63" s="414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</row>
    <row r="64" spans="1:32" ht="12.95" customHeight="1">
      <c r="A64" s="423"/>
      <c r="B64" s="423"/>
      <c r="C64" s="423"/>
      <c r="D64" s="423"/>
      <c r="E64" s="424"/>
      <c r="F64" s="407"/>
      <c r="G64" s="407"/>
      <c r="H64" s="387"/>
      <c r="I64" s="387"/>
      <c r="J64" s="387"/>
      <c r="K64" s="387"/>
      <c r="L64" s="387"/>
      <c r="M64" s="387"/>
      <c r="N64" s="387"/>
      <c r="O64" s="387"/>
      <c r="P64" s="387"/>
      <c r="Q64" s="38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  <c r="AB64" s="425"/>
      <c r="AC64" s="426" t="s">
        <v>77</v>
      </c>
      <c r="AD64" s="427"/>
      <c r="AE64" s="427">
        <f>路口基本資料!B4</f>
        <v>0</v>
      </c>
      <c r="AF64" s="427"/>
    </row>
    <row r="65" spans="1:32" ht="12.95" customHeight="1">
      <c r="A65" s="407"/>
      <c r="B65" s="407"/>
      <c r="C65" s="407"/>
      <c r="D65" s="407"/>
      <c r="E65" s="406"/>
      <c r="F65" s="407"/>
      <c r="G65" s="387"/>
      <c r="H65" s="387"/>
      <c r="I65" s="387"/>
      <c r="J65" s="387"/>
      <c r="K65" s="387"/>
      <c r="L65" s="402">
        <f>+D57</f>
        <v>0</v>
      </c>
      <c r="M65" s="402">
        <f>+H40</f>
        <v>0</v>
      </c>
      <c r="N65" s="402">
        <f>+T40</f>
        <v>0</v>
      </c>
      <c r="O65" s="402">
        <f>+AC51</f>
        <v>0</v>
      </c>
      <c r="P65" s="407"/>
      <c r="Q65" s="407"/>
      <c r="R65" s="402">
        <f>PHF及轉向比!BY100</f>
        <v>0</v>
      </c>
      <c r="S65" s="402">
        <f>PHF及轉向比!CD100</f>
        <v>0</v>
      </c>
      <c r="T65" s="402">
        <f>PHF及轉向比!CI100</f>
        <v>0</v>
      </c>
      <c r="U65" s="402">
        <f>PHF及轉向比!BT100</f>
        <v>0</v>
      </c>
      <c r="V65" s="407"/>
      <c r="W65" s="407"/>
      <c r="X65" s="407"/>
      <c r="Y65" s="407"/>
      <c r="Z65" s="407"/>
      <c r="AA65" s="414"/>
      <c r="AB65" s="409"/>
      <c r="AC65" s="428" t="s">
        <v>103</v>
      </c>
      <c r="AD65" s="429" t="s">
        <v>108</v>
      </c>
      <c r="AE65" s="387"/>
      <c r="AF65" s="430"/>
    </row>
    <row r="66" spans="1:32" ht="12.95" customHeight="1">
      <c r="A66" s="407"/>
      <c r="B66" s="407"/>
      <c r="C66" s="407"/>
      <c r="D66" s="407"/>
      <c r="E66" s="406"/>
      <c r="F66" s="407"/>
      <c r="G66" s="387"/>
      <c r="H66" s="387"/>
      <c r="I66" s="387"/>
      <c r="J66" s="387"/>
      <c r="K66" s="387"/>
      <c r="L66" s="407"/>
      <c r="M66" s="387"/>
      <c r="N66" s="402">
        <f>SUM(L65:O65)</f>
        <v>0</v>
      </c>
      <c r="O66" s="407"/>
      <c r="P66" s="390"/>
      <c r="Q66" s="407"/>
      <c r="R66" s="408" t="str">
        <f>IF($T67=0,"--",R65/$T67)</f>
        <v>--</v>
      </c>
      <c r="S66" s="408" t="str">
        <f>IF($T67=0,"--",S65/$T67)</f>
        <v>--</v>
      </c>
      <c r="T66" s="408" t="str">
        <f>IF($T67=0,"--",T65/$T67)</f>
        <v>--</v>
      </c>
      <c r="U66" s="408" t="str">
        <f>IF($T67=0,"--",U65/$T67)</f>
        <v>--</v>
      </c>
      <c r="V66" s="407"/>
      <c r="W66" s="407"/>
      <c r="X66" s="407"/>
      <c r="Y66" s="407"/>
      <c r="Z66" s="407"/>
      <c r="AA66" s="442"/>
      <c r="AB66" s="409"/>
      <c r="AC66" s="428" t="s">
        <v>102</v>
      </c>
      <c r="AD66" s="430"/>
      <c r="AE66" s="431" t="str">
        <f>路口基本資料!$B$8</f>
        <v>YYYY/MM/DD</v>
      </c>
      <c r="AF66" s="430"/>
    </row>
    <row r="67" spans="1:32" ht="12.95" customHeight="1">
      <c r="A67" s="407"/>
      <c r="B67" s="407"/>
      <c r="C67" s="407"/>
      <c r="D67" s="407"/>
      <c r="E67" s="406"/>
      <c r="F67" s="407"/>
      <c r="G67" s="387"/>
      <c r="H67" s="387"/>
      <c r="I67" s="387"/>
      <c r="J67" s="387"/>
      <c r="K67" s="387"/>
      <c r="L67" s="407"/>
      <c r="M67" s="416"/>
      <c r="N67" s="407"/>
      <c r="O67" s="395"/>
      <c r="P67" s="390"/>
      <c r="Q67" s="407"/>
      <c r="R67" s="407"/>
      <c r="S67" s="387"/>
      <c r="T67" s="402">
        <f>SUM(R65:U65)</f>
        <v>0</v>
      </c>
      <c r="U67" s="407"/>
      <c r="V67" s="407"/>
      <c r="W67" s="407"/>
      <c r="X67" s="407"/>
      <c r="Y67" s="407"/>
      <c r="Z67" s="407"/>
      <c r="AA67" s="407"/>
      <c r="AB67" s="409"/>
      <c r="AC67" s="428" t="s">
        <v>105</v>
      </c>
      <c r="AD67" s="432">
        <f>PHF及轉向比!$AN$100</f>
        <v>1900</v>
      </c>
      <c r="AE67" s="432" t="s">
        <v>106</v>
      </c>
      <c r="AF67" s="432">
        <f>PHF及轉向比!$AO$100</f>
        <v>2000</v>
      </c>
    </row>
    <row r="68" spans="1:32" ht="12.95" customHeight="1">
      <c r="A68" s="407"/>
      <c r="B68" s="407"/>
      <c r="C68" s="407"/>
      <c r="D68" s="407"/>
      <c r="E68" s="406"/>
      <c r="F68" s="407"/>
      <c r="G68" s="387"/>
      <c r="H68" s="387"/>
      <c r="I68" s="387"/>
      <c r="J68" s="387"/>
      <c r="K68" s="387"/>
      <c r="L68" s="407"/>
      <c r="M68" s="407"/>
      <c r="N68" s="407"/>
      <c r="O68" s="407"/>
      <c r="P68" s="395">
        <f>'調查資料(OUT)'!$O$8</f>
        <v>0</v>
      </c>
      <c r="Q68" s="387"/>
      <c r="R68" s="416"/>
      <c r="S68" s="387"/>
      <c r="T68" s="433" t="s">
        <v>16</v>
      </c>
      <c r="U68" s="407"/>
      <c r="V68" s="407"/>
      <c r="W68" s="407"/>
      <c r="X68" s="407"/>
      <c r="Y68" s="407"/>
      <c r="Z68" s="407"/>
      <c r="AA68" s="407"/>
      <c r="AB68" s="409"/>
      <c r="AC68" s="428" t="s">
        <v>107</v>
      </c>
      <c r="AD68" s="432"/>
      <c r="AE68" s="432"/>
      <c r="AF68" s="432"/>
    </row>
    <row r="69" spans="1:32" ht="12.95" customHeight="1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395"/>
      <c r="L69" s="416"/>
      <c r="M69" s="433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  <c r="AB69" s="407"/>
      <c r="AC69" s="441"/>
      <c r="AD69" s="387"/>
      <c r="AE69" s="387"/>
      <c r="AF69" s="387"/>
    </row>
    <row r="70" spans="1:32" ht="21">
      <c r="A70" s="457" t="str">
        <f>SUBSTITUTE("x_機車轉向交通量(假日昏峰)","x",路口基本資料!B5)</f>
        <v>_機車轉向交通量(假日昏峰)</v>
      </c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8"/>
      <c r="AD70" s="458"/>
      <c r="AE70" s="458"/>
      <c r="AF70" s="458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F70"/>
  <sheetViews>
    <sheetView workbookViewId="0">
      <selection activeCell="AE32" sqref="AE32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5"/>
      <c r="B1" s="35"/>
      <c r="C1" s="35"/>
      <c r="D1" s="35"/>
      <c r="E1" s="35"/>
      <c r="F1" s="35"/>
      <c r="G1" s="35"/>
      <c r="H1" s="37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15.75" customHeight="1">
      <c r="A2" s="57"/>
      <c r="B2" s="39"/>
      <c r="C2" s="58"/>
      <c r="D2" s="59"/>
      <c r="E2" s="86"/>
      <c r="F2" s="35"/>
      <c r="G2" s="35"/>
      <c r="H2" s="44" t="s">
        <v>101</v>
      </c>
      <c r="I2" s="35"/>
      <c r="J2" s="35"/>
      <c r="K2" s="43">
        <f>'調查資料(OUT)'!$AM$8</f>
        <v>0</v>
      </c>
      <c r="L2" s="35"/>
      <c r="M2" s="35"/>
      <c r="N2" s="35"/>
      <c r="O2" s="35"/>
      <c r="P2" s="86"/>
      <c r="Q2" s="35"/>
      <c r="R2" s="35"/>
      <c r="S2" s="60" t="s">
        <v>96</v>
      </c>
      <c r="T2" s="38"/>
      <c r="U2" s="35"/>
      <c r="V2" s="43">
        <f>'調查資料(OUT)'!$AY$8</f>
        <v>0</v>
      </c>
      <c r="W2" s="35"/>
      <c r="X2" s="35"/>
      <c r="Y2" s="35"/>
      <c r="Z2" s="35"/>
      <c r="AA2" s="35"/>
      <c r="AB2" s="97"/>
      <c r="AC2" s="35"/>
      <c r="AD2" s="61"/>
      <c r="AE2" s="35"/>
      <c r="AF2" s="35"/>
    </row>
    <row r="3" spans="1:32" ht="12.95" customHeight="1">
      <c r="A3" s="62"/>
      <c r="B3" s="62"/>
      <c r="C3" s="62"/>
      <c r="D3" s="62"/>
      <c r="E3" s="87"/>
      <c r="F3" s="35" t="s">
        <v>14</v>
      </c>
      <c r="G3" s="35"/>
      <c r="H3" s="41">
        <f>SUM(G5:J5)</f>
        <v>0</v>
      </c>
      <c r="I3" s="35"/>
      <c r="J3" s="35"/>
      <c r="K3" s="39"/>
      <c r="L3" s="35"/>
      <c r="M3" s="35"/>
      <c r="N3" s="35"/>
      <c r="O3" s="35"/>
      <c r="P3" s="86"/>
      <c r="Q3" s="35"/>
      <c r="R3" s="40" t="s">
        <v>14</v>
      </c>
      <c r="S3" s="41">
        <f>SUM(R5:U5)</f>
        <v>0</v>
      </c>
      <c r="T3" s="35"/>
      <c r="U3" s="35"/>
      <c r="V3" s="35"/>
      <c r="W3" s="35"/>
      <c r="X3" s="35"/>
      <c r="Y3" s="35"/>
      <c r="Z3" s="35"/>
      <c r="AA3" s="35"/>
      <c r="AB3" s="97"/>
      <c r="AC3" s="35"/>
      <c r="AD3" s="35"/>
      <c r="AE3" s="35"/>
      <c r="AF3" s="35"/>
    </row>
    <row r="4" spans="1:32" ht="12.95" customHeight="1">
      <c r="A4" s="63"/>
      <c r="B4" s="64"/>
      <c r="C4" s="64"/>
      <c r="D4" s="64"/>
      <c r="E4" s="88"/>
      <c r="F4" s="42"/>
      <c r="G4" s="65" t="str">
        <f>IF($H3=0,"--",G5/$H3)</f>
        <v>--</v>
      </c>
      <c r="H4" s="65" t="str">
        <f t="shared" ref="H4:J4" si="0">IF($H3=0,"--",H5/$H3)</f>
        <v>--</v>
      </c>
      <c r="I4" s="65" t="str">
        <f t="shared" si="0"/>
        <v>--</v>
      </c>
      <c r="J4" s="65" t="str">
        <f t="shared" si="0"/>
        <v>--</v>
      </c>
      <c r="K4" s="43"/>
      <c r="L4" s="35"/>
      <c r="M4" s="41">
        <f>SUM(L5:O5)</f>
        <v>0</v>
      </c>
      <c r="N4" s="35"/>
      <c r="O4" s="35"/>
      <c r="P4" s="86"/>
      <c r="Q4" s="42"/>
      <c r="R4" s="65" t="str">
        <f>IF($S3=0,"--",R5/$S3)</f>
        <v>--</v>
      </c>
      <c r="S4" s="65" t="str">
        <f>IF($S3=0,"--",S5/$S3)</f>
        <v>--</v>
      </c>
      <c r="T4" s="65" t="str">
        <f>IF($S3=0,"--",T5/$S3)</f>
        <v>--</v>
      </c>
      <c r="U4" s="65" t="str">
        <f>IF($S3=0,"--",U5/$S3)</f>
        <v>--</v>
      </c>
      <c r="V4" s="42"/>
      <c r="W4" s="42"/>
      <c r="X4" s="41">
        <f>SUM(W5:Z5)</f>
        <v>0</v>
      </c>
      <c r="Y4" s="42"/>
      <c r="Z4" s="42"/>
      <c r="AA4" s="42"/>
      <c r="AB4" s="93"/>
      <c r="AC4" s="42"/>
      <c r="AD4" s="35"/>
      <c r="AE4" s="42"/>
      <c r="AF4" s="42"/>
    </row>
    <row r="5" spans="1:32" ht="12.95" customHeight="1">
      <c r="A5" s="66"/>
      <c r="B5" s="66"/>
      <c r="C5" s="66"/>
      <c r="D5" s="66"/>
      <c r="E5" s="89"/>
      <c r="F5" s="42"/>
      <c r="G5" s="41">
        <f>PHF及轉向比!EC99</f>
        <v>0</v>
      </c>
      <c r="H5" s="41">
        <f>PHF及轉向比!DX99</f>
        <v>0</v>
      </c>
      <c r="I5" s="41">
        <f>PHF及轉向比!DS99</f>
        <v>0</v>
      </c>
      <c r="J5" s="41">
        <f>PHF及轉向比!EH99</f>
        <v>0</v>
      </c>
      <c r="K5" s="42"/>
      <c r="L5" s="41">
        <f>+D19</f>
        <v>0</v>
      </c>
      <c r="M5" s="41">
        <f>+S30</f>
        <v>0</v>
      </c>
      <c r="N5" s="41">
        <f>+AC14</f>
        <v>0</v>
      </c>
      <c r="O5" s="41">
        <f>+R5</f>
        <v>0</v>
      </c>
      <c r="P5" s="102"/>
      <c r="Q5" s="42"/>
      <c r="R5" s="41">
        <f>PHF及轉向比!FI99</f>
        <v>0</v>
      </c>
      <c r="S5" s="41">
        <f>PHF及轉向比!FD99</f>
        <v>0</v>
      </c>
      <c r="T5" s="41">
        <f>PHF及轉向比!EY99</f>
        <v>0</v>
      </c>
      <c r="U5" s="41">
        <f>PHF及轉向比!ET99</f>
        <v>0</v>
      </c>
      <c r="V5" s="42"/>
      <c r="W5" s="41">
        <f>+J5</f>
        <v>0</v>
      </c>
      <c r="X5" s="41">
        <f>+D20</f>
        <v>0</v>
      </c>
      <c r="Y5" s="41">
        <f>+T30</f>
        <v>0</v>
      </c>
      <c r="Z5" s="41">
        <f>+AC13</f>
        <v>0</v>
      </c>
      <c r="AA5" s="42"/>
      <c r="AB5" s="93"/>
      <c r="AC5" s="42"/>
      <c r="AD5" s="42"/>
      <c r="AE5" s="42"/>
      <c r="AF5" s="42"/>
    </row>
    <row r="6" spans="1:32" ht="12.95" customHeight="1" thickBot="1">
      <c r="A6" s="85"/>
      <c r="B6" s="85"/>
      <c r="C6" s="85"/>
      <c r="D6" s="85"/>
      <c r="E6" s="90"/>
      <c r="F6" s="42"/>
      <c r="G6" s="42"/>
      <c r="H6" s="67"/>
      <c r="I6" s="67"/>
      <c r="J6" s="67"/>
      <c r="K6" s="42"/>
      <c r="L6" s="67"/>
      <c r="M6" s="67"/>
      <c r="N6" s="67"/>
      <c r="O6" s="67"/>
      <c r="P6" s="88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98"/>
      <c r="AC6" s="85"/>
      <c r="AD6" s="85"/>
      <c r="AE6" s="85"/>
      <c r="AF6" s="85"/>
    </row>
    <row r="7" spans="1:32" ht="12.95" customHeight="1">
      <c r="A7" s="42"/>
      <c r="B7" s="42"/>
      <c r="C7" s="42"/>
      <c r="D7" s="42"/>
      <c r="E7" s="42"/>
      <c r="F7" s="42"/>
      <c r="G7" s="42"/>
      <c r="H7" s="67"/>
      <c r="I7" s="67"/>
      <c r="J7" s="67"/>
      <c r="K7" s="42"/>
      <c r="L7" s="67"/>
      <c r="M7" s="67"/>
      <c r="N7" s="67"/>
      <c r="O7" s="67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2" ht="12.95" customHeight="1">
      <c r="A8" s="35"/>
      <c r="B8" s="35"/>
      <c r="C8" s="35"/>
      <c r="D8" s="35"/>
      <c r="E8" s="35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35"/>
      <c r="AD8" s="35"/>
      <c r="AE8" s="35"/>
      <c r="AF8" s="35"/>
    </row>
    <row r="9" spans="1:32" ht="12.95" customHeight="1">
      <c r="A9" s="35"/>
      <c r="B9" s="35"/>
      <c r="C9" s="35"/>
      <c r="D9" s="35"/>
      <c r="E9" s="35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35"/>
      <c r="AD9" s="35"/>
      <c r="AE9" s="35"/>
      <c r="AF9" s="35"/>
    </row>
    <row r="10" spans="1:32" ht="12.95" customHeight="1">
      <c r="A10" s="35"/>
      <c r="B10" s="35"/>
      <c r="C10" s="35"/>
      <c r="D10" s="35"/>
      <c r="E10" s="3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35"/>
      <c r="AD10" s="35"/>
      <c r="AE10" s="35"/>
      <c r="AF10" s="35"/>
    </row>
    <row r="11" spans="1:32" ht="12.95" customHeight="1">
      <c r="A11" s="35"/>
      <c r="B11" s="35"/>
      <c r="C11" s="35"/>
      <c r="D11" s="35"/>
      <c r="E11" s="3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35"/>
      <c r="AD11" s="35"/>
      <c r="AE11" s="35"/>
      <c r="AF11" s="35"/>
    </row>
    <row r="12" spans="1:32" ht="12.95" customHeight="1">
      <c r="B12" s="35"/>
      <c r="C12" s="35"/>
      <c r="D12" s="35"/>
      <c r="E12" s="3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35"/>
      <c r="AD12" s="35"/>
      <c r="AE12" s="35"/>
      <c r="AF12" s="35"/>
    </row>
    <row r="13" spans="1:32" ht="12.95" customHeight="1">
      <c r="A13" s="35"/>
      <c r="B13" s="42"/>
      <c r="C13" s="42"/>
      <c r="D13" s="41">
        <f>+G5</f>
        <v>0</v>
      </c>
      <c r="E13" s="3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1">
        <f>PHF及轉向比!BE99</f>
        <v>0</v>
      </c>
      <c r="AD13" s="65" t="str">
        <f>IF(AE$14=0,"--",AC13/AE$14)</f>
        <v>--</v>
      </c>
      <c r="AE13" s="40"/>
      <c r="AF13" s="42"/>
    </row>
    <row r="14" spans="1:32" ht="12.95" customHeight="1">
      <c r="A14" s="35"/>
      <c r="B14" s="35"/>
      <c r="C14" s="42"/>
      <c r="D14" s="41">
        <f>+S5</f>
        <v>0</v>
      </c>
      <c r="E14" s="67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1">
        <f>PHF及轉向比!AZ99</f>
        <v>0</v>
      </c>
      <c r="AD14" s="65" t="str">
        <f>IF(AE$14=0,"--",AC14/AE$14)</f>
        <v>--</v>
      </c>
      <c r="AE14" s="41">
        <f>SUM(AC13:AC16)</f>
        <v>0</v>
      </c>
      <c r="AF14" s="44" t="s">
        <v>15</v>
      </c>
    </row>
    <row r="15" spans="1:32" ht="12.95" customHeight="1">
      <c r="A15" s="35"/>
      <c r="B15" s="35"/>
      <c r="C15" s="41">
        <f>SUM(D13:D16)</f>
        <v>0</v>
      </c>
      <c r="D15" s="41">
        <f>+AC15</f>
        <v>0</v>
      </c>
      <c r="E15" s="67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1">
        <f>PHF及轉向比!AU99</f>
        <v>0</v>
      </c>
      <c r="AD15" s="65" t="str">
        <f>IF(AE$14=0,"--",AC15/AE$14)</f>
        <v>--</v>
      </c>
      <c r="AE15" s="42"/>
      <c r="AF15" s="42"/>
    </row>
    <row r="16" spans="1:32" ht="12.95" customHeight="1">
      <c r="A16" s="35"/>
      <c r="B16" s="35" t="s">
        <v>14</v>
      </c>
      <c r="C16" s="42"/>
      <c r="D16" s="41">
        <f>+R30</f>
        <v>0</v>
      </c>
      <c r="E16" s="67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1">
        <f>PHF及轉向比!AP99</f>
        <v>0</v>
      </c>
      <c r="AD16" s="65" t="str">
        <f>IF(AE$14=0,"--",AC16/AE$14)</f>
        <v>--</v>
      </c>
      <c r="AE16" s="39"/>
      <c r="AF16" s="42"/>
    </row>
    <row r="17" spans="1:32" ht="12.95" customHeight="1">
      <c r="A17" s="42"/>
      <c r="B17" s="42"/>
      <c r="C17" s="42"/>
      <c r="D17" s="42"/>
      <c r="E17" s="67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35"/>
      <c r="AD17" s="35"/>
      <c r="AF17" s="45">
        <f>'調查資料(OUT)'!$C$8</f>
        <v>0</v>
      </c>
    </row>
    <row r="18" spans="1:32" ht="12.95" customHeight="1">
      <c r="A18" s="100">
        <f>'調查資料(OUT)'!$AA$8</f>
        <v>0</v>
      </c>
      <c r="B18" s="35"/>
      <c r="C18" s="35"/>
      <c r="D18" s="67"/>
      <c r="E18" s="3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 spans="1:32" ht="12.95" customHeight="1">
      <c r="A19" s="69"/>
      <c r="B19" s="35"/>
      <c r="C19" s="65" t="str">
        <f>IF(B$21=0,"--",D19/B$21)</f>
        <v>--</v>
      </c>
      <c r="D19" s="41">
        <f>PHF及轉向比!DB99</f>
        <v>0</v>
      </c>
      <c r="E19" s="67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1">
        <f>+U5</f>
        <v>0</v>
      </c>
      <c r="AD19" s="36"/>
      <c r="AE19" s="42"/>
      <c r="AF19" s="42"/>
    </row>
    <row r="20" spans="1:32" ht="12.95" customHeight="1">
      <c r="A20" s="42"/>
      <c r="B20" s="36"/>
      <c r="C20" s="65" t="str">
        <f>IF(B$21=0,"--",D20/B$21)</f>
        <v>--</v>
      </c>
      <c r="D20" s="41">
        <f>PHF及轉向比!DG99</f>
        <v>0</v>
      </c>
      <c r="E20" s="67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1">
        <f>+I5</f>
        <v>0</v>
      </c>
      <c r="AD20" s="41">
        <f>SUM(AC19:AC22)</f>
        <v>0</v>
      </c>
      <c r="AE20" s="42"/>
      <c r="AF20" s="42"/>
    </row>
    <row r="21" spans="1:32" ht="12.95" customHeight="1">
      <c r="A21" s="44" t="s">
        <v>17</v>
      </c>
      <c r="B21" s="41">
        <f>SUM(D19:D22)</f>
        <v>0</v>
      </c>
      <c r="C21" s="65" t="str">
        <f>IF(B$21=0,"--",D21/B$21)</f>
        <v>--</v>
      </c>
      <c r="D21" s="41">
        <f>PHF及轉向比!CR99</f>
        <v>0</v>
      </c>
      <c r="E21" s="67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1">
        <f>+D21</f>
        <v>0</v>
      </c>
      <c r="AD21" s="42"/>
      <c r="AE21" s="42"/>
      <c r="AF21" s="42"/>
    </row>
    <row r="22" spans="1:32" ht="12.95" customHeight="1">
      <c r="A22" s="42"/>
      <c r="B22" s="40"/>
      <c r="C22" s="65" t="str">
        <f>IF(B$21=0,"--",D22/B$21)</f>
        <v>--</v>
      </c>
      <c r="D22" s="41">
        <f>PHF及轉向比!CW99</f>
        <v>0</v>
      </c>
      <c r="E22" s="67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1">
        <f>+U30</f>
        <v>0</v>
      </c>
      <c r="AD22" s="35"/>
      <c r="AE22" s="35"/>
      <c r="AF22" s="35"/>
    </row>
    <row r="23" spans="1:32" ht="12.95" customHeight="1">
      <c r="A23" s="35"/>
      <c r="B23" s="35"/>
      <c r="C23" s="35"/>
      <c r="D23" s="35"/>
      <c r="E23" s="67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35"/>
      <c r="AD23" s="35"/>
      <c r="AE23" s="35"/>
      <c r="AF23" s="35"/>
    </row>
    <row r="24" spans="1:32" ht="12.95" customHeight="1">
      <c r="A24" s="35"/>
      <c r="B24" s="35"/>
      <c r="C24" s="35"/>
      <c r="D24" s="35"/>
      <c r="E24" s="45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35"/>
      <c r="AD24" s="35"/>
      <c r="AE24" s="35"/>
      <c r="AF24" s="35"/>
    </row>
    <row r="25" spans="1:32" ht="12.95" customHeight="1">
      <c r="A25" s="35"/>
      <c r="B25" s="35"/>
      <c r="C25" s="35"/>
      <c r="D25" s="35"/>
      <c r="E25" s="67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35"/>
      <c r="AD25" s="35"/>
      <c r="AE25" s="35"/>
      <c r="AF25" s="35"/>
    </row>
    <row r="26" spans="1:32" ht="12.95" customHeight="1">
      <c r="A26" s="35"/>
      <c r="B26" s="35"/>
      <c r="C26" s="35"/>
      <c r="D26" s="35"/>
      <c r="E26" s="67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35"/>
      <c r="AD26" s="35"/>
      <c r="AE26" s="35"/>
      <c r="AF26" s="35"/>
    </row>
    <row r="27" spans="1:32" ht="12.95" customHeight="1">
      <c r="A27" s="35"/>
      <c r="B27" s="35"/>
      <c r="C27" s="35"/>
      <c r="D27" s="35"/>
      <c r="E27" s="67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35"/>
      <c r="AD27" s="35"/>
      <c r="AE27" s="35"/>
      <c r="AF27" s="35"/>
    </row>
    <row r="28" spans="1:32" ht="12.95" customHeight="1" thickBot="1">
      <c r="A28" s="35"/>
      <c r="B28" s="35"/>
      <c r="C28" s="70"/>
      <c r="D28" s="67"/>
      <c r="E28" s="67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</row>
    <row r="29" spans="1:32" ht="12.95" customHeight="1">
      <c r="A29" s="91"/>
      <c r="B29" s="91"/>
      <c r="C29" s="91"/>
      <c r="D29" s="91"/>
      <c r="E29" s="9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94"/>
      <c r="AC29" s="95" t="s">
        <v>77</v>
      </c>
      <c r="AD29" s="96"/>
      <c r="AE29" s="96">
        <f>路口基本資料!B4</f>
        <v>0</v>
      </c>
      <c r="AF29" s="96"/>
    </row>
    <row r="30" spans="1:32" ht="12.95" customHeight="1">
      <c r="A30" s="42"/>
      <c r="B30" s="42"/>
      <c r="C30" s="42"/>
      <c r="D30" s="42"/>
      <c r="E30" s="88"/>
      <c r="F30" s="42"/>
      <c r="H30" s="42"/>
      <c r="I30" s="42"/>
      <c r="J30" s="42"/>
      <c r="K30" s="42"/>
      <c r="L30" s="41">
        <f>+D22</f>
        <v>0</v>
      </c>
      <c r="M30" s="41">
        <f>+H5</f>
        <v>0</v>
      </c>
      <c r="N30" s="41">
        <f>+T5</f>
        <v>0</v>
      </c>
      <c r="O30" s="41">
        <f>+AC16</f>
        <v>0</v>
      </c>
      <c r="P30" s="42"/>
      <c r="Q30" s="39"/>
      <c r="R30" s="41">
        <f>PHF及轉向比!BV99</f>
        <v>0</v>
      </c>
      <c r="S30" s="41">
        <f>PHF及轉向比!CA99</f>
        <v>0</v>
      </c>
      <c r="T30" s="41">
        <f>PHF及轉向比!CF99</f>
        <v>0</v>
      </c>
      <c r="U30" s="41">
        <f>PHF及轉向比!BQ99</f>
        <v>0</v>
      </c>
      <c r="V30" s="42"/>
      <c r="W30" s="42"/>
      <c r="X30" s="42"/>
      <c r="Y30" s="42"/>
      <c r="Z30" s="42"/>
      <c r="AA30" s="67"/>
      <c r="AB30" s="93"/>
      <c r="AC30" s="83" t="s">
        <v>103</v>
      </c>
      <c r="AD30" s="84" t="s">
        <v>104</v>
      </c>
      <c r="AF30" s="71"/>
    </row>
    <row r="31" spans="1:32" ht="12.95" customHeight="1">
      <c r="A31" s="42"/>
      <c r="B31" s="42"/>
      <c r="C31" s="42"/>
      <c r="D31" s="42"/>
      <c r="E31" s="88"/>
      <c r="F31" s="42"/>
      <c r="G31" s="35"/>
      <c r="H31" s="42"/>
      <c r="I31" s="42"/>
      <c r="J31" s="42"/>
      <c r="K31" s="42"/>
      <c r="L31" s="42"/>
      <c r="M31" s="35"/>
      <c r="N31" s="41">
        <f>SUM(L30:O30)</f>
        <v>0</v>
      </c>
      <c r="O31" s="42"/>
      <c r="P31" s="39"/>
      <c r="Q31" s="39"/>
      <c r="R31" s="65" t="str">
        <f>IF($T32=0,"--",R30/$T32)</f>
        <v>--</v>
      </c>
      <c r="S31" s="65" t="str">
        <f>IF($T32=0,"--",S30/$T32)</f>
        <v>--</v>
      </c>
      <c r="T31" s="65" t="str">
        <f>IF($T32=0,"--",T30/$T32)</f>
        <v>--</v>
      </c>
      <c r="U31" s="65" t="str">
        <f>IF($T32=0,"--",U30/$T32)</f>
        <v>--</v>
      </c>
      <c r="V31" s="42"/>
      <c r="W31" s="42"/>
      <c r="X31" s="42"/>
      <c r="Y31" s="42"/>
      <c r="Z31" s="42"/>
      <c r="AA31" s="72"/>
      <c r="AB31" s="93"/>
      <c r="AC31" s="83" t="s">
        <v>102</v>
      </c>
      <c r="AD31" s="71"/>
      <c r="AE31" s="73" t="str">
        <f>路口基本資料!$B$8</f>
        <v>YYYY/MM/DD</v>
      </c>
      <c r="AF31" s="71"/>
    </row>
    <row r="32" spans="1:32" ht="12.95" customHeight="1">
      <c r="A32" s="42"/>
      <c r="B32" s="42"/>
      <c r="C32" s="42"/>
      <c r="D32" s="42"/>
      <c r="E32" s="88"/>
      <c r="F32" s="42"/>
      <c r="G32" s="35"/>
      <c r="H32" s="42"/>
      <c r="I32" s="42"/>
      <c r="J32" s="42"/>
      <c r="K32" s="42"/>
      <c r="L32" s="42"/>
      <c r="M32" s="36"/>
      <c r="N32" s="42"/>
      <c r="O32" s="43"/>
      <c r="P32" s="39"/>
      <c r="Q32" s="39"/>
      <c r="R32" s="42"/>
      <c r="S32" s="35"/>
      <c r="T32" s="41">
        <f>SUM(R30:U30)</f>
        <v>0</v>
      </c>
      <c r="U32" s="42"/>
      <c r="V32" s="42"/>
      <c r="W32" s="42"/>
      <c r="X32" s="42"/>
      <c r="Y32" s="42"/>
      <c r="Z32" s="42"/>
      <c r="AA32" s="42"/>
      <c r="AB32" s="93"/>
      <c r="AC32" s="83" t="s">
        <v>105</v>
      </c>
      <c r="AD32" s="82">
        <f>PHF及轉向比!$AN$99</f>
        <v>1500</v>
      </c>
      <c r="AE32" s="82" t="s">
        <v>106</v>
      </c>
      <c r="AF32" s="82">
        <f>PHF及轉向比!$AO$99</f>
        <v>1600</v>
      </c>
    </row>
    <row r="33" spans="1:32" ht="12.95" customHeight="1">
      <c r="A33" s="42"/>
      <c r="B33" s="42"/>
      <c r="C33" s="42"/>
      <c r="D33" s="42"/>
      <c r="E33" s="88"/>
      <c r="F33" s="42"/>
      <c r="G33" s="35"/>
      <c r="H33" s="42"/>
      <c r="I33" s="42"/>
      <c r="J33" s="42"/>
      <c r="K33" s="42"/>
      <c r="L33" s="42"/>
      <c r="M33" s="42"/>
      <c r="N33" s="42"/>
      <c r="O33" s="42"/>
      <c r="P33" s="43">
        <f>'調查資料(OUT)'!$O$8</f>
        <v>0</v>
      </c>
      <c r="Q33" s="39"/>
      <c r="R33" s="36"/>
      <c r="S33" s="35"/>
      <c r="T33" s="46" t="s">
        <v>16</v>
      </c>
      <c r="U33" s="42"/>
      <c r="V33" s="42"/>
      <c r="W33" s="42"/>
      <c r="X33" s="42"/>
      <c r="Y33" s="42"/>
      <c r="Z33" s="42"/>
      <c r="AA33" s="42"/>
      <c r="AB33" s="93"/>
      <c r="AC33" s="83" t="s">
        <v>107</v>
      </c>
      <c r="AD33" s="82"/>
      <c r="AE33" s="82"/>
      <c r="AF33" s="82"/>
    </row>
    <row r="34" spans="1:32" ht="12.9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36"/>
      <c r="M34" s="46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75"/>
      <c r="AD34" s="35"/>
      <c r="AE34" s="35"/>
      <c r="AF34" s="35"/>
    </row>
    <row r="35" spans="1:32" ht="21">
      <c r="A35" s="455" t="str">
        <f>SUBSTITUTE("x_轉向交通量(假日離峰)","x",路口基本資料!B5)</f>
        <v>_轉向交通量(假日離峰)</v>
      </c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</row>
    <row r="36" spans="1:32" ht="21">
      <c r="A36" s="76"/>
      <c r="B36" s="77"/>
      <c r="C36" s="78"/>
      <c r="D36" s="79"/>
      <c r="E36" s="79"/>
      <c r="F36" s="80"/>
      <c r="G36" s="81"/>
      <c r="H36" s="78"/>
      <c r="I36" s="81"/>
      <c r="J36" s="81"/>
      <c r="K36" s="79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78"/>
      <c r="AF36" s="78"/>
    </row>
    <row r="37" spans="1:32" ht="12.95" customHeight="1">
      <c r="A37" s="57"/>
      <c r="B37" s="39"/>
      <c r="C37" s="58"/>
      <c r="D37" s="59"/>
      <c r="E37" s="86"/>
      <c r="F37" s="35"/>
      <c r="G37" s="35"/>
      <c r="H37" s="44"/>
      <c r="I37" s="35"/>
      <c r="J37" s="35"/>
      <c r="K37" s="43"/>
      <c r="L37" s="35"/>
      <c r="M37" s="35"/>
      <c r="N37" s="35"/>
      <c r="O37" s="35"/>
      <c r="P37" s="86"/>
      <c r="Q37" s="35"/>
      <c r="R37" s="35"/>
      <c r="S37" s="60"/>
      <c r="T37" s="38"/>
      <c r="U37" s="35"/>
      <c r="V37" s="43"/>
      <c r="W37" s="35"/>
      <c r="X37" s="35"/>
      <c r="Y37" s="35"/>
      <c r="Z37" s="35"/>
      <c r="AA37" s="35"/>
      <c r="AB37" s="97"/>
      <c r="AC37" s="35"/>
      <c r="AD37" s="61"/>
      <c r="AE37" s="35"/>
      <c r="AF37" s="35"/>
    </row>
    <row r="38" spans="1:32" ht="12.95" customHeight="1">
      <c r="A38" s="62"/>
      <c r="B38" s="62"/>
      <c r="C38" s="62"/>
      <c r="D38" s="62"/>
      <c r="E38" s="87"/>
      <c r="F38" s="35"/>
      <c r="G38" s="35"/>
      <c r="H38" s="41"/>
      <c r="I38" s="35"/>
      <c r="J38" s="35"/>
      <c r="K38" s="39"/>
      <c r="L38" s="35"/>
      <c r="M38" s="35"/>
      <c r="N38" s="35"/>
      <c r="O38" s="35"/>
      <c r="P38" s="86"/>
      <c r="Q38" s="35"/>
      <c r="R38" s="40"/>
      <c r="S38" s="41"/>
      <c r="T38" s="35"/>
      <c r="U38" s="35"/>
      <c r="V38" s="35"/>
      <c r="W38" s="35"/>
      <c r="X38" s="35"/>
      <c r="Y38" s="35"/>
      <c r="Z38" s="35"/>
      <c r="AA38" s="35"/>
      <c r="AB38" s="97"/>
      <c r="AC38" s="35"/>
      <c r="AD38" s="35"/>
      <c r="AE38" s="35"/>
      <c r="AF38" s="35"/>
    </row>
    <row r="39" spans="1:32" ht="12.95" customHeight="1">
      <c r="A39" s="63"/>
      <c r="B39" s="64"/>
      <c r="C39" s="64"/>
      <c r="D39" s="64"/>
      <c r="E39" s="88"/>
      <c r="F39" s="42"/>
      <c r="G39" s="65"/>
      <c r="H39" s="65"/>
      <c r="I39" s="65"/>
      <c r="J39" s="65"/>
      <c r="K39" s="43"/>
      <c r="L39" s="35"/>
      <c r="M39" s="41"/>
      <c r="N39" s="35"/>
      <c r="O39" s="35"/>
      <c r="P39" s="86"/>
      <c r="Q39" s="42"/>
      <c r="R39" s="65"/>
      <c r="S39" s="65"/>
      <c r="T39" s="65"/>
      <c r="U39" s="65"/>
      <c r="V39" s="42"/>
      <c r="W39" s="42"/>
      <c r="X39" s="41"/>
      <c r="Y39" s="42"/>
      <c r="Z39" s="42"/>
      <c r="AA39" s="42"/>
      <c r="AB39" s="93"/>
      <c r="AC39" s="42"/>
      <c r="AD39" s="35"/>
      <c r="AE39" s="42"/>
      <c r="AF39" s="42"/>
    </row>
    <row r="40" spans="1:32" ht="12.95" customHeight="1">
      <c r="A40" s="66"/>
      <c r="B40" s="66"/>
      <c r="C40" s="66"/>
      <c r="D40" s="66"/>
      <c r="E40" s="89"/>
      <c r="F40" s="42"/>
      <c r="G40" s="41"/>
      <c r="H40" s="41"/>
      <c r="I40" s="41"/>
      <c r="J40" s="41"/>
      <c r="K40" s="42"/>
      <c r="L40" s="41"/>
      <c r="M40" s="41"/>
      <c r="N40" s="41"/>
      <c r="O40" s="41"/>
      <c r="P40" s="102"/>
      <c r="Q40" s="42"/>
      <c r="R40" s="41"/>
      <c r="S40" s="41"/>
      <c r="T40" s="41"/>
      <c r="U40" s="41"/>
      <c r="V40" s="42"/>
      <c r="W40" s="41"/>
      <c r="X40" s="41"/>
      <c r="Y40" s="41"/>
      <c r="Z40" s="41"/>
      <c r="AA40" s="42"/>
      <c r="AB40" s="93"/>
      <c r="AC40" s="42"/>
      <c r="AD40" s="42"/>
      <c r="AE40" s="42"/>
      <c r="AF40" s="42"/>
    </row>
    <row r="41" spans="1:32" ht="12.95" customHeight="1" thickBot="1">
      <c r="A41" s="85"/>
      <c r="B41" s="85"/>
      <c r="C41" s="85"/>
      <c r="D41" s="85"/>
      <c r="E41" s="90"/>
      <c r="F41" s="42"/>
      <c r="G41" s="42"/>
      <c r="H41" s="67"/>
      <c r="I41" s="67"/>
      <c r="J41" s="67"/>
      <c r="K41" s="42"/>
      <c r="L41" s="67"/>
      <c r="M41" s="67"/>
      <c r="N41" s="67"/>
      <c r="O41" s="67"/>
      <c r="P41" s="88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98"/>
      <c r="AC41" s="85"/>
      <c r="AD41" s="85"/>
      <c r="AE41" s="85"/>
      <c r="AF41" s="85"/>
    </row>
    <row r="42" spans="1:32" ht="12.95" customHeight="1">
      <c r="A42" s="42"/>
      <c r="B42" s="42"/>
      <c r="C42" s="42"/>
      <c r="D42" s="42"/>
      <c r="E42" s="42"/>
      <c r="F42" s="42"/>
      <c r="G42" s="42"/>
      <c r="H42" s="67"/>
      <c r="I42" s="67"/>
      <c r="J42" s="67"/>
      <c r="K42" s="42"/>
      <c r="L42" s="67"/>
      <c r="M42" s="67"/>
      <c r="N42" s="67"/>
      <c r="O42" s="67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</row>
    <row r="43" spans="1:32" ht="12.95" customHeight="1">
      <c r="A43" s="35"/>
      <c r="B43" s="35"/>
      <c r="C43" s="35"/>
      <c r="D43" s="35"/>
      <c r="E43" s="3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35"/>
      <c r="AD43" s="35"/>
      <c r="AE43" s="35"/>
      <c r="AF43" s="35"/>
    </row>
    <row r="44" spans="1:32" ht="12.95" customHeight="1">
      <c r="A44" s="35"/>
      <c r="B44" s="35"/>
      <c r="C44" s="35"/>
      <c r="D44" s="35"/>
      <c r="E44" s="3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35"/>
      <c r="AD44" s="35"/>
      <c r="AE44" s="35"/>
      <c r="AF44" s="35"/>
    </row>
    <row r="45" spans="1:32" ht="12.95" customHeight="1">
      <c r="A45" s="35"/>
      <c r="B45" s="35"/>
      <c r="C45" s="35"/>
      <c r="D45" s="35"/>
      <c r="E45" s="3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35"/>
      <c r="AD45" s="35"/>
      <c r="AE45" s="35"/>
      <c r="AF45" s="35"/>
    </row>
    <row r="46" spans="1:32" ht="12.95" customHeight="1">
      <c r="A46" s="35"/>
      <c r="B46" s="35"/>
      <c r="C46" s="35"/>
      <c r="D46" s="35"/>
      <c r="E46" s="3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35"/>
      <c r="AD46" s="35"/>
      <c r="AE46" s="35"/>
      <c r="AF46" s="35"/>
    </row>
    <row r="47" spans="1:32" ht="12.95" customHeight="1">
      <c r="B47" s="35"/>
      <c r="C47" s="35"/>
      <c r="D47" s="35"/>
      <c r="E47" s="3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35"/>
      <c r="AD47" s="35"/>
      <c r="AE47" s="35"/>
      <c r="AF47" s="35"/>
    </row>
    <row r="48" spans="1:32" ht="12.95" customHeight="1">
      <c r="A48" s="35"/>
      <c r="B48" s="42"/>
      <c r="C48" s="42"/>
      <c r="D48" s="41"/>
      <c r="E48" s="3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1"/>
      <c r="AD48" s="65"/>
      <c r="AE48" s="40"/>
      <c r="AF48" s="42"/>
    </row>
    <row r="49" spans="1:32" ht="12.95" customHeight="1">
      <c r="A49" s="35"/>
      <c r="B49" s="35"/>
      <c r="C49" s="42"/>
      <c r="D49" s="41"/>
      <c r="E49" s="67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1"/>
      <c r="AD49" s="65"/>
      <c r="AE49" s="41"/>
      <c r="AF49" s="44"/>
    </row>
    <row r="50" spans="1:32" ht="12.95" customHeight="1">
      <c r="A50" s="35"/>
      <c r="B50" s="35"/>
      <c r="C50" s="41"/>
      <c r="D50" s="41"/>
      <c r="E50" s="67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1"/>
      <c r="AD50" s="65"/>
      <c r="AE50" s="42"/>
      <c r="AF50" s="42"/>
    </row>
    <row r="51" spans="1:32" ht="12.95" customHeight="1">
      <c r="A51" s="35"/>
      <c r="B51" s="35"/>
      <c r="C51" s="42"/>
      <c r="D51" s="41"/>
      <c r="E51" s="67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1"/>
      <c r="AD51" s="65"/>
      <c r="AE51" s="39"/>
      <c r="AF51" s="42"/>
    </row>
    <row r="52" spans="1:32" ht="12.95" customHeight="1">
      <c r="A52" s="42"/>
      <c r="B52" s="42"/>
      <c r="C52" s="42"/>
      <c r="D52" s="42"/>
      <c r="E52" s="67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35"/>
      <c r="AD52" s="35"/>
      <c r="AF52" s="45"/>
    </row>
    <row r="53" spans="1:32" ht="12.95" customHeight="1">
      <c r="A53" s="100"/>
      <c r="B53" s="35"/>
      <c r="C53" s="35"/>
      <c r="D53" s="67"/>
      <c r="E53" s="35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</row>
    <row r="54" spans="1:32" ht="12.95" customHeight="1">
      <c r="A54" s="69"/>
      <c r="B54" s="35"/>
      <c r="C54" s="65"/>
      <c r="D54" s="41"/>
      <c r="E54" s="67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1"/>
      <c r="AD54" s="36"/>
      <c r="AE54" s="42"/>
      <c r="AF54" s="42"/>
    </row>
    <row r="55" spans="1:32" ht="12.95" customHeight="1">
      <c r="A55" s="42"/>
      <c r="B55" s="36"/>
      <c r="C55" s="65"/>
      <c r="D55" s="41"/>
      <c r="E55" s="67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1"/>
      <c r="AD55" s="41"/>
      <c r="AE55" s="42"/>
      <c r="AF55" s="42"/>
    </row>
    <row r="56" spans="1:32" ht="12.95" customHeight="1">
      <c r="A56" s="44"/>
      <c r="B56" s="41"/>
      <c r="C56" s="65"/>
      <c r="D56" s="41"/>
      <c r="E56" s="67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1"/>
      <c r="AD56" s="42"/>
      <c r="AE56" s="42"/>
      <c r="AF56" s="42"/>
    </row>
    <row r="57" spans="1:32" ht="12.95" customHeight="1">
      <c r="A57" s="42"/>
      <c r="B57" s="40"/>
      <c r="C57" s="65"/>
      <c r="D57" s="41"/>
      <c r="E57" s="67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1"/>
      <c r="AD57" s="35"/>
      <c r="AE57" s="35"/>
      <c r="AF57" s="35"/>
    </row>
    <row r="58" spans="1:32" ht="12.95" customHeight="1">
      <c r="A58" s="35"/>
      <c r="B58" s="35"/>
      <c r="C58" s="35"/>
      <c r="D58" s="35"/>
      <c r="E58" s="67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35"/>
      <c r="AD58" s="35"/>
      <c r="AE58" s="35"/>
      <c r="AF58" s="35"/>
    </row>
    <row r="59" spans="1:32" ht="12.95" customHeight="1">
      <c r="A59" s="35"/>
      <c r="B59" s="35"/>
      <c r="C59" s="35"/>
      <c r="D59" s="35"/>
      <c r="E59" s="4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35"/>
      <c r="AD59" s="35"/>
      <c r="AE59" s="35"/>
      <c r="AF59" s="35"/>
    </row>
    <row r="60" spans="1:32" ht="12.95" customHeight="1">
      <c r="A60" s="35"/>
      <c r="B60" s="35"/>
      <c r="C60" s="35"/>
      <c r="D60" s="35"/>
      <c r="E60" s="67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35"/>
      <c r="AD60" s="35"/>
      <c r="AE60" s="35"/>
      <c r="AF60" s="35"/>
    </row>
    <row r="61" spans="1:32" ht="12.95" customHeight="1">
      <c r="A61" s="35"/>
      <c r="B61" s="35"/>
      <c r="C61" s="35"/>
      <c r="D61" s="35"/>
      <c r="E61" s="67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35"/>
      <c r="AD61" s="35"/>
      <c r="AE61" s="35"/>
      <c r="AF61" s="35"/>
    </row>
    <row r="62" spans="1:32" ht="12.95" customHeight="1">
      <c r="A62" s="35"/>
      <c r="B62" s="35"/>
      <c r="C62" s="35"/>
      <c r="D62" s="35"/>
      <c r="E62" s="67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35"/>
      <c r="AD62" s="35"/>
      <c r="AE62" s="35"/>
      <c r="AF62" s="35"/>
    </row>
    <row r="63" spans="1:32" ht="12.95" customHeight="1" thickBot="1">
      <c r="A63" s="35"/>
      <c r="B63" s="35"/>
      <c r="C63" s="70"/>
      <c r="D63" s="67"/>
      <c r="E63" s="67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</row>
    <row r="64" spans="1:32" ht="12.95" customHeight="1">
      <c r="A64" s="91"/>
      <c r="B64" s="91"/>
      <c r="C64" s="91"/>
      <c r="D64" s="91"/>
      <c r="E64" s="9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94"/>
      <c r="AC64" s="95"/>
      <c r="AD64" s="96"/>
      <c r="AE64" s="96"/>
      <c r="AF64" s="96"/>
    </row>
    <row r="65" spans="1:32" ht="12.95" customHeight="1">
      <c r="A65" s="42"/>
      <c r="B65" s="42"/>
      <c r="C65" s="42"/>
      <c r="D65" s="42"/>
      <c r="E65" s="88"/>
      <c r="F65" s="42"/>
      <c r="H65" s="42"/>
      <c r="I65" s="42"/>
      <c r="J65" s="42"/>
      <c r="K65" s="42"/>
      <c r="L65" s="41"/>
      <c r="M65" s="41"/>
      <c r="N65" s="41"/>
      <c r="O65" s="41"/>
      <c r="P65" s="42"/>
      <c r="Q65" s="39"/>
      <c r="R65" s="41"/>
      <c r="S65" s="41"/>
      <c r="T65" s="41"/>
      <c r="U65" s="41"/>
      <c r="V65" s="42"/>
      <c r="W65" s="42"/>
      <c r="X65" s="42"/>
      <c r="Y65" s="42"/>
      <c r="Z65" s="42"/>
      <c r="AA65" s="67"/>
      <c r="AB65" s="93"/>
      <c r="AC65" s="83"/>
      <c r="AD65" s="84"/>
      <c r="AF65" s="71"/>
    </row>
    <row r="66" spans="1:32" ht="12.95" customHeight="1">
      <c r="A66" s="42"/>
      <c r="B66" s="42"/>
      <c r="C66" s="42"/>
      <c r="D66" s="42"/>
      <c r="E66" s="88"/>
      <c r="F66" s="42"/>
      <c r="G66" s="35"/>
      <c r="H66" s="42"/>
      <c r="I66" s="42"/>
      <c r="J66" s="42"/>
      <c r="K66" s="42"/>
      <c r="L66" s="42"/>
      <c r="M66" s="35"/>
      <c r="N66" s="41"/>
      <c r="O66" s="42"/>
      <c r="P66" s="39"/>
      <c r="Q66" s="39"/>
      <c r="R66" s="65"/>
      <c r="S66" s="65"/>
      <c r="T66" s="65"/>
      <c r="U66" s="65"/>
      <c r="V66" s="42"/>
      <c r="W66" s="42"/>
      <c r="X66" s="42"/>
      <c r="Y66" s="42"/>
      <c r="Z66" s="42"/>
      <c r="AA66" s="72"/>
      <c r="AB66" s="93"/>
      <c r="AC66" s="83"/>
      <c r="AD66" s="71"/>
      <c r="AE66" s="73"/>
      <c r="AF66" s="71"/>
    </row>
    <row r="67" spans="1:32" ht="12.95" customHeight="1">
      <c r="A67" s="42"/>
      <c r="B67" s="42"/>
      <c r="C67" s="42"/>
      <c r="D67" s="42"/>
      <c r="E67" s="88"/>
      <c r="F67" s="42"/>
      <c r="G67" s="35"/>
      <c r="H67" s="42"/>
      <c r="I67" s="42"/>
      <c r="J67" s="42"/>
      <c r="K67" s="42"/>
      <c r="L67" s="42"/>
      <c r="M67" s="36"/>
      <c r="N67" s="42"/>
      <c r="O67" s="43"/>
      <c r="P67" s="39"/>
      <c r="Q67" s="39"/>
      <c r="R67" s="42"/>
      <c r="S67" s="35"/>
      <c r="T67" s="41"/>
      <c r="U67" s="42"/>
      <c r="V67" s="42"/>
      <c r="W67" s="42"/>
      <c r="X67" s="42"/>
      <c r="Y67" s="42"/>
      <c r="Z67" s="42"/>
      <c r="AA67" s="42"/>
      <c r="AB67" s="93"/>
      <c r="AC67" s="83"/>
      <c r="AD67" s="82"/>
      <c r="AE67" s="82"/>
      <c r="AF67" s="82"/>
    </row>
    <row r="68" spans="1:32" ht="12.95" customHeight="1">
      <c r="A68" s="42"/>
      <c r="B68" s="42"/>
      <c r="C68" s="42"/>
      <c r="D68" s="42"/>
      <c r="E68" s="88"/>
      <c r="F68" s="42"/>
      <c r="G68" s="35"/>
      <c r="H68" s="42"/>
      <c r="I68" s="42"/>
      <c r="J68" s="42"/>
      <c r="K68" s="42"/>
      <c r="L68" s="42"/>
      <c r="M68" s="42"/>
      <c r="N68" s="42"/>
      <c r="O68" s="42"/>
      <c r="P68" s="43"/>
      <c r="Q68" s="39"/>
      <c r="R68" s="36"/>
      <c r="S68" s="35"/>
      <c r="T68" s="46"/>
      <c r="U68" s="42"/>
      <c r="V68" s="42"/>
      <c r="W68" s="42"/>
      <c r="X68" s="42"/>
      <c r="Y68" s="42"/>
      <c r="Z68" s="42"/>
      <c r="AA68" s="42"/>
      <c r="AB68" s="93"/>
      <c r="AC68" s="83"/>
      <c r="AD68" s="82"/>
      <c r="AE68" s="82"/>
      <c r="AF68" s="82"/>
    </row>
    <row r="69" spans="1:32" ht="12.9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3"/>
      <c r="L69" s="36"/>
      <c r="M69" s="46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74"/>
      <c r="AD69" s="35"/>
      <c r="AE69" s="35"/>
      <c r="AF69" s="35"/>
    </row>
    <row r="70" spans="1:32" ht="21">
      <c r="A70" s="455"/>
      <c r="B70" s="456"/>
      <c r="C70" s="456"/>
      <c r="D70" s="456"/>
      <c r="E70" s="456"/>
      <c r="F70" s="45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456"/>
      <c r="X70" s="456"/>
      <c r="Y70" s="456"/>
      <c r="Z70" s="456"/>
      <c r="AA70" s="456"/>
      <c r="AB70" s="456"/>
      <c r="AC70" s="456"/>
      <c r="AD70" s="456"/>
      <c r="AE70" s="456"/>
      <c r="AF70" s="456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70"/>
  <sheetViews>
    <sheetView workbookViewId="0">
      <selection activeCell="AE29" sqref="AE29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87"/>
      <c r="B1" s="387"/>
      <c r="C1" s="387"/>
      <c r="D1" s="387"/>
      <c r="E1" s="387"/>
      <c r="F1" s="387"/>
      <c r="G1" s="387"/>
      <c r="H1" s="388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</row>
    <row r="2" spans="1:32" ht="15.75" customHeight="1">
      <c r="A2" s="389"/>
      <c r="B2" s="390"/>
      <c r="C2" s="391"/>
      <c r="D2" s="392"/>
      <c r="E2" s="393"/>
      <c r="F2" s="387"/>
      <c r="G2" s="387"/>
      <c r="H2" s="394" t="s">
        <v>101</v>
      </c>
      <c r="I2" s="387"/>
      <c r="J2" s="387"/>
      <c r="K2" s="395">
        <f>'調查資料(OUT)'!$AM$8</f>
        <v>0</v>
      </c>
      <c r="L2" s="387"/>
      <c r="M2" s="387"/>
      <c r="N2" s="387"/>
      <c r="O2" s="387"/>
      <c r="P2" s="393"/>
      <c r="Q2" s="387"/>
      <c r="R2" s="387"/>
      <c r="S2" s="396" t="s">
        <v>96</v>
      </c>
      <c r="T2" s="397"/>
      <c r="U2" s="387"/>
      <c r="V2" s="395">
        <f>'調查資料(OUT)'!$AY$8</f>
        <v>0</v>
      </c>
      <c r="W2" s="387"/>
      <c r="X2" s="387"/>
      <c r="Y2" s="387"/>
      <c r="Z2" s="387"/>
      <c r="AA2" s="387"/>
      <c r="AB2" s="398"/>
      <c r="AC2" s="387"/>
      <c r="AD2" s="399"/>
      <c r="AE2" s="387"/>
      <c r="AF2" s="387"/>
    </row>
    <row r="3" spans="1:32" ht="12.95" customHeight="1">
      <c r="A3" s="400"/>
      <c r="B3" s="400"/>
      <c r="C3" s="400"/>
      <c r="D3" s="400"/>
      <c r="E3" s="401"/>
      <c r="F3" s="387" t="s">
        <v>14</v>
      </c>
      <c r="G3" s="387"/>
      <c r="H3" s="402">
        <f>SUM(G5:J5)</f>
        <v>0</v>
      </c>
      <c r="I3" s="387"/>
      <c r="J3" s="387"/>
      <c r="K3" s="390"/>
      <c r="L3" s="387"/>
      <c r="M3" s="387"/>
      <c r="N3" s="387"/>
      <c r="O3" s="387"/>
      <c r="P3" s="393"/>
      <c r="Q3" s="387"/>
      <c r="R3" s="403" t="s">
        <v>14</v>
      </c>
      <c r="S3" s="402">
        <f>SUM(R5:U5)</f>
        <v>0</v>
      </c>
      <c r="T3" s="387"/>
      <c r="U3" s="387"/>
      <c r="V3" s="387"/>
      <c r="W3" s="387"/>
      <c r="X3" s="387"/>
      <c r="Y3" s="387"/>
      <c r="Z3" s="387"/>
      <c r="AA3" s="387"/>
      <c r="AB3" s="398"/>
      <c r="AC3" s="387"/>
      <c r="AD3" s="387"/>
      <c r="AE3" s="387"/>
      <c r="AF3" s="387"/>
    </row>
    <row r="4" spans="1:32" ht="12.95" customHeight="1">
      <c r="A4" s="404"/>
      <c r="B4" s="405"/>
      <c r="C4" s="405"/>
      <c r="D4" s="405"/>
      <c r="E4" s="406"/>
      <c r="F4" s="407"/>
      <c r="G4" s="408" t="str">
        <f>IF($H3=0,"--",G5/$H3)</f>
        <v>--</v>
      </c>
      <c r="H4" s="408" t="str">
        <f t="shared" ref="H4:J4" si="0">IF($H3=0,"--",H5/$H3)</f>
        <v>--</v>
      </c>
      <c r="I4" s="408" t="str">
        <f t="shared" si="0"/>
        <v>--</v>
      </c>
      <c r="J4" s="408" t="str">
        <f t="shared" si="0"/>
        <v>--</v>
      </c>
      <c r="K4" s="395"/>
      <c r="L4" s="387"/>
      <c r="M4" s="402">
        <f>SUM(L5:O5)</f>
        <v>0</v>
      </c>
      <c r="N4" s="387"/>
      <c r="O4" s="387"/>
      <c r="P4" s="406"/>
      <c r="Q4" s="407"/>
      <c r="R4" s="408" t="str">
        <f>IF($S3=0,"--",R5/$S3)</f>
        <v>--</v>
      </c>
      <c r="S4" s="408" t="str">
        <f>IF($S3=0,"--",S5/$S3)</f>
        <v>--</v>
      </c>
      <c r="T4" s="408" t="str">
        <f>IF($S3=0,"--",T5/$S3)</f>
        <v>--</v>
      </c>
      <c r="U4" s="408" t="str">
        <f>IF($S3=0,"--",U5/$S3)</f>
        <v>--</v>
      </c>
      <c r="V4" s="407"/>
      <c r="W4" s="407"/>
      <c r="X4" s="402">
        <f>SUM(W5:Z5)</f>
        <v>0</v>
      </c>
      <c r="Y4" s="407"/>
      <c r="Z4" s="407"/>
      <c r="AA4" s="407"/>
      <c r="AB4" s="409"/>
      <c r="AC4" s="407"/>
      <c r="AD4" s="387"/>
      <c r="AE4" s="407"/>
      <c r="AF4" s="407"/>
    </row>
    <row r="5" spans="1:32" ht="12.95" customHeight="1">
      <c r="A5" s="410"/>
      <c r="B5" s="410"/>
      <c r="C5" s="410"/>
      <c r="D5" s="410"/>
      <c r="E5" s="411"/>
      <c r="F5" s="407"/>
      <c r="G5" s="402">
        <f>PHF及轉向比!ED99</f>
        <v>0</v>
      </c>
      <c r="H5" s="402">
        <f>PHF及轉向比!DY99</f>
        <v>0</v>
      </c>
      <c r="I5" s="402">
        <f>PHF及轉向比!DT99</f>
        <v>0</v>
      </c>
      <c r="J5" s="402">
        <f>PHF及轉向比!EI99</f>
        <v>0</v>
      </c>
      <c r="K5" s="407"/>
      <c r="L5" s="402">
        <f>+D19</f>
        <v>0</v>
      </c>
      <c r="M5" s="402">
        <f>+S30</f>
        <v>0</v>
      </c>
      <c r="N5" s="402">
        <f>+AC14</f>
        <v>0</v>
      </c>
      <c r="O5" s="402">
        <f>+R5</f>
        <v>0</v>
      </c>
      <c r="P5" s="406"/>
      <c r="Q5" s="407"/>
      <c r="R5" s="402">
        <f>PHF及轉向比!FJ99</f>
        <v>0</v>
      </c>
      <c r="S5" s="402">
        <f>PHF及轉向比!FE99</f>
        <v>0</v>
      </c>
      <c r="T5" s="402">
        <f>PHF及轉向比!EZ99</f>
        <v>0</v>
      </c>
      <c r="U5" s="402">
        <f>PHF及轉向比!EU99</f>
        <v>0</v>
      </c>
      <c r="V5" s="407"/>
      <c r="W5" s="402">
        <f>+J5</f>
        <v>0</v>
      </c>
      <c r="X5" s="402">
        <f>+D20</f>
        <v>0</v>
      </c>
      <c r="Y5" s="402">
        <f>+T30</f>
        <v>0</v>
      </c>
      <c r="Z5" s="402">
        <f>+AC13</f>
        <v>0</v>
      </c>
      <c r="AA5" s="407"/>
      <c r="AB5" s="409"/>
      <c r="AC5" s="407"/>
      <c r="AD5" s="407"/>
      <c r="AE5" s="407"/>
      <c r="AF5" s="407"/>
    </row>
    <row r="6" spans="1:32" ht="12.95" customHeight="1" thickBot="1">
      <c r="A6" s="412"/>
      <c r="B6" s="412"/>
      <c r="C6" s="412"/>
      <c r="D6" s="412"/>
      <c r="E6" s="413"/>
      <c r="F6" s="407"/>
      <c r="G6" s="407"/>
      <c r="H6" s="414"/>
      <c r="I6" s="414"/>
      <c r="J6" s="414"/>
      <c r="K6" s="407"/>
      <c r="L6" s="414"/>
      <c r="M6" s="414"/>
      <c r="N6" s="414"/>
      <c r="O6" s="414"/>
      <c r="P6" s="406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15"/>
      <c r="AC6" s="412"/>
      <c r="AD6" s="412"/>
      <c r="AE6" s="412"/>
      <c r="AF6" s="412"/>
    </row>
    <row r="7" spans="1:32" ht="12.95" customHeight="1">
      <c r="A7" s="387"/>
      <c r="B7" s="407"/>
      <c r="C7" s="407"/>
      <c r="D7" s="407"/>
      <c r="E7" s="407"/>
      <c r="F7" s="407"/>
      <c r="G7" s="407"/>
      <c r="H7" s="414"/>
      <c r="I7" s="414"/>
      <c r="J7" s="414"/>
      <c r="K7" s="407"/>
      <c r="L7" s="414"/>
      <c r="M7" s="414"/>
      <c r="N7" s="414"/>
      <c r="O7" s="414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</row>
    <row r="8" spans="1:32" ht="12.95" customHeight="1">
      <c r="A8" s="407"/>
      <c r="B8" s="407"/>
      <c r="C8" s="416"/>
      <c r="D8" s="387"/>
      <c r="E8" s="38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387"/>
      <c r="AD8" s="387"/>
      <c r="AE8" s="387"/>
      <c r="AF8" s="387"/>
    </row>
    <row r="9" spans="1:32" ht="12.95" customHeight="1">
      <c r="A9" s="407"/>
      <c r="B9" s="407"/>
      <c r="C9" s="387"/>
      <c r="D9" s="387"/>
      <c r="E9" s="38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387"/>
      <c r="AD9" s="387"/>
      <c r="AE9" s="387"/>
      <c r="AF9" s="387"/>
    </row>
    <row r="10" spans="1:32" ht="12.95" customHeight="1">
      <c r="A10" s="407"/>
      <c r="B10" s="407"/>
      <c r="C10" s="387"/>
      <c r="D10" s="387"/>
      <c r="E10" s="38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387"/>
      <c r="AD10" s="387"/>
      <c r="AE10" s="387"/>
      <c r="AF10" s="387"/>
    </row>
    <row r="11" spans="1:32" ht="12.95" customHeight="1">
      <c r="A11" s="407"/>
      <c r="B11" s="407"/>
      <c r="C11" s="387"/>
      <c r="D11" s="387"/>
      <c r="E11" s="38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387"/>
      <c r="AD11" s="387"/>
      <c r="AE11" s="387"/>
      <c r="AF11" s="387"/>
    </row>
    <row r="12" spans="1:32" ht="12.95" customHeight="1">
      <c r="A12" s="387"/>
      <c r="B12" s="417"/>
      <c r="C12" s="387"/>
      <c r="D12" s="387"/>
      <c r="E12" s="38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387"/>
      <c r="AD12" s="387"/>
      <c r="AE12" s="387"/>
      <c r="AF12" s="387"/>
    </row>
    <row r="13" spans="1:32" ht="12.95" customHeight="1">
      <c r="A13" s="387"/>
      <c r="B13" s="407"/>
      <c r="C13" s="418"/>
      <c r="D13" s="402">
        <f>+G5</f>
        <v>0</v>
      </c>
      <c r="E13" s="38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2">
        <f>PHF及轉向比!BF99</f>
        <v>0</v>
      </c>
      <c r="AD13" s="408" t="str">
        <f>IF(AE$14=0,"--",AC13/AE$14)</f>
        <v>--</v>
      </c>
      <c r="AE13" s="403"/>
      <c r="AF13" s="407"/>
    </row>
    <row r="14" spans="1:32" ht="12.95" customHeight="1">
      <c r="A14" s="407"/>
      <c r="B14" s="416"/>
      <c r="C14" s="418"/>
      <c r="D14" s="402">
        <f>+S5</f>
        <v>0</v>
      </c>
      <c r="E14" s="414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2">
        <f>PHF及轉向比!BA99</f>
        <v>0</v>
      </c>
      <c r="AD14" s="408" t="str">
        <f>IF(AE$14=0,"--",AC14/AE$14)</f>
        <v>--</v>
      </c>
      <c r="AE14" s="402">
        <f>SUM(AC13:AC16)</f>
        <v>0</v>
      </c>
      <c r="AF14" s="394" t="s">
        <v>15</v>
      </c>
    </row>
    <row r="15" spans="1:32" ht="12.95" customHeight="1">
      <c r="A15" s="387"/>
      <c r="B15" s="387"/>
      <c r="C15" s="402">
        <f>SUM(D13:D16)</f>
        <v>0</v>
      </c>
      <c r="D15" s="402">
        <f>+AC15</f>
        <v>0</v>
      </c>
      <c r="E15" s="414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2">
        <f>PHF及轉向比!AV99</f>
        <v>0</v>
      </c>
      <c r="AD15" s="408" t="str">
        <f>IF(AE$14=0,"--",AC15/AE$14)</f>
        <v>--</v>
      </c>
      <c r="AE15" s="407"/>
      <c r="AF15" s="407"/>
    </row>
    <row r="16" spans="1:32" ht="12.95" customHeight="1">
      <c r="A16" s="407"/>
      <c r="B16" s="403" t="s">
        <v>14</v>
      </c>
      <c r="C16" s="418"/>
      <c r="D16" s="402">
        <f>+R30</f>
        <v>0</v>
      </c>
      <c r="E16" s="38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2">
        <f>PHF及轉向比!AQ99</f>
        <v>0</v>
      </c>
      <c r="AD16" s="408" t="str">
        <f>IF(AE$14=0,"--",AC16/AE$14)</f>
        <v>--</v>
      </c>
      <c r="AE16" s="390"/>
      <c r="AF16" s="407"/>
    </row>
    <row r="17" spans="1:32" ht="12.95" customHeight="1">
      <c r="A17" s="418"/>
      <c r="B17" s="418"/>
      <c r="C17" s="418"/>
      <c r="D17" s="418"/>
      <c r="E17" s="414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387"/>
      <c r="AD17" s="387"/>
      <c r="AE17" s="387"/>
      <c r="AF17" s="419">
        <f>'調查資料(OUT)'!$C$8</f>
        <v>0</v>
      </c>
    </row>
    <row r="18" spans="1:32" ht="12.95" customHeight="1">
      <c r="A18" s="420">
        <f>'調查資料(OUT)'!$AA$8</f>
        <v>0</v>
      </c>
      <c r="B18" s="418"/>
      <c r="C18" s="418"/>
      <c r="D18" s="418"/>
      <c r="E18" s="38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387"/>
      <c r="AD18" s="387"/>
      <c r="AE18" s="387"/>
      <c r="AF18" s="387"/>
    </row>
    <row r="19" spans="1:32" ht="12.95" customHeight="1">
      <c r="A19" s="418"/>
      <c r="B19" s="418"/>
      <c r="C19" s="408" t="str">
        <f>IF(B$21=0,"--",D19/B$21)</f>
        <v>--</v>
      </c>
      <c r="D19" s="402">
        <f>PHF及轉向比!DC99</f>
        <v>0</v>
      </c>
      <c r="E19" s="414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2">
        <f>+U5</f>
        <v>0</v>
      </c>
      <c r="AD19" s="416"/>
      <c r="AE19" s="407"/>
      <c r="AF19" s="407"/>
    </row>
    <row r="20" spans="1:32" ht="12.95" customHeight="1">
      <c r="A20" s="421"/>
      <c r="B20" s="387"/>
      <c r="C20" s="408" t="str">
        <f>IF(B$21=0,"--",D20/B$21)</f>
        <v>--</v>
      </c>
      <c r="D20" s="402">
        <f>PHF及轉向比!DH99</f>
        <v>0</v>
      </c>
      <c r="E20" s="414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2">
        <f>+I5</f>
        <v>0</v>
      </c>
      <c r="AD20" s="402">
        <f>SUM(AC19:AC22)</f>
        <v>0</v>
      </c>
      <c r="AE20" s="407"/>
      <c r="AF20" s="407"/>
    </row>
    <row r="21" spans="1:32" ht="12.95" customHeight="1">
      <c r="A21" s="394" t="s">
        <v>17</v>
      </c>
      <c r="B21" s="402">
        <f>SUM(D19:D22)</f>
        <v>0</v>
      </c>
      <c r="C21" s="408" t="str">
        <f>IF(B$21=0,"--",D21/B$21)</f>
        <v>--</v>
      </c>
      <c r="D21" s="402">
        <f>PHF及轉向比!CS99</f>
        <v>0</v>
      </c>
      <c r="E21" s="414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2">
        <f>+D21</f>
        <v>0</v>
      </c>
      <c r="AD21" s="407"/>
      <c r="AE21" s="407"/>
      <c r="AF21" s="407"/>
    </row>
    <row r="22" spans="1:32" ht="12.95" customHeight="1">
      <c r="A22" s="394"/>
      <c r="B22" s="414"/>
      <c r="C22" s="408" t="str">
        <f>IF(B$21=0,"--",D22/B$21)</f>
        <v>--</v>
      </c>
      <c r="D22" s="402">
        <f>PHF及轉向比!CX99</f>
        <v>0</v>
      </c>
      <c r="E22" s="414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2">
        <f>+U30</f>
        <v>0</v>
      </c>
      <c r="AD22" s="387"/>
      <c r="AE22" s="387"/>
      <c r="AF22" s="387"/>
    </row>
    <row r="23" spans="1:32" ht="12.95" customHeight="1">
      <c r="A23" s="387"/>
      <c r="B23" s="387"/>
      <c r="C23" s="387"/>
      <c r="D23" s="387"/>
      <c r="E23" s="414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  <c r="AA23" s="407"/>
      <c r="AB23" s="407"/>
      <c r="AC23" s="387"/>
      <c r="AD23" s="387"/>
      <c r="AE23" s="387"/>
      <c r="AF23" s="387"/>
    </row>
    <row r="24" spans="1:32" ht="12.95" customHeight="1">
      <c r="A24" s="387"/>
      <c r="B24" s="387"/>
      <c r="C24" s="387"/>
      <c r="D24" s="387"/>
      <c r="E24" s="419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387"/>
      <c r="AD24" s="387"/>
      <c r="AE24" s="387"/>
      <c r="AF24" s="387"/>
    </row>
    <row r="25" spans="1:32" ht="12.95" customHeight="1">
      <c r="A25" s="387"/>
      <c r="B25" s="387"/>
      <c r="C25" s="387"/>
      <c r="D25" s="387"/>
      <c r="E25" s="414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  <c r="AA25" s="407"/>
      <c r="AB25" s="407"/>
      <c r="AC25" s="387"/>
      <c r="AD25" s="387"/>
      <c r="AE25" s="387"/>
      <c r="AF25" s="387"/>
    </row>
    <row r="26" spans="1:32" ht="12.95" customHeight="1">
      <c r="A26" s="387"/>
      <c r="B26" s="387"/>
      <c r="C26" s="387"/>
      <c r="D26" s="387"/>
      <c r="E26" s="414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387"/>
      <c r="AD26" s="387"/>
      <c r="AE26" s="387"/>
      <c r="AF26" s="387"/>
    </row>
    <row r="27" spans="1:32" ht="12.95" customHeight="1">
      <c r="A27" s="387"/>
      <c r="B27" s="387"/>
      <c r="C27" s="387"/>
      <c r="D27" s="387"/>
      <c r="E27" s="414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7"/>
      <c r="AC27" s="387"/>
      <c r="AD27" s="387"/>
      <c r="AE27" s="387"/>
      <c r="AF27" s="387"/>
    </row>
    <row r="28" spans="1:32" ht="12.95" customHeight="1" thickBot="1">
      <c r="A28" s="387"/>
      <c r="B28" s="387"/>
      <c r="C28" s="422"/>
      <c r="D28" s="414"/>
      <c r="E28" s="414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spans="1:32" ht="12.95" customHeight="1">
      <c r="A29" s="423"/>
      <c r="B29" s="423"/>
      <c r="C29" s="423"/>
      <c r="D29" s="423"/>
      <c r="E29" s="424"/>
      <c r="F29" s="407"/>
      <c r="G29" s="407"/>
      <c r="H29" s="407"/>
      <c r="I29" s="407"/>
      <c r="J29" s="407"/>
      <c r="K29" s="407"/>
      <c r="L29" s="407"/>
      <c r="M29" s="407"/>
      <c r="N29" s="407"/>
      <c r="O29" s="407"/>
      <c r="P29" s="387"/>
      <c r="Q29" s="407"/>
      <c r="R29" s="387"/>
      <c r="S29" s="387"/>
      <c r="T29" s="387"/>
      <c r="U29" s="387"/>
      <c r="V29" s="387"/>
      <c r="W29" s="387"/>
      <c r="X29" s="387"/>
      <c r="Y29" s="387"/>
      <c r="Z29" s="387"/>
      <c r="AA29" s="387"/>
      <c r="AB29" s="425"/>
      <c r="AC29" s="426" t="s">
        <v>77</v>
      </c>
      <c r="AD29" s="427"/>
      <c r="AE29" s="427">
        <f>路口基本資料!B4</f>
        <v>0</v>
      </c>
      <c r="AF29" s="427"/>
    </row>
    <row r="30" spans="1:32" ht="12.95" customHeight="1">
      <c r="A30" s="407"/>
      <c r="B30" s="407"/>
      <c r="C30" s="407"/>
      <c r="D30" s="407"/>
      <c r="E30" s="406"/>
      <c r="F30" s="407"/>
      <c r="G30" s="387"/>
      <c r="H30" s="387"/>
      <c r="I30" s="387"/>
      <c r="J30" s="387"/>
      <c r="K30" s="387"/>
      <c r="L30" s="402">
        <f>+D22</f>
        <v>0</v>
      </c>
      <c r="M30" s="402">
        <f>+H5</f>
        <v>0</v>
      </c>
      <c r="N30" s="402">
        <f>+T5</f>
        <v>0</v>
      </c>
      <c r="O30" s="402">
        <f>+AC16</f>
        <v>0</v>
      </c>
      <c r="P30" s="407"/>
      <c r="Q30" s="407"/>
      <c r="R30" s="402">
        <f>PHF及轉向比!BW99</f>
        <v>0</v>
      </c>
      <c r="S30" s="402">
        <f>PHF及轉向比!CB99</f>
        <v>0</v>
      </c>
      <c r="T30" s="402">
        <f>PHF及轉向比!CG99</f>
        <v>0</v>
      </c>
      <c r="U30" s="402">
        <f>PHF及轉向比!BR99</f>
        <v>0</v>
      </c>
      <c r="V30" s="387"/>
      <c r="W30" s="387"/>
      <c r="X30" s="387"/>
      <c r="Y30" s="387"/>
      <c r="Z30" s="387"/>
      <c r="AA30" s="387"/>
      <c r="AB30" s="409"/>
      <c r="AC30" s="428" t="s">
        <v>103</v>
      </c>
      <c r="AD30" s="429" t="s">
        <v>108</v>
      </c>
      <c r="AE30" s="387"/>
      <c r="AF30" s="430"/>
    </row>
    <row r="31" spans="1:32" ht="12.95" customHeight="1">
      <c r="A31" s="407"/>
      <c r="B31" s="407"/>
      <c r="C31" s="407"/>
      <c r="D31" s="407"/>
      <c r="E31" s="406"/>
      <c r="F31" s="407"/>
      <c r="G31" s="387"/>
      <c r="H31" s="387"/>
      <c r="I31" s="387"/>
      <c r="J31" s="387"/>
      <c r="K31" s="387"/>
      <c r="L31" s="407"/>
      <c r="M31" s="387"/>
      <c r="N31" s="402">
        <f>SUM(L30:O30)</f>
        <v>0</v>
      </c>
      <c r="O31" s="407"/>
      <c r="P31" s="390"/>
      <c r="Q31" s="407"/>
      <c r="R31" s="408" t="str">
        <f>IF($T32=0,"--",R30/$T32)</f>
        <v>--</v>
      </c>
      <c r="S31" s="408" t="str">
        <f>IF($T32=0,"--",S30/$T32)</f>
        <v>--</v>
      </c>
      <c r="T31" s="408" t="str">
        <f>IF($T32=0,"--",T30/$T32)</f>
        <v>--</v>
      </c>
      <c r="U31" s="408" t="str">
        <f>IF($T32=0,"--",U30/$T32)</f>
        <v>--</v>
      </c>
      <c r="V31" s="387"/>
      <c r="W31" s="387"/>
      <c r="X31" s="387"/>
      <c r="Y31" s="387"/>
      <c r="Z31" s="387"/>
      <c r="AA31" s="387"/>
      <c r="AB31" s="409"/>
      <c r="AC31" s="428" t="s">
        <v>102</v>
      </c>
      <c r="AD31" s="430"/>
      <c r="AE31" s="431" t="str">
        <f>路口基本資料!$B$8</f>
        <v>YYYY/MM/DD</v>
      </c>
      <c r="AF31" s="430"/>
    </row>
    <row r="32" spans="1:32" ht="12.95" customHeight="1">
      <c r="A32" s="407"/>
      <c r="B32" s="407"/>
      <c r="C32" s="407"/>
      <c r="D32" s="407"/>
      <c r="E32" s="406"/>
      <c r="F32" s="407"/>
      <c r="G32" s="387"/>
      <c r="H32" s="387"/>
      <c r="I32" s="387"/>
      <c r="J32" s="387"/>
      <c r="K32" s="387"/>
      <c r="L32" s="407"/>
      <c r="M32" s="416"/>
      <c r="N32" s="407"/>
      <c r="O32" s="395"/>
      <c r="P32" s="390"/>
      <c r="Q32" s="407"/>
      <c r="R32" s="407"/>
      <c r="S32" s="387"/>
      <c r="T32" s="402">
        <f>SUM(R30:U30)</f>
        <v>0</v>
      </c>
      <c r="U32" s="407"/>
      <c r="V32" s="387"/>
      <c r="W32" s="387"/>
      <c r="X32" s="387"/>
      <c r="Y32" s="387"/>
      <c r="Z32" s="387"/>
      <c r="AA32" s="387"/>
      <c r="AB32" s="409"/>
      <c r="AC32" s="428" t="s">
        <v>105</v>
      </c>
      <c r="AD32" s="432">
        <f>PHF及轉向比!$AN$99</f>
        <v>1500</v>
      </c>
      <c r="AE32" s="432" t="s">
        <v>106</v>
      </c>
      <c r="AF32" s="432">
        <f>PHF及轉向比!$AO$99</f>
        <v>1600</v>
      </c>
    </row>
    <row r="33" spans="1:32" ht="12.95" customHeight="1">
      <c r="A33" s="407"/>
      <c r="B33" s="407"/>
      <c r="C33" s="407"/>
      <c r="D33" s="407"/>
      <c r="E33" s="406"/>
      <c r="F33" s="407"/>
      <c r="G33" s="387"/>
      <c r="H33" s="387"/>
      <c r="I33" s="387"/>
      <c r="J33" s="387"/>
      <c r="K33" s="387"/>
      <c r="L33" s="407"/>
      <c r="M33" s="407"/>
      <c r="N33" s="407"/>
      <c r="O33" s="407"/>
      <c r="P33" s="395">
        <f>'調查資料(OUT)'!$O$8</f>
        <v>0</v>
      </c>
      <c r="Q33" s="387"/>
      <c r="R33" s="416"/>
      <c r="S33" s="387"/>
      <c r="T33" s="433" t="s">
        <v>16</v>
      </c>
      <c r="U33" s="407"/>
      <c r="V33" s="387"/>
      <c r="W33" s="387"/>
      <c r="X33" s="387"/>
      <c r="Y33" s="387"/>
      <c r="Z33" s="387"/>
      <c r="AA33" s="387"/>
      <c r="AB33" s="409"/>
      <c r="AC33" s="428" t="s">
        <v>107</v>
      </c>
      <c r="AD33" s="432"/>
      <c r="AE33" s="432"/>
      <c r="AF33" s="432"/>
    </row>
    <row r="34" spans="1:32" ht="12.95" customHeight="1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395"/>
      <c r="L34" s="416"/>
      <c r="M34" s="433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  <c r="AA34" s="407"/>
      <c r="AB34" s="407"/>
      <c r="AC34" s="434"/>
      <c r="AD34" s="387"/>
      <c r="AE34" s="387"/>
      <c r="AF34" s="387"/>
    </row>
    <row r="35" spans="1:32" ht="21">
      <c r="A35" s="457" t="str">
        <f>SUBSTITUTE("x_大型車轉向交通量(假日離峰)","x",路口基本資料!B5)</f>
        <v>_大型車轉向交通量(假日離峰)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</row>
    <row r="36" spans="1:32" ht="21">
      <c r="A36" s="435"/>
      <c r="B36" s="436"/>
      <c r="C36" s="437"/>
      <c r="D36" s="438"/>
      <c r="E36" s="438"/>
      <c r="F36" s="439"/>
      <c r="G36" s="440"/>
      <c r="H36" s="437"/>
      <c r="I36" s="440"/>
      <c r="J36" s="440"/>
      <c r="K36" s="438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37"/>
      <c r="AF36" s="437"/>
    </row>
    <row r="37" spans="1:32" ht="12.95" customHeight="1">
      <c r="A37" s="389"/>
      <c r="B37" s="390"/>
      <c r="C37" s="391"/>
      <c r="D37" s="392"/>
      <c r="E37" s="393"/>
      <c r="F37" s="387"/>
      <c r="G37" s="387"/>
      <c r="H37" s="394"/>
      <c r="I37" s="387"/>
      <c r="J37" s="387"/>
      <c r="K37" s="395"/>
      <c r="L37" s="387"/>
      <c r="M37" s="387"/>
      <c r="N37" s="387"/>
      <c r="O37" s="387"/>
      <c r="P37" s="393"/>
      <c r="Q37" s="387"/>
      <c r="R37" s="387"/>
      <c r="S37" s="396"/>
      <c r="T37" s="397"/>
      <c r="U37" s="387"/>
      <c r="V37" s="395"/>
      <c r="W37" s="387"/>
      <c r="X37" s="387"/>
      <c r="Y37" s="387"/>
      <c r="Z37" s="387"/>
      <c r="AA37" s="387"/>
      <c r="AB37" s="398"/>
      <c r="AC37" s="387"/>
      <c r="AD37" s="399"/>
      <c r="AE37" s="387"/>
      <c r="AF37" s="387"/>
    </row>
    <row r="38" spans="1:32" ht="12.95" customHeight="1">
      <c r="A38" s="400"/>
      <c r="B38" s="400"/>
      <c r="C38" s="400"/>
      <c r="D38" s="400"/>
      <c r="E38" s="401"/>
      <c r="F38" s="387"/>
      <c r="G38" s="387"/>
      <c r="H38" s="402"/>
      <c r="I38" s="387"/>
      <c r="J38" s="387"/>
      <c r="K38" s="390"/>
      <c r="L38" s="387"/>
      <c r="M38" s="387"/>
      <c r="N38" s="387"/>
      <c r="O38" s="387"/>
      <c r="P38" s="393"/>
      <c r="Q38" s="387"/>
      <c r="R38" s="403"/>
      <c r="S38" s="402"/>
      <c r="T38" s="387"/>
      <c r="U38" s="387"/>
      <c r="V38" s="387"/>
      <c r="W38" s="387"/>
      <c r="X38" s="387"/>
      <c r="Y38" s="387"/>
      <c r="Z38" s="387"/>
      <c r="AA38" s="387"/>
      <c r="AB38" s="398"/>
      <c r="AC38" s="387"/>
      <c r="AD38" s="387"/>
      <c r="AE38" s="387"/>
      <c r="AF38" s="387"/>
    </row>
    <row r="39" spans="1:32" ht="12.95" customHeight="1">
      <c r="A39" s="404"/>
      <c r="B39" s="405"/>
      <c r="C39" s="405"/>
      <c r="D39" s="405"/>
      <c r="E39" s="406"/>
      <c r="F39" s="407"/>
      <c r="G39" s="408"/>
      <c r="H39" s="408"/>
      <c r="I39" s="408"/>
      <c r="J39" s="408"/>
      <c r="K39" s="395"/>
      <c r="L39" s="387"/>
      <c r="M39" s="402"/>
      <c r="N39" s="387"/>
      <c r="O39" s="387"/>
      <c r="P39" s="406"/>
      <c r="Q39" s="407"/>
      <c r="R39" s="408"/>
      <c r="S39" s="408"/>
      <c r="T39" s="408"/>
      <c r="U39" s="408"/>
      <c r="V39" s="407"/>
      <c r="W39" s="407"/>
      <c r="X39" s="402"/>
      <c r="Y39" s="407"/>
      <c r="Z39" s="407"/>
      <c r="AA39" s="407"/>
      <c r="AB39" s="409"/>
      <c r="AC39" s="407"/>
      <c r="AD39" s="387"/>
      <c r="AE39" s="407"/>
      <c r="AF39" s="407"/>
    </row>
    <row r="40" spans="1:32" ht="12.95" customHeight="1">
      <c r="A40" s="410"/>
      <c r="B40" s="410"/>
      <c r="C40" s="410"/>
      <c r="D40" s="410"/>
      <c r="E40" s="411"/>
      <c r="F40" s="407"/>
      <c r="G40" s="402"/>
      <c r="H40" s="402"/>
      <c r="I40" s="402"/>
      <c r="J40" s="402"/>
      <c r="K40" s="407"/>
      <c r="L40" s="402"/>
      <c r="M40" s="402"/>
      <c r="N40" s="402"/>
      <c r="O40" s="402"/>
      <c r="P40" s="406"/>
      <c r="Q40" s="407"/>
      <c r="R40" s="402"/>
      <c r="S40" s="402"/>
      <c r="T40" s="402"/>
      <c r="U40" s="402"/>
      <c r="V40" s="407"/>
      <c r="W40" s="402"/>
      <c r="X40" s="402"/>
      <c r="Y40" s="402"/>
      <c r="Z40" s="402"/>
      <c r="AA40" s="407"/>
      <c r="AB40" s="409"/>
      <c r="AC40" s="407"/>
      <c r="AD40" s="407"/>
      <c r="AE40" s="407"/>
      <c r="AF40" s="407"/>
    </row>
    <row r="41" spans="1:32" ht="12.95" customHeight="1" thickBot="1">
      <c r="A41" s="412"/>
      <c r="B41" s="412"/>
      <c r="C41" s="412"/>
      <c r="D41" s="412"/>
      <c r="E41" s="413"/>
      <c r="F41" s="407"/>
      <c r="G41" s="407"/>
      <c r="H41" s="414"/>
      <c r="I41" s="414"/>
      <c r="J41" s="414"/>
      <c r="K41" s="407"/>
      <c r="L41" s="414"/>
      <c r="M41" s="414"/>
      <c r="N41" s="414"/>
      <c r="O41" s="414"/>
      <c r="P41" s="406"/>
      <c r="Q41" s="407"/>
      <c r="R41" s="407"/>
      <c r="S41" s="407"/>
      <c r="T41" s="407"/>
      <c r="U41" s="407"/>
      <c r="V41" s="407"/>
      <c r="W41" s="407"/>
      <c r="X41" s="407"/>
      <c r="Y41" s="407"/>
      <c r="Z41" s="407"/>
      <c r="AA41" s="407"/>
      <c r="AB41" s="415"/>
      <c r="AC41" s="412"/>
      <c r="AD41" s="412"/>
      <c r="AE41" s="412"/>
      <c r="AF41" s="412"/>
    </row>
    <row r="42" spans="1:32" ht="12.95" customHeight="1">
      <c r="A42" s="387"/>
      <c r="B42" s="407"/>
      <c r="C42" s="407"/>
      <c r="D42" s="407"/>
      <c r="E42" s="407"/>
      <c r="F42" s="407"/>
      <c r="G42" s="407"/>
      <c r="H42" s="414"/>
      <c r="I42" s="414"/>
      <c r="J42" s="414"/>
      <c r="K42" s="407"/>
      <c r="L42" s="414"/>
      <c r="M42" s="414"/>
      <c r="N42" s="414"/>
      <c r="O42" s="414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 ht="12.95" customHeight="1">
      <c r="A43" s="407"/>
      <c r="B43" s="407"/>
      <c r="C43" s="416"/>
      <c r="D43" s="387"/>
      <c r="E43" s="38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387"/>
      <c r="AD43" s="387"/>
      <c r="AE43" s="387"/>
      <c r="AF43" s="387"/>
    </row>
    <row r="44" spans="1:32" ht="12.95" customHeight="1">
      <c r="A44" s="407"/>
      <c r="B44" s="407"/>
      <c r="C44" s="387"/>
      <c r="D44" s="387"/>
      <c r="E44" s="38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387"/>
      <c r="AD44" s="387"/>
      <c r="AE44" s="387"/>
      <c r="AF44" s="387"/>
    </row>
    <row r="45" spans="1:32" ht="12.95" customHeight="1">
      <c r="A45" s="407"/>
      <c r="B45" s="407"/>
      <c r="C45" s="387"/>
      <c r="D45" s="387"/>
      <c r="E45" s="38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  <c r="AB45" s="407"/>
      <c r="AC45" s="387"/>
      <c r="AD45" s="387"/>
      <c r="AE45" s="387"/>
      <c r="AF45" s="387"/>
    </row>
    <row r="46" spans="1:32" ht="12.95" customHeight="1">
      <c r="A46" s="407"/>
      <c r="B46" s="407"/>
      <c r="C46" s="387"/>
      <c r="D46" s="387"/>
      <c r="E46" s="38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387"/>
      <c r="AD46" s="387"/>
      <c r="AE46" s="387"/>
      <c r="AF46" s="387"/>
    </row>
    <row r="47" spans="1:32" ht="12.95" customHeight="1">
      <c r="A47" s="387"/>
      <c r="B47" s="417"/>
      <c r="C47" s="387"/>
      <c r="D47" s="387"/>
      <c r="E47" s="38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87"/>
      <c r="AD47" s="387"/>
      <c r="AE47" s="387"/>
      <c r="AF47" s="387"/>
    </row>
    <row r="48" spans="1:32" ht="12.95" customHeight="1">
      <c r="A48" s="387"/>
      <c r="B48" s="407"/>
      <c r="C48" s="418"/>
      <c r="D48" s="402"/>
      <c r="E48" s="38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2"/>
      <c r="AD48" s="408"/>
      <c r="AE48" s="403"/>
      <c r="AF48" s="407"/>
    </row>
    <row r="49" spans="1:32" ht="12.95" customHeight="1">
      <c r="A49" s="407"/>
      <c r="B49" s="416"/>
      <c r="C49" s="418"/>
      <c r="D49" s="402"/>
      <c r="E49" s="414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2"/>
      <c r="AD49" s="408"/>
      <c r="AE49" s="402"/>
      <c r="AF49" s="394"/>
    </row>
    <row r="50" spans="1:32" ht="12.95" customHeight="1">
      <c r="A50" s="387"/>
      <c r="B50" s="387"/>
      <c r="C50" s="402"/>
      <c r="D50" s="402"/>
      <c r="E50" s="414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2"/>
      <c r="AD50" s="408"/>
      <c r="AE50" s="407"/>
      <c r="AF50" s="407"/>
    </row>
    <row r="51" spans="1:32" ht="12.95" customHeight="1">
      <c r="A51" s="407"/>
      <c r="B51" s="403"/>
      <c r="C51" s="418"/>
      <c r="D51" s="402"/>
      <c r="E51" s="38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2"/>
      <c r="AD51" s="408"/>
      <c r="AE51" s="390"/>
      <c r="AF51" s="407"/>
    </row>
    <row r="52" spans="1:32" ht="12.95" customHeight="1">
      <c r="A52" s="418"/>
      <c r="B52" s="418"/>
      <c r="C52" s="418"/>
      <c r="D52" s="418"/>
      <c r="E52" s="414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  <c r="AB52" s="407"/>
      <c r="AC52" s="387"/>
      <c r="AD52" s="387"/>
      <c r="AE52" s="387"/>
      <c r="AF52" s="419"/>
    </row>
    <row r="53" spans="1:32" ht="12.95" customHeight="1">
      <c r="A53" s="420"/>
      <c r="B53" s="418"/>
      <c r="C53" s="418"/>
      <c r="D53" s="418"/>
      <c r="E53" s="38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387"/>
      <c r="AD53" s="387"/>
      <c r="AE53" s="387"/>
      <c r="AF53" s="387"/>
    </row>
    <row r="54" spans="1:32" ht="12.95" customHeight="1">
      <c r="A54" s="418"/>
      <c r="B54" s="418"/>
      <c r="C54" s="408"/>
      <c r="D54" s="402"/>
      <c r="E54" s="414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2"/>
      <c r="AD54" s="416"/>
      <c r="AE54" s="407"/>
      <c r="AF54" s="407"/>
    </row>
    <row r="55" spans="1:32" ht="12.95" customHeight="1">
      <c r="A55" s="421"/>
      <c r="B55" s="387"/>
      <c r="C55" s="408"/>
      <c r="D55" s="402"/>
      <c r="E55" s="414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2"/>
      <c r="AD55" s="402"/>
      <c r="AE55" s="407"/>
      <c r="AF55" s="407"/>
    </row>
    <row r="56" spans="1:32" ht="12.95" customHeight="1">
      <c r="A56" s="394"/>
      <c r="B56" s="402"/>
      <c r="C56" s="408"/>
      <c r="D56" s="402"/>
      <c r="E56" s="414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2"/>
      <c r="AD56" s="407"/>
      <c r="AE56" s="407"/>
      <c r="AF56" s="407"/>
    </row>
    <row r="57" spans="1:32" ht="12.95" customHeight="1">
      <c r="A57" s="394"/>
      <c r="B57" s="414"/>
      <c r="C57" s="408"/>
      <c r="D57" s="402"/>
      <c r="E57" s="414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  <c r="AB57" s="407"/>
      <c r="AC57" s="402"/>
      <c r="AD57" s="387"/>
      <c r="AE57" s="387"/>
      <c r="AF57" s="387"/>
    </row>
    <row r="58" spans="1:32" ht="12.95" customHeight="1">
      <c r="A58" s="387"/>
      <c r="B58" s="387"/>
      <c r="C58" s="387"/>
      <c r="D58" s="387"/>
      <c r="E58" s="414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  <c r="AB58" s="407"/>
      <c r="AC58" s="387"/>
      <c r="AD58" s="387"/>
      <c r="AE58" s="387"/>
      <c r="AF58" s="387"/>
    </row>
    <row r="59" spans="1:32" ht="12.95" customHeight="1">
      <c r="A59" s="387"/>
      <c r="B59" s="387"/>
      <c r="C59" s="387"/>
      <c r="D59" s="387"/>
      <c r="E59" s="419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387"/>
      <c r="AD59" s="387"/>
      <c r="AE59" s="387"/>
      <c r="AF59" s="387"/>
    </row>
    <row r="60" spans="1:32" ht="12.95" customHeight="1">
      <c r="A60" s="387"/>
      <c r="B60" s="387"/>
      <c r="C60" s="387"/>
      <c r="D60" s="387"/>
      <c r="E60" s="414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  <c r="AB60" s="407"/>
      <c r="AC60" s="387"/>
      <c r="AD60" s="387"/>
      <c r="AE60" s="387"/>
      <c r="AF60" s="387"/>
    </row>
    <row r="61" spans="1:32" ht="12.95" customHeight="1">
      <c r="A61" s="387"/>
      <c r="B61" s="387"/>
      <c r="C61" s="387"/>
      <c r="D61" s="387"/>
      <c r="E61" s="414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387"/>
      <c r="AD61" s="387"/>
      <c r="AE61" s="387"/>
      <c r="AF61" s="387"/>
    </row>
    <row r="62" spans="1:32" ht="12.95" customHeight="1">
      <c r="A62" s="387"/>
      <c r="B62" s="387"/>
      <c r="C62" s="387"/>
      <c r="D62" s="387"/>
      <c r="E62" s="414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387"/>
      <c r="AD62" s="387"/>
      <c r="AE62" s="387"/>
      <c r="AF62" s="387"/>
    </row>
    <row r="63" spans="1:32" ht="12.95" customHeight="1" thickBot="1">
      <c r="A63" s="387"/>
      <c r="B63" s="387"/>
      <c r="C63" s="422"/>
      <c r="D63" s="414"/>
      <c r="E63" s="414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</row>
    <row r="64" spans="1:32" ht="12.95" customHeight="1">
      <c r="A64" s="423"/>
      <c r="B64" s="423"/>
      <c r="C64" s="423"/>
      <c r="D64" s="423"/>
      <c r="E64" s="424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387"/>
      <c r="Q64" s="407"/>
      <c r="R64" s="387"/>
      <c r="S64" s="387"/>
      <c r="T64" s="387"/>
      <c r="U64" s="387"/>
      <c r="V64" s="387"/>
      <c r="W64" s="387"/>
      <c r="X64" s="387"/>
      <c r="Y64" s="387"/>
      <c r="Z64" s="387"/>
      <c r="AA64" s="387"/>
      <c r="AB64" s="425"/>
      <c r="AC64" s="426"/>
      <c r="AD64" s="427"/>
      <c r="AE64" s="427"/>
      <c r="AF64" s="427"/>
    </row>
    <row r="65" spans="1:32" ht="12.95" customHeight="1">
      <c r="A65" s="407"/>
      <c r="B65" s="407"/>
      <c r="C65" s="407"/>
      <c r="D65" s="407"/>
      <c r="E65" s="406"/>
      <c r="F65" s="407"/>
      <c r="G65" s="387"/>
      <c r="H65" s="387"/>
      <c r="I65" s="387"/>
      <c r="J65" s="387"/>
      <c r="K65" s="387"/>
      <c r="L65" s="402"/>
      <c r="M65" s="402"/>
      <c r="N65" s="402"/>
      <c r="O65" s="402"/>
      <c r="P65" s="407"/>
      <c r="Q65" s="407"/>
      <c r="R65" s="402"/>
      <c r="S65" s="402"/>
      <c r="T65" s="402"/>
      <c r="U65" s="402"/>
      <c r="V65" s="387"/>
      <c r="W65" s="387"/>
      <c r="X65" s="387"/>
      <c r="Y65" s="387"/>
      <c r="Z65" s="387"/>
      <c r="AA65" s="387"/>
      <c r="AB65" s="409"/>
      <c r="AC65" s="428"/>
      <c r="AD65" s="429"/>
      <c r="AE65" s="387"/>
      <c r="AF65" s="430"/>
    </row>
    <row r="66" spans="1:32" ht="12.95" customHeight="1">
      <c r="A66" s="407"/>
      <c r="B66" s="407"/>
      <c r="C66" s="407"/>
      <c r="D66" s="407"/>
      <c r="E66" s="406"/>
      <c r="F66" s="407"/>
      <c r="G66" s="387"/>
      <c r="H66" s="387"/>
      <c r="I66" s="387"/>
      <c r="J66" s="387"/>
      <c r="K66" s="387"/>
      <c r="L66" s="407"/>
      <c r="M66" s="387"/>
      <c r="N66" s="402"/>
      <c r="O66" s="407"/>
      <c r="P66" s="390"/>
      <c r="Q66" s="407"/>
      <c r="R66" s="408"/>
      <c r="S66" s="408"/>
      <c r="T66" s="408"/>
      <c r="U66" s="408"/>
      <c r="V66" s="387"/>
      <c r="W66" s="387"/>
      <c r="X66" s="387"/>
      <c r="Y66" s="387"/>
      <c r="Z66" s="387"/>
      <c r="AA66" s="387"/>
      <c r="AB66" s="409"/>
      <c r="AC66" s="428"/>
      <c r="AD66" s="430"/>
      <c r="AE66" s="431"/>
      <c r="AF66" s="430"/>
    </row>
    <row r="67" spans="1:32" ht="12.95" customHeight="1">
      <c r="A67" s="407"/>
      <c r="B67" s="407"/>
      <c r="C67" s="407"/>
      <c r="D67" s="407"/>
      <c r="E67" s="406"/>
      <c r="F67" s="407"/>
      <c r="G67" s="387"/>
      <c r="H67" s="387"/>
      <c r="I67" s="387"/>
      <c r="J67" s="387"/>
      <c r="K67" s="387"/>
      <c r="L67" s="407"/>
      <c r="M67" s="416"/>
      <c r="N67" s="407"/>
      <c r="O67" s="395"/>
      <c r="P67" s="390"/>
      <c r="Q67" s="407"/>
      <c r="R67" s="407"/>
      <c r="S67" s="387"/>
      <c r="T67" s="402"/>
      <c r="U67" s="407"/>
      <c r="V67" s="387"/>
      <c r="W67" s="387"/>
      <c r="X67" s="387"/>
      <c r="Y67" s="387"/>
      <c r="Z67" s="387"/>
      <c r="AA67" s="387"/>
      <c r="AB67" s="409"/>
      <c r="AC67" s="428"/>
      <c r="AD67" s="432"/>
      <c r="AE67" s="432"/>
      <c r="AF67" s="432"/>
    </row>
    <row r="68" spans="1:32" ht="12.95" customHeight="1">
      <c r="A68" s="407"/>
      <c r="B68" s="407"/>
      <c r="C68" s="407"/>
      <c r="D68" s="407"/>
      <c r="E68" s="406"/>
      <c r="F68" s="407"/>
      <c r="G68" s="387"/>
      <c r="H68" s="387"/>
      <c r="I68" s="387"/>
      <c r="J68" s="387"/>
      <c r="K68" s="387"/>
      <c r="L68" s="407"/>
      <c r="M68" s="407"/>
      <c r="N68" s="407"/>
      <c r="O68" s="407"/>
      <c r="P68" s="395"/>
      <c r="Q68" s="387"/>
      <c r="R68" s="416"/>
      <c r="S68" s="387"/>
      <c r="T68" s="433"/>
      <c r="U68" s="407"/>
      <c r="V68" s="387"/>
      <c r="W68" s="387"/>
      <c r="X68" s="387"/>
      <c r="Y68" s="387"/>
      <c r="Z68" s="387"/>
      <c r="AA68" s="387"/>
      <c r="AB68" s="409"/>
      <c r="AC68" s="428"/>
      <c r="AD68" s="432"/>
      <c r="AE68" s="432"/>
      <c r="AF68" s="432"/>
    </row>
    <row r="69" spans="1:32" ht="12.95" customHeight="1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395"/>
      <c r="L69" s="416"/>
      <c r="M69" s="433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  <c r="AB69" s="407"/>
      <c r="AC69" s="441"/>
      <c r="AD69" s="387"/>
      <c r="AE69" s="387"/>
      <c r="AF69" s="387"/>
    </row>
    <row r="70" spans="1:32" ht="21">
      <c r="A70" s="457"/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8"/>
      <c r="AD70" s="458"/>
      <c r="AE70" s="458"/>
      <c r="AF70" s="458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70"/>
  <sheetViews>
    <sheetView workbookViewId="0">
      <selection activeCell="AE29" sqref="AE29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29" width="4.625" style="5" customWidth="1"/>
    <col min="30" max="30" width="5" style="5" bestFit="1" customWidth="1"/>
    <col min="31" max="31" width="7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87"/>
      <c r="B1" s="387"/>
      <c r="C1" s="387"/>
      <c r="D1" s="387"/>
      <c r="E1" s="387"/>
      <c r="F1" s="387"/>
      <c r="G1" s="387"/>
      <c r="H1" s="388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</row>
    <row r="2" spans="1:32" ht="15.75" customHeight="1">
      <c r="A2" s="389"/>
      <c r="B2" s="390"/>
      <c r="C2" s="391"/>
      <c r="D2" s="392"/>
      <c r="E2" s="393"/>
      <c r="F2" s="387"/>
      <c r="G2" s="387"/>
      <c r="H2" s="394" t="s">
        <v>101</v>
      </c>
      <c r="I2" s="387"/>
      <c r="J2" s="387"/>
      <c r="K2" s="395">
        <f>'調查資料(OUT)'!$AM$8</f>
        <v>0</v>
      </c>
      <c r="L2" s="387"/>
      <c r="M2" s="387"/>
      <c r="N2" s="387"/>
      <c r="O2" s="387"/>
      <c r="P2" s="393"/>
      <c r="Q2" s="387"/>
      <c r="R2" s="387"/>
      <c r="S2" s="396" t="s">
        <v>96</v>
      </c>
      <c r="T2" s="397"/>
      <c r="U2" s="387"/>
      <c r="V2" s="395">
        <f>'調查資料(OUT)'!$AY$8</f>
        <v>0</v>
      </c>
      <c r="W2" s="387"/>
      <c r="X2" s="387"/>
      <c r="Y2" s="387"/>
      <c r="Z2" s="387"/>
      <c r="AA2" s="387"/>
      <c r="AB2" s="398"/>
      <c r="AC2" s="387"/>
      <c r="AD2" s="399"/>
      <c r="AE2" s="387"/>
      <c r="AF2" s="387"/>
    </row>
    <row r="3" spans="1:32" ht="12.95" customHeight="1">
      <c r="A3" s="400"/>
      <c r="B3" s="400"/>
      <c r="C3" s="400"/>
      <c r="D3" s="400"/>
      <c r="E3" s="401"/>
      <c r="F3" s="387" t="s">
        <v>14</v>
      </c>
      <c r="G3" s="387"/>
      <c r="H3" s="402">
        <f>SUM(G5:J5)</f>
        <v>0</v>
      </c>
      <c r="I3" s="387"/>
      <c r="J3" s="387"/>
      <c r="K3" s="390"/>
      <c r="L3" s="387"/>
      <c r="M3" s="387"/>
      <c r="N3" s="387"/>
      <c r="O3" s="387"/>
      <c r="P3" s="393"/>
      <c r="Q3" s="387"/>
      <c r="R3" s="403" t="s">
        <v>14</v>
      </c>
      <c r="S3" s="402">
        <f>SUM(R5:U5)</f>
        <v>0</v>
      </c>
      <c r="T3" s="387"/>
      <c r="U3" s="387"/>
      <c r="V3" s="387"/>
      <c r="W3" s="387"/>
      <c r="X3" s="387"/>
      <c r="Y3" s="387"/>
      <c r="Z3" s="387"/>
      <c r="AA3" s="387"/>
      <c r="AB3" s="398"/>
      <c r="AC3" s="387"/>
      <c r="AD3" s="387"/>
      <c r="AE3" s="387"/>
      <c r="AF3" s="387"/>
    </row>
    <row r="4" spans="1:32" ht="12.95" customHeight="1">
      <c r="A4" s="404"/>
      <c r="B4" s="405"/>
      <c r="C4" s="405"/>
      <c r="D4" s="405"/>
      <c r="E4" s="406"/>
      <c r="F4" s="407"/>
      <c r="G4" s="408" t="str">
        <f>IF($H3=0,"--",G5/$H3)</f>
        <v>--</v>
      </c>
      <c r="H4" s="408" t="str">
        <f t="shared" ref="H4:J4" si="0">IF($H3=0,"--",H5/$H3)</f>
        <v>--</v>
      </c>
      <c r="I4" s="408" t="str">
        <f t="shared" si="0"/>
        <v>--</v>
      </c>
      <c r="J4" s="408" t="str">
        <f t="shared" si="0"/>
        <v>--</v>
      </c>
      <c r="K4" s="395"/>
      <c r="L4" s="387"/>
      <c r="M4" s="402">
        <f>SUM(L5:O5)</f>
        <v>0</v>
      </c>
      <c r="N4" s="387"/>
      <c r="O4" s="387"/>
      <c r="P4" s="393"/>
      <c r="Q4" s="407"/>
      <c r="R4" s="408" t="str">
        <f>IF($S3=0,"--",R5/$S3)</f>
        <v>--</v>
      </c>
      <c r="S4" s="408" t="str">
        <f>IF($S3=0,"--",S5/$S3)</f>
        <v>--</v>
      </c>
      <c r="T4" s="408" t="str">
        <f>IF($S3=0,"--",T5/$S3)</f>
        <v>--</v>
      </c>
      <c r="U4" s="408" t="str">
        <f>IF($S3=0,"--",U5/$S3)</f>
        <v>--</v>
      </c>
      <c r="V4" s="407"/>
      <c r="W4" s="407"/>
      <c r="X4" s="402">
        <f>SUM(W5:Z5)</f>
        <v>0</v>
      </c>
      <c r="Y4" s="407"/>
      <c r="Z4" s="407"/>
      <c r="AA4" s="407"/>
      <c r="AB4" s="409"/>
      <c r="AC4" s="407"/>
      <c r="AD4" s="387"/>
      <c r="AE4" s="407"/>
      <c r="AF4" s="407"/>
    </row>
    <row r="5" spans="1:32" ht="12.95" customHeight="1">
      <c r="A5" s="410"/>
      <c r="B5" s="410"/>
      <c r="C5" s="410"/>
      <c r="D5" s="410"/>
      <c r="E5" s="411"/>
      <c r="F5" s="407"/>
      <c r="G5" s="402">
        <f>PHF及轉向比!EE99</f>
        <v>0</v>
      </c>
      <c r="H5" s="402">
        <f>PHF及轉向比!DZ99</f>
        <v>0</v>
      </c>
      <c r="I5" s="402">
        <f>PHF及轉向比!DU99</f>
        <v>0</v>
      </c>
      <c r="J5" s="402">
        <f>PHF及轉向比!EJ99</f>
        <v>0</v>
      </c>
      <c r="K5" s="407"/>
      <c r="L5" s="402">
        <f>+D19</f>
        <v>0</v>
      </c>
      <c r="M5" s="402">
        <f>+S30</f>
        <v>0</v>
      </c>
      <c r="N5" s="402">
        <f>+AC14</f>
        <v>0</v>
      </c>
      <c r="O5" s="402">
        <f>+R5</f>
        <v>0</v>
      </c>
      <c r="P5" s="393"/>
      <c r="Q5" s="407"/>
      <c r="R5" s="402">
        <f>PHF及轉向比!FK99</f>
        <v>0</v>
      </c>
      <c r="S5" s="402">
        <f>PHF及轉向比!FF99</f>
        <v>0</v>
      </c>
      <c r="T5" s="402">
        <f>PHF及轉向比!FA99</f>
        <v>0</v>
      </c>
      <c r="U5" s="402">
        <f>PHF及轉向比!EV99</f>
        <v>0</v>
      </c>
      <c r="V5" s="407"/>
      <c r="W5" s="402">
        <f>+J5</f>
        <v>0</v>
      </c>
      <c r="X5" s="402">
        <f>+D20</f>
        <v>0</v>
      </c>
      <c r="Y5" s="402">
        <f>+T30</f>
        <v>0</v>
      </c>
      <c r="Z5" s="402">
        <f>+AC13</f>
        <v>0</v>
      </c>
      <c r="AA5" s="407"/>
      <c r="AB5" s="409"/>
      <c r="AC5" s="407"/>
      <c r="AD5" s="407"/>
      <c r="AE5" s="407"/>
      <c r="AF5" s="407"/>
    </row>
    <row r="6" spans="1:32" ht="12.95" customHeight="1" thickBot="1">
      <c r="A6" s="412"/>
      <c r="B6" s="412"/>
      <c r="C6" s="412"/>
      <c r="D6" s="412"/>
      <c r="E6" s="413"/>
      <c r="F6" s="407"/>
      <c r="G6" s="407"/>
      <c r="H6" s="414"/>
      <c r="I6" s="414"/>
      <c r="J6" s="414"/>
      <c r="K6" s="407"/>
      <c r="L6" s="414"/>
      <c r="M6" s="414"/>
      <c r="N6" s="414"/>
      <c r="O6" s="414"/>
      <c r="P6" s="406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15"/>
      <c r="AC6" s="412"/>
      <c r="AD6" s="412"/>
      <c r="AE6" s="412"/>
      <c r="AF6" s="412"/>
    </row>
    <row r="7" spans="1:32" ht="12.95" customHeight="1">
      <c r="A7" s="407"/>
      <c r="B7" s="407"/>
      <c r="C7" s="407"/>
      <c r="D7" s="407"/>
      <c r="E7" s="407"/>
      <c r="F7" s="407"/>
      <c r="G7" s="407"/>
      <c r="H7" s="414"/>
      <c r="I7" s="414"/>
      <c r="J7" s="414"/>
      <c r="K7" s="407"/>
      <c r="L7" s="414"/>
      <c r="M7" s="414"/>
      <c r="N7" s="414"/>
      <c r="O7" s="414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</row>
    <row r="8" spans="1:32" ht="12.95" customHeight="1">
      <c r="A8" s="407"/>
      <c r="B8" s="407"/>
      <c r="C8" s="416"/>
      <c r="D8" s="387"/>
      <c r="E8" s="38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387"/>
      <c r="AD8" s="387"/>
      <c r="AE8" s="387"/>
      <c r="AF8" s="387"/>
    </row>
    <row r="9" spans="1:32" ht="12.95" customHeight="1">
      <c r="A9" s="407"/>
      <c r="B9" s="407"/>
      <c r="C9" s="387"/>
      <c r="D9" s="387"/>
      <c r="E9" s="38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387"/>
      <c r="AD9" s="387"/>
      <c r="AE9" s="387"/>
      <c r="AF9" s="387"/>
    </row>
    <row r="10" spans="1:32" ht="12.95" customHeight="1">
      <c r="A10" s="407"/>
      <c r="B10" s="407"/>
      <c r="C10" s="387"/>
      <c r="D10" s="387"/>
      <c r="E10" s="38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387"/>
      <c r="AD10" s="387"/>
      <c r="AE10" s="387"/>
      <c r="AF10" s="387"/>
    </row>
    <row r="11" spans="1:32" ht="12.95" customHeight="1">
      <c r="A11" s="407"/>
      <c r="B11" s="407"/>
      <c r="C11" s="387"/>
      <c r="D11" s="387"/>
      <c r="E11" s="38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387"/>
      <c r="AD11" s="387"/>
      <c r="AE11" s="387"/>
      <c r="AF11" s="387"/>
    </row>
    <row r="12" spans="1:32" ht="12.95" customHeight="1">
      <c r="A12" s="387"/>
      <c r="B12" s="417"/>
      <c r="C12" s="387"/>
      <c r="D12" s="387"/>
      <c r="E12" s="38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387"/>
      <c r="AD12" s="387"/>
      <c r="AE12" s="387"/>
      <c r="AF12" s="387"/>
    </row>
    <row r="13" spans="1:32" ht="12.95" customHeight="1">
      <c r="A13" s="387"/>
      <c r="B13" s="407"/>
      <c r="C13" s="407"/>
      <c r="D13" s="402">
        <f>+G5</f>
        <v>0</v>
      </c>
      <c r="E13" s="38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2">
        <f>PHF及轉向比!BG99</f>
        <v>0</v>
      </c>
      <c r="AD13" s="408" t="str">
        <f>IF(AE$14=0,"--",AC13/AE$14)</f>
        <v>--</v>
      </c>
      <c r="AE13" s="403"/>
      <c r="AF13" s="407"/>
    </row>
    <row r="14" spans="1:32" ht="12.95" customHeight="1">
      <c r="A14" s="407"/>
      <c r="B14" s="416"/>
      <c r="C14" s="407"/>
      <c r="D14" s="402">
        <f>+S5</f>
        <v>0</v>
      </c>
      <c r="E14" s="414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2">
        <f>PHF及轉向比!BB99</f>
        <v>0</v>
      </c>
      <c r="AD14" s="408" t="str">
        <f>IF(AE$14=0,"--",AC14/AE$14)</f>
        <v>--</v>
      </c>
      <c r="AE14" s="402">
        <f>SUM(AC13:AC16)</f>
        <v>0</v>
      </c>
      <c r="AF14" s="394" t="s">
        <v>15</v>
      </c>
    </row>
    <row r="15" spans="1:32" ht="12.95" customHeight="1">
      <c r="A15" s="387"/>
      <c r="B15" s="387"/>
      <c r="C15" s="402">
        <f>SUM(D13:D16)</f>
        <v>0</v>
      </c>
      <c r="D15" s="402">
        <f>+AC15</f>
        <v>0</v>
      </c>
      <c r="E15" s="414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2">
        <f>PHF及轉向比!AW99</f>
        <v>0</v>
      </c>
      <c r="AD15" s="408" t="str">
        <f>IF(AE$14=0,"--",AC15/AE$14)</f>
        <v>--</v>
      </c>
      <c r="AE15" s="407"/>
      <c r="AF15" s="407"/>
    </row>
    <row r="16" spans="1:32" ht="12.95" customHeight="1">
      <c r="A16" s="407"/>
      <c r="B16" s="403" t="s">
        <v>14</v>
      </c>
      <c r="C16" s="407"/>
      <c r="D16" s="402">
        <f>+R30</f>
        <v>0</v>
      </c>
      <c r="E16" s="414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2">
        <f>PHF及轉向比!AR99</f>
        <v>0</v>
      </c>
      <c r="AD16" s="408" t="str">
        <f>IF(AE$14=0,"--",AC16/AE$14)</f>
        <v>--</v>
      </c>
      <c r="AE16" s="390"/>
      <c r="AF16" s="407"/>
    </row>
    <row r="17" spans="1:32" ht="12.95" customHeight="1">
      <c r="A17" s="407"/>
      <c r="B17" s="407"/>
      <c r="C17" s="407"/>
      <c r="D17" s="407"/>
      <c r="E17" s="414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387"/>
      <c r="AD17" s="387"/>
      <c r="AE17" s="387"/>
      <c r="AF17" s="419">
        <f>'調查資料(OUT)'!$C$8</f>
        <v>0</v>
      </c>
    </row>
    <row r="18" spans="1:32" ht="12.95" customHeight="1">
      <c r="A18" s="420">
        <f>'調查資料(OUT)'!$AA$8</f>
        <v>0</v>
      </c>
      <c r="B18" s="387"/>
      <c r="C18" s="387"/>
      <c r="D18" s="414"/>
      <c r="E18" s="38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387"/>
      <c r="AD18" s="387"/>
      <c r="AE18" s="387"/>
      <c r="AF18" s="387"/>
    </row>
    <row r="19" spans="1:32" ht="12.95" customHeight="1">
      <c r="A19" s="421"/>
      <c r="B19" s="387"/>
      <c r="C19" s="408" t="str">
        <f>IF(B$21=0,"--",D19/B$21)</f>
        <v>--</v>
      </c>
      <c r="D19" s="402">
        <f>PHF及轉向比!DD99</f>
        <v>0</v>
      </c>
      <c r="E19" s="414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2">
        <f>+U5</f>
        <v>0</v>
      </c>
      <c r="AD19" s="416"/>
      <c r="AE19" s="407"/>
      <c r="AF19" s="407"/>
    </row>
    <row r="20" spans="1:32" ht="12.95" customHeight="1">
      <c r="A20" s="407"/>
      <c r="B20" s="416"/>
      <c r="C20" s="408" t="str">
        <f>IF(B$21=0,"--",D20/B$21)</f>
        <v>--</v>
      </c>
      <c r="D20" s="402">
        <f>PHF及轉向比!DI99</f>
        <v>0</v>
      </c>
      <c r="E20" s="414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2">
        <f>+I5</f>
        <v>0</v>
      </c>
      <c r="AD20" s="402">
        <f>SUM(AC19:AC22)</f>
        <v>0</v>
      </c>
      <c r="AE20" s="407"/>
      <c r="AF20" s="407"/>
    </row>
    <row r="21" spans="1:32" ht="12.95" customHeight="1">
      <c r="A21" s="394" t="s">
        <v>17</v>
      </c>
      <c r="B21" s="402">
        <f>SUM(D19:D22)</f>
        <v>0</v>
      </c>
      <c r="C21" s="408" t="str">
        <f>IF(B$21=0,"--",D21/B$21)</f>
        <v>--</v>
      </c>
      <c r="D21" s="402">
        <f>PHF及轉向比!CT99</f>
        <v>0</v>
      </c>
      <c r="E21" s="414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2">
        <f>+D21</f>
        <v>0</v>
      </c>
      <c r="AD21" s="407"/>
      <c r="AE21" s="407"/>
      <c r="AF21" s="407"/>
    </row>
    <row r="22" spans="1:32" ht="12.95" customHeight="1">
      <c r="A22" s="407"/>
      <c r="B22" s="403"/>
      <c r="C22" s="408" t="str">
        <f>IF(B$21=0,"--",D22/B$21)</f>
        <v>--</v>
      </c>
      <c r="D22" s="402">
        <f>PHF及轉向比!CY99</f>
        <v>0</v>
      </c>
      <c r="E22" s="414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2">
        <f>+U30</f>
        <v>0</v>
      </c>
      <c r="AD22" s="387"/>
      <c r="AE22" s="387"/>
      <c r="AF22" s="387"/>
    </row>
    <row r="23" spans="1:32" ht="12.95" customHeight="1">
      <c r="A23" s="387"/>
      <c r="B23" s="387"/>
      <c r="C23" s="387"/>
      <c r="D23" s="387"/>
      <c r="E23" s="414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  <c r="AA23" s="407"/>
      <c r="AB23" s="407"/>
      <c r="AC23" s="387"/>
      <c r="AD23" s="387"/>
      <c r="AE23" s="387"/>
      <c r="AF23" s="387"/>
    </row>
    <row r="24" spans="1:32" ht="12.95" customHeight="1">
      <c r="A24" s="387"/>
      <c r="B24" s="387"/>
      <c r="C24" s="387"/>
      <c r="D24" s="387"/>
      <c r="E24" s="419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387"/>
      <c r="AD24" s="387"/>
      <c r="AE24" s="387"/>
      <c r="AF24" s="387"/>
    </row>
    <row r="25" spans="1:32" ht="12.95" customHeight="1">
      <c r="A25" s="387"/>
      <c r="B25" s="387"/>
      <c r="C25" s="387"/>
      <c r="D25" s="387"/>
      <c r="E25" s="414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  <c r="AA25" s="407"/>
      <c r="AB25" s="407"/>
      <c r="AC25" s="387"/>
      <c r="AD25" s="387"/>
      <c r="AE25" s="387"/>
      <c r="AF25" s="387"/>
    </row>
    <row r="26" spans="1:32" ht="12.95" customHeight="1">
      <c r="A26" s="387"/>
      <c r="B26" s="387"/>
      <c r="C26" s="387"/>
      <c r="D26" s="387"/>
      <c r="E26" s="414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387"/>
      <c r="AD26" s="387"/>
      <c r="AE26" s="387"/>
      <c r="AF26" s="387"/>
    </row>
    <row r="27" spans="1:32" ht="12.95" customHeight="1">
      <c r="A27" s="387"/>
      <c r="B27" s="387"/>
      <c r="C27" s="387"/>
      <c r="D27" s="387"/>
      <c r="E27" s="414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7"/>
      <c r="AC27" s="387"/>
      <c r="AD27" s="387"/>
      <c r="AE27" s="387"/>
      <c r="AF27" s="387"/>
    </row>
    <row r="28" spans="1:32" ht="12.95" customHeight="1" thickBot="1">
      <c r="A28" s="387"/>
      <c r="B28" s="387"/>
      <c r="C28" s="422"/>
      <c r="D28" s="414"/>
      <c r="E28" s="414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spans="1:32" ht="12.95" customHeight="1">
      <c r="A29" s="423"/>
      <c r="B29" s="423"/>
      <c r="C29" s="423"/>
      <c r="D29" s="423"/>
      <c r="E29" s="424"/>
      <c r="F29" s="407"/>
      <c r="G29" s="407"/>
      <c r="H29" s="407"/>
      <c r="I29" s="407"/>
      <c r="J29" s="407"/>
      <c r="K29" s="407"/>
      <c r="L29" s="407"/>
      <c r="M29" s="407"/>
      <c r="N29" s="407"/>
      <c r="O29" s="407"/>
      <c r="P29" s="407"/>
      <c r="Q29" s="407"/>
      <c r="R29" s="407"/>
      <c r="S29" s="407"/>
      <c r="T29" s="407"/>
      <c r="U29" s="407"/>
      <c r="V29" s="407"/>
      <c r="W29" s="407"/>
      <c r="X29" s="407"/>
      <c r="Y29" s="407"/>
      <c r="Z29" s="407"/>
      <c r="AA29" s="407"/>
      <c r="AB29" s="425"/>
      <c r="AC29" s="426" t="s">
        <v>77</v>
      </c>
      <c r="AD29" s="427"/>
      <c r="AE29" s="427">
        <f>路口基本資料!B4</f>
        <v>0</v>
      </c>
      <c r="AF29" s="427"/>
    </row>
    <row r="30" spans="1:32" ht="12.95" customHeight="1">
      <c r="A30" s="407"/>
      <c r="B30" s="407"/>
      <c r="C30" s="407"/>
      <c r="D30" s="407"/>
      <c r="E30" s="406"/>
      <c r="F30" s="407"/>
      <c r="G30" s="407"/>
      <c r="H30" s="407"/>
      <c r="I30" s="407"/>
      <c r="J30" s="407"/>
      <c r="K30" s="407"/>
      <c r="L30" s="402">
        <f>+D22</f>
        <v>0</v>
      </c>
      <c r="M30" s="402">
        <f>+H5</f>
        <v>0</v>
      </c>
      <c r="N30" s="402">
        <f>+T5</f>
        <v>0</v>
      </c>
      <c r="O30" s="402">
        <f>+AC16</f>
        <v>0</v>
      </c>
      <c r="P30" s="407"/>
      <c r="Q30" s="387"/>
      <c r="R30" s="402">
        <f>PHF及轉向比!BX99</f>
        <v>0</v>
      </c>
      <c r="S30" s="402">
        <f>PHF及轉向比!CC99</f>
        <v>0</v>
      </c>
      <c r="T30" s="402">
        <f>PHF及轉向比!CH99</f>
        <v>0</v>
      </c>
      <c r="U30" s="402">
        <f>PHF及轉向比!BS99</f>
        <v>0</v>
      </c>
      <c r="V30" s="407"/>
      <c r="W30" s="407"/>
      <c r="X30" s="407"/>
      <c r="Y30" s="407"/>
      <c r="Z30" s="407"/>
      <c r="AA30" s="414"/>
      <c r="AB30" s="409"/>
      <c r="AC30" s="428" t="s">
        <v>103</v>
      </c>
      <c r="AD30" s="429" t="s">
        <v>108</v>
      </c>
      <c r="AE30" s="387"/>
      <c r="AF30" s="430"/>
    </row>
    <row r="31" spans="1:32" ht="12.95" customHeight="1">
      <c r="A31" s="407"/>
      <c r="B31" s="407"/>
      <c r="C31" s="407"/>
      <c r="D31" s="407"/>
      <c r="E31" s="406"/>
      <c r="F31" s="407"/>
      <c r="G31" s="407"/>
      <c r="H31" s="407"/>
      <c r="I31" s="407"/>
      <c r="J31" s="407"/>
      <c r="K31" s="407"/>
      <c r="L31" s="407"/>
      <c r="M31" s="387"/>
      <c r="N31" s="402">
        <f>SUM(L30:O30)</f>
        <v>0</v>
      </c>
      <c r="O31" s="407"/>
      <c r="P31" s="390"/>
      <c r="Q31" s="387"/>
      <c r="R31" s="408" t="str">
        <f>IF($T32=0,"--",R30/$T32)</f>
        <v>--</v>
      </c>
      <c r="S31" s="408" t="str">
        <f>IF($T32=0,"--",S30/$T32)</f>
        <v>--</v>
      </c>
      <c r="T31" s="408" t="str">
        <f>IF($T32=0,"--",T30/$T32)</f>
        <v>--</v>
      </c>
      <c r="U31" s="408" t="str">
        <f>IF($T32=0,"--",U30/$T32)</f>
        <v>--</v>
      </c>
      <c r="V31" s="407"/>
      <c r="W31" s="407"/>
      <c r="X31" s="407"/>
      <c r="Y31" s="407"/>
      <c r="Z31" s="407"/>
      <c r="AA31" s="442"/>
      <c r="AB31" s="409"/>
      <c r="AC31" s="428" t="s">
        <v>102</v>
      </c>
      <c r="AD31" s="430"/>
      <c r="AE31" s="431" t="str">
        <f>路口基本資料!$B$8</f>
        <v>YYYY/MM/DD</v>
      </c>
      <c r="AF31" s="430"/>
    </row>
    <row r="32" spans="1:32" ht="12.95" customHeight="1">
      <c r="A32" s="407"/>
      <c r="B32" s="407"/>
      <c r="C32" s="407"/>
      <c r="D32" s="407"/>
      <c r="E32" s="406"/>
      <c r="F32" s="407"/>
      <c r="G32" s="407"/>
      <c r="H32" s="407"/>
      <c r="I32" s="407"/>
      <c r="J32" s="407"/>
      <c r="K32" s="407"/>
      <c r="L32" s="407"/>
      <c r="M32" s="416"/>
      <c r="N32" s="407"/>
      <c r="O32" s="395"/>
      <c r="P32" s="390"/>
      <c r="Q32" s="387"/>
      <c r="R32" s="407"/>
      <c r="S32" s="387"/>
      <c r="T32" s="402">
        <f>SUM(R30:U30)</f>
        <v>0</v>
      </c>
      <c r="U32" s="407"/>
      <c r="V32" s="407"/>
      <c r="W32" s="407"/>
      <c r="X32" s="407"/>
      <c r="Y32" s="407"/>
      <c r="Z32" s="407"/>
      <c r="AA32" s="407"/>
      <c r="AB32" s="409"/>
      <c r="AC32" s="428" t="s">
        <v>105</v>
      </c>
      <c r="AD32" s="432">
        <f>PHF及轉向比!$AN$100</f>
        <v>1900</v>
      </c>
      <c r="AE32" s="432" t="s">
        <v>106</v>
      </c>
      <c r="AF32" s="432">
        <f>PHF及轉向比!$AO$100</f>
        <v>2000</v>
      </c>
    </row>
    <row r="33" spans="1:32" ht="12.95" customHeight="1">
      <c r="A33" s="407"/>
      <c r="B33" s="407"/>
      <c r="C33" s="407"/>
      <c r="D33" s="407"/>
      <c r="E33" s="406"/>
      <c r="F33" s="407"/>
      <c r="G33" s="407"/>
      <c r="H33" s="407"/>
      <c r="I33" s="407"/>
      <c r="J33" s="407"/>
      <c r="K33" s="407"/>
      <c r="L33" s="407"/>
      <c r="M33" s="407"/>
      <c r="N33" s="407"/>
      <c r="O33" s="407"/>
      <c r="P33" s="395">
        <f>'調查資料(OUT)'!$O$8</f>
        <v>0</v>
      </c>
      <c r="Q33" s="387"/>
      <c r="R33" s="416"/>
      <c r="S33" s="387"/>
      <c r="T33" s="433" t="s">
        <v>16</v>
      </c>
      <c r="U33" s="407"/>
      <c r="V33" s="407"/>
      <c r="W33" s="407"/>
      <c r="X33" s="407"/>
      <c r="Y33" s="407"/>
      <c r="Z33" s="407"/>
      <c r="AA33" s="407"/>
      <c r="AB33" s="409"/>
      <c r="AC33" s="428" t="s">
        <v>107</v>
      </c>
      <c r="AD33" s="432"/>
      <c r="AE33" s="432"/>
      <c r="AF33" s="432"/>
    </row>
    <row r="34" spans="1:32" ht="12.95" customHeight="1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395"/>
      <c r="L34" s="416"/>
      <c r="M34" s="433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  <c r="AA34" s="407"/>
      <c r="AB34" s="407"/>
      <c r="AC34" s="434"/>
      <c r="AD34" s="387"/>
      <c r="AE34" s="387"/>
      <c r="AF34" s="387"/>
    </row>
    <row r="35" spans="1:32" ht="21">
      <c r="A35" s="457" t="str">
        <f>SUBSTITUTE("x_小型車轉向交通量(假日離峰)","x",路口基本資料!B5)</f>
        <v>_小型車轉向交通量(假日離峰)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</row>
    <row r="36" spans="1:32" ht="21">
      <c r="A36" s="435"/>
      <c r="B36" s="436"/>
      <c r="C36" s="437"/>
      <c r="D36" s="438"/>
      <c r="E36" s="438"/>
      <c r="F36" s="439"/>
      <c r="G36" s="440"/>
      <c r="H36" s="437"/>
      <c r="I36" s="440"/>
      <c r="J36" s="440"/>
      <c r="K36" s="438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37"/>
      <c r="AF36" s="437"/>
    </row>
    <row r="37" spans="1:32" ht="12.95" customHeight="1">
      <c r="A37" s="389"/>
      <c r="B37" s="390"/>
      <c r="C37" s="391"/>
      <c r="D37" s="392"/>
      <c r="E37" s="393"/>
      <c r="F37" s="387"/>
      <c r="G37" s="387"/>
      <c r="H37" s="394"/>
      <c r="I37" s="387"/>
      <c r="J37" s="387"/>
      <c r="K37" s="395"/>
      <c r="L37" s="387"/>
      <c r="M37" s="387"/>
      <c r="N37" s="387"/>
      <c r="O37" s="387"/>
      <c r="P37" s="393"/>
      <c r="Q37" s="387"/>
      <c r="R37" s="387"/>
      <c r="S37" s="396"/>
      <c r="T37" s="397"/>
      <c r="U37" s="387"/>
      <c r="V37" s="395"/>
      <c r="W37" s="387"/>
      <c r="X37" s="387"/>
      <c r="Y37" s="387"/>
      <c r="Z37" s="387"/>
      <c r="AA37" s="387"/>
      <c r="AB37" s="398"/>
      <c r="AC37" s="387"/>
      <c r="AD37" s="399"/>
      <c r="AE37" s="387"/>
      <c r="AF37" s="387"/>
    </row>
    <row r="38" spans="1:32" ht="12.95" customHeight="1">
      <c r="A38" s="400"/>
      <c r="B38" s="400"/>
      <c r="C38" s="400"/>
      <c r="D38" s="400"/>
      <c r="E38" s="401"/>
      <c r="F38" s="387"/>
      <c r="G38" s="387"/>
      <c r="H38" s="402"/>
      <c r="I38" s="387"/>
      <c r="J38" s="387"/>
      <c r="K38" s="390"/>
      <c r="L38" s="387"/>
      <c r="M38" s="387"/>
      <c r="N38" s="387"/>
      <c r="O38" s="387"/>
      <c r="P38" s="393"/>
      <c r="Q38" s="387"/>
      <c r="R38" s="403"/>
      <c r="S38" s="402"/>
      <c r="T38" s="387"/>
      <c r="U38" s="387"/>
      <c r="V38" s="387"/>
      <c r="W38" s="387"/>
      <c r="X38" s="387"/>
      <c r="Y38" s="387"/>
      <c r="Z38" s="387"/>
      <c r="AA38" s="387"/>
      <c r="AB38" s="398"/>
      <c r="AC38" s="387"/>
      <c r="AD38" s="387"/>
      <c r="AE38" s="387"/>
      <c r="AF38" s="387"/>
    </row>
    <row r="39" spans="1:32" ht="12.95" customHeight="1">
      <c r="A39" s="404"/>
      <c r="B39" s="405"/>
      <c r="C39" s="405"/>
      <c r="D39" s="405"/>
      <c r="E39" s="406"/>
      <c r="F39" s="407"/>
      <c r="G39" s="408"/>
      <c r="H39" s="408"/>
      <c r="I39" s="408"/>
      <c r="J39" s="408"/>
      <c r="K39" s="395"/>
      <c r="L39" s="387"/>
      <c r="M39" s="402"/>
      <c r="N39" s="387"/>
      <c r="O39" s="387"/>
      <c r="P39" s="393"/>
      <c r="Q39" s="407"/>
      <c r="R39" s="408"/>
      <c r="S39" s="408"/>
      <c r="T39" s="408"/>
      <c r="U39" s="408"/>
      <c r="V39" s="407"/>
      <c r="W39" s="407"/>
      <c r="X39" s="402"/>
      <c r="Y39" s="407"/>
      <c r="Z39" s="407"/>
      <c r="AA39" s="407"/>
      <c r="AB39" s="409"/>
      <c r="AC39" s="407"/>
      <c r="AD39" s="387"/>
      <c r="AE39" s="407"/>
      <c r="AF39" s="407"/>
    </row>
    <row r="40" spans="1:32" ht="12.95" customHeight="1">
      <c r="A40" s="410"/>
      <c r="B40" s="410"/>
      <c r="C40" s="410"/>
      <c r="D40" s="410"/>
      <c r="E40" s="411"/>
      <c r="F40" s="407"/>
      <c r="G40" s="402"/>
      <c r="H40" s="402"/>
      <c r="I40" s="402"/>
      <c r="J40" s="402"/>
      <c r="K40" s="407"/>
      <c r="L40" s="402"/>
      <c r="M40" s="402"/>
      <c r="N40" s="402"/>
      <c r="O40" s="402"/>
      <c r="P40" s="393"/>
      <c r="Q40" s="407"/>
      <c r="R40" s="402"/>
      <c r="S40" s="402"/>
      <c r="T40" s="402"/>
      <c r="U40" s="402"/>
      <c r="V40" s="407"/>
      <c r="W40" s="402"/>
      <c r="X40" s="402"/>
      <c r="Y40" s="402"/>
      <c r="Z40" s="402"/>
      <c r="AA40" s="407"/>
      <c r="AB40" s="409"/>
      <c r="AC40" s="407"/>
      <c r="AD40" s="407"/>
      <c r="AE40" s="407"/>
      <c r="AF40" s="407"/>
    </row>
    <row r="41" spans="1:32" ht="12.95" customHeight="1" thickBot="1">
      <c r="A41" s="412"/>
      <c r="B41" s="412"/>
      <c r="C41" s="412"/>
      <c r="D41" s="412"/>
      <c r="E41" s="413"/>
      <c r="F41" s="407"/>
      <c r="G41" s="407"/>
      <c r="H41" s="414"/>
      <c r="I41" s="414"/>
      <c r="J41" s="414"/>
      <c r="K41" s="407"/>
      <c r="L41" s="414"/>
      <c r="M41" s="414"/>
      <c r="N41" s="414"/>
      <c r="O41" s="414"/>
      <c r="P41" s="406"/>
      <c r="Q41" s="407"/>
      <c r="R41" s="407"/>
      <c r="S41" s="407"/>
      <c r="T41" s="407"/>
      <c r="U41" s="407"/>
      <c r="V41" s="407"/>
      <c r="W41" s="407"/>
      <c r="X41" s="407"/>
      <c r="Y41" s="407"/>
      <c r="Z41" s="407"/>
      <c r="AA41" s="407"/>
      <c r="AB41" s="415"/>
      <c r="AC41" s="412"/>
      <c r="AD41" s="412"/>
      <c r="AE41" s="412"/>
      <c r="AF41" s="412"/>
    </row>
    <row r="42" spans="1:32" ht="12.95" customHeight="1">
      <c r="A42" s="407"/>
      <c r="B42" s="407"/>
      <c r="C42" s="407"/>
      <c r="D42" s="407"/>
      <c r="E42" s="407"/>
      <c r="F42" s="407"/>
      <c r="G42" s="407"/>
      <c r="H42" s="414"/>
      <c r="I42" s="414"/>
      <c r="J42" s="414"/>
      <c r="K42" s="407"/>
      <c r="L42" s="414"/>
      <c r="M42" s="414"/>
      <c r="N42" s="414"/>
      <c r="O42" s="414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 ht="12.95" customHeight="1">
      <c r="A43" s="407"/>
      <c r="B43" s="407"/>
      <c r="C43" s="416"/>
      <c r="D43" s="387"/>
      <c r="E43" s="38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387"/>
      <c r="AD43" s="387"/>
      <c r="AE43" s="387"/>
      <c r="AF43" s="387"/>
    </row>
    <row r="44" spans="1:32" ht="12.95" customHeight="1">
      <c r="A44" s="407"/>
      <c r="B44" s="407"/>
      <c r="C44" s="387"/>
      <c r="D44" s="387"/>
      <c r="E44" s="38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387"/>
      <c r="AD44" s="387"/>
      <c r="AE44" s="387"/>
      <c r="AF44" s="387"/>
    </row>
    <row r="45" spans="1:32" ht="12.95" customHeight="1">
      <c r="A45" s="407"/>
      <c r="B45" s="407"/>
      <c r="C45" s="387"/>
      <c r="D45" s="387"/>
      <c r="E45" s="38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  <c r="AB45" s="407"/>
      <c r="AC45" s="387"/>
      <c r="AD45" s="387"/>
      <c r="AE45" s="387"/>
      <c r="AF45" s="387"/>
    </row>
    <row r="46" spans="1:32" ht="12.95" customHeight="1">
      <c r="A46" s="407"/>
      <c r="B46" s="407"/>
      <c r="C46" s="387"/>
      <c r="D46" s="387"/>
      <c r="E46" s="38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387"/>
      <c r="AD46" s="387"/>
      <c r="AE46" s="387"/>
      <c r="AF46" s="387"/>
    </row>
    <row r="47" spans="1:32" ht="12.95" customHeight="1">
      <c r="A47" s="387"/>
      <c r="B47" s="417"/>
      <c r="C47" s="387"/>
      <c r="D47" s="387"/>
      <c r="E47" s="38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87"/>
      <c r="AD47" s="387"/>
      <c r="AE47" s="387"/>
      <c r="AF47" s="387"/>
    </row>
    <row r="48" spans="1:32" ht="12.95" customHeight="1">
      <c r="A48" s="387"/>
      <c r="B48" s="407"/>
      <c r="C48" s="407"/>
      <c r="D48" s="402"/>
      <c r="E48" s="38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2"/>
      <c r="AD48" s="408"/>
      <c r="AE48" s="403"/>
      <c r="AF48" s="407"/>
    </row>
    <row r="49" spans="1:32" ht="12.95" customHeight="1">
      <c r="A49" s="407"/>
      <c r="B49" s="416"/>
      <c r="C49" s="407"/>
      <c r="D49" s="402"/>
      <c r="E49" s="414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2"/>
      <c r="AD49" s="408"/>
      <c r="AE49" s="402"/>
      <c r="AF49" s="394"/>
    </row>
    <row r="50" spans="1:32" ht="12.95" customHeight="1">
      <c r="A50" s="387"/>
      <c r="B50" s="387"/>
      <c r="C50" s="402"/>
      <c r="D50" s="402"/>
      <c r="E50" s="414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2"/>
      <c r="AD50" s="408"/>
      <c r="AE50" s="407"/>
      <c r="AF50" s="407"/>
    </row>
    <row r="51" spans="1:32" ht="12.95" customHeight="1">
      <c r="A51" s="407"/>
      <c r="B51" s="403"/>
      <c r="C51" s="407"/>
      <c r="D51" s="402"/>
      <c r="E51" s="414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2"/>
      <c r="AD51" s="408"/>
      <c r="AE51" s="390"/>
      <c r="AF51" s="407"/>
    </row>
    <row r="52" spans="1:32" ht="12.95" customHeight="1">
      <c r="A52" s="407"/>
      <c r="B52" s="407"/>
      <c r="C52" s="407"/>
      <c r="D52" s="407"/>
      <c r="E52" s="414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  <c r="AB52" s="407"/>
      <c r="AC52" s="387"/>
      <c r="AD52" s="387"/>
      <c r="AE52" s="387"/>
      <c r="AF52" s="419"/>
    </row>
    <row r="53" spans="1:32" ht="12.95" customHeight="1">
      <c r="A53" s="420"/>
      <c r="B53" s="387"/>
      <c r="C53" s="387"/>
      <c r="D53" s="414"/>
      <c r="E53" s="38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387"/>
      <c r="AD53" s="387"/>
      <c r="AE53" s="387"/>
      <c r="AF53" s="387"/>
    </row>
    <row r="54" spans="1:32" ht="12.95" customHeight="1">
      <c r="A54" s="421"/>
      <c r="B54" s="387"/>
      <c r="C54" s="408"/>
      <c r="D54" s="402"/>
      <c r="E54" s="414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2"/>
      <c r="AD54" s="416"/>
      <c r="AE54" s="407"/>
      <c r="AF54" s="407"/>
    </row>
    <row r="55" spans="1:32" ht="12.95" customHeight="1">
      <c r="A55" s="407"/>
      <c r="B55" s="416"/>
      <c r="C55" s="408"/>
      <c r="D55" s="402"/>
      <c r="E55" s="414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2"/>
      <c r="AD55" s="402"/>
      <c r="AE55" s="407"/>
      <c r="AF55" s="407"/>
    </row>
    <row r="56" spans="1:32" ht="12.95" customHeight="1">
      <c r="A56" s="394"/>
      <c r="B56" s="402"/>
      <c r="C56" s="408"/>
      <c r="D56" s="402"/>
      <c r="E56" s="414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2"/>
      <c r="AD56" s="407"/>
      <c r="AE56" s="407"/>
      <c r="AF56" s="407"/>
    </row>
    <row r="57" spans="1:32" ht="12.95" customHeight="1">
      <c r="A57" s="407"/>
      <c r="B57" s="403"/>
      <c r="C57" s="408"/>
      <c r="D57" s="402"/>
      <c r="E57" s="414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  <c r="AB57" s="407"/>
      <c r="AC57" s="402"/>
      <c r="AD57" s="387"/>
      <c r="AE57" s="387"/>
      <c r="AF57" s="387"/>
    </row>
    <row r="58" spans="1:32" ht="12.95" customHeight="1">
      <c r="A58" s="387"/>
      <c r="B58" s="387"/>
      <c r="C58" s="387"/>
      <c r="D58" s="387"/>
      <c r="E58" s="414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  <c r="AB58" s="407"/>
      <c r="AC58" s="387"/>
      <c r="AD58" s="387"/>
      <c r="AE58" s="387"/>
      <c r="AF58" s="387"/>
    </row>
    <row r="59" spans="1:32" ht="12.95" customHeight="1">
      <c r="A59" s="387"/>
      <c r="B59" s="387"/>
      <c r="C59" s="387"/>
      <c r="D59" s="387"/>
      <c r="E59" s="419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387"/>
      <c r="AD59" s="387"/>
      <c r="AE59" s="387"/>
      <c r="AF59" s="387"/>
    </row>
    <row r="60" spans="1:32" ht="12.95" customHeight="1">
      <c r="A60" s="387"/>
      <c r="B60" s="387"/>
      <c r="C60" s="387"/>
      <c r="D60" s="387"/>
      <c r="E60" s="414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  <c r="AB60" s="407"/>
      <c r="AC60" s="387"/>
      <c r="AD60" s="387"/>
      <c r="AE60" s="387"/>
      <c r="AF60" s="387"/>
    </row>
    <row r="61" spans="1:32" ht="12.95" customHeight="1">
      <c r="A61" s="387"/>
      <c r="B61" s="387"/>
      <c r="C61" s="387"/>
      <c r="D61" s="387"/>
      <c r="E61" s="414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387"/>
      <c r="AD61" s="387"/>
      <c r="AE61" s="387"/>
      <c r="AF61" s="387"/>
    </row>
    <row r="62" spans="1:32" ht="12.95" customHeight="1">
      <c r="A62" s="387"/>
      <c r="B62" s="387"/>
      <c r="C62" s="387"/>
      <c r="D62" s="387"/>
      <c r="E62" s="414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387"/>
      <c r="AD62" s="387"/>
      <c r="AE62" s="387"/>
      <c r="AF62" s="387"/>
    </row>
    <row r="63" spans="1:32" ht="12.95" customHeight="1" thickBot="1">
      <c r="A63" s="387"/>
      <c r="B63" s="387"/>
      <c r="C63" s="422"/>
      <c r="D63" s="414"/>
      <c r="E63" s="414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</row>
    <row r="64" spans="1:32" ht="12.95" customHeight="1">
      <c r="A64" s="423"/>
      <c r="B64" s="423"/>
      <c r="C64" s="423"/>
      <c r="D64" s="423"/>
      <c r="E64" s="424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407"/>
      <c r="Q64" s="40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  <c r="AB64" s="425"/>
      <c r="AC64" s="426"/>
      <c r="AD64" s="427"/>
      <c r="AE64" s="427"/>
      <c r="AF64" s="427"/>
    </row>
    <row r="65" spans="1:32" ht="12.95" customHeight="1">
      <c r="A65" s="407"/>
      <c r="B65" s="407"/>
      <c r="C65" s="407"/>
      <c r="D65" s="407"/>
      <c r="E65" s="406"/>
      <c r="F65" s="407"/>
      <c r="G65" s="407"/>
      <c r="H65" s="407"/>
      <c r="I65" s="407"/>
      <c r="J65" s="407"/>
      <c r="K65" s="407"/>
      <c r="L65" s="402"/>
      <c r="M65" s="402"/>
      <c r="N65" s="402"/>
      <c r="O65" s="402"/>
      <c r="P65" s="407"/>
      <c r="Q65" s="387"/>
      <c r="R65" s="402"/>
      <c r="S65" s="402"/>
      <c r="T65" s="402"/>
      <c r="U65" s="402"/>
      <c r="V65" s="407"/>
      <c r="W65" s="407"/>
      <c r="X65" s="407"/>
      <c r="Y65" s="407"/>
      <c r="Z65" s="407"/>
      <c r="AA65" s="414"/>
      <c r="AB65" s="409"/>
      <c r="AC65" s="428"/>
      <c r="AD65" s="429"/>
      <c r="AE65" s="387"/>
      <c r="AF65" s="430"/>
    </row>
    <row r="66" spans="1:32" ht="12.95" customHeight="1">
      <c r="A66" s="407"/>
      <c r="B66" s="407"/>
      <c r="C66" s="407"/>
      <c r="D66" s="407"/>
      <c r="E66" s="406"/>
      <c r="F66" s="407"/>
      <c r="G66" s="407"/>
      <c r="H66" s="407"/>
      <c r="I66" s="407"/>
      <c r="J66" s="407"/>
      <c r="K66" s="407"/>
      <c r="L66" s="407"/>
      <c r="M66" s="387"/>
      <c r="N66" s="402"/>
      <c r="O66" s="407"/>
      <c r="P66" s="390"/>
      <c r="Q66" s="387"/>
      <c r="R66" s="408"/>
      <c r="S66" s="408"/>
      <c r="T66" s="408"/>
      <c r="U66" s="408"/>
      <c r="V66" s="407"/>
      <c r="W66" s="407"/>
      <c r="X66" s="407"/>
      <c r="Y66" s="407"/>
      <c r="Z66" s="407"/>
      <c r="AA66" s="442"/>
      <c r="AB66" s="409"/>
      <c r="AC66" s="428"/>
      <c r="AD66" s="430"/>
      <c r="AE66" s="431"/>
      <c r="AF66" s="430"/>
    </row>
    <row r="67" spans="1:32" ht="12.95" customHeight="1">
      <c r="A67" s="407"/>
      <c r="B67" s="407"/>
      <c r="C67" s="407"/>
      <c r="D67" s="407"/>
      <c r="E67" s="406"/>
      <c r="F67" s="407"/>
      <c r="G67" s="407"/>
      <c r="H67" s="407"/>
      <c r="I67" s="407"/>
      <c r="J67" s="407"/>
      <c r="K67" s="407"/>
      <c r="L67" s="407"/>
      <c r="M67" s="416"/>
      <c r="N67" s="407"/>
      <c r="O67" s="395"/>
      <c r="P67" s="390"/>
      <c r="Q67" s="387"/>
      <c r="R67" s="407"/>
      <c r="S67" s="387"/>
      <c r="T67" s="402"/>
      <c r="U67" s="407"/>
      <c r="V67" s="407"/>
      <c r="W67" s="407"/>
      <c r="X67" s="407"/>
      <c r="Y67" s="407"/>
      <c r="Z67" s="407"/>
      <c r="AA67" s="407"/>
      <c r="AB67" s="409"/>
      <c r="AC67" s="428"/>
      <c r="AD67" s="432"/>
      <c r="AE67" s="432"/>
      <c r="AF67" s="432"/>
    </row>
    <row r="68" spans="1:32" ht="12.95" customHeight="1">
      <c r="A68" s="407"/>
      <c r="B68" s="407"/>
      <c r="C68" s="407"/>
      <c r="D68" s="407"/>
      <c r="E68" s="406"/>
      <c r="F68" s="407"/>
      <c r="G68" s="407"/>
      <c r="H68" s="407"/>
      <c r="I68" s="407"/>
      <c r="J68" s="407"/>
      <c r="K68" s="407"/>
      <c r="L68" s="407"/>
      <c r="M68" s="407"/>
      <c r="N68" s="407"/>
      <c r="O68" s="407"/>
      <c r="P68" s="395"/>
      <c r="Q68" s="387"/>
      <c r="R68" s="416"/>
      <c r="S68" s="387"/>
      <c r="T68" s="433"/>
      <c r="U68" s="407"/>
      <c r="V68" s="407"/>
      <c r="W68" s="407"/>
      <c r="X68" s="407"/>
      <c r="Y68" s="407"/>
      <c r="Z68" s="407"/>
      <c r="AA68" s="407"/>
      <c r="AB68" s="409"/>
      <c r="AC68" s="428"/>
      <c r="AD68" s="432"/>
      <c r="AE68" s="432"/>
      <c r="AF68" s="432"/>
    </row>
    <row r="69" spans="1:32" ht="12.95" customHeight="1">
      <c r="A69" s="407"/>
      <c r="B69" s="407"/>
      <c r="C69" s="407"/>
      <c r="D69" s="407"/>
      <c r="E69" s="407"/>
      <c r="F69" s="407"/>
      <c r="G69" s="387"/>
      <c r="H69" s="387"/>
      <c r="I69" s="387"/>
      <c r="J69" s="387"/>
      <c r="K69" s="387"/>
      <c r="L69" s="387"/>
      <c r="M69" s="387"/>
      <c r="N69" s="387"/>
      <c r="O69" s="387"/>
      <c r="P69" s="387"/>
      <c r="Q69" s="38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  <c r="AB69" s="407"/>
      <c r="AC69" s="441"/>
      <c r="AD69" s="387"/>
      <c r="AE69" s="387"/>
      <c r="AF69" s="387"/>
    </row>
    <row r="70" spans="1:32" ht="21">
      <c r="A70" s="457"/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8"/>
      <c r="AD70" s="458"/>
      <c r="AE70" s="458"/>
      <c r="AF70" s="458"/>
    </row>
  </sheetData>
  <mergeCells count="2">
    <mergeCell ref="A35:AF35"/>
    <mergeCell ref="A70:AF70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70"/>
  <sheetViews>
    <sheetView workbookViewId="0">
      <selection activeCell="AG31" sqref="AG31"/>
    </sheetView>
  </sheetViews>
  <sheetFormatPr defaultRowHeight="16.5"/>
  <cols>
    <col min="1" max="1" width="5.875" style="5" customWidth="1"/>
    <col min="2" max="4" width="4.625" style="5" customWidth="1"/>
    <col min="5" max="6" width="2.125" style="5" customWidth="1"/>
    <col min="7" max="10" width="4.625" style="5" customWidth="1"/>
    <col min="11" max="11" width="3.625" style="5" customWidth="1"/>
    <col min="12" max="15" width="4.625" style="5" customWidth="1"/>
    <col min="16" max="17" width="3.625" style="5" customWidth="1"/>
    <col min="18" max="21" width="4.625" style="5" customWidth="1"/>
    <col min="22" max="22" width="3.625" style="5" customWidth="1"/>
    <col min="23" max="26" width="4.625" style="5" customWidth="1"/>
    <col min="27" max="28" width="2.125" style="5" customWidth="1"/>
    <col min="29" max="31" width="4.625" style="5" customWidth="1"/>
    <col min="32" max="32" width="5.875" style="5" customWidth="1"/>
    <col min="257" max="260" width="3.625" customWidth="1"/>
    <col min="261" max="262" width="2.125" customWidth="1"/>
    <col min="263" max="282" width="3.625" customWidth="1"/>
    <col min="283" max="284" width="2.125" customWidth="1"/>
    <col min="285" max="286" width="3.625" customWidth="1"/>
    <col min="287" max="287" width="7" customWidth="1"/>
    <col min="288" max="288" width="3.625" customWidth="1"/>
    <col min="513" max="516" width="3.625" customWidth="1"/>
    <col min="517" max="518" width="2.125" customWidth="1"/>
    <col min="519" max="538" width="3.625" customWidth="1"/>
    <col min="539" max="540" width="2.125" customWidth="1"/>
    <col min="541" max="542" width="3.625" customWidth="1"/>
    <col min="543" max="543" width="7" customWidth="1"/>
    <col min="544" max="544" width="3.625" customWidth="1"/>
    <col min="769" max="772" width="3.625" customWidth="1"/>
    <col min="773" max="774" width="2.125" customWidth="1"/>
    <col min="775" max="794" width="3.625" customWidth="1"/>
    <col min="795" max="796" width="2.125" customWidth="1"/>
    <col min="797" max="798" width="3.625" customWidth="1"/>
    <col min="799" max="799" width="7" customWidth="1"/>
    <col min="800" max="800" width="3.625" customWidth="1"/>
    <col min="1025" max="1028" width="3.625" customWidth="1"/>
    <col min="1029" max="1030" width="2.125" customWidth="1"/>
    <col min="1031" max="1050" width="3.625" customWidth="1"/>
    <col min="1051" max="1052" width="2.125" customWidth="1"/>
    <col min="1053" max="1054" width="3.625" customWidth="1"/>
    <col min="1055" max="1055" width="7" customWidth="1"/>
    <col min="1056" max="1056" width="3.625" customWidth="1"/>
    <col min="1281" max="1284" width="3.625" customWidth="1"/>
    <col min="1285" max="1286" width="2.125" customWidth="1"/>
    <col min="1287" max="1306" width="3.625" customWidth="1"/>
    <col min="1307" max="1308" width="2.125" customWidth="1"/>
    <col min="1309" max="1310" width="3.625" customWidth="1"/>
    <col min="1311" max="1311" width="7" customWidth="1"/>
    <col min="1312" max="1312" width="3.625" customWidth="1"/>
    <col min="1537" max="1540" width="3.625" customWidth="1"/>
    <col min="1541" max="1542" width="2.125" customWidth="1"/>
    <col min="1543" max="1562" width="3.625" customWidth="1"/>
    <col min="1563" max="1564" width="2.125" customWidth="1"/>
    <col min="1565" max="1566" width="3.625" customWidth="1"/>
    <col min="1567" max="1567" width="7" customWidth="1"/>
    <col min="1568" max="1568" width="3.625" customWidth="1"/>
    <col min="1793" max="1796" width="3.625" customWidth="1"/>
    <col min="1797" max="1798" width="2.125" customWidth="1"/>
    <col min="1799" max="1818" width="3.625" customWidth="1"/>
    <col min="1819" max="1820" width="2.125" customWidth="1"/>
    <col min="1821" max="1822" width="3.625" customWidth="1"/>
    <col min="1823" max="1823" width="7" customWidth="1"/>
    <col min="1824" max="1824" width="3.625" customWidth="1"/>
    <col min="2049" max="2052" width="3.625" customWidth="1"/>
    <col min="2053" max="2054" width="2.125" customWidth="1"/>
    <col min="2055" max="2074" width="3.625" customWidth="1"/>
    <col min="2075" max="2076" width="2.125" customWidth="1"/>
    <col min="2077" max="2078" width="3.625" customWidth="1"/>
    <col min="2079" max="2079" width="7" customWidth="1"/>
    <col min="2080" max="2080" width="3.625" customWidth="1"/>
    <col min="2305" max="2308" width="3.625" customWidth="1"/>
    <col min="2309" max="2310" width="2.125" customWidth="1"/>
    <col min="2311" max="2330" width="3.625" customWidth="1"/>
    <col min="2331" max="2332" width="2.125" customWidth="1"/>
    <col min="2333" max="2334" width="3.625" customWidth="1"/>
    <col min="2335" max="2335" width="7" customWidth="1"/>
    <col min="2336" max="2336" width="3.625" customWidth="1"/>
    <col min="2561" max="2564" width="3.625" customWidth="1"/>
    <col min="2565" max="2566" width="2.125" customWidth="1"/>
    <col min="2567" max="2586" width="3.625" customWidth="1"/>
    <col min="2587" max="2588" width="2.125" customWidth="1"/>
    <col min="2589" max="2590" width="3.625" customWidth="1"/>
    <col min="2591" max="2591" width="7" customWidth="1"/>
    <col min="2592" max="2592" width="3.625" customWidth="1"/>
    <col min="2817" max="2820" width="3.625" customWidth="1"/>
    <col min="2821" max="2822" width="2.125" customWidth="1"/>
    <col min="2823" max="2842" width="3.625" customWidth="1"/>
    <col min="2843" max="2844" width="2.125" customWidth="1"/>
    <col min="2845" max="2846" width="3.625" customWidth="1"/>
    <col min="2847" max="2847" width="7" customWidth="1"/>
    <col min="2848" max="2848" width="3.625" customWidth="1"/>
    <col min="3073" max="3076" width="3.625" customWidth="1"/>
    <col min="3077" max="3078" width="2.125" customWidth="1"/>
    <col min="3079" max="3098" width="3.625" customWidth="1"/>
    <col min="3099" max="3100" width="2.125" customWidth="1"/>
    <col min="3101" max="3102" width="3.625" customWidth="1"/>
    <col min="3103" max="3103" width="7" customWidth="1"/>
    <col min="3104" max="3104" width="3.625" customWidth="1"/>
    <col min="3329" max="3332" width="3.625" customWidth="1"/>
    <col min="3333" max="3334" width="2.125" customWidth="1"/>
    <col min="3335" max="3354" width="3.625" customWidth="1"/>
    <col min="3355" max="3356" width="2.125" customWidth="1"/>
    <col min="3357" max="3358" width="3.625" customWidth="1"/>
    <col min="3359" max="3359" width="7" customWidth="1"/>
    <col min="3360" max="3360" width="3.625" customWidth="1"/>
    <col min="3585" max="3588" width="3.625" customWidth="1"/>
    <col min="3589" max="3590" width="2.125" customWidth="1"/>
    <col min="3591" max="3610" width="3.625" customWidth="1"/>
    <col min="3611" max="3612" width="2.125" customWidth="1"/>
    <col min="3613" max="3614" width="3.625" customWidth="1"/>
    <col min="3615" max="3615" width="7" customWidth="1"/>
    <col min="3616" max="3616" width="3.625" customWidth="1"/>
    <col min="3841" max="3844" width="3.625" customWidth="1"/>
    <col min="3845" max="3846" width="2.125" customWidth="1"/>
    <col min="3847" max="3866" width="3.625" customWidth="1"/>
    <col min="3867" max="3868" width="2.125" customWidth="1"/>
    <col min="3869" max="3870" width="3.625" customWidth="1"/>
    <col min="3871" max="3871" width="7" customWidth="1"/>
    <col min="3872" max="3872" width="3.625" customWidth="1"/>
    <col min="4097" max="4100" width="3.625" customWidth="1"/>
    <col min="4101" max="4102" width="2.125" customWidth="1"/>
    <col min="4103" max="4122" width="3.625" customWidth="1"/>
    <col min="4123" max="4124" width="2.125" customWidth="1"/>
    <col min="4125" max="4126" width="3.625" customWidth="1"/>
    <col min="4127" max="4127" width="7" customWidth="1"/>
    <col min="4128" max="4128" width="3.625" customWidth="1"/>
    <col min="4353" max="4356" width="3.625" customWidth="1"/>
    <col min="4357" max="4358" width="2.125" customWidth="1"/>
    <col min="4359" max="4378" width="3.625" customWidth="1"/>
    <col min="4379" max="4380" width="2.125" customWidth="1"/>
    <col min="4381" max="4382" width="3.625" customWidth="1"/>
    <col min="4383" max="4383" width="7" customWidth="1"/>
    <col min="4384" max="4384" width="3.625" customWidth="1"/>
    <col min="4609" max="4612" width="3.625" customWidth="1"/>
    <col min="4613" max="4614" width="2.125" customWidth="1"/>
    <col min="4615" max="4634" width="3.625" customWidth="1"/>
    <col min="4635" max="4636" width="2.125" customWidth="1"/>
    <col min="4637" max="4638" width="3.625" customWidth="1"/>
    <col min="4639" max="4639" width="7" customWidth="1"/>
    <col min="4640" max="4640" width="3.625" customWidth="1"/>
    <col min="4865" max="4868" width="3.625" customWidth="1"/>
    <col min="4869" max="4870" width="2.125" customWidth="1"/>
    <col min="4871" max="4890" width="3.625" customWidth="1"/>
    <col min="4891" max="4892" width="2.125" customWidth="1"/>
    <col min="4893" max="4894" width="3.625" customWidth="1"/>
    <col min="4895" max="4895" width="7" customWidth="1"/>
    <col min="4896" max="4896" width="3.625" customWidth="1"/>
    <col min="5121" max="5124" width="3.625" customWidth="1"/>
    <col min="5125" max="5126" width="2.125" customWidth="1"/>
    <col min="5127" max="5146" width="3.625" customWidth="1"/>
    <col min="5147" max="5148" width="2.125" customWidth="1"/>
    <col min="5149" max="5150" width="3.625" customWidth="1"/>
    <col min="5151" max="5151" width="7" customWidth="1"/>
    <col min="5152" max="5152" width="3.625" customWidth="1"/>
    <col min="5377" max="5380" width="3.625" customWidth="1"/>
    <col min="5381" max="5382" width="2.125" customWidth="1"/>
    <col min="5383" max="5402" width="3.625" customWidth="1"/>
    <col min="5403" max="5404" width="2.125" customWidth="1"/>
    <col min="5405" max="5406" width="3.625" customWidth="1"/>
    <col min="5407" max="5407" width="7" customWidth="1"/>
    <col min="5408" max="5408" width="3.625" customWidth="1"/>
    <col min="5633" max="5636" width="3.625" customWidth="1"/>
    <col min="5637" max="5638" width="2.125" customWidth="1"/>
    <col min="5639" max="5658" width="3.625" customWidth="1"/>
    <col min="5659" max="5660" width="2.125" customWidth="1"/>
    <col min="5661" max="5662" width="3.625" customWidth="1"/>
    <col min="5663" max="5663" width="7" customWidth="1"/>
    <col min="5664" max="5664" width="3.625" customWidth="1"/>
    <col min="5889" max="5892" width="3.625" customWidth="1"/>
    <col min="5893" max="5894" width="2.125" customWidth="1"/>
    <col min="5895" max="5914" width="3.625" customWidth="1"/>
    <col min="5915" max="5916" width="2.125" customWidth="1"/>
    <col min="5917" max="5918" width="3.625" customWidth="1"/>
    <col min="5919" max="5919" width="7" customWidth="1"/>
    <col min="5920" max="5920" width="3.625" customWidth="1"/>
    <col min="6145" max="6148" width="3.625" customWidth="1"/>
    <col min="6149" max="6150" width="2.125" customWidth="1"/>
    <col min="6151" max="6170" width="3.625" customWidth="1"/>
    <col min="6171" max="6172" width="2.125" customWidth="1"/>
    <col min="6173" max="6174" width="3.625" customWidth="1"/>
    <col min="6175" max="6175" width="7" customWidth="1"/>
    <col min="6176" max="6176" width="3.625" customWidth="1"/>
    <col min="6401" max="6404" width="3.625" customWidth="1"/>
    <col min="6405" max="6406" width="2.125" customWidth="1"/>
    <col min="6407" max="6426" width="3.625" customWidth="1"/>
    <col min="6427" max="6428" width="2.125" customWidth="1"/>
    <col min="6429" max="6430" width="3.625" customWidth="1"/>
    <col min="6431" max="6431" width="7" customWidth="1"/>
    <col min="6432" max="6432" width="3.625" customWidth="1"/>
    <col min="6657" max="6660" width="3.625" customWidth="1"/>
    <col min="6661" max="6662" width="2.125" customWidth="1"/>
    <col min="6663" max="6682" width="3.625" customWidth="1"/>
    <col min="6683" max="6684" width="2.125" customWidth="1"/>
    <col min="6685" max="6686" width="3.625" customWidth="1"/>
    <col min="6687" max="6687" width="7" customWidth="1"/>
    <col min="6688" max="6688" width="3.625" customWidth="1"/>
    <col min="6913" max="6916" width="3.625" customWidth="1"/>
    <col min="6917" max="6918" width="2.125" customWidth="1"/>
    <col min="6919" max="6938" width="3.625" customWidth="1"/>
    <col min="6939" max="6940" width="2.125" customWidth="1"/>
    <col min="6941" max="6942" width="3.625" customWidth="1"/>
    <col min="6943" max="6943" width="7" customWidth="1"/>
    <col min="6944" max="6944" width="3.625" customWidth="1"/>
    <col min="7169" max="7172" width="3.625" customWidth="1"/>
    <col min="7173" max="7174" width="2.125" customWidth="1"/>
    <col min="7175" max="7194" width="3.625" customWidth="1"/>
    <col min="7195" max="7196" width="2.125" customWidth="1"/>
    <col min="7197" max="7198" width="3.625" customWidth="1"/>
    <col min="7199" max="7199" width="7" customWidth="1"/>
    <col min="7200" max="7200" width="3.625" customWidth="1"/>
    <col min="7425" max="7428" width="3.625" customWidth="1"/>
    <col min="7429" max="7430" width="2.125" customWidth="1"/>
    <col min="7431" max="7450" width="3.625" customWidth="1"/>
    <col min="7451" max="7452" width="2.125" customWidth="1"/>
    <col min="7453" max="7454" width="3.625" customWidth="1"/>
    <col min="7455" max="7455" width="7" customWidth="1"/>
    <col min="7456" max="7456" width="3.625" customWidth="1"/>
    <col min="7681" max="7684" width="3.625" customWidth="1"/>
    <col min="7685" max="7686" width="2.125" customWidth="1"/>
    <col min="7687" max="7706" width="3.625" customWidth="1"/>
    <col min="7707" max="7708" width="2.125" customWidth="1"/>
    <col min="7709" max="7710" width="3.625" customWidth="1"/>
    <col min="7711" max="7711" width="7" customWidth="1"/>
    <col min="7712" max="7712" width="3.625" customWidth="1"/>
    <col min="7937" max="7940" width="3.625" customWidth="1"/>
    <col min="7941" max="7942" width="2.125" customWidth="1"/>
    <col min="7943" max="7962" width="3.625" customWidth="1"/>
    <col min="7963" max="7964" width="2.125" customWidth="1"/>
    <col min="7965" max="7966" width="3.625" customWidth="1"/>
    <col min="7967" max="7967" width="7" customWidth="1"/>
    <col min="7968" max="7968" width="3.625" customWidth="1"/>
    <col min="8193" max="8196" width="3.625" customWidth="1"/>
    <col min="8197" max="8198" width="2.125" customWidth="1"/>
    <col min="8199" max="8218" width="3.625" customWidth="1"/>
    <col min="8219" max="8220" width="2.125" customWidth="1"/>
    <col min="8221" max="8222" width="3.625" customWidth="1"/>
    <col min="8223" max="8223" width="7" customWidth="1"/>
    <col min="8224" max="8224" width="3.625" customWidth="1"/>
    <col min="8449" max="8452" width="3.625" customWidth="1"/>
    <col min="8453" max="8454" width="2.125" customWidth="1"/>
    <col min="8455" max="8474" width="3.625" customWidth="1"/>
    <col min="8475" max="8476" width="2.125" customWidth="1"/>
    <col min="8477" max="8478" width="3.625" customWidth="1"/>
    <col min="8479" max="8479" width="7" customWidth="1"/>
    <col min="8480" max="8480" width="3.625" customWidth="1"/>
    <col min="8705" max="8708" width="3.625" customWidth="1"/>
    <col min="8709" max="8710" width="2.125" customWidth="1"/>
    <col min="8711" max="8730" width="3.625" customWidth="1"/>
    <col min="8731" max="8732" width="2.125" customWidth="1"/>
    <col min="8733" max="8734" width="3.625" customWidth="1"/>
    <col min="8735" max="8735" width="7" customWidth="1"/>
    <col min="8736" max="8736" width="3.625" customWidth="1"/>
    <col min="8961" max="8964" width="3.625" customWidth="1"/>
    <col min="8965" max="8966" width="2.125" customWidth="1"/>
    <col min="8967" max="8986" width="3.625" customWidth="1"/>
    <col min="8987" max="8988" width="2.125" customWidth="1"/>
    <col min="8989" max="8990" width="3.625" customWidth="1"/>
    <col min="8991" max="8991" width="7" customWidth="1"/>
    <col min="8992" max="8992" width="3.625" customWidth="1"/>
    <col min="9217" max="9220" width="3.625" customWidth="1"/>
    <col min="9221" max="9222" width="2.125" customWidth="1"/>
    <col min="9223" max="9242" width="3.625" customWidth="1"/>
    <col min="9243" max="9244" width="2.125" customWidth="1"/>
    <col min="9245" max="9246" width="3.625" customWidth="1"/>
    <col min="9247" max="9247" width="7" customWidth="1"/>
    <col min="9248" max="9248" width="3.625" customWidth="1"/>
    <col min="9473" max="9476" width="3.625" customWidth="1"/>
    <col min="9477" max="9478" width="2.125" customWidth="1"/>
    <col min="9479" max="9498" width="3.625" customWidth="1"/>
    <col min="9499" max="9500" width="2.125" customWidth="1"/>
    <col min="9501" max="9502" width="3.625" customWidth="1"/>
    <col min="9503" max="9503" width="7" customWidth="1"/>
    <col min="9504" max="9504" width="3.625" customWidth="1"/>
    <col min="9729" max="9732" width="3.625" customWidth="1"/>
    <col min="9733" max="9734" width="2.125" customWidth="1"/>
    <col min="9735" max="9754" width="3.625" customWidth="1"/>
    <col min="9755" max="9756" width="2.125" customWidth="1"/>
    <col min="9757" max="9758" width="3.625" customWidth="1"/>
    <col min="9759" max="9759" width="7" customWidth="1"/>
    <col min="9760" max="9760" width="3.625" customWidth="1"/>
    <col min="9985" max="9988" width="3.625" customWidth="1"/>
    <col min="9989" max="9990" width="2.125" customWidth="1"/>
    <col min="9991" max="10010" width="3.625" customWidth="1"/>
    <col min="10011" max="10012" width="2.125" customWidth="1"/>
    <col min="10013" max="10014" width="3.625" customWidth="1"/>
    <col min="10015" max="10015" width="7" customWidth="1"/>
    <col min="10016" max="10016" width="3.625" customWidth="1"/>
    <col min="10241" max="10244" width="3.625" customWidth="1"/>
    <col min="10245" max="10246" width="2.125" customWidth="1"/>
    <col min="10247" max="10266" width="3.625" customWidth="1"/>
    <col min="10267" max="10268" width="2.125" customWidth="1"/>
    <col min="10269" max="10270" width="3.625" customWidth="1"/>
    <col min="10271" max="10271" width="7" customWidth="1"/>
    <col min="10272" max="10272" width="3.625" customWidth="1"/>
    <col min="10497" max="10500" width="3.625" customWidth="1"/>
    <col min="10501" max="10502" width="2.125" customWidth="1"/>
    <col min="10503" max="10522" width="3.625" customWidth="1"/>
    <col min="10523" max="10524" width="2.125" customWidth="1"/>
    <col min="10525" max="10526" width="3.625" customWidth="1"/>
    <col min="10527" max="10527" width="7" customWidth="1"/>
    <col min="10528" max="10528" width="3.625" customWidth="1"/>
    <col min="10753" max="10756" width="3.625" customWidth="1"/>
    <col min="10757" max="10758" width="2.125" customWidth="1"/>
    <col min="10759" max="10778" width="3.625" customWidth="1"/>
    <col min="10779" max="10780" width="2.125" customWidth="1"/>
    <col min="10781" max="10782" width="3.625" customWidth="1"/>
    <col min="10783" max="10783" width="7" customWidth="1"/>
    <col min="10784" max="10784" width="3.625" customWidth="1"/>
    <col min="11009" max="11012" width="3.625" customWidth="1"/>
    <col min="11013" max="11014" width="2.125" customWidth="1"/>
    <col min="11015" max="11034" width="3.625" customWidth="1"/>
    <col min="11035" max="11036" width="2.125" customWidth="1"/>
    <col min="11037" max="11038" width="3.625" customWidth="1"/>
    <col min="11039" max="11039" width="7" customWidth="1"/>
    <col min="11040" max="11040" width="3.625" customWidth="1"/>
    <col min="11265" max="11268" width="3.625" customWidth="1"/>
    <col min="11269" max="11270" width="2.125" customWidth="1"/>
    <col min="11271" max="11290" width="3.625" customWidth="1"/>
    <col min="11291" max="11292" width="2.125" customWidth="1"/>
    <col min="11293" max="11294" width="3.625" customWidth="1"/>
    <col min="11295" max="11295" width="7" customWidth="1"/>
    <col min="11296" max="11296" width="3.625" customWidth="1"/>
    <col min="11521" max="11524" width="3.625" customWidth="1"/>
    <col min="11525" max="11526" width="2.125" customWidth="1"/>
    <col min="11527" max="11546" width="3.625" customWidth="1"/>
    <col min="11547" max="11548" width="2.125" customWidth="1"/>
    <col min="11549" max="11550" width="3.625" customWidth="1"/>
    <col min="11551" max="11551" width="7" customWidth="1"/>
    <col min="11552" max="11552" width="3.625" customWidth="1"/>
    <col min="11777" max="11780" width="3.625" customWidth="1"/>
    <col min="11781" max="11782" width="2.125" customWidth="1"/>
    <col min="11783" max="11802" width="3.625" customWidth="1"/>
    <col min="11803" max="11804" width="2.125" customWidth="1"/>
    <col min="11805" max="11806" width="3.625" customWidth="1"/>
    <col min="11807" max="11807" width="7" customWidth="1"/>
    <col min="11808" max="11808" width="3.625" customWidth="1"/>
    <col min="12033" max="12036" width="3.625" customWidth="1"/>
    <col min="12037" max="12038" width="2.125" customWidth="1"/>
    <col min="12039" max="12058" width="3.625" customWidth="1"/>
    <col min="12059" max="12060" width="2.125" customWidth="1"/>
    <col min="12061" max="12062" width="3.625" customWidth="1"/>
    <col min="12063" max="12063" width="7" customWidth="1"/>
    <col min="12064" max="12064" width="3.625" customWidth="1"/>
    <col min="12289" max="12292" width="3.625" customWidth="1"/>
    <col min="12293" max="12294" width="2.125" customWidth="1"/>
    <col min="12295" max="12314" width="3.625" customWidth="1"/>
    <col min="12315" max="12316" width="2.125" customWidth="1"/>
    <col min="12317" max="12318" width="3.625" customWidth="1"/>
    <col min="12319" max="12319" width="7" customWidth="1"/>
    <col min="12320" max="12320" width="3.625" customWidth="1"/>
    <col min="12545" max="12548" width="3.625" customWidth="1"/>
    <col min="12549" max="12550" width="2.125" customWidth="1"/>
    <col min="12551" max="12570" width="3.625" customWidth="1"/>
    <col min="12571" max="12572" width="2.125" customWidth="1"/>
    <col min="12573" max="12574" width="3.625" customWidth="1"/>
    <col min="12575" max="12575" width="7" customWidth="1"/>
    <col min="12576" max="12576" width="3.625" customWidth="1"/>
    <col min="12801" max="12804" width="3.625" customWidth="1"/>
    <col min="12805" max="12806" width="2.125" customWidth="1"/>
    <col min="12807" max="12826" width="3.625" customWidth="1"/>
    <col min="12827" max="12828" width="2.125" customWidth="1"/>
    <col min="12829" max="12830" width="3.625" customWidth="1"/>
    <col min="12831" max="12831" width="7" customWidth="1"/>
    <col min="12832" max="12832" width="3.625" customWidth="1"/>
    <col min="13057" max="13060" width="3.625" customWidth="1"/>
    <col min="13061" max="13062" width="2.125" customWidth="1"/>
    <col min="13063" max="13082" width="3.625" customWidth="1"/>
    <col min="13083" max="13084" width="2.125" customWidth="1"/>
    <col min="13085" max="13086" width="3.625" customWidth="1"/>
    <col min="13087" max="13087" width="7" customWidth="1"/>
    <col min="13088" max="13088" width="3.625" customWidth="1"/>
    <col min="13313" max="13316" width="3.625" customWidth="1"/>
    <col min="13317" max="13318" width="2.125" customWidth="1"/>
    <col min="13319" max="13338" width="3.625" customWidth="1"/>
    <col min="13339" max="13340" width="2.125" customWidth="1"/>
    <col min="13341" max="13342" width="3.625" customWidth="1"/>
    <col min="13343" max="13343" width="7" customWidth="1"/>
    <col min="13344" max="13344" width="3.625" customWidth="1"/>
    <col min="13569" max="13572" width="3.625" customWidth="1"/>
    <col min="13573" max="13574" width="2.125" customWidth="1"/>
    <col min="13575" max="13594" width="3.625" customWidth="1"/>
    <col min="13595" max="13596" width="2.125" customWidth="1"/>
    <col min="13597" max="13598" width="3.625" customWidth="1"/>
    <col min="13599" max="13599" width="7" customWidth="1"/>
    <col min="13600" max="13600" width="3.625" customWidth="1"/>
    <col min="13825" max="13828" width="3.625" customWidth="1"/>
    <col min="13829" max="13830" width="2.125" customWidth="1"/>
    <col min="13831" max="13850" width="3.625" customWidth="1"/>
    <col min="13851" max="13852" width="2.125" customWidth="1"/>
    <col min="13853" max="13854" width="3.625" customWidth="1"/>
    <col min="13855" max="13855" width="7" customWidth="1"/>
    <col min="13856" max="13856" width="3.625" customWidth="1"/>
    <col min="14081" max="14084" width="3.625" customWidth="1"/>
    <col min="14085" max="14086" width="2.125" customWidth="1"/>
    <col min="14087" max="14106" width="3.625" customWidth="1"/>
    <col min="14107" max="14108" width="2.125" customWidth="1"/>
    <col min="14109" max="14110" width="3.625" customWidth="1"/>
    <col min="14111" max="14111" width="7" customWidth="1"/>
    <col min="14112" max="14112" width="3.625" customWidth="1"/>
    <col min="14337" max="14340" width="3.625" customWidth="1"/>
    <col min="14341" max="14342" width="2.125" customWidth="1"/>
    <col min="14343" max="14362" width="3.625" customWidth="1"/>
    <col min="14363" max="14364" width="2.125" customWidth="1"/>
    <col min="14365" max="14366" width="3.625" customWidth="1"/>
    <col min="14367" max="14367" width="7" customWidth="1"/>
    <col min="14368" max="14368" width="3.625" customWidth="1"/>
    <col min="14593" max="14596" width="3.625" customWidth="1"/>
    <col min="14597" max="14598" width="2.125" customWidth="1"/>
    <col min="14599" max="14618" width="3.625" customWidth="1"/>
    <col min="14619" max="14620" width="2.125" customWidth="1"/>
    <col min="14621" max="14622" width="3.625" customWidth="1"/>
    <col min="14623" max="14623" width="7" customWidth="1"/>
    <col min="14624" max="14624" width="3.625" customWidth="1"/>
    <col min="14849" max="14852" width="3.625" customWidth="1"/>
    <col min="14853" max="14854" width="2.125" customWidth="1"/>
    <col min="14855" max="14874" width="3.625" customWidth="1"/>
    <col min="14875" max="14876" width="2.125" customWidth="1"/>
    <col min="14877" max="14878" width="3.625" customWidth="1"/>
    <col min="14879" max="14879" width="7" customWidth="1"/>
    <col min="14880" max="14880" width="3.625" customWidth="1"/>
    <col min="15105" max="15108" width="3.625" customWidth="1"/>
    <col min="15109" max="15110" width="2.125" customWidth="1"/>
    <col min="15111" max="15130" width="3.625" customWidth="1"/>
    <col min="15131" max="15132" width="2.125" customWidth="1"/>
    <col min="15133" max="15134" width="3.625" customWidth="1"/>
    <col min="15135" max="15135" width="7" customWidth="1"/>
    <col min="15136" max="15136" width="3.625" customWidth="1"/>
    <col min="15361" max="15364" width="3.625" customWidth="1"/>
    <col min="15365" max="15366" width="2.125" customWidth="1"/>
    <col min="15367" max="15386" width="3.625" customWidth="1"/>
    <col min="15387" max="15388" width="2.125" customWidth="1"/>
    <col min="15389" max="15390" width="3.625" customWidth="1"/>
    <col min="15391" max="15391" width="7" customWidth="1"/>
    <col min="15392" max="15392" width="3.625" customWidth="1"/>
    <col min="15617" max="15620" width="3.625" customWidth="1"/>
    <col min="15621" max="15622" width="2.125" customWidth="1"/>
    <col min="15623" max="15642" width="3.625" customWidth="1"/>
    <col min="15643" max="15644" width="2.125" customWidth="1"/>
    <col min="15645" max="15646" width="3.625" customWidth="1"/>
    <col min="15647" max="15647" width="7" customWidth="1"/>
    <col min="15648" max="15648" width="3.625" customWidth="1"/>
    <col min="15873" max="15876" width="3.625" customWidth="1"/>
    <col min="15877" max="15878" width="2.125" customWidth="1"/>
    <col min="15879" max="15898" width="3.625" customWidth="1"/>
    <col min="15899" max="15900" width="2.125" customWidth="1"/>
    <col min="15901" max="15902" width="3.625" customWidth="1"/>
    <col min="15903" max="15903" width="7" customWidth="1"/>
    <col min="15904" max="15904" width="3.625" customWidth="1"/>
    <col min="16129" max="16132" width="3.625" customWidth="1"/>
    <col min="16133" max="16134" width="2.125" customWidth="1"/>
    <col min="16135" max="16154" width="3.625" customWidth="1"/>
    <col min="16155" max="16156" width="2.125" customWidth="1"/>
    <col min="16157" max="16158" width="3.625" customWidth="1"/>
    <col min="16159" max="16159" width="7" customWidth="1"/>
    <col min="16160" max="16160" width="3.625" customWidth="1"/>
  </cols>
  <sheetData>
    <row r="1" spans="1:32">
      <c r="A1" s="387"/>
      <c r="B1" s="387"/>
      <c r="C1" s="387"/>
      <c r="D1" s="387"/>
      <c r="E1" s="387"/>
      <c r="F1" s="387"/>
      <c r="G1" s="387"/>
      <c r="H1" s="388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</row>
    <row r="2" spans="1:32" ht="15.75" customHeight="1">
      <c r="A2" s="389"/>
      <c r="B2" s="390"/>
      <c r="C2" s="391"/>
      <c r="D2" s="392"/>
      <c r="E2" s="393"/>
      <c r="F2" s="387"/>
      <c r="G2" s="387"/>
      <c r="H2" s="394" t="s">
        <v>101</v>
      </c>
      <c r="I2" s="387"/>
      <c r="J2" s="387"/>
      <c r="K2" s="395">
        <f>'調查資料(OUT)'!$AM$8</f>
        <v>0</v>
      </c>
      <c r="L2" s="387"/>
      <c r="M2" s="387"/>
      <c r="N2" s="387"/>
      <c r="O2" s="387"/>
      <c r="P2" s="393"/>
      <c r="Q2" s="387"/>
      <c r="R2" s="387"/>
      <c r="S2" s="396" t="s">
        <v>96</v>
      </c>
      <c r="T2" s="397"/>
      <c r="U2" s="387"/>
      <c r="V2" s="395">
        <f>'調查資料(OUT)'!$AY$8</f>
        <v>0</v>
      </c>
      <c r="W2" s="387"/>
      <c r="X2" s="387"/>
      <c r="Y2" s="387"/>
      <c r="Z2" s="387"/>
      <c r="AA2" s="387"/>
      <c r="AB2" s="398"/>
      <c r="AC2" s="387"/>
      <c r="AD2" s="399"/>
      <c r="AE2" s="387"/>
      <c r="AF2" s="387"/>
    </row>
    <row r="3" spans="1:32" ht="12.95" customHeight="1">
      <c r="A3" s="400"/>
      <c r="B3" s="400"/>
      <c r="C3" s="400"/>
      <c r="D3" s="400"/>
      <c r="E3" s="401"/>
      <c r="F3" s="387" t="s">
        <v>14</v>
      </c>
      <c r="G3" s="387"/>
      <c r="H3" s="402">
        <f>SUM(G5:J5)</f>
        <v>0</v>
      </c>
      <c r="I3" s="387"/>
      <c r="J3" s="387"/>
      <c r="K3" s="390"/>
      <c r="L3" s="387"/>
      <c r="M3" s="387"/>
      <c r="N3" s="387"/>
      <c r="O3" s="387"/>
      <c r="P3" s="393"/>
      <c r="Q3" s="387"/>
      <c r="R3" s="403" t="s">
        <v>14</v>
      </c>
      <c r="S3" s="402">
        <f>SUM(R5:U5)</f>
        <v>0</v>
      </c>
      <c r="T3" s="387"/>
      <c r="U3" s="387"/>
      <c r="V3" s="387"/>
      <c r="W3" s="387"/>
      <c r="X3" s="387"/>
      <c r="Y3" s="387"/>
      <c r="Z3" s="387"/>
      <c r="AA3" s="387"/>
      <c r="AB3" s="398"/>
      <c r="AC3" s="387"/>
      <c r="AD3" s="387"/>
      <c r="AE3" s="387"/>
      <c r="AF3" s="387"/>
    </row>
    <row r="4" spans="1:32" ht="12.95" customHeight="1">
      <c r="A4" s="404"/>
      <c r="B4" s="405"/>
      <c r="C4" s="405"/>
      <c r="D4" s="405"/>
      <c r="E4" s="406"/>
      <c r="F4" s="407"/>
      <c r="G4" s="408" t="str">
        <f>IF($H3=0,"--",G5/$H3)</f>
        <v>--</v>
      </c>
      <c r="H4" s="408" t="str">
        <f t="shared" ref="H4:J4" si="0">IF($H3=0,"--",H5/$H3)</f>
        <v>--</v>
      </c>
      <c r="I4" s="408" t="str">
        <f t="shared" si="0"/>
        <v>--</v>
      </c>
      <c r="J4" s="408" t="str">
        <f t="shared" si="0"/>
        <v>--</v>
      </c>
      <c r="K4" s="395"/>
      <c r="L4" s="387"/>
      <c r="M4" s="402">
        <f>SUM(L5:O5)</f>
        <v>0</v>
      </c>
      <c r="N4" s="387"/>
      <c r="O4" s="387"/>
      <c r="P4" s="393"/>
      <c r="Q4" s="407"/>
      <c r="R4" s="408" t="str">
        <f>IF($S3=0,"--",R5/$S3)</f>
        <v>--</v>
      </c>
      <c r="S4" s="408" t="str">
        <f>IF($S3=0,"--",S5/$S3)</f>
        <v>--</v>
      </c>
      <c r="T4" s="408" t="str">
        <f>IF($S3=0,"--",T5/$S3)</f>
        <v>--</v>
      </c>
      <c r="U4" s="408" t="str">
        <f>IF($S3=0,"--",U5/$S3)</f>
        <v>--</v>
      </c>
      <c r="V4" s="407"/>
      <c r="W4" s="407"/>
      <c r="X4" s="402">
        <f>SUM(W5:Z5)</f>
        <v>0</v>
      </c>
      <c r="Y4" s="407"/>
      <c r="Z4" s="407"/>
      <c r="AA4" s="407"/>
      <c r="AB4" s="409"/>
      <c r="AC4" s="407"/>
      <c r="AD4" s="387"/>
      <c r="AE4" s="407"/>
      <c r="AF4" s="407"/>
    </row>
    <row r="5" spans="1:32" ht="12.95" customHeight="1">
      <c r="A5" s="410"/>
      <c r="B5" s="410"/>
      <c r="C5" s="410"/>
      <c r="D5" s="410"/>
      <c r="E5" s="411"/>
      <c r="F5" s="407"/>
      <c r="G5" s="402">
        <f>PHF及轉向比!EF99</f>
        <v>0</v>
      </c>
      <c r="H5" s="402">
        <f>PHF及轉向比!EA99</f>
        <v>0</v>
      </c>
      <c r="I5" s="402">
        <f>PHF及轉向比!DV99</f>
        <v>0</v>
      </c>
      <c r="J5" s="402">
        <f>PHF及轉向比!EK99</f>
        <v>0</v>
      </c>
      <c r="K5" s="407"/>
      <c r="L5" s="402">
        <f>+D19</f>
        <v>0</v>
      </c>
      <c r="M5" s="402">
        <f>+S30</f>
        <v>0</v>
      </c>
      <c r="N5" s="402">
        <f>+AC14</f>
        <v>0</v>
      </c>
      <c r="O5" s="402">
        <f>+R5</f>
        <v>0</v>
      </c>
      <c r="P5" s="393"/>
      <c r="Q5" s="407"/>
      <c r="R5" s="402">
        <f>PHF及轉向比!FL99</f>
        <v>0</v>
      </c>
      <c r="S5" s="402">
        <f>PHF及轉向比!FG99</f>
        <v>0</v>
      </c>
      <c r="T5" s="402">
        <f>PHF及轉向比!FB99</f>
        <v>0</v>
      </c>
      <c r="U5" s="402">
        <f>PHF及轉向比!EW99</f>
        <v>0</v>
      </c>
      <c r="V5" s="407"/>
      <c r="W5" s="402">
        <f>+J5</f>
        <v>0</v>
      </c>
      <c r="X5" s="402">
        <f>+D20</f>
        <v>0</v>
      </c>
      <c r="Y5" s="402">
        <f>+T30</f>
        <v>0</v>
      </c>
      <c r="Z5" s="402">
        <f>+AC13</f>
        <v>0</v>
      </c>
      <c r="AA5" s="407"/>
      <c r="AB5" s="409"/>
      <c r="AC5" s="407"/>
      <c r="AD5" s="407"/>
      <c r="AE5" s="407"/>
      <c r="AF5" s="407"/>
    </row>
    <row r="6" spans="1:32" ht="12.95" customHeight="1" thickBot="1">
      <c r="A6" s="412"/>
      <c r="B6" s="412"/>
      <c r="C6" s="412"/>
      <c r="D6" s="412"/>
      <c r="E6" s="413"/>
      <c r="F6" s="407"/>
      <c r="G6" s="407"/>
      <c r="H6" s="414"/>
      <c r="I6" s="414"/>
      <c r="J6" s="414"/>
      <c r="K6" s="407"/>
      <c r="L6" s="414"/>
      <c r="M6" s="414"/>
      <c r="N6" s="414"/>
      <c r="O6" s="414"/>
      <c r="P6" s="406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15"/>
      <c r="AC6" s="412"/>
      <c r="AD6" s="412"/>
      <c r="AE6" s="412"/>
      <c r="AF6" s="412"/>
    </row>
    <row r="7" spans="1:32" ht="12.95" customHeight="1">
      <c r="A7" s="407"/>
      <c r="B7" s="407"/>
      <c r="C7" s="407"/>
      <c r="D7" s="407"/>
      <c r="E7" s="407"/>
      <c r="F7" s="407"/>
      <c r="G7" s="407"/>
      <c r="H7" s="414"/>
      <c r="I7" s="414"/>
      <c r="J7" s="414"/>
      <c r="K7" s="407"/>
      <c r="L7" s="414"/>
      <c r="M7" s="414"/>
      <c r="N7" s="414"/>
      <c r="O7" s="414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</row>
    <row r="8" spans="1:32" ht="12.95" customHeight="1">
      <c r="A8" s="407"/>
      <c r="B8" s="407"/>
      <c r="C8" s="416"/>
      <c r="D8" s="387"/>
      <c r="E8" s="38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387"/>
      <c r="AD8" s="387"/>
      <c r="AE8" s="387"/>
      <c r="AF8" s="387"/>
    </row>
    <row r="9" spans="1:32" ht="12.95" customHeight="1">
      <c r="A9" s="407"/>
      <c r="B9" s="407"/>
      <c r="C9" s="387"/>
      <c r="D9" s="387"/>
      <c r="E9" s="38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387"/>
      <c r="AD9" s="387"/>
      <c r="AE9" s="387"/>
      <c r="AF9" s="387"/>
    </row>
    <row r="10" spans="1:32" ht="12.95" customHeight="1">
      <c r="A10" s="407"/>
      <c r="B10" s="407"/>
      <c r="C10" s="387"/>
      <c r="D10" s="387"/>
      <c r="E10" s="38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387"/>
      <c r="AD10" s="387"/>
      <c r="AE10" s="387"/>
      <c r="AF10" s="387"/>
    </row>
    <row r="11" spans="1:32" ht="12.95" customHeight="1">
      <c r="A11" s="407"/>
      <c r="B11" s="407"/>
      <c r="C11" s="387"/>
      <c r="D11" s="387"/>
      <c r="E11" s="38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387"/>
      <c r="AD11" s="387"/>
      <c r="AE11" s="387"/>
      <c r="AF11" s="387"/>
    </row>
    <row r="12" spans="1:32" ht="12.95" customHeight="1">
      <c r="A12" s="387"/>
      <c r="B12" s="417"/>
      <c r="C12" s="387"/>
      <c r="D12" s="387"/>
      <c r="E12" s="38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387"/>
      <c r="AD12" s="387"/>
      <c r="AE12" s="387"/>
      <c r="AF12" s="387"/>
    </row>
    <row r="13" spans="1:32" ht="12.95" customHeight="1">
      <c r="A13" s="419"/>
      <c r="B13" s="419"/>
      <c r="C13" s="419"/>
      <c r="D13" s="402">
        <f>+G5</f>
        <v>0</v>
      </c>
      <c r="E13" s="38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2">
        <f>PHF及轉向比!BH99</f>
        <v>0</v>
      </c>
      <c r="AD13" s="408" t="str">
        <f>IF(AE$14=0,"--",AC13/AE$14)</f>
        <v>--</v>
      </c>
      <c r="AE13" s="403"/>
      <c r="AF13" s="407"/>
    </row>
    <row r="14" spans="1:32" ht="12.95" customHeight="1">
      <c r="A14" s="419"/>
      <c r="B14" s="419"/>
      <c r="C14" s="419"/>
      <c r="D14" s="402">
        <f>+S5</f>
        <v>0</v>
      </c>
      <c r="E14" s="414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  <c r="AB14" s="407"/>
      <c r="AC14" s="402">
        <f>PHF及轉向比!BC99</f>
        <v>0</v>
      </c>
      <c r="AD14" s="408" t="str">
        <f>IF(AE$14=0,"--",AC14/AE$14)</f>
        <v>--</v>
      </c>
      <c r="AE14" s="402">
        <f>SUM(AC13:AC16)</f>
        <v>0</v>
      </c>
      <c r="AF14" s="394" t="s">
        <v>15</v>
      </c>
    </row>
    <row r="15" spans="1:32" ht="12.95" customHeight="1">
      <c r="A15" s="419"/>
      <c r="B15" s="419"/>
      <c r="C15" s="402">
        <f>SUM(D13:D16)</f>
        <v>0</v>
      </c>
      <c r="D15" s="402">
        <f>+AC15</f>
        <v>0</v>
      </c>
      <c r="E15" s="414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2">
        <f>PHF及轉向比!AX99</f>
        <v>0</v>
      </c>
      <c r="AD15" s="408" t="str">
        <f>IF(AE$14=0,"--",AC15/AE$14)</f>
        <v>--</v>
      </c>
      <c r="AE15" s="407"/>
      <c r="AF15" s="407"/>
    </row>
    <row r="16" spans="1:32" ht="12.95" customHeight="1">
      <c r="A16" s="419"/>
      <c r="B16" s="419"/>
      <c r="C16" s="419"/>
      <c r="D16" s="402">
        <f>+R30</f>
        <v>0</v>
      </c>
      <c r="E16" s="414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2">
        <f>PHF及轉向比!AS99</f>
        <v>0</v>
      </c>
      <c r="AD16" s="408" t="str">
        <f>IF(AE$14=0,"--",AC16/AE$14)</f>
        <v>--</v>
      </c>
      <c r="AE16" s="390"/>
      <c r="AF16" s="407"/>
    </row>
    <row r="17" spans="1:32" ht="12.95" customHeight="1">
      <c r="A17" s="419"/>
      <c r="B17" s="419"/>
      <c r="C17" s="419"/>
      <c r="D17" s="419"/>
      <c r="E17" s="414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387"/>
      <c r="AD17" s="387"/>
      <c r="AE17" s="387"/>
      <c r="AF17" s="419">
        <f>'調查資料(OUT)'!$C$8</f>
        <v>0</v>
      </c>
    </row>
    <row r="18" spans="1:32" ht="12.95" customHeight="1">
      <c r="A18" s="420">
        <f>'調查資料(OUT)'!$AA$8</f>
        <v>0</v>
      </c>
      <c r="B18" s="387"/>
      <c r="C18" s="387"/>
      <c r="D18" s="414"/>
      <c r="E18" s="38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387"/>
      <c r="AD18" s="387"/>
      <c r="AE18" s="387"/>
      <c r="AF18" s="387"/>
    </row>
    <row r="19" spans="1:32" ht="12.95" customHeight="1">
      <c r="A19" s="421"/>
      <c r="B19" s="387"/>
      <c r="C19" s="408" t="str">
        <f>IF(B$21=0,"--",D19/B$21)</f>
        <v>--</v>
      </c>
      <c r="D19" s="402">
        <f>PHF及轉向比!DE99</f>
        <v>0</v>
      </c>
      <c r="E19" s="414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2">
        <f>+U5</f>
        <v>0</v>
      </c>
      <c r="AD19" s="416"/>
      <c r="AE19" s="407"/>
      <c r="AF19" s="407"/>
    </row>
    <row r="20" spans="1:32" ht="12.95" customHeight="1">
      <c r="A20" s="407"/>
      <c r="B20" s="416"/>
      <c r="C20" s="408" t="str">
        <f>IF(B$21=0,"--",D20/B$21)</f>
        <v>--</v>
      </c>
      <c r="D20" s="402">
        <f>PHF及轉向比!DJ99</f>
        <v>0</v>
      </c>
      <c r="E20" s="414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2">
        <f>+I5</f>
        <v>0</v>
      </c>
      <c r="AD20" s="402">
        <f>SUM(AC19:AC22)</f>
        <v>0</v>
      </c>
      <c r="AE20" s="407"/>
      <c r="AF20" s="407"/>
    </row>
    <row r="21" spans="1:32" ht="12.95" customHeight="1">
      <c r="A21" s="394" t="s">
        <v>17</v>
      </c>
      <c r="B21" s="402">
        <f>SUM(D19:D22)</f>
        <v>0</v>
      </c>
      <c r="C21" s="408" t="str">
        <f>IF(B$21=0,"--",D21/B$21)</f>
        <v>--</v>
      </c>
      <c r="D21" s="402">
        <f>PHF及轉向比!CU99</f>
        <v>0</v>
      </c>
      <c r="E21" s="414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  <c r="AB21" s="407"/>
      <c r="AC21" s="402">
        <f>+D21</f>
        <v>0</v>
      </c>
      <c r="AD21" s="407"/>
      <c r="AE21" s="407"/>
      <c r="AF21" s="407"/>
    </row>
    <row r="22" spans="1:32" ht="12.95" customHeight="1">
      <c r="A22" s="407"/>
      <c r="B22" s="403"/>
      <c r="C22" s="408" t="str">
        <f>IF(B$21=0,"--",D22/B$21)</f>
        <v>--</v>
      </c>
      <c r="D22" s="402">
        <f>PHF及轉向比!CZ99</f>
        <v>0</v>
      </c>
      <c r="E22" s="414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2">
        <f>+U30</f>
        <v>0</v>
      </c>
      <c r="AD22" s="387"/>
      <c r="AE22" s="387"/>
      <c r="AF22" s="387"/>
    </row>
    <row r="23" spans="1:32" ht="12.95" customHeight="1">
      <c r="A23" s="387"/>
      <c r="B23" s="387"/>
      <c r="C23" s="387"/>
      <c r="D23" s="387"/>
      <c r="E23" s="414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  <c r="AA23" s="407"/>
      <c r="AB23" s="407"/>
      <c r="AC23" s="387"/>
      <c r="AD23" s="387"/>
      <c r="AE23" s="387"/>
      <c r="AF23" s="387"/>
    </row>
    <row r="24" spans="1:32" ht="12.95" customHeight="1">
      <c r="A24" s="387"/>
      <c r="B24" s="387"/>
      <c r="C24" s="387"/>
      <c r="D24" s="387"/>
      <c r="E24" s="419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387"/>
      <c r="AD24" s="387"/>
      <c r="AE24" s="387"/>
      <c r="AF24" s="387"/>
    </row>
    <row r="25" spans="1:32" ht="12.95" customHeight="1">
      <c r="A25" s="387"/>
      <c r="B25" s="387"/>
      <c r="C25" s="387"/>
      <c r="D25" s="387"/>
      <c r="E25" s="414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  <c r="AA25" s="407"/>
      <c r="AB25" s="407"/>
      <c r="AC25" s="387"/>
      <c r="AD25" s="387"/>
      <c r="AE25" s="387"/>
      <c r="AF25" s="387"/>
    </row>
    <row r="26" spans="1:32" ht="12.95" customHeight="1">
      <c r="A26" s="387"/>
      <c r="B26" s="387"/>
      <c r="C26" s="387"/>
      <c r="D26" s="387"/>
      <c r="E26" s="414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387"/>
      <c r="AD26" s="387"/>
      <c r="AE26" s="387"/>
      <c r="AF26" s="387"/>
    </row>
    <row r="27" spans="1:32" ht="12.95" customHeight="1">
      <c r="A27" s="387"/>
      <c r="B27" s="387"/>
      <c r="C27" s="387"/>
      <c r="D27" s="387"/>
      <c r="E27" s="414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7"/>
      <c r="AC27" s="387"/>
      <c r="AD27" s="387"/>
      <c r="AE27" s="387"/>
      <c r="AF27" s="387"/>
    </row>
    <row r="28" spans="1:32" ht="12.95" customHeight="1" thickBot="1">
      <c r="A28" s="387"/>
      <c r="B28" s="387"/>
      <c r="C28" s="422"/>
      <c r="D28" s="414"/>
      <c r="E28" s="414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  <c r="AA28" s="407"/>
      <c r="AB28" s="407"/>
      <c r="AC28" s="407"/>
      <c r="AD28" s="407"/>
      <c r="AE28" s="407"/>
      <c r="AF28" s="407"/>
    </row>
    <row r="29" spans="1:32" ht="12.95" customHeight="1">
      <c r="A29" s="423"/>
      <c r="B29" s="423"/>
      <c r="C29" s="423"/>
      <c r="D29" s="423"/>
      <c r="E29" s="424"/>
      <c r="F29" s="407"/>
      <c r="G29" s="407"/>
      <c r="H29" s="387"/>
      <c r="I29" s="387"/>
      <c r="J29" s="387"/>
      <c r="K29" s="387"/>
      <c r="L29" s="387"/>
      <c r="M29" s="387"/>
      <c r="N29" s="387"/>
      <c r="O29" s="387"/>
      <c r="P29" s="387"/>
      <c r="Q29" s="387"/>
      <c r="R29" s="407"/>
      <c r="S29" s="407"/>
      <c r="T29" s="407"/>
      <c r="U29" s="407"/>
      <c r="V29" s="407"/>
      <c r="W29" s="407"/>
      <c r="X29" s="407"/>
      <c r="Y29" s="407"/>
      <c r="Z29" s="407"/>
      <c r="AA29" s="407"/>
      <c r="AB29" s="425"/>
      <c r="AC29" s="426" t="s">
        <v>77</v>
      </c>
      <c r="AD29" s="427"/>
      <c r="AE29" s="427">
        <f>路口基本資料!B4</f>
        <v>0</v>
      </c>
      <c r="AF29" s="427"/>
    </row>
    <row r="30" spans="1:32" ht="12.95" customHeight="1">
      <c r="A30" s="407"/>
      <c r="B30" s="407"/>
      <c r="C30" s="407"/>
      <c r="D30" s="407"/>
      <c r="E30" s="406"/>
      <c r="F30" s="407"/>
      <c r="G30" s="387"/>
      <c r="H30" s="387"/>
      <c r="I30" s="387"/>
      <c r="J30" s="387"/>
      <c r="K30" s="387"/>
      <c r="L30" s="402">
        <f>+D22</f>
        <v>0</v>
      </c>
      <c r="M30" s="402">
        <f>+H5</f>
        <v>0</v>
      </c>
      <c r="N30" s="402">
        <f>+T5</f>
        <v>0</v>
      </c>
      <c r="O30" s="402">
        <f>+AC16</f>
        <v>0</v>
      </c>
      <c r="P30" s="407"/>
      <c r="Q30" s="407"/>
      <c r="R30" s="402">
        <f>PHF及轉向比!BY99</f>
        <v>0</v>
      </c>
      <c r="S30" s="402">
        <f>PHF及轉向比!CD99</f>
        <v>0</v>
      </c>
      <c r="T30" s="402">
        <f>PHF及轉向比!CI99</f>
        <v>0</v>
      </c>
      <c r="U30" s="402">
        <f>PHF及轉向比!BT99</f>
        <v>0</v>
      </c>
      <c r="V30" s="407"/>
      <c r="W30" s="407"/>
      <c r="X30" s="407"/>
      <c r="Y30" s="407"/>
      <c r="Z30" s="407"/>
      <c r="AA30" s="414"/>
      <c r="AB30" s="409"/>
      <c r="AC30" s="428" t="s">
        <v>103</v>
      </c>
      <c r="AD30" s="429" t="s">
        <v>108</v>
      </c>
      <c r="AE30" s="387"/>
      <c r="AF30" s="430"/>
    </row>
    <row r="31" spans="1:32" ht="12.95" customHeight="1">
      <c r="A31" s="407"/>
      <c r="B31" s="407"/>
      <c r="C31" s="407"/>
      <c r="D31" s="407"/>
      <c r="E31" s="406"/>
      <c r="F31" s="407"/>
      <c r="G31" s="387"/>
      <c r="H31" s="387"/>
      <c r="I31" s="387"/>
      <c r="J31" s="387"/>
      <c r="K31" s="387"/>
      <c r="L31" s="407"/>
      <c r="M31" s="387"/>
      <c r="N31" s="402">
        <f>SUM(L30:O30)</f>
        <v>0</v>
      </c>
      <c r="O31" s="407"/>
      <c r="P31" s="390"/>
      <c r="Q31" s="407"/>
      <c r="R31" s="408" t="str">
        <f>IF($T32=0,"--",R30/$T32)</f>
        <v>--</v>
      </c>
      <c r="S31" s="408" t="str">
        <f>IF($T32=0,"--",S30/$T32)</f>
        <v>--</v>
      </c>
      <c r="T31" s="408" t="str">
        <f>IF($T32=0,"--",T30/$T32)</f>
        <v>--</v>
      </c>
      <c r="U31" s="408" t="str">
        <f>IF($T32=0,"--",U30/$T32)</f>
        <v>--</v>
      </c>
      <c r="V31" s="407"/>
      <c r="W31" s="407"/>
      <c r="X31" s="407"/>
      <c r="Y31" s="407"/>
      <c r="Z31" s="407"/>
      <c r="AA31" s="442"/>
      <c r="AB31" s="409"/>
      <c r="AC31" s="428" t="s">
        <v>102</v>
      </c>
      <c r="AD31" s="430"/>
      <c r="AE31" s="431" t="str">
        <f>路口基本資料!$B$8</f>
        <v>YYYY/MM/DD</v>
      </c>
      <c r="AF31" s="430"/>
    </row>
    <row r="32" spans="1:32" ht="12.95" customHeight="1">
      <c r="A32" s="407"/>
      <c r="B32" s="407"/>
      <c r="C32" s="407"/>
      <c r="D32" s="407"/>
      <c r="E32" s="406"/>
      <c r="F32" s="407"/>
      <c r="G32" s="387"/>
      <c r="H32" s="387"/>
      <c r="I32" s="387"/>
      <c r="J32" s="387"/>
      <c r="K32" s="387"/>
      <c r="L32" s="407"/>
      <c r="M32" s="416"/>
      <c r="N32" s="407"/>
      <c r="O32" s="395"/>
      <c r="P32" s="390"/>
      <c r="Q32" s="407"/>
      <c r="R32" s="407"/>
      <c r="S32" s="387"/>
      <c r="T32" s="402">
        <f>SUM(R30:U30)</f>
        <v>0</v>
      </c>
      <c r="U32" s="407"/>
      <c r="V32" s="407"/>
      <c r="W32" s="407"/>
      <c r="X32" s="407"/>
      <c r="Y32" s="407"/>
      <c r="Z32" s="407"/>
      <c r="AA32" s="407"/>
      <c r="AB32" s="409"/>
      <c r="AC32" s="428" t="s">
        <v>105</v>
      </c>
      <c r="AD32" s="432">
        <f>PHF及轉向比!$AN$100</f>
        <v>1900</v>
      </c>
      <c r="AE32" s="432" t="s">
        <v>106</v>
      </c>
      <c r="AF32" s="432">
        <f>PHF及轉向比!$AO$100</f>
        <v>2000</v>
      </c>
    </row>
    <row r="33" spans="1:32" ht="12.95" customHeight="1">
      <c r="A33" s="407"/>
      <c r="B33" s="407"/>
      <c r="C33" s="407"/>
      <c r="D33" s="407"/>
      <c r="E33" s="406"/>
      <c r="F33" s="407"/>
      <c r="G33" s="387"/>
      <c r="H33" s="387"/>
      <c r="I33" s="387"/>
      <c r="J33" s="387"/>
      <c r="K33" s="387"/>
      <c r="L33" s="407"/>
      <c r="M33" s="407"/>
      <c r="N33" s="407"/>
      <c r="O33" s="407"/>
      <c r="P33" s="395">
        <f>'調查資料(OUT)'!$O$8</f>
        <v>0</v>
      </c>
      <c r="Q33" s="387"/>
      <c r="R33" s="416"/>
      <c r="S33" s="387"/>
      <c r="T33" s="433" t="s">
        <v>16</v>
      </c>
      <c r="U33" s="407"/>
      <c r="V33" s="407"/>
      <c r="W33" s="407"/>
      <c r="X33" s="407"/>
      <c r="Y33" s="407"/>
      <c r="Z33" s="407"/>
      <c r="AA33" s="407"/>
      <c r="AB33" s="409"/>
      <c r="AC33" s="428" t="s">
        <v>107</v>
      </c>
      <c r="AD33" s="432"/>
      <c r="AE33" s="432"/>
      <c r="AF33" s="432"/>
    </row>
    <row r="34" spans="1:32" ht="12.95" customHeight="1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395"/>
      <c r="L34" s="416"/>
      <c r="M34" s="433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  <c r="AA34" s="407"/>
      <c r="AB34" s="407"/>
      <c r="AC34" s="434"/>
      <c r="AD34" s="387"/>
      <c r="AE34" s="387"/>
      <c r="AF34" s="387"/>
    </row>
    <row r="35" spans="1:32" ht="21">
      <c r="A35" s="457" t="str">
        <f>SUBSTITUTE("x_機車轉向交通量(假日離峰)","x",路口基本資料!B5)</f>
        <v>_機車轉向交通量(假日離峰)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</row>
    <row r="36" spans="1:32" ht="21">
      <c r="A36" s="435"/>
      <c r="B36" s="436"/>
      <c r="C36" s="437"/>
      <c r="D36" s="438"/>
      <c r="E36" s="438"/>
      <c r="F36" s="439"/>
      <c r="G36" s="440"/>
      <c r="H36" s="437"/>
      <c r="I36" s="440"/>
      <c r="J36" s="440"/>
      <c r="K36" s="438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37"/>
      <c r="AF36" s="437"/>
    </row>
    <row r="37" spans="1:32" ht="12.95" customHeight="1">
      <c r="A37" s="389"/>
      <c r="B37" s="390"/>
      <c r="C37" s="391"/>
      <c r="D37" s="392"/>
      <c r="E37" s="393"/>
      <c r="F37" s="387"/>
      <c r="G37" s="387"/>
      <c r="H37" s="394"/>
      <c r="I37" s="387"/>
      <c r="J37" s="387"/>
      <c r="K37" s="395"/>
      <c r="L37" s="387"/>
      <c r="M37" s="387"/>
      <c r="N37" s="387"/>
      <c r="O37" s="387"/>
      <c r="P37" s="393"/>
      <c r="Q37" s="387"/>
      <c r="R37" s="387"/>
      <c r="S37" s="396"/>
      <c r="T37" s="397"/>
      <c r="U37" s="387"/>
      <c r="V37" s="395"/>
      <c r="W37" s="387"/>
      <c r="X37" s="387"/>
      <c r="Y37" s="387"/>
      <c r="Z37" s="387"/>
      <c r="AA37" s="387"/>
      <c r="AB37" s="398"/>
      <c r="AC37" s="387"/>
      <c r="AD37" s="399"/>
      <c r="AE37" s="387"/>
      <c r="AF37" s="387"/>
    </row>
    <row r="38" spans="1:32" ht="12.95" customHeight="1">
      <c r="A38" s="400"/>
      <c r="B38" s="400"/>
      <c r="C38" s="400"/>
      <c r="D38" s="400"/>
      <c r="E38" s="401"/>
      <c r="F38" s="387"/>
      <c r="G38" s="387"/>
      <c r="H38" s="402"/>
      <c r="I38" s="387"/>
      <c r="J38" s="387"/>
      <c r="K38" s="390"/>
      <c r="L38" s="387"/>
      <c r="M38" s="387"/>
      <c r="N38" s="387"/>
      <c r="O38" s="387"/>
      <c r="P38" s="393"/>
      <c r="Q38" s="387"/>
      <c r="R38" s="403"/>
      <c r="S38" s="402"/>
      <c r="T38" s="387"/>
      <c r="U38" s="387"/>
      <c r="V38" s="387"/>
      <c r="W38" s="387"/>
      <c r="X38" s="387"/>
      <c r="Y38" s="387"/>
      <c r="Z38" s="387"/>
      <c r="AA38" s="387"/>
      <c r="AB38" s="398"/>
      <c r="AC38" s="387"/>
      <c r="AD38" s="387"/>
      <c r="AE38" s="387"/>
      <c r="AF38" s="387"/>
    </row>
    <row r="39" spans="1:32" ht="12.95" customHeight="1">
      <c r="A39" s="404"/>
      <c r="B39" s="405"/>
      <c r="C39" s="405"/>
      <c r="D39" s="405"/>
      <c r="E39" s="406"/>
      <c r="F39" s="407"/>
      <c r="G39" s="408"/>
      <c r="H39" s="408"/>
      <c r="I39" s="408"/>
      <c r="J39" s="408"/>
      <c r="K39" s="395"/>
      <c r="L39" s="387"/>
      <c r="M39" s="402"/>
      <c r="N39" s="387"/>
      <c r="O39" s="387"/>
      <c r="P39" s="393"/>
      <c r="Q39" s="407"/>
      <c r="R39" s="408"/>
      <c r="S39" s="408"/>
      <c r="T39" s="408"/>
      <c r="U39" s="408"/>
      <c r="V39" s="407"/>
      <c r="W39" s="407"/>
      <c r="X39" s="402"/>
      <c r="Y39" s="407"/>
      <c r="Z39" s="407"/>
      <c r="AA39" s="407"/>
      <c r="AB39" s="409"/>
      <c r="AC39" s="407"/>
      <c r="AD39" s="387"/>
      <c r="AE39" s="407"/>
      <c r="AF39" s="407"/>
    </row>
    <row r="40" spans="1:32" ht="12.95" customHeight="1">
      <c r="A40" s="410"/>
      <c r="B40" s="410"/>
      <c r="C40" s="410"/>
      <c r="D40" s="410"/>
      <c r="E40" s="411"/>
      <c r="F40" s="407"/>
      <c r="G40" s="402"/>
      <c r="H40" s="402"/>
      <c r="I40" s="402"/>
      <c r="J40" s="402"/>
      <c r="K40" s="407"/>
      <c r="L40" s="402"/>
      <c r="M40" s="402"/>
      <c r="N40" s="402"/>
      <c r="O40" s="402"/>
      <c r="P40" s="393"/>
      <c r="Q40" s="407"/>
      <c r="R40" s="402"/>
      <c r="S40" s="402"/>
      <c r="T40" s="402"/>
      <c r="U40" s="402"/>
      <c r="V40" s="407"/>
      <c r="W40" s="402"/>
      <c r="X40" s="402"/>
      <c r="Y40" s="402"/>
      <c r="Z40" s="402"/>
      <c r="AA40" s="407"/>
      <c r="AB40" s="409"/>
      <c r="AC40" s="407"/>
      <c r="AD40" s="407"/>
      <c r="AE40" s="407"/>
      <c r="AF40" s="407"/>
    </row>
    <row r="41" spans="1:32" ht="12.95" customHeight="1" thickBot="1">
      <c r="A41" s="412"/>
      <c r="B41" s="412"/>
      <c r="C41" s="412"/>
      <c r="D41" s="412"/>
      <c r="E41" s="413"/>
      <c r="F41" s="407"/>
      <c r="G41" s="407"/>
      <c r="H41" s="414"/>
      <c r="I41" s="414"/>
      <c r="J41" s="414"/>
      <c r="K41" s="407"/>
      <c r="L41" s="414"/>
      <c r="M41" s="414"/>
      <c r="N41" s="414"/>
      <c r="O41" s="414"/>
      <c r="P41" s="406"/>
      <c r="Q41" s="407"/>
      <c r="R41" s="407"/>
      <c r="S41" s="407"/>
      <c r="T41" s="407"/>
      <c r="U41" s="407"/>
      <c r="V41" s="407"/>
      <c r="W41" s="407"/>
      <c r="X41" s="407"/>
      <c r="Y41" s="407"/>
      <c r="Z41" s="407"/>
      <c r="AA41" s="407"/>
      <c r="AB41" s="415"/>
      <c r="AC41" s="412"/>
      <c r="AD41" s="412"/>
      <c r="AE41" s="412"/>
      <c r="AF41" s="412"/>
    </row>
    <row r="42" spans="1:32" ht="12.95" customHeight="1">
      <c r="A42" s="407"/>
      <c r="B42" s="407"/>
      <c r="C42" s="407"/>
      <c r="D42" s="407"/>
      <c r="E42" s="407"/>
      <c r="F42" s="407"/>
      <c r="G42" s="407"/>
      <c r="H42" s="414"/>
      <c r="I42" s="414"/>
      <c r="J42" s="414"/>
      <c r="K42" s="407"/>
      <c r="L42" s="414"/>
      <c r="M42" s="414"/>
      <c r="N42" s="414"/>
      <c r="O42" s="414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 ht="12.95" customHeight="1">
      <c r="A43" s="407"/>
      <c r="B43" s="407"/>
      <c r="C43" s="416"/>
      <c r="D43" s="387"/>
      <c r="E43" s="38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387"/>
      <c r="AD43" s="387"/>
      <c r="AE43" s="387"/>
      <c r="AF43" s="387"/>
    </row>
    <row r="44" spans="1:32" ht="12.95" customHeight="1">
      <c r="A44" s="407"/>
      <c r="B44" s="407"/>
      <c r="C44" s="387"/>
      <c r="D44" s="387"/>
      <c r="E44" s="38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387"/>
      <c r="AD44" s="387"/>
      <c r="AE44" s="387"/>
      <c r="AF44" s="387"/>
    </row>
    <row r="45" spans="1:32" ht="12.95" customHeight="1">
      <c r="A45" s="407"/>
      <c r="B45" s="407"/>
      <c r="C45" s="387"/>
      <c r="D45" s="387"/>
      <c r="E45" s="38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  <c r="AA45" s="407"/>
      <c r="AB45" s="407"/>
      <c r="AC45" s="387"/>
      <c r="AD45" s="387"/>
      <c r="AE45" s="387"/>
      <c r="AF45" s="387"/>
    </row>
    <row r="46" spans="1:32" ht="12.95" customHeight="1">
      <c r="A46" s="407"/>
      <c r="B46" s="407"/>
      <c r="C46" s="387"/>
      <c r="D46" s="387"/>
      <c r="E46" s="38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387"/>
      <c r="AD46" s="387"/>
      <c r="AE46" s="387"/>
      <c r="AF46" s="387"/>
    </row>
    <row r="47" spans="1:32" ht="12.95" customHeight="1">
      <c r="A47" s="387"/>
      <c r="B47" s="417"/>
      <c r="C47" s="387"/>
      <c r="D47" s="387"/>
      <c r="E47" s="38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87"/>
      <c r="AD47" s="387"/>
      <c r="AE47" s="387"/>
      <c r="AF47" s="387"/>
    </row>
    <row r="48" spans="1:32" ht="12.95" customHeight="1">
      <c r="A48" s="419"/>
      <c r="B48" s="419"/>
      <c r="C48" s="419"/>
      <c r="D48" s="402"/>
      <c r="E48" s="38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2"/>
      <c r="AD48" s="408"/>
      <c r="AE48" s="403"/>
      <c r="AF48" s="407"/>
    </row>
    <row r="49" spans="1:32" ht="12.95" customHeight="1">
      <c r="A49" s="419"/>
      <c r="B49" s="419"/>
      <c r="C49" s="419"/>
      <c r="D49" s="402"/>
      <c r="E49" s="414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2"/>
      <c r="AD49" s="408"/>
      <c r="AE49" s="402"/>
      <c r="AF49" s="394"/>
    </row>
    <row r="50" spans="1:32" ht="12.95" customHeight="1">
      <c r="A50" s="419"/>
      <c r="B50" s="419"/>
      <c r="C50" s="402"/>
      <c r="D50" s="402"/>
      <c r="E50" s="414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  <c r="AA50" s="407"/>
      <c r="AB50" s="407"/>
      <c r="AC50" s="402"/>
      <c r="AD50" s="408"/>
      <c r="AE50" s="407"/>
      <c r="AF50" s="407"/>
    </row>
    <row r="51" spans="1:32" ht="12.95" customHeight="1">
      <c r="A51" s="419"/>
      <c r="B51" s="419"/>
      <c r="C51" s="419"/>
      <c r="D51" s="402"/>
      <c r="E51" s="414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2"/>
      <c r="AD51" s="408"/>
      <c r="AE51" s="390"/>
      <c r="AF51" s="407"/>
    </row>
    <row r="52" spans="1:32" ht="12.95" customHeight="1">
      <c r="A52" s="419"/>
      <c r="B52" s="419"/>
      <c r="C52" s="419"/>
      <c r="D52" s="419"/>
      <c r="E52" s="414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  <c r="AA52" s="407"/>
      <c r="AB52" s="407"/>
      <c r="AC52" s="387"/>
      <c r="AD52" s="387"/>
      <c r="AE52" s="387"/>
      <c r="AF52" s="419"/>
    </row>
    <row r="53" spans="1:32" ht="12.95" customHeight="1">
      <c r="A53" s="420"/>
      <c r="B53" s="387"/>
      <c r="C53" s="387"/>
      <c r="D53" s="414"/>
      <c r="E53" s="38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  <c r="AA53" s="407"/>
      <c r="AB53" s="407"/>
      <c r="AC53" s="387"/>
      <c r="AD53" s="387"/>
      <c r="AE53" s="387"/>
      <c r="AF53" s="387"/>
    </row>
    <row r="54" spans="1:32" ht="12.95" customHeight="1">
      <c r="A54" s="421"/>
      <c r="B54" s="387"/>
      <c r="C54" s="408"/>
      <c r="D54" s="402"/>
      <c r="E54" s="414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  <c r="AA54" s="407"/>
      <c r="AB54" s="407"/>
      <c r="AC54" s="402"/>
      <c r="AD54" s="416"/>
      <c r="AE54" s="407"/>
      <c r="AF54" s="407"/>
    </row>
    <row r="55" spans="1:32" ht="12.95" customHeight="1">
      <c r="A55" s="407"/>
      <c r="B55" s="416"/>
      <c r="C55" s="408"/>
      <c r="D55" s="402"/>
      <c r="E55" s="414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  <c r="AA55" s="407"/>
      <c r="AB55" s="407"/>
      <c r="AC55" s="402"/>
      <c r="AD55" s="402"/>
      <c r="AE55" s="407"/>
      <c r="AF55" s="407"/>
    </row>
    <row r="56" spans="1:32" ht="12.95" customHeight="1">
      <c r="A56" s="394"/>
      <c r="B56" s="402"/>
      <c r="C56" s="408"/>
      <c r="D56" s="402"/>
      <c r="E56" s="414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7"/>
      <c r="AB56" s="407"/>
      <c r="AC56" s="402"/>
      <c r="AD56" s="407"/>
      <c r="AE56" s="407"/>
      <c r="AF56" s="407"/>
    </row>
    <row r="57" spans="1:32" ht="12.95" customHeight="1">
      <c r="A57" s="407"/>
      <c r="B57" s="403"/>
      <c r="C57" s="408"/>
      <c r="D57" s="402"/>
      <c r="E57" s="414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  <c r="AA57" s="407"/>
      <c r="AB57" s="407"/>
      <c r="AC57" s="402"/>
      <c r="AD57" s="387"/>
      <c r="AE57" s="387"/>
      <c r="AF57" s="387"/>
    </row>
    <row r="58" spans="1:32" ht="12.95" customHeight="1">
      <c r="A58" s="387"/>
      <c r="B58" s="387"/>
      <c r="C58" s="387"/>
      <c r="D58" s="387"/>
      <c r="E58" s="414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  <c r="AA58" s="407"/>
      <c r="AB58" s="407"/>
      <c r="AC58" s="387"/>
      <c r="AD58" s="387"/>
      <c r="AE58" s="387"/>
      <c r="AF58" s="387"/>
    </row>
    <row r="59" spans="1:32" ht="12.95" customHeight="1">
      <c r="A59" s="387"/>
      <c r="B59" s="387"/>
      <c r="C59" s="387"/>
      <c r="D59" s="387"/>
      <c r="E59" s="419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  <c r="AA59" s="407"/>
      <c r="AB59" s="407"/>
      <c r="AC59" s="387"/>
      <c r="AD59" s="387"/>
      <c r="AE59" s="387"/>
      <c r="AF59" s="387"/>
    </row>
    <row r="60" spans="1:32" ht="12.95" customHeight="1">
      <c r="A60" s="387"/>
      <c r="B60" s="387"/>
      <c r="C60" s="387"/>
      <c r="D60" s="387"/>
      <c r="E60" s="414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  <c r="AA60" s="407"/>
      <c r="AB60" s="407"/>
      <c r="AC60" s="387"/>
      <c r="AD60" s="387"/>
      <c r="AE60" s="387"/>
      <c r="AF60" s="387"/>
    </row>
    <row r="61" spans="1:32" ht="12.95" customHeight="1">
      <c r="A61" s="387"/>
      <c r="B61" s="387"/>
      <c r="C61" s="387"/>
      <c r="D61" s="387"/>
      <c r="E61" s="414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387"/>
      <c r="AD61" s="387"/>
      <c r="AE61" s="387"/>
      <c r="AF61" s="387"/>
    </row>
    <row r="62" spans="1:32" ht="12.95" customHeight="1">
      <c r="A62" s="387"/>
      <c r="B62" s="387"/>
      <c r="C62" s="387"/>
      <c r="D62" s="387"/>
      <c r="E62" s="414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387"/>
      <c r="AD62" s="387"/>
      <c r="AE62" s="387"/>
      <c r="AF62" s="387"/>
    </row>
    <row r="63" spans="1:32" ht="12.95" customHeight="1" thickBot="1">
      <c r="A63" s="387"/>
      <c r="B63" s="387"/>
      <c r="C63" s="422"/>
      <c r="D63" s="414"/>
      <c r="E63" s="414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</row>
    <row r="64" spans="1:32" ht="12.95" customHeight="1">
      <c r="A64" s="423"/>
      <c r="B64" s="423"/>
      <c r="C64" s="423"/>
      <c r="D64" s="423"/>
      <c r="E64" s="424"/>
      <c r="F64" s="407"/>
      <c r="G64" s="407"/>
      <c r="H64" s="387"/>
      <c r="I64" s="387"/>
      <c r="J64" s="387"/>
      <c r="K64" s="387"/>
      <c r="L64" s="387"/>
      <c r="M64" s="387"/>
      <c r="N64" s="387"/>
      <c r="O64" s="387"/>
      <c r="P64" s="387"/>
      <c r="Q64" s="38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  <c r="AB64" s="425"/>
      <c r="AC64" s="426"/>
      <c r="AD64" s="427"/>
      <c r="AE64" s="427"/>
      <c r="AF64" s="427"/>
    </row>
    <row r="65" spans="1:32" ht="12.95" customHeight="1">
      <c r="A65" s="407"/>
      <c r="B65" s="407"/>
      <c r="C65" s="407"/>
      <c r="D65" s="407"/>
      <c r="E65" s="406"/>
      <c r="F65" s="407"/>
      <c r="G65" s="387"/>
      <c r="H65" s="387"/>
      <c r="I65" s="387"/>
      <c r="J65" s="387"/>
      <c r="K65" s="387"/>
      <c r="L65" s="402"/>
      <c r="M65" s="402"/>
      <c r="N65" s="402"/>
      <c r="O65" s="402"/>
      <c r="P65" s="407"/>
      <c r="Q65" s="407"/>
      <c r="R65" s="402"/>
      <c r="S65" s="402"/>
      <c r="T65" s="402"/>
      <c r="U65" s="402"/>
      <c r="V65" s="407"/>
      <c r="W65" s="407"/>
      <c r="X65" s="407"/>
      <c r="Y65" s="407"/>
      <c r="Z65" s="407"/>
      <c r="AA65" s="414"/>
      <c r="AB65" s="409"/>
      <c r="AC65" s="428"/>
      <c r="AD65" s="429"/>
      <c r="AE65" s="387"/>
      <c r="AF65" s="430"/>
    </row>
    <row r="66" spans="1:32" ht="12.95" customHeight="1">
      <c r="A66" s="407"/>
      <c r="B66" s="407"/>
      <c r="C66" s="407"/>
      <c r="D66" s="407"/>
      <c r="E66" s="406"/>
      <c r="F66" s="407"/>
      <c r="G66" s="387"/>
      <c r="H66" s="387"/>
      <c r="I66" s="387"/>
      <c r="J66" s="387"/>
      <c r="K66" s="387"/>
      <c r="L66" s="407"/>
      <c r="M66" s="387"/>
      <c r="N66" s="402"/>
      <c r="O66" s="407"/>
      <c r="P66" s="390"/>
      <c r="Q66" s="407"/>
      <c r="R66" s="408"/>
      <c r="S66" s="408"/>
      <c r="T66" s="408"/>
      <c r="U66" s="408"/>
      <c r="V66" s="407"/>
      <c r="W66" s="407"/>
      <c r="X66" s="407"/>
      <c r="Y66" s="407"/>
      <c r="Z66" s="407"/>
      <c r="AA66" s="442"/>
      <c r="AB66" s="409"/>
      <c r="AC66" s="428"/>
      <c r="AD66" s="430"/>
      <c r="AE66" s="431"/>
      <c r="AF66" s="430"/>
    </row>
    <row r="67" spans="1:32" ht="12.95" customHeight="1">
      <c r="A67" s="407"/>
      <c r="B67" s="407"/>
      <c r="C67" s="407"/>
      <c r="D67" s="407"/>
      <c r="E67" s="406"/>
      <c r="F67" s="407"/>
      <c r="G67" s="387"/>
      <c r="H67" s="387"/>
      <c r="I67" s="387"/>
      <c r="J67" s="387"/>
      <c r="K67" s="387"/>
      <c r="L67" s="407"/>
      <c r="M67" s="416"/>
      <c r="N67" s="407"/>
      <c r="O67" s="395"/>
      <c r="P67" s="390"/>
      <c r="Q67" s="407"/>
      <c r="R67" s="407"/>
      <c r="S67" s="387"/>
      <c r="T67" s="402"/>
      <c r="U67" s="407"/>
      <c r="V67" s="407"/>
      <c r="W67" s="407"/>
      <c r="X67" s="407"/>
      <c r="Y67" s="407"/>
      <c r="Z67" s="407"/>
      <c r="AA67" s="407"/>
      <c r="AB67" s="409"/>
      <c r="AC67" s="428"/>
      <c r="AD67" s="432"/>
      <c r="AE67" s="432"/>
      <c r="AF67" s="432"/>
    </row>
    <row r="68" spans="1:32" ht="12.95" customHeight="1">
      <c r="A68" s="407"/>
      <c r="B68" s="407"/>
      <c r="C68" s="407"/>
      <c r="D68" s="407"/>
      <c r="E68" s="406"/>
      <c r="F68" s="407"/>
      <c r="G68" s="387"/>
      <c r="H68" s="387"/>
      <c r="I68" s="387"/>
      <c r="J68" s="387"/>
      <c r="K68" s="387"/>
      <c r="L68" s="407"/>
      <c r="M68" s="407"/>
      <c r="N68" s="407"/>
      <c r="O68" s="407"/>
      <c r="P68" s="395"/>
      <c r="Q68" s="387"/>
      <c r="R68" s="416"/>
      <c r="S68" s="387"/>
      <c r="T68" s="433"/>
      <c r="U68" s="407"/>
      <c r="V68" s="407"/>
      <c r="W68" s="407"/>
      <c r="X68" s="407"/>
      <c r="Y68" s="407"/>
      <c r="Z68" s="407"/>
      <c r="AA68" s="407"/>
      <c r="AB68" s="409"/>
      <c r="AC68" s="428"/>
      <c r="AD68" s="432"/>
      <c r="AE68" s="432"/>
      <c r="AF68" s="432"/>
    </row>
    <row r="69" spans="1:32" ht="12.95" customHeight="1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395"/>
      <c r="L69" s="416"/>
      <c r="M69" s="433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  <c r="Z69" s="407"/>
      <c r="AA69" s="407"/>
      <c r="AB69" s="407"/>
      <c r="AC69" s="441"/>
      <c r="AD69" s="387"/>
      <c r="AE69" s="387"/>
      <c r="AF69" s="387"/>
    </row>
    <row r="70" spans="1:32" ht="21">
      <c r="A70" s="457"/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8"/>
      <c r="AD70" s="458"/>
      <c r="AE70" s="458"/>
      <c r="AF70" s="458"/>
    </row>
  </sheetData>
  <mergeCells count="2">
    <mergeCell ref="A35:AF35"/>
    <mergeCell ref="A70:AF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</vt:i4>
      </vt:variant>
    </vt:vector>
  </HeadingPairs>
  <TitlesOfParts>
    <vt:vector size="15" baseType="lpstr">
      <vt:lpstr>轉向量</vt:lpstr>
      <vt:lpstr>路口基本資料</vt:lpstr>
      <vt:lpstr>調查資料(OUT)</vt:lpstr>
      <vt:lpstr>PHF及轉向比</vt:lpstr>
      <vt:lpstr>流量分布圖</vt:lpstr>
      <vt:lpstr>轉向圖(尖峰)</vt:lpstr>
      <vt:lpstr>大型車轉向圖(尖峰)</vt:lpstr>
      <vt:lpstr>小型車轉向圖(尖峰)</vt:lpstr>
      <vt:lpstr>機車轉向圖(尖峰)</vt:lpstr>
      <vt:lpstr>轉向圖(離峰)</vt:lpstr>
      <vt:lpstr>大型車轉向圖(離峰)</vt:lpstr>
      <vt:lpstr>小型車轉向圖(離峰)</vt:lpstr>
      <vt:lpstr>機車轉向圖(離峰)</vt:lpstr>
      <vt:lpstr>'調查資料(OUT)'!Print_Area</vt:lpstr>
      <vt:lpstr>'調查資料(OUT)'!Print_Titles</vt:lpstr>
    </vt:vector>
  </TitlesOfParts>
  <Company>THI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creator>MAGIC</dc:creator>
  <cp:lastModifiedBy>許芝綾(Chih Ling Hsu)</cp:lastModifiedBy>
  <cp:lastPrinted>2010-06-01T11:30:54Z</cp:lastPrinted>
  <dcterms:created xsi:type="dcterms:W3CDTF">2000-10-03T09:03:59Z</dcterms:created>
  <dcterms:modified xsi:type="dcterms:W3CDTF">2025-07-01T11:07:30Z</dcterms:modified>
</cp:coreProperties>
</file>