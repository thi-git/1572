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Public)/Public/車流平台範例檔/(1507、1493)鼎漢系統/【流量】下載_20250327/"/>
    </mc:Choice>
  </mc:AlternateContent>
  <xr:revisionPtr revIDLastSave="1750" documentId="8_{FC61500A-823C-4076-8190-DB7A8C73F6B4}" xr6:coauthVersionLast="47" xr6:coauthVersionMax="47" xr10:uidLastSave="{AE03D44E-3396-40C4-96CF-C8DE7E5838F5}"/>
  <bookViews>
    <workbookView xWindow="-120" yWindow="-120" windowWidth="29040" windowHeight="15840" tabRatio="804" firstSheet="6" activeTab="12" xr2:uid="{00000000-000D-0000-FFFF-FFFF00000000}"/>
  </bookViews>
  <sheets>
    <sheet name="轉向量" sheetId="51" r:id="rId1"/>
    <sheet name="路口基本資料" sheetId="37" r:id="rId2"/>
    <sheet name="調查資料(OUT)" sheetId="3" r:id="rId3"/>
    <sheet name="PHF及轉向比" sheetId="2" r:id="rId4"/>
    <sheet name="流量分布圖" sheetId="39" r:id="rId5"/>
    <sheet name="轉向圖(尖峰)" sheetId="20" r:id="rId6"/>
    <sheet name="軟體分析用轉向圖(尖峰)" sheetId="42" r:id="rId7"/>
    <sheet name="大型車轉向圖(尖峰)" sheetId="46" r:id="rId8"/>
    <sheet name="小型車轉向圖(尖峰)" sheetId="47" r:id="rId9"/>
    <sheet name="機車轉向圖(尖峰)" sheetId="49" r:id="rId10"/>
    <sheet name="轉向圖(離峰)" sheetId="40" r:id="rId11"/>
    <sheet name="軟體分析用轉向圖(離峰)" sheetId="43" r:id="rId12"/>
    <sheet name="大型車轉向圖(離峰)" sheetId="52" r:id="rId13"/>
    <sheet name="小型車轉向圖(離峰)" sheetId="53" r:id="rId14"/>
    <sheet name="機車轉向圖(離峰)" sheetId="54" r:id="rId15"/>
  </sheets>
  <externalReferences>
    <externalReference r:id="rId16"/>
    <externalReference r:id="rId17"/>
    <externalReference r:id="rId18"/>
  </externalReferences>
  <definedNames>
    <definedName name="_xlnm._FilterDatabase" localSheetId="3" hidden="1">PHF及轉向比!$DM$1:$DS$4</definedName>
    <definedName name="_Key1" localSheetId="7" hidden="1">#REF!</definedName>
    <definedName name="_Key1" localSheetId="8" hidden="1">#REF!</definedName>
    <definedName name="_Key1" localSheetId="6" hidden="1">#REF!</definedName>
    <definedName name="_Key1" localSheetId="11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localSheetId="7" hidden="1">#REF!</definedName>
    <definedName name="_Sort" localSheetId="8" hidden="1">#REF!</definedName>
    <definedName name="_Sort" localSheetId="6" hidden="1">#REF!</definedName>
    <definedName name="_Sort" localSheetId="11" hidden="1">#REF!</definedName>
    <definedName name="_Sort" localSheetId="9" hidden="1">#REF!</definedName>
    <definedName name="_Sort" localSheetId="10" hidden="1">#REF!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_xlnm.Print_Area" localSheetId="7">'大型車轉向圖(尖峰)'!$A$1:$S$46</definedName>
    <definedName name="_xlnm.Print_Area" localSheetId="8">'小型車轉向圖(尖峰)'!$A$1:$S$46</definedName>
    <definedName name="_xlnm.Print_Area" localSheetId="6">'軟體分析用轉向圖(尖峰)'!$A$1:$S$48</definedName>
    <definedName name="_xlnm.Print_Area" localSheetId="11">'軟體分析用轉向圖(離峰)'!$A$1:$S$48</definedName>
    <definedName name="_xlnm.Print_Area" localSheetId="2">'調查資料(OUT)'!$A$1:$AO$77</definedName>
    <definedName name="_xlnm.Print_Area" localSheetId="9">'機車轉向圖(尖峰)'!$A$1:$S$46</definedName>
    <definedName name="_xlnm.Print_Area" localSheetId="5">'轉向圖(尖峰)'!$A$1:$S$46</definedName>
    <definedName name="_xlnm.Print_Area" localSheetId="10">'轉向圖(離峰)'!$A$1:$S$46</definedName>
    <definedName name="_xlnm.Print_Titles" localSheetId="2">'調查資料(OUT)'!$A:$A</definedName>
    <definedName name="ROADNAME">[2]基本!$I$5,[2]基本!$G$9,[2]基本!$E$5,[2]基本!$G$1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[3]基本!$B$1,[3]基本!$B$2,[3]基本!$B$3,[3]基本!$B$4,[3]基本!$B$7,[3]基本!$B$8,[3]基本!$B$11,[3]基本!$B$12,[3]基本!$B$17,[3]基本!$B$18,[3]基本!$C$17,[3]基本!$C$18,[3]基本!$D$17,[3]基本!$D$18,[3]基本!$E$17,[3]基本!$E$18,[3]基本!$B$22,[3]基本!$B$23,[3]基本!$B$25,[3]基本!$B$24,[3]基本!$B$26,[3]基本!$A$45:$B$48,[3]基本!$A$44,[3]基本!$B$44,[3]基本!$E$44:$F$48,[3]基本!$I$44:$J$48,[3]基本!$A$53:$B$57,[3]基本!$E$53:$F$57</definedName>
    <definedName name="週五夜">#REF!</definedName>
    <definedName name="離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54" l="1"/>
  <c r="Q19" i="54"/>
  <c r="S19" i="53"/>
  <c r="Q19" i="53"/>
  <c r="S19" i="52"/>
  <c r="Q19" i="52"/>
  <c r="S19" i="43"/>
  <c r="Q19" i="43"/>
  <c r="S19" i="40"/>
  <c r="Q19" i="40"/>
  <c r="S42" i="49"/>
  <c r="Q42" i="49"/>
  <c r="S42" i="47"/>
  <c r="Q42" i="47"/>
  <c r="S42" i="46"/>
  <c r="Q42" i="46"/>
  <c r="S43" i="42"/>
  <c r="Q43" i="42"/>
  <c r="P31" i="20"/>
  <c r="S42" i="20"/>
  <c r="Q42" i="20"/>
  <c r="A22" i="54"/>
  <c r="A22" i="53"/>
  <c r="A22" i="52"/>
  <c r="A23" i="43"/>
  <c r="A22" i="40"/>
  <c r="A45" i="49"/>
  <c r="A22" i="49"/>
  <c r="A45" i="47"/>
  <c r="A22" i="47"/>
  <c r="A45" i="46"/>
  <c r="A22" i="46"/>
  <c r="A47" i="42"/>
  <c r="A23" i="42"/>
  <c r="R16" i="20"/>
  <c r="A22" i="20"/>
  <c r="A45" i="20"/>
  <c r="K19" i="20" l="1"/>
  <c r="R18" i="54" l="1"/>
  <c r="R16" i="54"/>
  <c r="R18" i="53"/>
  <c r="R16" i="53"/>
  <c r="R18" i="52"/>
  <c r="R16" i="52"/>
  <c r="R18" i="43"/>
  <c r="R16" i="43"/>
  <c r="R18" i="40"/>
  <c r="R16" i="40"/>
  <c r="R41" i="49"/>
  <c r="R39" i="49"/>
  <c r="R18" i="49"/>
  <c r="R16" i="49"/>
  <c r="R41" i="47"/>
  <c r="R39" i="47"/>
  <c r="R18" i="47"/>
  <c r="R16" i="47"/>
  <c r="R41" i="46"/>
  <c r="R39" i="46"/>
  <c r="R18" i="46"/>
  <c r="R16" i="46"/>
  <c r="R42" i="42"/>
  <c r="R40" i="42"/>
  <c r="R18" i="42"/>
  <c r="R16" i="42"/>
  <c r="R41" i="20"/>
  <c r="R39" i="20"/>
  <c r="R18" i="20"/>
  <c r="I5" i="54"/>
  <c r="H5" i="54"/>
  <c r="G5" i="54"/>
  <c r="D12" i="54"/>
  <c r="D13" i="54"/>
  <c r="D14" i="54"/>
  <c r="K17" i="54"/>
  <c r="L17" i="54"/>
  <c r="M17" i="54"/>
  <c r="P10" i="54"/>
  <c r="P9" i="54"/>
  <c r="P8" i="54"/>
  <c r="I5" i="53"/>
  <c r="H5" i="53"/>
  <c r="G5" i="53"/>
  <c r="D14" i="53"/>
  <c r="D13" i="53"/>
  <c r="D12" i="53"/>
  <c r="K17" i="53"/>
  <c r="L17" i="53"/>
  <c r="M17" i="53"/>
  <c r="P10" i="53"/>
  <c r="P9" i="53"/>
  <c r="P8" i="53"/>
  <c r="I5" i="52"/>
  <c r="H5" i="52"/>
  <c r="G5" i="52"/>
  <c r="D14" i="52"/>
  <c r="D13" i="52"/>
  <c r="D12" i="52"/>
  <c r="K17" i="52"/>
  <c r="L17" i="52"/>
  <c r="M17" i="52"/>
  <c r="P10" i="52"/>
  <c r="P9" i="52"/>
  <c r="P8" i="52"/>
  <c r="I5" i="43"/>
  <c r="H5" i="43"/>
  <c r="G5" i="43"/>
  <c r="D14" i="43"/>
  <c r="D13" i="43"/>
  <c r="D12" i="43"/>
  <c r="K17" i="43"/>
  <c r="L17" i="43"/>
  <c r="M17" i="43"/>
  <c r="P10" i="43"/>
  <c r="P9" i="43"/>
  <c r="P8" i="43"/>
  <c r="I5" i="40"/>
  <c r="H5" i="40"/>
  <c r="G5" i="40"/>
  <c r="D12" i="40"/>
  <c r="D13" i="40"/>
  <c r="D14" i="40"/>
  <c r="K17" i="40"/>
  <c r="L17" i="40"/>
  <c r="M17" i="40"/>
  <c r="P10" i="40"/>
  <c r="P9" i="40"/>
  <c r="P8" i="40"/>
  <c r="I28" i="49"/>
  <c r="H28" i="49"/>
  <c r="G28" i="49"/>
  <c r="D37" i="49"/>
  <c r="D36" i="49"/>
  <c r="D35" i="49"/>
  <c r="K40" i="49"/>
  <c r="L40" i="49"/>
  <c r="M40" i="49"/>
  <c r="P33" i="49"/>
  <c r="P32" i="49"/>
  <c r="P31" i="49"/>
  <c r="I28" i="47"/>
  <c r="H28" i="47"/>
  <c r="G28" i="47"/>
  <c r="D37" i="47"/>
  <c r="D36" i="47"/>
  <c r="D35" i="47"/>
  <c r="K40" i="47"/>
  <c r="L40" i="47"/>
  <c r="M40" i="47"/>
  <c r="P33" i="47"/>
  <c r="P32" i="47"/>
  <c r="P31" i="47"/>
  <c r="I28" i="46"/>
  <c r="H28" i="46"/>
  <c r="G28" i="46"/>
  <c r="D35" i="46"/>
  <c r="D36" i="46"/>
  <c r="D37" i="46"/>
  <c r="K40" i="46"/>
  <c r="L40" i="46"/>
  <c r="M40" i="46"/>
  <c r="P33" i="46"/>
  <c r="P32" i="46"/>
  <c r="P31" i="46"/>
  <c r="I29" i="42"/>
  <c r="H29" i="42"/>
  <c r="G29" i="42"/>
  <c r="D36" i="42"/>
  <c r="K41" i="42"/>
  <c r="L41" i="42"/>
  <c r="M41" i="42"/>
  <c r="P34" i="42"/>
  <c r="P33" i="42"/>
  <c r="P32" i="42"/>
  <c r="I28" i="20"/>
  <c r="H28" i="20"/>
  <c r="G28" i="20"/>
  <c r="D37" i="20"/>
  <c r="D36" i="20"/>
  <c r="D35" i="20"/>
  <c r="K40" i="20"/>
  <c r="L40" i="20"/>
  <c r="M40" i="20"/>
  <c r="P33" i="20"/>
  <c r="P32" i="20"/>
  <c r="E1" i="39" l="1"/>
  <c r="D1" i="39"/>
  <c r="C1" i="39"/>
  <c r="B1" i="39"/>
  <c r="AG8" i="3"/>
  <c r="W8" i="3"/>
  <c r="M8" i="3"/>
  <c r="C8" i="3"/>
  <c r="AK100" i="2"/>
  <c r="AK99" i="2"/>
  <c r="AK98" i="2"/>
  <c r="AF100" i="2"/>
  <c r="AF99" i="2"/>
  <c r="AF98" i="2"/>
  <c r="AE100" i="2"/>
  <c r="AD100" i="2"/>
  <c r="AE99" i="2"/>
  <c r="AD99" i="2"/>
  <c r="AE98" i="2"/>
  <c r="AD98" i="2"/>
  <c r="AB100" i="2"/>
  <c r="AB99" i="2"/>
  <c r="AB98" i="2"/>
  <c r="Y100" i="2"/>
  <c r="Y99" i="2"/>
  <c r="Y98" i="2"/>
  <c r="AD69" i="2"/>
  <c r="AC69" i="2"/>
  <c r="AE83" i="2"/>
  <c r="AB83" i="2"/>
  <c r="Y83" i="2"/>
  <c r="AE82" i="2"/>
  <c r="AD82" i="2"/>
  <c r="AB82" i="2"/>
  <c r="Z82" i="2"/>
  <c r="Y82" i="2"/>
  <c r="X82" i="2"/>
  <c r="AA82" i="2"/>
  <c r="X83" i="2"/>
  <c r="Z83" i="2"/>
  <c r="AA83" i="2"/>
  <c r="AD83" i="2"/>
  <c r="X84" i="2"/>
  <c r="Y84" i="2"/>
  <c r="Z84" i="2"/>
  <c r="AA84" i="2"/>
  <c r="AB84" i="2"/>
  <c r="AD84" i="2"/>
  <c r="AE84" i="2"/>
  <c r="X85" i="2"/>
  <c r="Y85" i="2"/>
  <c r="Z85" i="2"/>
  <c r="AA85" i="2"/>
  <c r="AB85" i="2"/>
  <c r="AD85" i="2"/>
  <c r="AE85" i="2"/>
  <c r="X86" i="2"/>
  <c r="Y86" i="2"/>
  <c r="Z86" i="2"/>
  <c r="AA86" i="2"/>
  <c r="AB86" i="2"/>
  <c r="AD86" i="2"/>
  <c r="AE86" i="2"/>
  <c r="X87" i="2"/>
  <c r="Y87" i="2"/>
  <c r="Z87" i="2"/>
  <c r="AA87" i="2"/>
  <c r="AB87" i="2"/>
  <c r="AD87" i="2"/>
  <c r="AE87" i="2"/>
  <c r="X88" i="2"/>
  <c r="Y88" i="2"/>
  <c r="Z88" i="2"/>
  <c r="AA88" i="2"/>
  <c r="AB88" i="2"/>
  <c r="AD88" i="2"/>
  <c r="AE88" i="2"/>
  <c r="X89" i="2"/>
  <c r="Y89" i="2"/>
  <c r="Z89" i="2"/>
  <c r="AA89" i="2"/>
  <c r="AB89" i="2"/>
  <c r="AD89" i="2"/>
  <c r="AE89" i="2"/>
  <c r="X90" i="2"/>
  <c r="Y90" i="2"/>
  <c r="Z90" i="2"/>
  <c r="AA90" i="2"/>
  <c r="AB90" i="2"/>
  <c r="AD90" i="2"/>
  <c r="AE90" i="2"/>
  <c r="X91" i="2"/>
  <c r="Y91" i="2"/>
  <c r="Z91" i="2"/>
  <c r="AA91" i="2"/>
  <c r="AB91" i="2"/>
  <c r="AD91" i="2"/>
  <c r="AE91" i="2"/>
  <c r="X92" i="2"/>
  <c r="Y92" i="2"/>
  <c r="Z92" i="2"/>
  <c r="AA92" i="2"/>
  <c r="AB92" i="2"/>
  <c r="AD92" i="2"/>
  <c r="AE92" i="2"/>
  <c r="X93" i="2"/>
  <c r="Y93" i="2"/>
  <c r="Z93" i="2"/>
  <c r="AA93" i="2"/>
  <c r="AB93" i="2"/>
  <c r="AD93" i="2"/>
  <c r="AE93" i="2"/>
  <c r="X94" i="2"/>
  <c r="Y94" i="2"/>
  <c r="Z94" i="2"/>
  <c r="AA94" i="2"/>
  <c r="AB94" i="2"/>
  <c r="AD94" i="2"/>
  <c r="AE94" i="2"/>
  <c r="X95" i="2"/>
  <c r="Y95" i="2"/>
  <c r="Z95" i="2"/>
  <c r="AA95" i="2"/>
  <c r="AB95" i="2"/>
  <c r="AD95" i="2"/>
  <c r="AE95" i="2"/>
  <c r="X96" i="2"/>
  <c r="Y96" i="2"/>
  <c r="Z96" i="2"/>
  <c r="AA96" i="2"/>
  <c r="AB96" i="2"/>
  <c r="AD96" i="2"/>
  <c r="AE96" i="2"/>
  <c r="X97" i="2"/>
  <c r="Y97" i="2"/>
  <c r="Z97" i="2"/>
  <c r="AA97" i="2"/>
  <c r="AB97" i="2"/>
  <c r="AD97" i="2"/>
  <c r="AE97" i="2"/>
  <c r="AE69" i="2"/>
  <c r="AB69" i="2"/>
  <c r="Z69" i="2"/>
  <c r="Y69" i="2"/>
  <c r="AE66" i="2"/>
  <c r="AD66" i="2"/>
  <c r="AB66" i="2"/>
  <c r="AA66" i="2"/>
  <c r="Z66" i="2"/>
  <c r="Y66" i="2"/>
  <c r="Y59" i="2"/>
  <c r="AE58" i="2"/>
  <c r="AD58" i="2"/>
  <c r="AB58" i="2"/>
  <c r="AA58" i="2"/>
  <c r="Z58" i="2"/>
  <c r="Y58" i="2"/>
  <c r="Y54" i="2"/>
  <c r="Y42" i="2"/>
  <c r="AB57" i="2"/>
  <c r="AA57" i="2"/>
  <c r="Z57" i="2"/>
  <c r="Y57" i="2"/>
  <c r="X66" i="2"/>
  <c r="X67" i="2"/>
  <c r="Y67" i="2"/>
  <c r="Z67" i="2"/>
  <c r="AA67" i="2"/>
  <c r="AB67" i="2"/>
  <c r="AD67" i="2"/>
  <c r="AE67" i="2"/>
  <c r="X68" i="2"/>
  <c r="Y68" i="2"/>
  <c r="Z68" i="2"/>
  <c r="AA68" i="2"/>
  <c r="AB68" i="2"/>
  <c r="AD68" i="2"/>
  <c r="AE68" i="2"/>
  <c r="AE54" i="2"/>
  <c r="AD54" i="2"/>
  <c r="Z54" i="2"/>
  <c r="X54" i="2"/>
  <c r="AA54" i="2"/>
  <c r="AB54" i="2"/>
  <c r="X55" i="2"/>
  <c r="Y55" i="2"/>
  <c r="Z55" i="2"/>
  <c r="AA55" i="2"/>
  <c r="AB55" i="2"/>
  <c r="AD55" i="2"/>
  <c r="AE55" i="2"/>
  <c r="X56" i="2"/>
  <c r="Y56" i="2"/>
  <c r="Z56" i="2"/>
  <c r="AA56" i="2"/>
  <c r="AB56" i="2"/>
  <c r="AD56" i="2"/>
  <c r="AE56" i="2"/>
  <c r="X65" i="2" l="1"/>
  <c r="AD81" i="2"/>
  <c r="AA100" i="2"/>
  <c r="Z100" i="2"/>
  <c r="AW99" i="2" l="1"/>
  <c r="AU99" i="2"/>
  <c r="AP99" i="2"/>
  <c r="AY99" i="2"/>
  <c r="BA99" i="2"/>
  <c r="BH99" i="2"/>
  <c r="BM99" i="2"/>
  <c r="BR99" i="2"/>
  <c r="BT99" i="2"/>
  <c r="BV99" i="2"/>
  <c r="BX99" i="2"/>
  <c r="CE99" i="2"/>
  <c r="CJ99" i="2"/>
  <c r="CO99" i="2"/>
  <c r="CQ99" i="2"/>
  <c r="CS99" i="2"/>
  <c r="CU99" i="2"/>
  <c r="DB99" i="2"/>
  <c r="DG99" i="2"/>
  <c r="DL99" i="2"/>
  <c r="DN99" i="2"/>
  <c r="DP99" i="2"/>
  <c r="DR99" i="2"/>
  <c r="BB98" i="2"/>
  <c r="BA98" i="2"/>
  <c r="AZ98" i="2"/>
  <c r="AY98" i="2"/>
  <c r="AX98" i="2"/>
  <c r="AW98" i="2"/>
  <c r="AV98" i="2"/>
  <c r="AU98" i="2"/>
  <c r="AP98" i="2"/>
  <c r="AL98" i="2"/>
  <c r="DS98" i="2"/>
  <c r="AJ98" i="2"/>
  <c r="AM98" i="2"/>
  <c r="AN98" i="2"/>
  <c r="AO98" i="2"/>
  <c r="AQ98" i="2"/>
  <c r="AR98" i="2"/>
  <c r="AS98" i="2"/>
  <c r="AT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AI98" i="2"/>
  <c r="AH98" i="2"/>
  <c r="AG98" i="2"/>
  <c r="AF82" i="2"/>
  <c r="AG82" i="2"/>
  <c r="AH82" i="2"/>
  <c r="AI82" i="2"/>
  <c r="AJ82" i="2"/>
  <c r="AL82" i="2"/>
  <c r="AM82" i="2"/>
  <c r="AN82" i="2"/>
  <c r="AO82" i="2"/>
  <c r="AQ82" i="2"/>
  <c r="AR82" i="2"/>
  <c r="AS82" i="2"/>
  <c r="AT82" i="2"/>
  <c r="BC82" i="2"/>
  <c r="BD82" i="2"/>
  <c r="BE82" i="2"/>
  <c r="BF82" i="2"/>
  <c r="BG82" i="2"/>
  <c r="BI82" i="2"/>
  <c r="BJ82" i="2"/>
  <c r="BK82" i="2"/>
  <c r="BL82" i="2"/>
  <c r="BN82" i="2"/>
  <c r="BO82" i="2"/>
  <c r="BP82" i="2"/>
  <c r="BQ82" i="2"/>
  <c r="BZ82" i="2"/>
  <c r="CA82" i="2"/>
  <c r="CB82" i="2"/>
  <c r="CC82" i="2"/>
  <c r="CD82" i="2"/>
  <c r="CF82" i="2"/>
  <c r="CG82" i="2"/>
  <c r="CH82" i="2"/>
  <c r="CI82" i="2"/>
  <c r="CK82" i="2"/>
  <c r="CL82" i="2"/>
  <c r="CM82" i="2"/>
  <c r="CN82" i="2"/>
  <c r="CW82" i="2"/>
  <c r="CX82" i="2"/>
  <c r="CY82" i="2"/>
  <c r="CZ82" i="2"/>
  <c r="DA82" i="2"/>
  <c r="DC82" i="2"/>
  <c r="DD82" i="2"/>
  <c r="DE82" i="2"/>
  <c r="DF82" i="2"/>
  <c r="DH82" i="2"/>
  <c r="DI82" i="2"/>
  <c r="DJ82" i="2"/>
  <c r="DK82" i="2"/>
  <c r="AF97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68" i="2"/>
  <c r="AF67" i="2"/>
  <c r="AF66" i="2"/>
  <c r="AF69" i="2"/>
  <c r="AF57" i="2"/>
  <c r="AF42" i="2"/>
  <c r="AF41" i="2"/>
  <c r="AQ41" i="2"/>
  <c r="AL41" i="2"/>
  <c r="AV5" i="2"/>
  <c r="AU5" i="2"/>
  <c r="AQ5" i="2"/>
  <c r="AM5" i="2"/>
  <c r="AL5" i="2"/>
  <c r="AJ5" i="2"/>
  <c r="AI5" i="2"/>
  <c r="AG5" i="2"/>
  <c r="AF5" i="2"/>
  <c r="AE81" i="2"/>
  <c r="AE70" i="2"/>
  <c r="AD70" i="2"/>
  <c r="AB71" i="2"/>
  <c r="AA71" i="2"/>
  <c r="Z71" i="2"/>
  <c r="Y71" i="2"/>
  <c r="AB70" i="2"/>
  <c r="AA70" i="2"/>
  <c r="Z70" i="2"/>
  <c r="Y70" i="2"/>
  <c r="AA69" i="2"/>
  <c r="X70" i="2"/>
  <c r="X69" i="2"/>
  <c r="W69" i="2"/>
  <c r="V70" i="2"/>
  <c r="V69" i="2"/>
  <c r="BU82" i="2" l="1"/>
  <c r="DO82" i="2"/>
  <c r="BW82" i="2"/>
  <c r="AX82" i="2"/>
  <c r="AV82" i="2"/>
  <c r="BB82" i="2"/>
  <c r="AP82" i="2" s="1"/>
  <c r="CT82" i="2"/>
  <c r="BS82" i="2"/>
  <c r="CR82" i="2"/>
  <c r="DM82" i="2"/>
  <c r="DS82" i="2"/>
  <c r="DB82" i="2" s="1"/>
  <c r="DQ82" i="2"/>
  <c r="DN82" i="2" s="1"/>
  <c r="AZ82" i="2"/>
  <c r="CP82" i="2"/>
  <c r="CQ82" i="2" s="1"/>
  <c r="BY82" i="2"/>
  <c r="BH82" i="2" s="1"/>
  <c r="CV82" i="2"/>
  <c r="CJ82" i="2" s="1"/>
  <c r="BT82" i="2" l="1"/>
  <c r="CS82" i="2"/>
  <c r="CO82" i="2"/>
  <c r="BX82" i="2"/>
  <c r="BV82" i="2"/>
  <c r="DL82" i="2"/>
  <c r="AK82" i="2"/>
  <c r="AY82" i="2"/>
  <c r="DG82" i="2"/>
  <c r="AU82" i="2"/>
  <c r="BA82" i="2"/>
  <c r="DR82" i="2"/>
  <c r="AW82" i="2"/>
  <c r="CU82" i="2"/>
  <c r="DP82" i="2"/>
  <c r="CE82" i="2"/>
  <c r="BM82" i="2"/>
  <c r="BR82" i="2"/>
  <c r="U57" i="2" l="1"/>
  <c r="T57" i="2"/>
  <c r="T82" i="2" l="1"/>
  <c r="U82" i="2"/>
  <c r="T83" i="2"/>
  <c r="U83" i="2" s="1"/>
  <c r="T84" i="2"/>
  <c r="U84" i="2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A99" i="2" l="1"/>
  <c r="A100" i="2"/>
  <c r="A96" i="2"/>
  <c r="A97" i="2"/>
  <c r="A98" i="2"/>
  <c r="A86" i="2"/>
  <c r="A87" i="2"/>
  <c r="A88" i="2"/>
  <c r="A89" i="2"/>
  <c r="A90" i="2"/>
  <c r="A91" i="2"/>
  <c r="A92" i="2"/>
  <c r="A93" i="2"/>
  <c r="A94" i="2"/>
  <c r="A95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J8" i="3"/>
  <c r="Z8" i="3"/>
  <c r="P8" i="3"/>
  <c r="F8" i="3"/>
  <c r="AF12" i="3"/>
  <c r="AG12" i="3"/>
  <c r="AH12" i="3"/>
  <c r="AI12" i="3"/>
  <c r="AJ12" i="3"/>
  <c r="AK12" i="3"/>
  <c r="AL12" i="3"/>
  <c r="AM12" i="3"/>
  <c r="AN12" i="3"/>
  <c r="AO12" i="3"/>
  <c r="AF13" i="3"/>
  <c r="AG13" i="3"/>
  <c r="AH13" i="3"/>
  <c r="AI13" i="3"/>
  <c r="AJ13" i="3"/>
  <c r="AK13" i="3"/>
  <c r="AL13" i="3"/>
  <c r="AM13" i="3"/>
  <c r="AN13" i="3"/>
  <c r="AO13" i="3"/>
  <c r="AF14" i="3"/>
  <c r="AG14" i="3"/>
  <c r="AH14" i="3"/>
  <c r="AI14" i="3"/>
  <c r="AJ14" i="3"/>
  <c r="AK14" i="3"/>
  <c r="AL14" i="3"/>
  <c r="AM14" i="3"/>
  <c r="AN14" i="3"/>
  <c r="AO14" i="3"/>
  <c r="AF15" i="3"/>
  <c r="AG15" i="3"/>
  <c r="AH15" i="3"/>
  <c r="AI15" i="3"/>
  <c r="AJ15" i="3"/>
  <c r="AK15" i="3"/>
  <c r="AL15" i="3"/>
  <c r="AM15" i="3"/>
  <c r="AN15" i="3"/>
  <c r="AO15" i="3"/>
  <c r="AF16" i="3"/>
  <c r="AG16" i="3"/>
  <c r="AH16" i="3"/>
  <c r="AI16" i="3"/>
  <c r="AJ16" i="3"/>
  <c r="AK16" i="3"/>
  <c r="AL16" i="3"/>
  <c r="AM16" i="3"/>
  <c r="AN16" i="3"/>
  <c r="AO16" i="3"/>
  <c r="AF17" i="3"/>
  <c r="AG17" i="3"/>
  <c r="AH17" i="3"/>
  <c r="AI17" i="3"/>
  <c r="AJ17" i="3"/>
  <c r="AK17" i="3"/>
  <c r="AL17" i="3"/>
  <c r="AM17" i="3"/>
  <c r="AN17" i="3"/>
  <c r="AO17" i="3"/>
  <c r="AF18" i="3"/>
  <c r="AG18" i="3"/>
  <c r="AH18" i="3"/>
  <c r="AI18" i="3"/>
  <c r="AJ18" i="3"/>
  <c r="AK18" i="3"/>
  <c r="AL18" i="3"/>
  <c r="AM18" i="3"/>
  <c r="AN18" i="3"/>
  <c r="AO18" i="3"/>
  <c r="AF19" i="3"/>
  <c r="AG19" i="3"/>
  <c r="AH19" i="3"/>
  <c r="AI19" i="3"/>
  <c r="AJ19" i="3"/>
  <c r="AK19" i="3"/>
  <c r="AL19" i="3"/>
  <c r="AM19" i="3"/>
  <c r="AN19" i="3"/>
  <c r="AO19" i="3"/>
  <c r="AF20" i="3"/>
  <c r="AG20" i="3"/>
  <c r="AH20" i="3"/>
  <c r="AI20" i="3"/>
  <c r="AJ20" i="3"/>
  <c r="AK20" i="3"/>
  <c r="AL20" i="3"/>
  <c r="AM20" i="3"/>
  <c r="AN20" i="3"/>
  <c r="AO20" i="3"/>
  <c r="AF21" i="3"/>
  <c r="AG21" i="3"/>
  <c r="AH21" i="3"/>
  <c r="AI21" i="3"/>
  <c r="AJ21" i="3"/>
  <c r="AK21" i="3"/>
  <c r="AL21" i="3"/>
  <c r="AM21" i="3"/>
  <c r="AN21" i="3"/>
  <c r="AO21" i="3"/>
  <c r="AF22" i="3"/>
  <c r="AG22" i="3"/>
  <c r="AH22" i="3"/>
  <c r="AI22" i="3"/>
  <c r="AJ22" i="3"/>
  <c r="AK22" i="3"/>
  <c r="AL22" i="3"/>
  <c r="AM22" i="3"/>
  <c r="AN22" i="3"/>
  <c r="AO22" i="3"/>
  <c r="AF23" i="3"/>
  <c r="AG23" i="3"/>
  <c r="AH23" i="3"/>
  <c r="AI23" i="3"/>
  <c r="AJ23" i="3"/>
  <c r="AK23" i="3"/>
  <c r="AL23" i="3"/>
  <c r="AM23" i="3"/>
  <c r="AN23" i="3"/>
  <c r="AO23" i="3"/>
  <c r="AF24" i="3"/>
  <c r="AG24" i="3"/>
  <c r="AH24" i="3"/>
  <c r="AI24" i="3"/>
  <c r="AJ24" i="3"/>
  <c r="AK24" i="3"/>
  <c r="AL24" i="3"/>
  <c r="AM24" i="3"/>
  <c r="AN24" i="3"/>
  <c r="AO24" i="3"/>
  <c r="AF25" i="3"/>
  <c r="AG25" i="3"/>
  <c r="AH25" i="3"/>
  <c r="AI25" i="3"/>
  <c r="AJ25" i="3"/>
  <c r="AK25" i="3"/>
  <c r="AL25" i="3"/>
  <c r="AM25" i="3"/>
  <c r="AN25" i="3"/>
  <c r="AO25" i="3"/>
  <c r="AF26" i="3"/>
  <c r="AG26" i="3"/>
  <c r="AH26" i="3"/>
  <c r="AI26" i="3"/>
  <c r="AJ26" i="3"/>
  <c r="AK26" i="3"/>
  <c r="AL26" i="3"/>
  <c r="AM26" i="3"/>
  <c r="AN26" i="3"/>
  <c r="AO26" i="3"/>
  <c r="AF27" i="3"/>
  <c r="AG27" i="3"/>
  <c r="AH27" i="3"/>
  <c r="AI27" i="3"/>
  <c r="AJ27" i="3"/>
  <c r="AK27" i="3"/>
  <c r="AL27" i="3"/>
  <c r="AM27" i="3"/>
  <c r="AN27" i="3"/>
  <c r="AO27" i="3"/>
  <c r="AF28" i="3"/>
  <c r="AG28" i="3"/>
  <c r="AH28" i="3"/>
  <c r="AI28" i="3"/>
  <c r="AJ28" i="3"/>
  <c r="AK28" i="3"/>
  <c r="AL28" i="3"/>
  <c r="AM28" i="3"/>
  <c r="AN28" i="3"/>
  <c r="AO28" i="3"/>
  <c r="AF29" i="3"/>
  <c r="AG29" i="3"/>
  <c r="AH29" i="3"/>
  <c r="AI29" i="3"/>
  <c r="AJ29" i="3"/>
  <c r="AK29" i="3"/>
  <c r="AL29" i="3"/>
  <c r="AM29" i="3"/>
  <c r="AN29" i="3"/>
  <c r="AO29" i="3"/>
  <c r="AF30" i="3"/>
  <c r="AG30" i="3"/>
  <c r="AH30" i="3"/>
  <c r="AI30" i="3"/>
  <c r="AJ30" i="3"/>
  <c r="AK30" i="3"/>
  <c r="AL30" i="3"/>
  <c r="AM30" i="3"/>
  <c r="AN30" i="3"/>
  <c r="AO30" i="3"/>
  <c r="AF31" i="3"/>
  <c r="AG31" i="3"/>
  <c r="AH31" i="3"/>
  <c r="AI31" i="3"/>
  <c r="AJ31" i="3"/>
  <c r="AK31" i="3"/>
  <c r="AL31" i="3"/>
  <c r="AM31" i="3"/>
  <c r="AN31" i="3"/>
  <c r="AO31" i="3"/>
  <c r="AF32" i="3"/>
  <c r="AG32" i="3"/>
  <c r="AH32" i="3"/>
  <c r="AI32" i="3"/>
  <c r="AJ32" i="3"/>
  <c r="AK32" i="3"/>
  <c r="AL32" i="3"/>
  <c r="AM32" i="3"/>
  <c r="AN32" i="3"/>
  <c r="AO32" i="3"/>
  <c r="AF33" i="3"/>
  <c r="AG33" i="3"/>
  <c r="AH33" i="3"/>
  <c r="AI33" i="3"/>
  <c r="AJ33" i="3"/>
  <c r="AK33" i="3"/>
  <c r="AL33" i="3"/>
  <c r="AM33" i="3"/>
  <c r="AN33" i="3"/>
  <c r="AO33" i="3"/>
  <c r="AF34" i="3"/>
  <c r="AG34" i="3"/>
  <c r="AH34" i="3"/>
  <c r="AI34" i="3"/>
  <c r="AJ34" i="3"/>
  <c r="AK34" i="3"/>
  <c r="AL34" i="3"/>
  <c r="AM34" i="3"/>
  <c r="AN34" i="3"/>
  <c r="AO34" i="3"/>
  <c r="AF35" i="3"/>
  <c r="AG35" i="3"/>
  <c r="AH35" i="3"/>
  <c r="AI35" i="3"/>
  <c r="AJ35" i="3"/>
  <c r="AK35" i="3"/>
  <c r="AL35" i="3"/>
  <c r="AM35" i="3"/>
  <c r="AN35" i="3"/>
  <c r="AO35" i="3"/>
  <c r="AF36" i="3"/>
  <c r="AG36" i="3"/>
  <c r="AH36" i="3"/>
  <c r="AI36" i="3"/>
  <c r="AJ36" i="3"/>
  <c r="AK36" i="3"/>
  <c r="AL36" i="3"/>
  <c r="AM36" i="3"/>
  <c r="AN36" i="3"/>
  <c r="AO36" i="3"/>
  <c r="AF37" i="3"/>
  <c r="AG37" i="3"/>
  <c r="AH37" i="3"/>
  <c r="AI37" i="3"/>
  <c r="AJ37" i="3"/>
  <c r="AK37" i="3"/>
  <c r="AL37" i="3"/>
  <c r="AM37" i="3"/>
  <c r="AN37" i="3"/>
  <c r="AO37" i="3"/>
  <c r="AF38" i="3"/>
  <c r="AG38" i="3"/>
  <c r="AH38" i="3"/>
  <c r="AI38" i="3"/>
  <c r="AJ38" i="3"/>
  <c r="AK38" i="3"/>
  <c r="AL38" i="3"/>
  <c r="AM38" i="3"/>
  <c r="AN38" i="3"/>
  <c r="AO38" i="3"/>
  <c r="AF39" i="3"/>
  <c r="AG39" i="3"/>
  <c r="AH39" i="3"/>
  <c r="AI39" i="3"/>
  <c r="AJ39" i="3"/>
  <c r="AK39" i="3"/>
  <c r="AL39" i="3"/>
  <c r="AM39" i="3"/>
  <c r="AN39" i="3"/>
  <c r="AO39" i="3"/>
  <c r="AF40" i="3"/>
  <c r="AG40" i="3"/>
  <c r="AH40" i="3"/>
  <c r="AI40" i="3"/>
  <c r="AJ40" i="3"/>
  <c r="AK40" i="3"/>
  <c r="AL40" i="3"/>
  <c r="AM40" i="3"/>
  <c r="AN40" i="3"/>
  <c r="AO40" i="3"/>
  <c r="AF41" i="3"/>
  <c r="AG41" i="3"/>
  <c r="AH41" i="3"/>
  <c r="AI41" i="3"/>
  <c r="AJ41" i="3"/>
  <c r="AK41" i="3"/>
  <c r="AL41" i="3"/>
  <c r="AM41" i="3"/>
  <c r="AN41" i="3"/>
  <c r="AO41" i="3"/>
  <c r="AF42" i="3"/>
  <c r="AG42" i="3"/>
  <c r="AH42" i="3"/>
  <c r="AI42" i="3"/>
  <c r="AJ42" i="3"/>
  <c r="AK42" i="3"/>
  <c r="AL42" i="3"/>
  <c r="AM42" i="3"/>
  <c r="AN42" i="3"/>
  <c r="AO42" i="3"/>
  <c r="AF43" i="3"/>
  <c r="AG43" i="3"/>
  <c r="AH43" i="3"/>
  <c r="AI43" i="3"/>
  <c r="AJ43" i="3"/>
  <c r="AK43" i="3"/>
  <c r="AL43" i="3"/>
  <c r="AM43" i="3"/>
  <c r="AN43" i="3"/>
  <c r="AO43" i="3"/>
  <c r="AF44" i="3"/>
  <c r="AG44" i="3"/>
  <c r="AH44" i="3"/>
  <c r="AI44" i="3"/>
  <c r="AJ44" i="3"/>
  <c r="AK44" i="3"/>
  <c r="AL44" i="3"/>
  <c r="AM44" i="3"/>
  <c r="AN44" i="3"/>
  <c r="AO44" i="3"/>
  <c r="AF45" i="3"/>
  <c r="AG45" i="3"/>
  <c r="AH45" i="3"/>
  <c r="AI45" i="3"/>
  <c r="AJ45" i="3"/>
  <c r="AK45" i="3"/>
  <c r="AL45" i="3"/>
  <c r="AM45" i="3"/>
  <c r="AN45" i="3"/>
  <c r="AO45" i="3"/>
  <c r="AF46" i="3"/>
  <c r="AG46" i="3"/>
  <c r="AH46" i="3"/>
  <c r="AI46" i="3"/>
  <c r="AJ46" i="3"/>
  <c r="AK46" i="3"/>
  <c r="AL46" i="3"/>
  <c r="AM46" i="3"/>
  <c r="AN46" i="3"/>
  <c r="AO46" i="3"/>
  <c r="AF47" i="3"/>
  <c r="AG47" i="3"/>
  <c r="AH47" i="3"/>
  <c r="AI47" i="3"/>
  <c r="AJ47" i="3"/>
  <c r="AK47" i="3"/>
  <c r="AL47" i="3"/>
  <c r="AM47" i="3"/>
  <c r="AN47" i="3"/>
  <c r="AO47" i="3"/>
  <c r="AF48" i="3"/>
  <c r="AG48" i="3"/>
  <c r="AH48" i="3"/>
  <c r="AI48" i="3"/>
  <c r="AJ48" i="3"/>
  <c r="AK48" i="3"/>
  <c r="AL48" i="3"/>
  <c r="AM48" i="3"/>
  <c r="AN48" i="3"/>
  <c r="AO48" i="3"/>
  <c r="AF49" i="3"/>
  <c r="AG49" i="3"/>
  <c r="AH49" i="3"/>
  <c r="AI49" i="3"/>
  <c r="AJ49" i="3"/>
  <c r="AK49" i="3"/>
  <c r="AL49" i="3"/>
  <c r="AM49" i="3"/>
  <c r="AN49" i="3"/>
  <c r="AO49" i="3"/>
  <c r="AF50" i="3"/>
  <c r="AG50" i="3"/>
  <c r="AH50" i="3"/>
  <c r="AI50" i="3"/>
  <c r="AJ50" i="3"/>
  <c r="AK50" i="3"/>
  <c r="AL50" i="3"/>
  <c r="AM50" i="3"/>
  <c r="AN50" i="3"/>
  <c r="AO50" i="3"/>
  <c r="AF51" i="3"/>
  <c r="AG51" i="3"/>
  <c r="AH51" i="3"/>
  <c r="AI51" i="3"/>
  <c r="AJ51" i="3"/>
  <c r="AK51" i="3"/>
  <c r="AL51" i="3"/>
  <c r="AM51" i="3"/>
  <c r="AN51" i="3"/>
  <c r="AO51" i="3"/>
  <c r="AF52" i="3"/>
  <c r="AG52" i="3"/>
  <c r="AH52" i="3"/>
  <c r="AI52" i="3"/>
  <c r="AJ52" i="3"/>
  <c r="AK52" i="3"/>
  <c r="AL52" i="3"/>
  <c r="AM52" i="3"/>
  <c r="AN52" i="3"/>
  <c r="AO52" i="3"/>
  <c r="AF53" i="3"/>
  <c r="AG53" i="3"/>
  <c r="AH53" i="3"/>
  <c r="AI53" i="3"/>
  <c r="AJ53" i="3"/>
  <c r="AK53" i="3"/>
  <c r="AL53" i="3"/>
  <c r="AM53" i="3"/>
  <c r="AN53" i="3"/>
  <c r="AO53" i="3"/>
  <c r="AF54" i="3"/>
  <c r="AG54" i="3"/>
  <c r="AH54" i="3"/>
  <c r="AI54" i="3"/>
  <c r="AJ54" i="3"/>
  <c r="AK54" i="3"/>
  <c r="AL54" i="3"/>
  <c r="AM54" i="3"/>
  <c r="AN54" i="3"/>
  <c r="AO54" i="3"/>
  <c r="AF55" i="3"/>
  <c r="AG55" i="3"/>
  <c r="AH55" i="3"/>
  <c r="AI55" i="3"/>
  <c r="AJ55" i="3"/>
  <c r="AK55" i="3"/>
  <c r="AL55" i="3"/>
  <c r="AM55" i="3"/>
  <c r="AN55" i="3"/>
  <c r="AO55" i="3"/>
  <c r="AF56" i="3"/>
  <c r="AG56" i="3"/>
  <c r="AH56" i="3"/>
  <c r="AI56" i="3"/>
  <c r="AJ56" i="3"/>
  <c r="AK56" i="3"/>
  <c r="AL56" i="3"/>
  <c r="AM56" i="3"/>
  <c r="AN56" i="3"/>
  <c r="AO56" i="3"/>
  <c r="AF57" i="3"/>
  <c r="AG57" i="3"/>
  <c r="AH57" i="3"/>
  <c r="AI57" i="3"/>
  <c r="AJ57" i="3"/>
  <c r="AK57" i="3"/>
  <c r="AL57" i="3"/>
  <c r="AM57" i="3"/>
  <c r="AN57" i="3"/>
  <c r="AO57" i="3"/>
  <c r="AF58" i="3"/>
  <c r="AG58" i="3"/>
  <c r="AH58" i="3"/>
  <c r="AI58" i="3"/>
  <c r="AJ58" i="3"/>
  <c r="AK58" i="3"/>
  <c r="AL58" i="3"/>
  <c r="AM58" i="3"/>
  <c r="AN58" i="3"/>
  <c r="AO58" i="3"/>
  <c r="AF59" i="3"/>
  <c r="AG59" i="3"/>
  <c r="AH59" i="3"/>
  <c r="AI59" i="3"/>
  <c r="AJ59" i="3"/>
  <c r="AK59" i="3"/>
  <c r="AL59" i="3"/>
  <c r="AM59" i="3"/>
  <c r="AN59" i="3"/>
  <c r="AO59" i="3"/>
  <c r="AF60" i="3"/>
  <c r="AG60" i="3"/>
  <c r="AH60" i="3"/>
  <c r="AI60" i="3"/>
  <c r="AJ60" i="3"/>
  <c r="AK60" i="3"/>
  <c r="AL60" i="3"/>
  <c r="AM60" i="3"/>
  <c r="AN60" i="3"/>
  <c r="AO60" i="3"/>
  <c r="AF61" i="3"/>
  <c r="AG61" i="3"/>
  <c r="AH61" i="3"/>
  <c r="AI61" i="3"/>
  <c r="AJ61" i="3"/>
  <c r="AK61" i="3"/>
  <c r="AL61" i="3"/>
  <c r="AM61" i="3"/>
  <c r="AN61" i="3"/>
  <c r="AO61" i="3"/>
  <c r="AF62" i="3"/>
  <c r="AG62" i="3"/>
  <c r="AH62" i="3"/>
  <c r="AI62" i="3"/>
  <c r="AJ62" i="3"/>
  <c r="AK62" i="3"/>
  <c r="AL62" i="3"/>
  <c r="AM62" i="3"/>
  <c r="AN62" i="3"/>
  <c r="AO62" i="3"/>
  <c r="AF63" i="3"/>
  <c r="AG63" i="3"/>
  <c r="AH63" i="3"/>
  <c r="AI63" i="3"/>
  <c r="AJ63" i="3"/>
  <c r="AK63" i="3"/>
  <c r="AL63" i="3"/>
  <c r="AM63" i="3"/>
  <c r="AN63" i="3"/>
  <c r="AO63" i="3"/>
  <c r="AF64" i="3"/>
  <c r="AG64" i="3"/>
  <c r="AH64" i="3"/>
  <c r="AI64" i="3"/>
  <c r="AJ64" i="3"/>
  <c r="AK64" i="3"/>
  <c r="AL64" i="3"/>
  <c r="AM64" i="3"/>
  <c r="AN64" i="3"/>
  <c r="AO64" i="3"/>
  <c r="AF65" i="3"/>
  <c r="AG65" i="3"/>
  <c r="AH65" i="3"/>
  <c r="AI65" i="3"/>
  <c r="AJ65" i="3"/>
  <c r="AK65" i="3"/>
  <c r="AL65" i="3"/>
  <c r="AM65" i="3"/>
  <c r="AN65" i="3"/>
  <c r="AO65" i="3"/>
  <c r="AF66" i="3"/>
  <c r="AG66" i="3"/>
  <c r="AH66" i="3"/>
  <c r="AI66" i="3"/>
  <c r="AJ66" i="3"/>
  <c r="AK66" i="3"/>
  <c r="AL66" i="3"/>
  <c r="AM66" i="3"/>
  <c r="AN66" i="3"/>
  <c r="AO66" i="3"/>
  <c r="AF67" i="3"/>
  <c r="AG67" i="3"/>
  <c r="AH67" i="3"/>
  <c r="AI67" i="3"/>
  <c r="AJ67" i="3"/>
  <c r="AK67" i="3"/>
  <c r="AL67" i="3"/>
  <c r="AM67" i="3"/>
  <c r="AN67" i="3"/>
  <c r="AO67" i="3"/>
  <c r="AF68" i="3"/>
  <c r="AG68" i="3"/>
  <c r="AH68" i="3"/>
  <c r="AI68" i="3"/>
  <c r="AJ68" i="3"/>
  <c r="AK68" i="3"/>
  <c r="AL68" i="3"/>
  <c r="AM68" i="3"/>
  <c r="AN68" i="3"/>
  <c r="AO68" i="3"/>
  <c r="AF69" i="3"/>
  <c r="AG69" i="3"/>
  <c r="AH69" i="3"/>
  <c r="AI69" i="3"/>
  <c r="AJ69" i="3"/>
  <c r="AK69" i="3"/>
  <c r="AL69" i="3"/>
  <c r="AM69" i="3"/>
  <c r="AN69" i="3"/>
  <c r="AO69" i="3"/>
  <c r="AF70" i="3"/>
  <c r="AG70" i="3"/>
  <c r="AH70" i="3"/>
  <c r="AI70" i="3"/>
  <c r="AJ70" i="3"/>
  <c r="AK70" i="3"/>
  <c r="AL70" i="3"/>
  <c r="AM70" i="3"/>
  <c r="AN70" i="3"/>
  <c r="AO70" i="3"/>
  <c r="AF71" i="3"/>
  <c r="AG71" i="3"/>
  <c r="AH71" i="3"/>
  <c r="AI71" i="3"/>
  <c r="AJ71" i="3"/>
  <c r="AK71" i="3"/>
  <c r="AL71" i="3"/>
  <c r="AM71" i="3"/>
  <c r="AN71" i="3"/>
  <c r="AO71" i="3"/>
  <c r="AF72" i="3"/>
  <c r="AG72" i="3"/>
  <c r="AH72" i="3"/>
  <c r="AI72" i="3"/>
  <c r="AJ72" i="3"/>
  <c r="AK72" i="3"/>
  <c r="AL72" i="3"/>
  <c r="AM72" i="3"/>
  <c r="AN72" i="3"/>
  <c r="AO72" i="3"/>
  <c r="AF73" i="3"/>
  <c r="AG73" i="3"/>
  <c r="AH73" i="3"/>
  <c r="AI73" i="3"/>
  <c r="AJ73" i="3"/>
  <c r="AK73" i="3"/>
  <c r="AL73" i="3"/>
  <c r="AM73" i="3"/>
  <c r="AN73" i="3"/>
  <c r="AO73" i="3"/>
  <c r="AF74" i="3"/>
  <c r="AG74" i="3"/>
  <c r="AH74" i="3"/>
  <c r="AI74" i="3"/>
  <c r="AJ74" i="3"/>
  <c r="AK74" i="3"/>
  <c r="AL74" i="3"/>
  <c r="AM74" i="3"/>
  <c r="AN74" i="3"/>
  <c r="AO74" i="3"/>
  <c r="AF75" i="3"/>
  <c r="AG75" i="3"/>
  <c r="AH75" i="3"/>
  <c r="Q69" i="2" s="1"/>
  <c r="AI75" i="3"/>
  <c r="AJ75" i="3"/>
  <c r="AK75" i="3"/>
  <c r="AL75" i="3"/>
  <c r="AM75" i="3"/>
  <c r="AN75" i="3"/>
  <c r="AO75" i="3"/>
  <c r="AF76" i="3"/>
  <c r="O70" i="2" s="1"/>
  <c r="AG76" i="3"/>
  <c r="AH76" i="3"/>
  <c r="AI76" i="3"/>
  <c r="AJ76" i="3"/>
  <c r="AK76" i="3"/>
  <c r="AL76" i="3"/>
  <c r="AM76" i="3"/>
  <c r="AN76" i="3"/>
  <c r="AO76" i="3"/>
  <c r="AF77" i="3"/>
  <c r="AG77" i="3"/>
  <c r="AH77" i="3"/>
  <c r="AI77" i="3"/>
  <c r="AJ77" i="3"/>
  <c r="AK77" i="3"/>
  <c r="AL77" i="3"/>
  <c r="AM77" i="3"/>
  <c r="AN77" i="3"/>
  <c r="AO77" i="3"/>
  <c r="AF78" i="3"/>
  <c r="AG78" i="3"/>
  <c r="AH78" i="3"/>
  <c r="AI78" i="3"/>
  <c r="AJ78" i="3"/>
  <c r="AK78" i="3"/>
  <c r="AL78" i="3"/>
  <c r="AM78" i="3"/>
  <c r="AN78" i="3"/>
  <c r="AO78" i="3"/>
  <c r="AF79" i="3"/>
  <c r="AG79" i="3"/>
  <c r="AH79" i="3"/>
  <c r="Q73" i="2" s="1"/>
  <c r="AI79" i="3"/>
  <c r="AJ79" i="3"/>
  <c r="AK79" i="3"/>
  <c r="AL79" i="3"/>
  <c r="AM79" i="3"/>
  <c r="AN79" i="3"/>
  <c r="AO79" i="3"/>
  <c r="AF80" i="3"/>
  <c r="O74" i="2" s="1"/>
  <c r="AG80" i="3"/>
  <c r="AH80" i="3"/>
  <c r="AI80" i="3"/>
  <c r="AJ80" i="3"/>
  <c r="AK80" i="3"/>
  <c r="AL80" i="3"/>
  <c r="AM80" i="3"/>
  <c r="AN80" i="3"/>
  <c r="AO80" i="3"/>
  <c r="AF81" i="3"/>
  <c r="AG81" i="3"/>
  <c r="AH81" i="3"/>
  <c r="Q75" i="2" s="1"/>
  <c r="AI81" i="3"/>
  <c r="AJ81" i="3"/>
  <c r="AK81" i="3"/>
  <c r="AL81" i="3"/>
  <c r="AM81" i="3"/>
  <c r="AN81" i="3"/>
  <c r="AO81" i="3"/>
  <c r="AF82" i="3"/>
  <c r="AG82" i="3"/>
  <c r="AH82" i="3"/>
  <c r="AI82" i="3"/>
  <c r="AJ82" i="3"/>
  <c r="AK82" i="3"/>
  <c r="AL82" i="3"/>
  <c r="AM82" i="3"/>
  <c r="AN82" i="3"/>
  <c r="AO82" i="3"/>
  <c r="AF83" i="3"/>
  <c r="AG83" i="3"/>
  <c r="AH83" i="3"/>
  <c r="Q77" i="2" s="1"/>
  <c r="AI83" i="3"/>
  <c r="AJ83" i="3"/>
  <c r="AK83" i="3"/>
  <c r="AL83" i="3"/>
  <c r="AM83" i="3"/>
  <c r="AN83" i="3"/>
  <c r="AO83" i="3"/>
  <c r="AF84" i="3"/>
  <c r="O78" i="2" s="1"/>
  <c r="AG84" i="3"/>
  <c r="AH84" i="3"/>
  <c r="AI84" i="3"/>
  <c r="AJ84" i="3"/>
  <c r="AK84" i="3"/>
  <c r="AL84" i="3"/>
  <c r="AM84" i="3"/>
  <c r="AN84" i="3"/>
  <c r="AO84" i="3"/>
  <c r="AF85" i="3"/>
  <c r="AG85" i="3"/>
  <c r="AH85" i="3"/>
  <c r="Q79" i="2" s="1"/>
  <c r="AI85" i="3"/>
  <c r="AJ85" i="3"/>
  <c r="AK85" i="3"/>
  <c r="AL85" i="3"/>
  <c r="AM85" i="3"/>
  <c r="AN85" i="3"/>
  <c r="AO85" i="3"/>
  <c r="AF86" i="3"/>
  <c r="AG86" i="3"/>
  <c r="AH86" i="3"/>
  <c r="AI86" i="3"/>
  <c r="AJ86" i="3"/>
  <c r="AK86" i="3"/>
  <c r="AL86" i="3"/>
  <c r="AM86" i="3"/>
  <c r="AN86" i="3"/>
  <c r="AO86" i="3"/>
  <c r="AF87" i="3"/>
  <c r="AG87" i="3"/>
  <c r="AH87" i="3"/>
  <c r="Q81" i="2" s="1"/>
  <c r="AI87" i="3"/>
  <c r="AJ87" i="3"/>
  <c r="AK87" i="3"/>
  <c r="AL87" i="3"/>
  <c r="AM87" i="3"/>
  <c r="AN87" i="3"/>
  <c r="AO87" i="3"/>
  <c r="AF88" i="3"/>
  <c r="O82" i="2" s="1"/>
  <c r="AG88" i="3"/>
  <c r="AH88" i="3"/>
  <c r="AI88" i="3"/>
  <c r="AJ88" i="3"/>
  <c r="AK88" i="3"/>
  <c r="AL88" i="3"/>
  <c r="AM88" i="3"/>
  <c r="AN88" i="3"/>
  <c r="AO88" i="3"/>
  <c r="AF89" i="3"/>
  <c r="AG89" i="3"/>
  <c r="AH89" i="3"/>
  <c r="Q83" i="2" s="1"/>
  <c r="AI89" i="3"/>
  <c r="AJ89" i="3"/>
  <c r="AK89" i="3"/>
  <c r="AL89" i="3"/>
  <c r="AM89" i="3"/>
  <c r="AN89" i="3"/>
  <c r="AO89" i="3"/>
  <c r="AF90" i="3"/>
  <c r="AG90" i="3"/>
  <c r="AH90" i="3"/>
  <c r="AI90" i="3"/>
  <c r="AJ90" i="3"/>
  <c r="AK90" i="3"/>
  <c r="AL90" i="3"/>
  <c r="AM90" i="3"/>
  <c r="AN90" i="3"/>
  <c r="AO90" i="3"/>
  <c r="AF91" i="3"/>
  <c r="AG91" i="3"/>
  <c r="AH91" i="3"/>
  <c r="Q85" i="2" s="1"/>
  <c r="AI91" i="3"/>
  <c r="AJ91" i="3"/>
  <c r="AK91" i="3"/>
  <c r="AL91" i="3"/>
  <c r="AM91" i="3"/>
  <c r="AN91" i="3"/>
  <c r="AO91" i="3"/>
  <c r="AF92" i="3"/>
  <c r="O86" i="2" s="1"/>
  <c r="AG92" i="3"/>
  <c r="AH92" i="3"/>
  <c r="AI92" i="3"/>
  <c r="AJ92" i="3"/>
  <c r="AK92" i="3"/>
  <c r="AL92" i="3"/>
  <c r="AM92" i="3"/>
  <c r="AN92" i="3"/>
  <c r="AO92" i="3"/>
  <c r="AF93" i="3"/>
  <c r="AG93" i="3"/>
  <c r="AH93" i="3"/>
  <c r="Q87" i="2" s="1"/>
  <c r="AI93" i="3"/>
  <c r="AJ93" i="3"/>
  <c r="AK93" i="3"/>
  <c r="AL93" i="3"/>
  <c r="AM93" i="3"/>
  <c r="AN93" i="3"/>
  <c r="AO93" i="3"/>
  <c r="AF94" i="3"/>
  <c r="AG94" i="3"/>
  <c r="AH94" i="3"/>
  <c r="AI94" i="3"/>
  <c r="AJ94" i="3"/>
  <c r="AK94" i="3"/>
  <c r="AL94" i="3"/>
  <c r="AM94" i="3"/>
  <c r="AN94" i="3"/>
  <c r="AO94" i="3"/>
  <c r="AF95" i="3"/>
  <c r="AG95" i="3"/>
  <c r="AH95" i="3"/>
  <c r="Q89" i="2" s="1"/>
  <c r="AI95" i="3"/>
  <c r="AJ95" i="3"/>
  <c r="AK95" i="3"/>
  <c r="AL95" i="3"/>
  <c r="AM95" i="3"/>
  <c r="AN95" i="3"/>
  <c r="AO95" i="3"/>
  <c r="AF96" i="3"/>
  <c r="O90" i="2" s="1"/>
  <c r="AG96" i="3"/>
  <c r="AH96" i="3"/>
  <c r="AI96" i="3"/>
  <c r="AJ96" i="3"/>
  <c r="AK96" i="3"/>
  <c r="AL96" i="3"/>
  <c r="AM96" i="3"/>
  <c r="AN96" i="3"/>
  <c r="AO96" i="3"/>
  <c r="AF97" i="3"/>
  <c r="AG97" i="3"/>
  <c r="AH97" i="3"/>
  <c r="Q91" i="2" s="1"/>
  <c r="AI97" i="3"/>
  <c r="AJ97" i="3"/>
  <c r="AK97" i="3"/>
  <c r="AL97" i="3"/>
  <c r="AM97" i="3"/>
  <c r="AN97" i="3"/>
  <c r="AO97" i="3"/>
  <c r="AF98" i="3"/>
  <c r="AG98" i="3"/>
  <c r="AH98" i="3"/>
  <c r="AI98" i="3"/>
  <c r="AJ98" i="3"/>
  <c r="AK98" i="3"/>
  <c r="AL98" i="3"/>
  <c r="AM98" i="3"/>
  <c r="AN98" i="3"/>
  <c r="AO98" i="3"/>
  <c r="AF99" i="3"/>
  <c r="AG99" i="3"/>
  <c r="AH99" i="3"/>
  <c r="Q93" i="2" s="1"/>
  <c r="AI99" i="3"/>
  <c r="AJ99" i="3"/>
  <c r="AK99" i="3"/>
  <c r="AL99" i="3"/>
  <c r="AM99" i="3"/>
  <c r="AN99" i="3"/>
  <c r="AO99" i="3"/>
  <c r="AF100" i="3"/>
  <c r="O94" i="2" s="1"/>
  <c r="AG100" i="3"/>
  <c r="AH100" i="3"/>
  <c r="Q94" i="2" s="1"/>
  <c r="AI100" i="3"/>
  <c r="AJ100" i="3"/>
  <c r="AK100" i="3"/>
  <c r="AL100" i="3"/>
  <c r="AM100" i="3"/>
  <c r="AN100" i="3"/>
  <c r="AO100" i="3"/>
  <c r="AF101" i="3"/>
  <c r="AG101" i="3"/>
  <c r="AH101" i="3"/>
  <c r="Q95" i="2" s="1"/>
  <c r="AI101" i="3"/>
  <c r="AJ101" i="3"/>
  <c r="AK101" i="3"/>
  <c r="AL101" i="3"/>
  <c r="AM101" i="3"/>
  <c r="AN101" i="3"/>
  <c r="AO101" i="3"/>
  <c r="AF102" i="3"/>
  <c r="AG102" i="3"/>
  <c r="AH102" i="3"/>
  <c r="AI102" i="3"/>
  <c r="AJ102" i="3"/>
  <c r="AK102" i="3"/>
  <c r="AL102" i="3"/>
  <c r="AM102" i="3"/>
  <c r="AN102" i="3"/>
  <c r="AO102" i="3"/>
  <c r="AF103" i="3"/>
  <c r="AG103" i="3"/>
  <c r="AH103" i="3"/>
  <c r="Q97" i="2" s="1"/>
  <c r="AI103" i="3"/>
  <c r="AJ103" i="3"/>
  <c r="AK103" i="3"/>
  <c r="AL103" i="3"/>
  <c r="AM103" i="3"/>
  <c r="AN103" i="3"/>
  <c r="AO103" i="3"/>
  <c r="AF104" i="3"/>
  <c r="O98" i="2" s="1"/>
  <c r="AG104" i="3"/>
  <c r="AH104" i="3"/>
  <c r="Q98" i="2" s="1"/>
  <c r="AI104" i="3"/>
  <c r="AJ104" i="3"/>
  <c r="AK104" i="3"/>
  <c r="AL104" i="3"/>
  <c r="AM104" i="3"/>
  <c r="AN104" i="3"/>
  <c r="P98" i="2" s="1"/>
  <c r="AO104" i="3"/>
  <c r="AF105" i="3"/>
  <c r="AG105" i="3"/>
  <c r="AH105" i="3"/>
  <c r="Q99" i="2" s="1"/>
  <c r="AI105" i="3"/>
  <c r="AJ105" i="3"/>
  <c r="AK105" i="3"/>
  <c r="AL105" i="3"/>
  <c r="AM105" i="3"/>
  <c r="AN105" i="3"/>
  <c r="AO105" i="3"/>
  <c r="AF106" i="3"/>
  <c r="AG106" i="3"/>
  <c r="AH106" i="3"/>
  <c r="Q100" i="2" s="1"/>
  <c r="AI106" i="3"/>
  <c r="AJ106" i="3"/>
  <c r="AK106" i="3"/>
  <c r="AL106" i="3"/>
  <c r="AM106" i="3"/>
  <c r="AN106" i="3"/>
  <c r="AO106" i="3"/>
  <c r="AO11" i="3"/>
  <c r="AN11" i="3"/>
  <c r="AM11" i="3"/>
  <c r="AL11" i="3"/>
  <c r="AK11" i="3"/>
  <c r="AJ11" i="3"/>
  <c r="AI11" i="3"/>
  <c r="AH11" i="3"/>
  <c r="AG11" i="3"/>
  <c r="AF11" i="3"/>
  <c r="V12" i="3"/>
  <c r="W12" i="3"/>
  <c r="X12" i="3"/>
  <c r="Y12" i="3"/>
  <c r="Z12" i="3"/>
  <c r="AA12" i="3"/>
  <c r="AB12" i="3"/>
  <c r="AC12" i="3"/>
  <c r="AD12" i="3"/>
  <c r="AE12" i="3"/>
  <c r="V13" i="3"/>
  <c r="W13" i="3"/>
  <c r="X13" i="3"/>
  <c r="Y13" i="3"/>
  <c r="Z13" i="3"/>
  <c r="AA13" i="3"/>
  <c r="AB13" i="3"/>
  <c r="AC13" i="3"/>
  <c r="AD13" i="3"/>
  <c r="AE13" i="3"/>
  <c r="V14" i="3"/>
  <c r="W14" i="3"/>
  <c r="X14" i="3"/>
  <c r="Y14" i="3"/>
  <c r="Z14" i="3"/>
  <c r="AA14" i="3"/>
  <c r="AB14" i="3"/>
  <c r="AC14" i="3"/>
  <c r="AD14" i="3"/>
  <c r="AE14" i="3"/>
  <c r="V15" i="3"/>
  <c r="W15" i="3"/>
  <c r="X15" i="3"/>
  <c r="Y15" i="3"/>
  <c r="Z15" i="3"/>
  <c r="AA15" i="3"/>
  <c r="AB15" i="3"/>
  <c r="AC15" i="3"/>
  <c r="AD15" i="3"/>
  <c r="AE15" i="3"/>
  <c r="V16" i="3"/>
  <c r="W16" i="3"/>
  <c r="X16" i="3"/>
  <c r="Y16" i="3"/>
  <c r="Z16" i="3"/>
  <c r="AA16" i="3"/>
  <c r="AB16" i="3"/>
  <c r="AC16" i="3"/>
  <c r="AD16" i="3"/>
  <c r="AE16" i="3"/>
  <c r="V17" i="3"/>
  <c r="W17" i="3"/>
  <c r="X17" i="3"/>
  <c r="Y17" i="3"/>
  <c r="Z17" i="3"/>
  <c r="AA17" i="3"/>
  <c r="AB17" i="3"/>
  <c r="AC17" i="3"/>
  <c r="AD17" i="3"/>
  <c r="AE17" i="3"/>
  <c r="V18" i="3"/>
  <c r="W18" i="3"/>
  <c r="X18" i="3"/>
  <c r="Y18" i="3"/>
  <c r="Z18" i="3"/>
  <c r="AA18" i="3"/>
  <c r="AB18" i="3"/>
  <c r="AC18" i="3"/>
  <c r="AD18" i="3"/>
  <c r="AE18" i="3"/>
  <c r="V19" i="3"/>
  <c r="W19" i="3"/>
  <c r="X19" i="3"/>
  <c r="Y19" i="3"/>
  <c r="Z19" i="3"/>
  <c r="AA19" i="3"/>
  <c r="AB19" i="3"/>
  <c r="AC19" i="3"/>
  <c r="AD19" i="3"/>
  <c r="AE19" i="3"/>
  <c r="V20" i="3"/>
  <c r="W20" i="3"/>
  <c r="X20" i="3"/>
  <c r="Y20" i="3"/>
  <c r="Z20" i="3"/>
  <c r="AA20" i="3"/>
  <c r="AB20" i="3"/>
  <c r="AC20" i="3"/>
  <c r="AD20" i="3"/>
  <c r="AE20" i="3"/>
  <c r="V21" i="3"/>
  <c r="W21" i="3"/>
  <c r="X21" i="3"/>
  <c r="Y21" i="3"/>
  <c r="Z21" i="3"/>
  <c r="AA21" i="3"/>
  <c r="AB21" i="3"/>
  <c r="AC21" i="3"/>
  <c r="AD21" i="3"/>
  <c r="AE21" i="3"/>
  <c r="V22" i="3"/>
  <c r="W22" i="3"/>
  <c r="X22" i="3"/>
  <c r="Y22" i="3"/>
  <c r="Z22" i="3"/>
  <c r="AA22" i="3"/>
  <c r="AB22" i="3"/>
  <c r="AC22" i="3"/>
  <c r="AD22" i="3"/>
  <c r="AE22" i="3"/>
  <c r="V23" i="3"/>
  <c r="W23" i="3"/>
  <c r="X23" i="3"/>
  <c r="Y23" i="3"/>
  <c r="Z23" i="3"/>
  <c r="AA23" i="3"/>
  <c r="AB23" i="3"/>
  <c r="AC23" i="3"/>
  <c r="AD23" i="3"/>
  <c r="AE23" i="3"/>
  <c r="V24" i="3"/>
  <c r="W24" i="3"/>
  <c r="X24" i="3"/>
  <c r="Y24" i="3"/>
  <c r="Z24" i="3"/>
  <c r="AA24" i="3"/>
  <c r="AB24" i="3"/>
  <c r="AC24" i="3"/>
  <c r="AD24" i="3"/>
  <c r="AE24" i="3"/>
  <c r="V25" i="3"/>
  <c r="W25" i="3"/>
  <c r="X25" i="3"/>
  <c r="Y25" i="3"/>
  <c r="Z25" i="3"/>
  <c r="AA25" i="3"/>
  <c r="AB25" i="3"/>
  <c r="AC25" i="3"/>
  <c r="AD25" i="3"/>
  <c r="AE25" i="3"/>
  <c r="V26" i="3"/>
  <c r="W26" i="3"/>
  <c r="X26" i="3"/>
  <c r="Y26" i="3"/>
  <c r="Z26" i="3"/>
  <c r="AA26" i="3"/>
  <c r="AB26" i="3"/>
  <c r="AC26" i="3"/>
  <c r="AD26" i="3"/>
  <c r="AE26" i="3"/>
  <c r="V27" i="3"/>
  <c r="W27" i="3"/>
  <c r="X27" i="3"/>
  <c r="Y27" i="3"/>
  <c r="Z27" i="3"/>
  <c r="AA27" i="3"/>
  <c r="AB27" i="3"/>
  <c r="AC27" i="3"/>
  <c r="AD27" i="3"/>
  <c r="AE27" i="3"/>
  <c r="V28" i="3"/>
  <c r="W28" i="3"/>
  <c r="X28" i="3"/>
  <c r="Y28" i="3"/>
  <c r="Z28" i="3"/>
  <c r="AA28" i="3"/>
  <c r="AB28" i="3"/>
  <c r="AC28" i="3"/>
  <c r="AD28" i="3"/>
  <c r="AE28" i="3"/>
  <c r="V29" i="3"/>
  <c r="W29" i="3"/>
  <c r="X29" i="3"/>
  <c r="Y29" i="3"/>
  <c r="Z29" i="3"/>
  <c r="AA29" i="3"/>
  <c r="AB29" i="3"/>
  <c r="AC29" i="3"/>
  <c r="AD29" i="3"/>
  <c r="AE29" i="3"/>
  <c r="V30" i="3"/>
  <c r="W30" i="3"/>
  <c r="X30" i="3"/>
  <c r="Y30" i="3"/>
  <c r="Z30" i="3"/>
  <c r="AA30" i="3"/>
  <c r="AB30" i="3"/>
  <c r="AC30" i="3"/>
  <c r="AD30" i="3"/>
  <c r="AE30" i="3"/>
  <c r="V31" i="3"/>
  <c r="W31" i="3"/>
  <c r="X31" i="3"/>
  <c r="Y31" i="3"/>
  <c r="Z31" i="3"/>
  <c r="AA31" i="3"/>
  <c r="AB31" i="3"/>
  <c r="AC31" i="3"/>
  <c r="AD31" i="3"/>
  <c r="AE31" i="3"/>
  <c r="V32" i="3"/>
  <c r="W32" i="3"/>
  <c r="X32" i="3"/>
  <c r="Y32" i="3"/>
  <c r="Z32" i="3"/>
  <c r="AA32" i="3"/>
  <c r="AB32" i="3"/>
  <c r="AC32" i="3"/>
  <c r="AD32" i="3"/>
  <c r="AE32" i="3"/>
  <c r="V33" i="3"/>
  <c r="W33" i="3"/>
  <c r="X33" i="3"/>
  <c r="Y33" i="3"/>
  <c r="Z33" i="3"/>
  <c r="AA33" i="3"/>
  <c r="AB33" i="3"/>
  <c r="AC33" i="3"/>
  <c r="AD33" i="3"/>
  <c r="AE33" i="3"/>
  <c r="V34" i="3"/>
  <c r="W34" i="3"/>
  <c r="X34" i="3"/>
  <c r="Y34" i="3"/>
  <c r="Z34" i="3"/>
  <c r="AA34" i="3"/>
  <c r="AB34" i="3"/>
  <c r="AC34" i="3"/>
  <c r="AD34" i="3"/>
  <c r="AE34" i="3"/>
  <c r="V35" i="3"/>
  <c r="W35" i="3"/>
  <c r="X35" i="3"/>
  <c r="Y35" i="3"/>
  <c r="Z35" i="3"/>
  <c r="AA35" i="3"/>
  <c r="AB35" i="3"/>
  <c r="AC35" i="3"/>
  <c r="AD35" i="3"/>
  <c r="AE35" i="3"/>
  <c r="V36" i="3"/>
  <c r="W36" i="3"/>
  <c r="X36" i="3"/>
  <c r="Y36" i="3"/>
  <c r="Z36" i="3"/>
  <c r="AA36" i="3"/>
  <c r="AB36" i="3"/>
  <c r="AC36" i="3"/>
  <c r="AD36" i="3"/>
  <c r="AE36" i="3"/>
  <c r="V37" i="3"/>
  <c r="W37" i="3"/>
  <c r="X37" i="3"/>
  <c r="Y37" i="3"/>
  <c r="Z37" i="3"/>
  <c r="AA37" i="3"/>
  <c r="AB37" i="3"/>
  <c r="AC37" i="3"/>
  <c r="AD37" i="3"/>
  <c r="AE37" i="3"/>
  <c r="V38" i="3"/>
  <c r="W38" i="3"/>
  <c r="X38" i="3"/>
  <c r="Y38" i="3"/>
  <c r="Z38" i="3"/>
  <c r="AA38" i="3"/>
  <c r="AB38" i="3"/>
  <c r="AC38" i="3"/>
  <c r="AD38" i="3"/>
  <c r="AE38" i="3"/>
  <c r="V39" i="3"/>
  <c r="W39" i="3"/>
  <c r="X39" i="3"/>
  <c r="Y39" i="3"/>
  <c r="Z39" i="3"/>
  <c r="AA39" i="3"/>
  <c r="AB39" i="3"/>
  <c r="AC39" i="3"/>
  <c r="AD39" i="3"/>
  <c r="AE39" i="3"/>
  <c r="V40" i="3"/>
  <c r="W40" i="3"/>
  <c r="X40" i="3"/>
  <c r="Y40" i="3"/>
  <c r="Z40" i="3"/>
  <c r="AA40" i="3"/>
  <c r="AB40" i="3"/>
  <c r="AC40" i="3"/>
  <c r="AD40" i="3"/>
  <c r="AE40" i="3"/>
  <c r="V41" i="3"/>
  <c r="W41" i="3"/>
  <c r="X41" i="3"/>
  <c r="Y41" i="3"/>
  <c r="Z41" i="3"/>
  <c r="AA41" i="3"/>
  <c r="AB41" i="3"/>
  <c r="AC41" i="3"/>
  <c r="AD41" i="3"/>
  <c r="AE41" i="3"/>
  <c r="V42" i="3"/>
  <c r="W42" i="3"/>
  <c r="X42" i="3"/>
  <c r="Y42" i="3"/>
  <c r="Z42" i="3"/>
  <c r="AA42" i="3"/>
  <c r="AB42" i="3"/>
  <c r="AC42" i="3"/>
  <c r="AD42" i="3"/>
  <c r="AE42" i="3"/>
  <c r="V43" i="3"/>
  <c r="W43" i="3"/>
  <c r="X43" i="3"/>
  <c r="Y43" i="3"/>
  <c r="Z43" i="3"/>
  <c r="AA43" i="3"/>
  <c r="AB43" i="3"/>
  <c r="AC43" i="3"/>
  <c r="AD43" i="3"/>
  <c r="AE43" i="3"/>
  <c r="V44" i="3"/>
  <c r="W44" i="3"/>
  <c r="X44" i="3"/>
  <c r="Y44" i="3"/>
  <c r="Z44" i="3"/>
  <c r="AA44" i="3"/>
  <c r="AB44" i="3"/>
  <c r="AC44" i="3"/>
  <c r="AD44" i="3"/>
  <c r="AE44" i="3"/>
  <c r="V45" i="3"/>
  <c r="W45" i="3"/>
  <c r="X45" i="3"/>
  <c r="Y45" i="3"/>
  <c r="Z45" i="3"/>
  <c r="AA45" i="3"/>
  <c r="AB45" i="3"/>
  <c r="AC45" i="3"/>
  <c r="AD45" i="3"/>
  <c r="AE45" i="3"/>
  <c r="V46" i="3"/>
  <c r="W46" i="3"/>
  <c r="X46" i="3"/>
  <c r="Y46" i="3"/>
  <c r="Z46" i="3"/>
  <c r="AA46" i="3"/>
  <c r="AB46" i="3"/>
  <c r="AC46" i="3"/>
  <c r="AD46" i="3"/>
  <c r="AE46" i="3"/>
  <c r="V47" i="3"/>
  <c r="W47" i="3"/>
  <c r="X47" i="3"/>
  <c r="Y47" i="3"/>
  <c r="Z47" i="3"/>
  <c r="AA47" i="3"/>
  <c r="AB47" i="3"/>
  <c r="AC47" i="3"/>
  <c r="AD47" i="3"/>
  <c r="AE47" i="3"/>
  <c r="V48" i="3"/>
  <c r="W48" i="3"/>
  <c r="X48" i="3"/>
  <c r="Y48" i="3"/>
  <c r="Z48" i="3"/>
  <c r="AA48" i="3"/>
  <c r="AB48" i="3"/>
  <c r="AC48" i="3"/>
  <c r="AD48" i="3"/>
  <c r="AE48" i="3"/>
  <c r="V49" i="3"/>
  <c r="W49" i="3"/>
  <c r="X49" i="3"/>
  <c r="Y49" i="3"/>
  <c r="Z49" i="3"/>
  <c r="AA49" i="3"/>
  <c r="AB49" i="3"/>
  <c r="AC49" i="3"/>
  <c r="AD49" i="3"/>
  <c r="AE49" i="3"/>
  <c r="V50" i="3"/>
  <c r="W50" i="3"/>
  <c r="X50" i="3"/>
  <c r="Y50" i="3"/>
  <c r="Z50" i="3"/>
  <c r="AA50" i="3"/>
  <c r="AB50" i="3"/>
  <c r="AC50" i="3"/>
  <c r="AD50" i="3"/>
  <c r="AE50" i="3"/>
  <c r="V51" i="3"/>
  <c r="W51" i="3"/>
  <c r="X51" i="3"/>
  <c r="Y51" i="3"/>
  <c r="Z51" i="3"/>
  <c r="AA51" i="3"/>
  <c r="AB51" i="3"/>
  <c r="AC51" i="3"/>
  <c r="AD51" i="3"/>
  <c r="AE51" i="3"/>
  <c r="V52" i="3"/>
  <c r="W52" i="3"/>
  <c r="X52" i="3"/>
  <c r="Y52" i="3"/>
  <c r="Z52" i="3"/>
  <c r="AA52" i="3"/>
  <c r="AB52" i="3"/>
  <c r="AC52" i="3"/>
  <c r="AD52" i="3"/>
  <c r="AE52" i="3"/>
  <c r="V53" i="3"/>
  <c r="W53" i="3"/>
  <c r="X53" i="3"/>
  <c r="Y53" i="3"/>
  <c r="Z53" i="3"/>
  <c r="AA53" i="3"/>
  <c r="AB53" i="3"/>
  <c r="AC53" i="3"/>
  <c r="AD53" i="3"/>
  <c r="AE53" i="3"/>
  <c r="V54" i="3"/>
  <c r="W54" i="3"/>
  <c r="X54" i="3"/>
  <c r="Y54" i="3"/>
  <c r="Z54" i="3"/>
  <c r="AA54" i="3"/>
  <c r="AB54" i="3"/>
  <c r="AC54" i="3"/>
  <c r="AD54" i="3"/>
  <c r="AE54" i="3"/>
  <c r="V55" i="3"/>
  <c r="W55" i="3"/>
  <c r="X55" i="3"/>
  <c r="Y55" i="3"/>
  <c r="Z55" i="3"/>
  <c r="AA55" i="3"/>
  <c r="AB55" i="3"/>
  <c r="AC55" i="3"/>
  <c r="AD55" i="3"/>
  <c r="AE55" i="3"/>
  <c r="V56" i="3"/>
  <c r="W56" i="3"/>
  <c r="X56" i="3"/>
  <c r="Y56" i="3"/>
  <c r="Z56" i="3"/>
  <c r="AA56" i="3"/>
  <c r="AB56" i="3"/>
  <c r="AC56" i="3"/>
  <c r="AD56" i="3"/>
  <c r="AE56" i="3"/>
  <c r="V57" i="3"/>
  <c r="W57" i="3"/>
  <c r="X57" i="3"/>
  <c r="Y57" i="3"/>
  <c r="Z57" i="3"/>
  <c r="AA57" i="3"/>
  <c r="AB57" i="3"/>
  <c r="AC57" i="3"/>
  <c r="AD57" i="3"/>
  <c r="AE57" i="3"/>
  <c r="V58" i="3"/>
  <c r="W58" i="3"/>
  <c r="X58" i="3"/>
  <c r="Y58" i="3"/>
  <c r="Z58" i="3"/>
  <c r="AA58" i="3"/>
  <c r="AB58" i="3"/>
  <c r="AC58" i="3"/>
  <c r="AD58" i="3"/>
  <c r="AE58" i="3"/>
  <c r="V59" i="3"/>
  <c r="W59" i="3"/>
  <c r="X59" i="3"/>
  <c r="Y59" i="3"/>
  <c r="Z59" i="3"/>
  <c r="AA59" i="3"/>
  <c r="AB59" i="3"/>
  <c r="AC59" i="3"/>
  <c r="AD59" i="3"/>
  <c r="AE59" i="3"/>
  <c r="V60" i="3"/>
  <c r="W60" i="3"/>
  <c r="X60" i="3"/>
  <c r="Y60" i="3"/>
  <c r="Z60" i="3"/>
  <c r="AA60" i="3"/>
  <c r="AB60" i="3"/>
  <c r="AC60" i="3"/>
  <c r="AD60" i="3"/>
  <c r="AE60" i="3"/>
  <c r="V61" i="3"/>
  <c r="W61" i="3"/>
  <c r="X61" i="3"/>
  <c r="Y61" i="3"/>
  <c r="Z61" i="3"/>
  <c r="AA61" i="3"/>
  <c r="AB61" i="3"/>
  <c r="AC61" i="3"/>
  <c r="AD61" i="3"/>
  <c r="AE61" i="3"/>
  <c r="V62" i="3"/>
  <c r="W62" i="3"/>
  <c r="X62" i="3"/>
  <c r="Y62" i="3"/>
  <c r="Z62" i="3"/>
  <c r="AA62" i="3"/>
  <c r="AB62" i="3"/>
  <c r="AC62" i="3"/>
  <c r="AD62" i="3"/>
  <c r="AE62" i="3"/>
  <c r="V63" i="3"/>
  <c r="W63" i="3"/>
  <c r="X63" i="3"/>
  <c r="Y63" i="3"/>
  <c r="Z63" i="3"/>
  <c r="AA63" i="3"/>
  <c r="AB63" i="3"/>
  <c r="AC63" i="3"/>
  <c r="AD63" i="3"/>
  <c r="AE63" i="3"/>
  <c r="V64" i="3"/>
  <c r="W64" i="3"/>
  <c r="X64" i="3"/>
  <c r="Y64" i="3"/>
  <c r="Z64" i="3"/>
  <c r="AA64" i="3"/>
  <c r="AB64" i="3"/>
  <c r="AC64" i="3"/>
  <c r="AD64" i="3"/>
  <c r="AE64" i="3"/>
  <c r="V65" i="3"/>
  <c r="W65" i="3"/>
  <c r="X65" i="3"/>
  <c r="Y65" i="3"/>
  <c r="Z65" i="3"/>
  <c r="AA65" i="3"/>
  <c r="AB65" i="3"/>
  <c r="AC65" i="3"/>
  <c r="AD65" i="3"/>
  <c r="AE65" i="3"/>
  <c r="V66" i="3"/>
  <c r="W66" i="3"/>
  <c r="X66" i="3"/>
  <c r="Y66" i="3"/>
  <c r="Z66" i="3"/>
  <c r="AA66" i="3"/>
  <c r="AB66" i="3"/>
  <c r="AC66" i="3"/>
  <c r="AD66" i="3"/>
  <c r="AE66" i="3"/>
  <c r="V67" i="3"/>
  <c r="W67" i="3"/>
  <c r="X67" i="3"/>
  <c r="Y67" i="3"/>
  <c r="Z67" i="3"/>
  <c r="AA67" i="3"/>
  <c r="AB67" i="3"/>
  <c r="AC67" i="3"/>
  <c r="AD67" i="3"/>
  <c r="AE67" i="3"/>
  <c r="V68" i="3"/>
  <c r="W68" i="3"/>
  <c r="X68" i="3"/>
  <c r="Y68" i="3"/>
  <c r="Z68" i="3"/>
  <c r="AA68" i="3"/>
  <c r="AB68" i="3"/>
  <c r="AC68" i="3"/>
  <c r="AD68" i="3"/>
  <c r="AE68" i="3"/>
  <c r="V69" i="3"/>
  <c r="W69" i="3"/>
  <c r="X69" i="3"/>
  <c r="Y69" i="3"/>
  <c r="Z69" i="3"/>
  <c r="AA69" i="3"/>
  <c r="AB69" i="3"/>
  <c r="AC69" i="3"/>
  <c r="AD69" i="3"/>
  <c r="AE69" i="3"/>
  <c r="V70" i="3"/>
  <c r="W70" i="3"/>
  <c r="X70" i="3"/>
  <c r="Y70" i="3"/>
  <c r="Z70" i="3"/>
  <c r="AA70" i="3"/>
  <c r="AB70" i="3"/>
  <c r="AC70" i="3"/>
  <c r="AD70" i="3"/>
  <c r="AE70" i="3"/>
  <c r="V71" i="3"/>
  <c r="W71" i="3"/>
  <c r="X71" i="3"/>
  <c r="Y71" i="3"/>
  <c r="Z71" i="3"/>
  <c r="AA71" i="3"/>
  <c r="AB71" i="3"/>
  <c r="AC71" i="3"/>
  <c r="AD71" i="3"/>
  <c r="AE71" i="3"/>
  <c r="V72" i="3"/>
  <c r="W72" i="3"/>
  <c r="X72" i="3"/>
  <c r="Y72" i="3"/>
  <c r="Z72" i="3"/>
  <c r="AA72" i="3"/>
  <c r="AB72" i="3"/>
  <c r="AC72" i="3"/>
  <c r="AD72" i="3"/>
  <c r="AE72" i="3"/>
  <c r="V73" i="3"/>
  <c r="W73" i="3"/>
  <c r="X73" i="3"/>
  <c r="Y73" i="3"/>
  <c r="Z73" i="3"/>
  <c r="AA73" i="3"/>
  <c r="AB73" i="3"/>
  <c r="AC73" i="3"/>
  <c r="AD73" i="3"/>
  <c r="AE73" i="3"/>
  <c r="V74" i="3"/>
  <c r="W74" i="3"/>
  <c r="X74" i="3"/>
  <c r="Y74" i="3"/>
  <c r="Z74" i="3"/>
  <c r="AA74" i="3"/>
  <c r="AB74" i="3"/>
  <c r="AC74" i="3"/>
  <c r="AD74" i="3"/>
  <c r="AE74" i="3"/>
  <c r="V75" i="3"/>
  <c r="W75" i="3"/>
  <c r="X75" i="3"/>
  <c r="M69" i="2" s="1"/>
  <c r="Y75" i="3"/>
  <c r="Z75" i="3"/>
  <c r="AA75" i="3"/>
  <c r="AB75" i="3"/>
  <c r="AC75" i="3"/>
  <c r="AD75" i="3"/>
  <c r="AE75" i="3"/>
  <c r="V76" i="3"/>
  <c r="K70" i="2" s="1"/>
  <c r="W76" i="3"/>
  <c r="X76" i="3"/>
  <c r="Y76" i="3"/>
  <c r="Z76" i="3"/>
  <c r="AA76" i="3"/>
  <c r="AB76" i="3"/>
  <c r="AC76" i="3"/>
  <c r="AD76" i="3"/>
  <c r="AE76" i="3"/>
  <c r="V77" i="3"/>
  <c r="W77" i="3"/>
  <c r="X77" i="3"/>
  <c r="Y77" i="3"/>
  <c r="Z77" i="3"/>
  <c r="AA77" i="3"/>
  <c r="AB77" i="3"/>
  <c r="AC77" i="3"/>
  <c r="AD77" i="3"/>
  <c r="AE77" i="3"/>
  <c r="V78" i="3"/>
  <c r="W78" i="3"/>
  <c r="X78" i="3"/>
  <c r="Y78" i="3"/>
  <c r="Z78" i="3"/>
  <c r="AA78" i="3"/>
  <c r="AB78" i="3"/>
  <c r="AC78" i="3"/>
  <c r="AD78" i="3"/>
  <c r="AE78" i="3"/>
  <c r="V79" i="3"/>
  <c r="W79" i="3"/>
  <c r="X79" i="3"/>
  <c r="M73" i="2" s="1"/>
  <c r="Y79" i="3"/>
  <c r="Z79" i="3"/>
  <c r="AA79" i="3"/>
  <c r="AB79" i="3"/>
  <c r="AC79" i="3"/>
  <c r="AD79" i="3"/>
  <c r="AE79" i="3"/>
  <c r="V80" i="3"/>
  <c r="W80" i="3"/>
  <c r="X80" i="3"/>
  <c r="Y80" i="3"/>
  <c r="Z80" i="3"/>
  <c r="AA80" i="3"/>
  <c r="AB80" i="3"/>
  <c r="AC80" i="3"/>
  <c r="AD80" i="3"/>
  <c r="AE80" i="3"/>
  <c r="V81" i="3"/>
  <c r="W81" i="3"/>
  <c r="X81" i="3"/>
  <c r="M75" i="2" s="1"/>
  <c r="Y81" i="3"/>
  <c r="Z81" i="3"/>
  <c r="AA81" i="3"/>
  <c r="AB81" i="3"/>
  <c r="AC81" i="3"/>
  <c r="AD81" i="3"/>
  <c r="AE81" i="3"/>
  <c r="V82" i="3"/>
  <c r="W82" i="3"/>
  <c r="X82" i="3"/>
  <c r="Y82" i="3"/>
  <c r="Z82" i="3"/>
  <c r="AA82" i="3"/>
  <c r="AB82" i="3"/>
  <c r="AC82" i="3"/>
  <c r="AD82" i="3"/>
  <c r="AE82" i="3"/>
  <c r="V83" i="3"/>
  <c r="W83" i="3"/>
  <c r="X83" i="3"/>
  <c r="M77" i="2" s="1"/>
  <c r="Y83" i="3"/>
  <c r="Z83" i="3"/>
  <c r="AA83" i="3"/>
  <c r="AB83" i="3"/>
  <c r="AC83" i="3"/>
  <c r="AD83" i="3"/>
  <c r="AE83" i="3"/>
  <c r="V84" i="3"/>
  <c r="W84" i="3"/>
  <c r="X84" i="3"/>
  <c r="Y84" i="3"/>
  <c r="Z84" i="3"/>
  <c r="AA84" i="3"/>
  <c r="AB84" i="3"/>
  <c r="AC84" i="3"/>
  <c r="AD84" i="3"/>
  <c r="AE84" i="3"/>
  <c r="V85" i="3"/>
  <c r="W85" i="3"/>
  <c r="X85" i="3"/>
  <c r="M79" i="2" s="1"/>
  <c r="Y85" i="3"/>
  <c r="Z85" i="3"/>
  <c r="AA85" i="3"/>
  <c r="AB85" i="3"/>
  <c r="AC85" i="3"/>
  <c r="AD85" i="3"/>
  <c r="AE85" i="3"/>
  <c r="V86" i="3"/>
  <c r="W86" i="3"/>
  <c r="X86" i="3"/>
  <c r="Y86" i="3"/>
  <c r="Z86" i="3"/>
  <c r="AA86" i="3"/>
  <c r="AB86" i="3"/>
  <c r="AC86" i="3"/>
  <c r="AD86" i="3"/>
  <c r="AE86" i="3"/>
  <c r="V87" i="3"/>
  <c r="W87" i="3"/>
  <c r="X87" i="3"/>
  <c r="M81" i="2" s="1"/>
  <c r="Y87" i="3"/>
  <c r="Z87" i="3"/>
  <c r="AA87" i="3"/>
  <c r="AB87" i="3"/>
  <c r="AC87" i="3"/>
  <c r="AD87" i="3"/>
  <c r="AE87" i="3"/>
  <c r="V88" i="3"/>
  <c r="W88" i="3"/>
  <c r="X88" i="3"/>
  <c r="Y88" i="3"/>
  <c r="Z88" i="3"/>
  <c r="AA88" i="3"/>
  <c r="AB88" i="3"/>
  <c r="AC88" i="3"/>
  <c r="AD88" i="3"/>
  <c r="AE88" i="3"/>
  <c r="V89" i="3"/>
  <c r="W89" i="3"/>
  <c r="X89" i="3"/>
  <c r="M83" i="2" s="1"/>
  <c r="Y89" i="3"/>
  <c r="Z89" i="3"/>
  <c r="AA89" i="3"/>
  <c r="AB89" i="3"/>
  <c r="AC89" i="3"/>
  <c r="AD89" i="3"/>
  <c r="AE89" i="3"/>
  <c r="V90" i="3"/>
  <c r="W90" i="3"/>
  <c r="X90" i="3"/>
  <c r="Y90" i="3"/>
  <c r="Z90" i="3"/>
  <c r="AA90" i="3"/>
  <c r="AB90" i="3"/>
  <c r="AC90" i="3"/>
  <c r="AD90" i="3"/>
  <c r="AE90" i="3"/>
  <c r="V91" i="3"/>
  <c r="W91" i="3"/>
  <c r="X91" i="3"/>
  <c r="M85" i="2" s="1"/>
  <c r="Y91" i="3"/>
  <c r="Z91" i="3"/>
  <c r="AA91" i="3"/>
  <c r="AB91" i="3"/>
  <c r="AC91" i="3"/>
  <c r="AD91" i="3"/>
  <c r="AE91" i="3"/>
  <c r="V92" i="3"/>
  <c r="W92" i="3"/>
  <c r="X92" i="3"/>
  <c r="Y92" i="3"/>
  <c r="Z92" i="3"/>
  <c r="AA92" i="3"/>
  <c r="AB92" i="3"/>
  <c r="AC92" i="3"/>
  <c r="AD92" i="3"/>
  <c r="AE92" i="3"/>
  <c r="V93" i="3"/>
  <c r="W93" i="3"/>
  <c r="X93" i="3"/>
  <c r="M87" i="2" s="1"/>
  <c r="Y93" i="3"/>
  <c r="Z93" i="3"/>
  <c r="AA93" i="3"/>
  <c r="AB93" i="3"/>
  <c r="AC93" i="3"/>
  <c r="AD93" i="3"/>
  <c r="AE93" i="3"/>
  <c r="V94" i="3"/>
  <c r="W94" i="3"/>
  <c r="X94" i="3"/>
  <c r="Y94" i="3"/>
  <c r="Z94" i="3"/>
  <c r="AA94" i="3"/>
  <c r="AB94" i="3"/>
  <c r="AC94" i="3"/>
  <c r="AD94" i="3"/>
  <c r="AE94" i="3"/>
  <c r="V95" i="3"/>
  <c r="W95" i="3"/>
  <c r="X95" i="3"/>
  <c r="M89" i="2" s="1"/>
  <c r="Y95" i="3"/>
  <c r="Z95" i="3"/>
  <c r="AA95" i="3"/>
  <c r="AB95" i="3"/>
  <c r="AC95" i="3"/>
  <c r="AD95" i="3"/>
  <c r="AE95" i="3"/>
  <c r="V96" i="3"/>
  <c r="W96" i="3"/>
  <c r="X96" i="3"/>
  <c r="Y96" i="3"/>
  <c r="Z96" i="3"/>
  <c r="AA96" i="3"/>
  <c r="AB96" i="3"/>
  <c r="AC96" i="3"/>
  <c r="AD96" i="3"/>
  <c r="AE96" i="3"/>
  <c r="V97" i="3"/>
  <c r="W97" i="3"/>
  <c r="X97" i="3"/>
  <c r="M91" i="2" s="1"/>
  <c r="Y97" i="3"/>
  <c r="Z97" i="3"/>
  <c r="AA97" i="3"/>
  <c r="AB97" i="3"/>
  <c r="AC97" i="3"/>
  <c r="AD97" i="3"/>
  <c r="AE97" i="3"/>
  <c r="V98" i="3"/>
  <c r="W98" i="3"/>
  <c r="X98" i="3"/>
  <c r="Y98" i="3"/>
  <c r="Z98" i="3"/>
  <c r="AA98" i="3"/>
  <c r="AB98" i="3"/>
  <c r="AC98" i="3"/>
  <c r="AD98" i="3"/>
  <c r="AE98" i="3"/>
  <c r="V99" i="3"/>
  <c r="W99" i="3"/>
  <c r="L93" i="2" s="1"/>
  <c r="X99" i="3"/>
  <c r="M93" i="2" s="1"/>
  <c r="Y99" i="3"/>
  <c r="Z99" i="3"/>
  <c r="AA99" i="3"/>
  <c r="AB99" i="3"/>
  <c r="AC99" i="3"/>
  <c r="AD99" i="3"/>
  <c r="AE99" i="3"/>
  <c r="V100" i="3"/>
  <c r="K94" i="2" s="1"/>
  <c r="W100" i="3"/>
  <c r="X100" i="3"/>
  <c r="Y100" i="3"/>
  <c r="Z100" i="3"/>
  <c r="AA100" i="3"/>
  <c r="AB100" i="3"/>
  <c r="AC100" i="3"/>
  <c r="AD100" i="3"/>
  <c r="AE100" i="3"/>
  <c r="V101" i="3"/>
  <c r="W101" i="3"/>
  <c r="X101" i="3"/>
  <c r="M95" i="2" s="1"/>
  <c r="Y101" i="3"/>
  <c r="Z101" i="3"/>
  <c r="AA101" i="3"/>
  <c r="AB101" i="3"/>
  <c r="AC101" i="3"/>
  <c r="AD101" i="3"/>
  <c r="AE101" i="3"/>
  <c r="V102" i="3"/>
  <c r="W102" i="3"/>
  <c r="X102" i="3"/>
  <c r="Y102" i="3"/>
  <c r="Z102" i="3"/>
  <c r="AA102" i="3"/>
  <c r="AB102" i="3"/>
  <c r="AC102" i="3"/>
  <c r="AD102" i="3"/>
  <c r="AE102" i="3"/>
  <c r="V103" i="3"/>
  <c r="W103" i="3"/>
  <c r="X103" i="3"/>
  <c r="M97" i="2" s="1"/>
  <c r="Y103" i="3"/>
  <c r="Z103" i="3"/>
  <c r="AA103" i="3"/>
  <c r="AB103" i="3"/>
  <c r="AC103" i="3"/>
  <c r="AD103" i="3"/>
  <c r="AE103" i="3"/>
  <c r="V104" i="3"/>
  <c r="K98" i="2" s="1"/>
  <c r="W104" i="3"/>
  <c r="X104" i="3"/>
  <c r="M98" i="2" s="1"/>
  <c r="Y104" i="3"/>
  <c r="Z104" i="3"/>
  <c r="AA104" i="3"/>
  <c r="AB104" i="3"/>
  <c r="AC104" i="3"/>
  <c r="AD104" i="3"/>
  <c r="AE104" i="3"/>
  <c r="V105" i="3"/>
  <c r="W105" i="3"/>
  <c r="X105" i="3"/>
  <c r="M99" i="2" s="1"/>
  <c r="Y105" i="3"/>
  <c r="Z105" i="3"/>
  <c r="AA105" i="3"/>
  <c r="AB105" i="3"/>
  <c r="AC105" i="3"/>
  <c r="AD105" i="3"/>
  <c r="AE105" i="3"/>
  <c r="V106" i="3"/>
  <c r="W106" i="3"/>
  <c r="X106" i="3"/>
  <c r="M100" i="2" s="1"/>
  <c r="Y106" i="3"/>
  <c r="Z106" i="3"/>
  <c r="AA106" i="3"/>
  <c r="AB106" i="3"/>
  <c r="AC106" i="3"/>
  <c r="AD106" i="3"/>
  <c r="AE106" i="3"/>
  <c r="AE11" i="3"/>
  <c r="AD11" i="3"/>
  <c r="AC11" i="3"/>
  <c r="AB11" i="3"/>
  <c r="AA11" i="3"/>
  <c r="Z11" i="3"/>
  <c r="Y11" i="3"/>
  <c r="X11" i="3"/>
  <c r="W11" i="3"/>
  <c r="V11" i="3"/>
  <c r="L75" i="3"/>
  <c r="M75" i="3"/>
  <c r="N75" i="3"/>
  <c r="O75" i="3"/>
  <c r="P75" i="3"/>
  <c r="Q75" i="3"/>
  <c r="R75" i="3"/>
  <c r="S75" i="3"/>
  <c r="T75" i="3"/>
  <c r="U75" i="3"/>
  <c r="L76" i="3"/>
  <c r="M76" i="3"/>
  <c r="N76" i="3"/>
  <c r="O76" i="3"/>
  <c r="P76" i="3"/>
  <c r="Q76" i="3"/>
  <c r="R76" i="3"/>
  <c r="S76" i="3"/>
  <c r="T76" i="3"/>
  <c r="U76" i="3"/>
  <c r="L77" i="3"/>
  <c r="M77" i="3"/>
  <c r="N77" i="3"/>
  <c r="O77" i="3"/>
  <c r="P77" i="3"/>
  <c r="Q77" i="3"/>
  <c r="R77" i="3"/>
  <c r="S77" i="3"/>
  <c r="T77" i="3"/>
  <c r="U77" i="3"/>
  <c r="L78" i="3"/>
  <c r="M78" i="3"/>
  <c r="N78" i="3"/>
  <c r="O78" i="3"/>
  <c r="P78" i="3"/>
  <c r="Q78" i="3"/>
  <c r="R78" i="3"/>
  <c r="S78" i="3"/>
  <c r="T78" i="3"/>
  <c r="U78" i="3"/>
  <c r="L79" i="3"/>
  <c r="M79" i="3"/>
  <c r="N79" i="3"/>
  <c r="O79" i="3"/>
  <c r="P79" i="3"/>
  <c r="Q79" i="3"/>
  <c r="R79" i="3"/>
  <c r="S79" i="3"/>
  <c r="T79" i="3"/>
  <c r="U79" i="3"/>
  <c r="L80" i="3"/>
  <c r="M80" i="3"/>
  <c r="N80" i="3"/>
  <c r="O80" i="3"/>
  <c r="P80" i="3"/>
  <c r="Q80" i="3"/>
  <c r="R80" i="3"/>
  <c r="S80" i="3"/>
  <c r="T80" i="3"/>
  <c r="U80" i="3"/>
  <c r="L81" i="3"/>
  <c r="M81" i="3"/>
  <c r="N81" i="3"/>
  <c r="O81" i="3"/>
  <c r="P81" i="3"/>
  <c r="Q81" i="3"/>
  <c r="R81" i="3"/>
  <c r="S81" i="3"/>
  <c r="T81" i="3"/>
  <c r="U81" i="3"/>
  <c r="L82" i="3"/>
  <c r="M82" i="3"/>
  <c r="N82" i="3"/>
  <c r="O82" i="3"/>
  <c r="P82" i="3"/>
  <c r="Q82" i="3"/>
  <c r="R82" i="3"/>
  <c r="S82" i="3"/>
  <c r="T82" i="3"/>
  <c r="U82" i="3"/>
  <c r="L83" i="3"/>
  <c r="M83" i="3"/>
  <c r="N83" i="3"/>
  <c r="O83" i="3"/>
  <c r="P83" i="3"/>
  <c r="Q83" i="3"/>
  <c r="R83" i="3"/>
  <c r="S83" i="3"/>
  <c r="T83" i="3"/>
  <c r="U83" i="3"/>
  <c r="L84" i="3"/>
  <c r="M84" i="3"/>
  <c r="N84" i="3"/>
  <c r="O84" i="3"/>
  <c r="P84" i="3"/>
  <c r="Q84" i="3"/>
  <c r="R84" i="3"/>
  <c r="S84" i="3"/>
  <c r="T84" i="3"/>
  <c r="U84" i="3"/>
  <c r="L85" i="3"/>
  <c r="M85" i="3"/>
  <c r="N85" i="3"/>
  <c r="O85" i="3"/>
  <c r="P85" i="3"/>
  <c r="Q85" i="3"/>
  <c r="R85" i="3"/>
  <c r="S85" i="3"/>
  <c r="T85" i="3"/>
  <c r="U85" i="3"/>
  <c r="L86" i="3"/>
  <c r="M86" i="3"/>
  <c r="N86" i="3"/>
  <c r="O86" i="3"/>
  <c r="P86" i="3"/>
  <c r="Q86" i="3"/>
  <c r="R86" i="3"/>
  <c r="S86" i="3"/>
  <c r="T86" i="3"/>
  <c r="U86" i="3"/>
  <c r="L87" i="3"/>
  <c r="M87" i="3"/>
  <c r="N87" i="3"/>
  <c r="O87" i="3"/>
  <c r="P87" i="3"/>
  <c r="Q87" i="3"/>
  <c r="R87" i="3"/>
  <c r="S87" i="3"/>
  <c r="T87" i="3"/>
  <c r="U87" i="3"/>
  <c r="L88" i="3"/>
  <c r="M88" i="3"/>
  <c r="N88" i="3"/>
  <c r="O88" i="3"/>
  <c r="P88" i="3"/>
  <c r="Q88" i="3"/>
  <c r="R88" i="3"/>
  <c r="S88" i="3"/>
  <c r="T88" i="3"/>
  <c r="U88" i="3"/>
  <c r="L89" i="3"/>
  <c r="M89" i="3"/>
  <c r="N89" i="3"/>
  <c r="O89" i="3"/>
  <c r="P89" i="3"/>
  <c r="Q89" i="3"/>
  <c r="R89" i="3"/>
  <c r="S89" i="3"/>
  <c r="T89" i="3"/>
  <c r="U89" i="3"/>
  <c r="L90" i="3"/>
  <c r="M90" i="3"/>
  <c r="N90" i="3"/>
  <c r="O90" i="3"/>
  <c r="P90" i="3"/>
  <c r="Q90" i="3"/>
  <c r="R90" i="3"/>
  <c r="S90" i="3"/>
  <c r="T90" i="3"/>
  <c r="U90" i="3"/>
  <c r="L91" i="3"/>
  <c r="M91" i="3"/>
  <c r="N91" i="3"/>
  <c r="O91" i="3"/>
  <c r="P91" i="3"/>
  <c r="Q91" i="3"/>
  <c r="R91" i="3"/>
  <c r="S91" i="3"/>
  <c r="T91" i="3"/>
  <c r="U91" i="3"/>
  <c r="L92" i="3"/>
  <c r="M92" i="3"/>
  <c r="N92" i="3"/>
  <c r="O92" i="3"/>
  <c r="P92" i="3"/>
  <c r="Q92" i="3"/>
  <c r="R92" i="3"/>
  <c r="S92" i="3"/>
  <c r="T92" i="3"/>
  <c r="U92" i="3"/>
  <c r="L93" i="3"/>
  <c r="M93" i="3"/>
  <c r="N93" i="3"/>
  <c r="O93" i="3"/>
  <c r="P93" i="3"/>
  <c r="Q93" i="3"/>
  <c r="R93" i="3"/>
  <c r="S93" i="3"/>
  <c r="T93" i="3"/>
  <c r="U93" i="3"/>
  <c r="L94" i="3"/>
  <c r="M94" i="3"/>
  <c r="N94" i="3"/>
  <c r="O94" i="3"/>
  <c r="P94" i="3"/>
  <c r="Q94" i="3"/>
  <c r="R94" i="3"/>
  <c r="S94" i="3"/>
  <c r="T94" i="3"/>
  <c r="U94" i="3"/>
  <c r="L95" i="3"/>
  <c r="M95" i="3"/>
  <c r="N95" i="3"/>
  <c r="O95" i="3"/>
  <c r="P95" i="3"/>
  <c r="Q95" i="3"/>
  <c r="R95" i="3"/>
  <c r="S95" i="3"/>
  <c r="T95" i="3"/>
  <c r="U95" i="3"/>
  <c r="L96" i="3"/>
  <c r="M96" i="3"/>
  <c r="N96" i="3"/>
  <c r="I90" i="2" s="1"/>
  <c r="O96" i="3"/>
  <c r="P96" i="3"/>
  <c r="Q96" i="3"/>
  <c r="R96" i="3"/>
  <c r="S96" i="3"/>
  <c r="T96" i="3"/>
  <c r="U96" i="3"/>
  <c r="L97" i="3"/>
  <c r="M97" i="3"/>
  <c r="N97" i="3"/>
  <c r="O97" i="3"/>
  <c r="P97" i="3"/>
  <c r="Q97" i="3"/>
  <c r="R97" i="3"/>
  <c r="S97" i="3"/>
  <c r="T97" i="3"/>
  <c r="U97" i="3"/>
  <c r="L98" i="3"/>
  <c r="M98" i="3"/>
  <c r="N98" i="3"/>
  <c r="O98" i="3"/>
  <c r="P98" i="3"/>
  <c r="Q98" i="3"/>
  <c r="R98" i="3"/>
  <c r="S98" i="3"/>
  <c r="T98" i="3"/>
  <c r="U98" i="3"/>
  <c r="L99" i="3"/>
  <c r="M99" i="3"/>
  <c r="N99" i="3"/>
  <c r="O99" i="3"/>
  <c r="P99" i="3"/>
  <c r="Q99" i="3"/>
  <c r="R99" i="3"/>
  <c r="S99" i="3"/>
  <c r="T99" i="3"/>
  <c r="U99" i="3"/>
  <c r="L100" i="3"/>
  <c r="M100" i="3"/>
  <c r="N100" i="3"/>
  <c r="I94" i="2" s="1"/>
  <c r="O100" i="3"/>
  <c r="P100" i="3"/>
  <c r="Q100" i="3"/>
  <c r="R100" i="3"/>
  <c r="S100" i="3"/>
  <c r="T100" i="3"/>
  <c r="U100" i="3"/>
  <c r="L101" i="3"/>
  <c r="M101" i="3"/>
  <c r="N101" i="3"/>
  <c r="O101" i="3"/>
  <c r="P101" i="3"/>
  <c r="Q101" i="3"/>
  <c r="R101" i="3"/>
  <c r="S101" i="3"/>
  <c r="T101" i="3"/>
  <c r="U101" i="3"/>
  <c r="L102" i="3"/>
  <c r="M102" i="3"/>
  <c r="N102" i="3"/>
  <c r="I96" i="2" s="1"/>
  <c r="O102" i="3"/>
  <c r="P102" i="3"/>
  <c r="Q102" i="3"/>
  <c r="R102" i="3"/>
  <c r="S102" i="3"/>
  <c r="T102" i="3"/>
  <c r="U102" i="3"/>
  <c r="L103" i="3"/>
  <c r="M103" i="3"/>
  <c r="N103" i="3"/>
  <c r="O103" i="3"/>
  <c r="P103" i="3"/>
  <c r="Q103" i="3"/>
  <c r="R103" i="3"/>
  <c r="S103" i="3"/>
  <c r="T103" i="3"/>
  <c r="U103" i="3"/>
  <c r="L104" i="3"/>
  <c r="M104" i="3"/>
  <c r="N104" i="3"/>
  <c r="I98" i="2" s="1"/>
  <c r="O104" i="3"/>
  <c r="P104" i="3"/>
  <c r="Q104" i="3"/>
  <c r="R104" i="3"/>
  <c r="S104" i="3"/>
  <c r="T104" i="3"/>
  <c r="U104" i="3"/>
  <c r="L105" i="3"/>
  <c r="M105" i="3"/>
  <c r="N105" i="3"/>
  <c r="O105" i="3"/>
  <c r="P105" i="3"/>
  <c r="Q105" i="3"/>
  <c r="R105" i="3"/>
  <c r="S105" i="3"/>
  <c r="T105" i="3"/>
  <c r="U105" i="3"/>
  <c r="L106" i="3"/>
  <c r="M106" i="3"/>
  <c r="N106" i="3"/>
  <c r="I100" i="2" s="1"/>
  <c r="O106" i="3"/>
  <c r="P106" i="3"/>
  <c r="Q106" i="3"/>
  <c r="R106" i="3"/>
  <c r="S106" i="3"/>
  <c r="T106" i="3"/>
  <c r="U106" i="3"/>
  <c r="L12" i="3"/>
  <c r="M12" i="3"/>
  <c r="N12" i="3"/>
  <c r="O12" i="3"/>
  <c r="P12" i="3"/>
  <c r="Q12" i="3"/>
  <c r="R12" i="3"/>
  <c r="S12" i="3"/>
  <c r="T12" i="3"/>
  <c r="U12" i="3"/>
  <c r="L13" i="3"/>
  <c r="M13" i="3"/>
  <c r="N13" i="3"/>
  <c r="O13" i="3"/>
  <c r="P13" i="3"/>
  <c r="Q13" i="3"/>
  <c r="R13" i="3"/>
  <c r="S13" i="3"/>
  <c r="T13" i="3"/>
  <c r="U13" i="3"/>
  <c r="L14" i="3"/>
  <c r="M14" i="3"/>
  <c r="N14" i="3"/>
  <c r="O14" i="3"/>
  <c r="P14" i="3"/>
  <c r="Q14" i="3"/>
  <c r="R14" i="3"/>
  <c r="S14" i="3"/>
  <c r="T14" i="3"/>
  <c r="U14" i="3"/>
  <c r="L15" i="3"/>
  <c r="M15" i="3"/>
  <c r="N15" i="3"/>
  <c r="O15" i="3"/>
  <c r="P15" i="3"/>
  <c r="Q15" i="3"/>
  <c r="R15" i="3"/>
  <c r="S15" i="3"/>
  <c r="T15" i="3"/>
  <c r="U15" i="3"/>
  <c r="L16" i="3"/>
  <c r="M16" i="3"/>
  <c r="N16" i="3"/>
  <c r="O16" i="3"/>
  <c r="P16" i="3"/>
  <c r="Q16" i="3"/>
  <c r="R16" i="3"/>
  <c r="S16" i="3"/>
  <c r="T16" i="3"/>
  <c r="U16" i="3"/>
  <c r="L17" i="3"/>
  <c r="M17" i="3"/>
  <c r="N17" i="3"/>
  <c r="O17" i="3"/>
  <c r="P17" i="3"/>
  <c r="Q17" i="3"/>
  <c r="R17" i="3"/>
  <c r="S17" i="3"/>
  <c r="T17" i="3"/>
  <c r="U17" i="3"/>
  <c r="L18" i="3"/>
  <c r="M18" i="3"/>
  <c r="N18" i="3"/>
  <c r="O18" i="3"/>
  <c r="P18" i="3"/>
  <c r="Q18" i="3"/>
  <c r="R18" i="3"/>
  <c r="S18" i="3"/>
  <c r="T18" i="3"/>
  <c r="U18" i="3"/>
  <c r="L19" i="3"/>
  <c r="M19" i="3"/>
  <c r="N19" i="3"/>
  <c r="O19" i="3"/>
  <c r="P19" i="3"/>
  <c r="Q19" i="3"/>
  <c r="R19" i="3"/>
  <c r="S19" i="3"/>
  <c r="T19" i="3"/>
  <c r="U19" i="3"/>
  <c r="L20" i="3"/>
  <c r="M20" i="3"/>
  <c r="N20" i="3"/>
  <c r="O20" i="3"/>
  <c r="P20" i="3"/>
  <c r="Q20" i="3"/>
  <c r="R20" i="3"/>
  <c r="S20" i="3"/>
  <c r="T20" i="3"/>
  <c r="U20" i="3"/>
  <c r="L21" i="3"/>
  <c r="M21" i="3"/>
  <c r="N21" i="3"/>
  <c r="O21" i="3"/>
  <c r="P21" i="3"/>
  <c r="Q21" i="3"/>
  <c r="R21" i="3"/>
  <c r="S21" i="3"/>
  <c r="T21" i="3"/>
  <c r="U21" i="3"/>
  <c r="L22" i="3"/>
  <c r="M22" i="3"/>
  <c r="N22" i="3"/>
  <c r="O22" i="3"/>
  <c r="P22" i="3"/>
  <c r="Q22" i="3"/>
  <c r="R22" i="3"/>
  <c r="S22" i="3"/>
  <c r="T22" i="3"/>
  <c r="U22" i="3"/>
  <c r="L23" i="3"/>
  <c r="M23" i="3"/>
  <c r="N23" i="3"/>
  <c r="O23" i="3"/>
  <c r="P23" i="3"/>
  <c r="Q23" i="3"/>
  <c r="R23" i="3"/>
  <c r="S23" i="3"/>
  <c r="T23" i="3"/>
  <c r="U23" i="3"/>
  <c r="L24" i="3"/>
  <c r="M24" i="3"/>
  <c r="N24" i="3"/>
  <c r="O24" i="3"/>
  <c r="P24" i="3"/>
  <c r="Q24" i="3"/>
  <c r="R24" i="3"/>
  <c r="S24" i="3"/>
  <c r="T24" i="3"/>
  <c r="U24" i="3"/>
  <c r="L25" i="3"/>
  <c r="M25" i="3"/>
  <c r="N25" i="3"/>
  <c r="O25" i="3"/>
  <c r="P25" i="3"/>
  <c r="Q25" i="3"/>
  <c r="R25" i="3"/>
  <c r="S25" i="3"/>
  <c r="T25" i="3"/>
  <c r="U25" i="3"/>
  <c r="L26" i="3"/>
  <c r="M26" i="3"/>
  <c r="N26" i="3"/>
  <c r="O26" i="3"/>
  <c r="P26" i="3"/>
  <c r="Q26" i="3"/>
  <c r="R26" i="3"/>
  <c r="S26" i="3"/>
  <c r="T26" i="3"/>
  <c r="U26" i="3"/>
  <c r="L27" i="3"/>
  <c r="M27" i="3"/>
  <c r="N27" i="3"/>
  <c r="O27" i="3"/>
  <c r="P27" i="3"/>
  <c r="Q27" i="3"/>
  <c r="R27" i="3"/>
  <c r="S27" i="3"/>
  <c r="T27" i="3"/>
  <c r="U27" i="3"/>
  <c r="L28" i="3"/>
  <c r="M28" i="3"/>
  <c r="N28" i="3"/>
  <c r="O28" i="3"/>
  <c r="P28" i="3"/>
  <c r="Q28" i="3"/>
  <c r="R28" i="3"/>
  <c r="S28" i="3"/>
  <c r="T28" i="3"/>
  <c r="U28" i="3"/>
  <c r="L29" i="3"/>
  <c r="M29" i="3"/>
  <c r="N29" i="3"/>
  <c r="O29" i="3"/>
  <c r="P29" i="3"/>
  <c r="Q29" i="3"/>
  <c r="R29" i="3"/>
  <c r="S29" i="3"/>
  <c r="T29" i="3"/>
  <c r="U29" i="3"/>
  <c r="L30" i="3"/>
  <c r="M30" i="3"/>
  <c r="N30" i="3"/>
  <c r="O30" i="3"/>
  <c r="P30" i="3"/>
  <c r="Q30" i="3"/>
  <c r="R30" i="3"/>
  <c r="S30" i="3"/>
  <c r="T30" i="3"/>
  <c r="U30" i="3"/>
  <c r="L31" i="3"/>
  <c r="M31" i="3"/>
  <c r="N31" i="3"/>
  <c r="O31" i="3"/>
  <c r="P31" i="3"/>
  <c r="Q31" i="3"/>
  <c r="R31" i="3"/>
  <c r="S31" i="3"/>
  <c r="T31" i="3"/>
  <c r="U31" i="3"/>
  <c r="L32" i="3"/>
  <c r="M32" i="3"/>
  <c r="N32" i="3"/>
  <c r="O32" i="3"/>
  <c r="P32" i="3"/>
  <c r="Q32" i="3"/>
  <c r="R32" i="3"/>
  <c r="S32" i="3"/>
  <c r="T32" i="3"/>
  <c r="U32" i="3"/>
  <c r="L33" i="3"/>
  <c r="M33" i="3"/>
  <c r="N33" i="3"/>
  <c r="O33" i="3"/>
  <c r="P33" i="3"/>
  <c r="Q33" i="3"/>
  <c r="R33" i="3"/>
  <c r="S33" i="3"/>
  <c r="T33" i="3"/>
  <c r="U33" i="3"/>
  <c r="L34" i="3"/>
  <c r="M34" i="3"/>
  <c r="N34" i="3"/>
  <c r="O34" i="3"/>
  <c r="P34" i="3"/>
  <c r="Q34" i="3"/>
  <c r="R34" i="3"/>
  <c r="S34" i="3"/>
  <c r="T34" i="3"/>
  <c r="U34" i="3"/>
  <c r="L35" i="3"/>
  <c r="M35" i="3"/>
  <c r="N35" i="3"/>
  <c r="O35" i="3"/>
  <c r="P35" i="3"/>
  <c r="Q35" i="3"/>
  <c r="R35" i="3"/>
  <c r="S35" i="3"/>
  <c r="T35" i="3"/>
  <c r="U35" i="3"/>
  <c r="L36" i="3"/>
  <c r="M36" i="3"/>
  <c r="N36" i="3"/>
  <c r="O36" i="3"/>
  <c r="P36" i="3"/>
  <c r="Q36" i="3"/>
  <c r="R36" i="3"/>
  <c r="S36" i="3"/>
  <c r="T36" i="3"/>
  <c r="U36" i="3"/>
  <c r="L37" i="3"/>
  <c r="M37" i="3"/>
  <c r="N37" i="3"/>
  <c r="O37" i="3"/>
  <c r="P37" i="3"/>
  <c r="Q37" i="3"/>
  <c r="R37" i="3"/>
  <c r="S37" i="3"/>
  <c r="T37" i="3"/>
  <c r="U37" i="3"/>
  <c r="L38" i="3"/>
  <c r="M38" i="3"/>
  <c r="N38" i="3"/>
  <c r="O38" i="3"/>
  <c r="P38" i="3"/>
  <c r="Q38" i="3"/>
  <c r="R38" i="3"/>
  <c r="S38" i="3"/>
  <c r="T38" i="3"/>
  <c r="U38" i="3"/>
  <c r="L39" i="3"/>
  <c r="M39" i="3"/>
  <c r="N39" i="3"/>
  <c r="O39" i="3"/>
  <c r="P39" i="3"/>
  <c r="Q39" i="3"/>
  <c r="R39" i="3"/>
  <c r="S39" i="3"/>
  <c r="T39" i="3"/>
  <c r="U39" i="3"/>
  <c r="L40" i="3"/>
  <c r="M40" i="3"/>
  <c r="N40" i="3"/>
  <c r="O40" i="3"/>
  <c r="P40" i="3"/>
  <c r="Q40" i="3"/>
  <c r="R40" i="3"/>
  <c r="S40" i="3"/>
  <c r="T40" i="3"/>
  <c r="U40" i="3"/>
  <c r="L41" i="3"/>
  <c r="M41" i="3"/>
  <c r="N41" i="3"/>
  <c r="O41" i="3"/>
  <c r="P41" i="3"/>
  <c r="Q41" i="3"/>
  <c r="R41" i="3"/>
  <c r="S41" i="3"/>
  <c r="T41" i="3"/>
  <c r="U41" i="3"/>
  <c r="L42" i="3"/>
  <c r="M42" i="3"/>
  <c r="N42" i="3"/>
  <c r="O42" i="3"/>
  <c r="P42" i="3"/>
  <c r="Q42" i="3"/>
  <c r="R42" i="3"/>
  <c r="S42" i="3"/>
  <c r="T42" i="3"/>
  <c r="U42" i="3"/>
  <c r="L43" i="3"/>
  <c r="M43" i="3"/>
  <c r="N43" i="3"/>
  <c r="O43" i="3"/>
  <c r="P43" i="3"/>
  <c r="Q43" i="3"/>
  <c r="R43" i="3"/>
  <c r="S43" i="3"/>
  <c r="T43" i="3"/>
  <c r="U43" i="3"/>
  <c r="L44" i="3"/>
  <c r="M44" i="3"/>
  <c r="N44" i="3"/>
  <c r="O44" i="3"/>
  <c r="P44" i="3"/>
  <c r="Q44" i="3"/>
  <c r="R44" i="3"/>
  <c r="S44" i="3"/>
  <c r="T44" i="3"/>
  <c r="U44" i="3"/>
  <c r="L45" i="3"/>
  <c r="M45" i="3"/>
  <c r="N45" i="3"/>
  <c r="O45" i="3"/>
  <c r="P45" i="3"/>
  <c r="Q45" i="3"/>
  <c r="R45" i="3"/>
  <c r="S45" i="3"/>
  <c r="T45" i="3"/>
  <c r="U45" i="3"/>
  <c r="L46" i="3"/>
  <c r="M46" i="3"/>
  <c r="N46" i="3"/>
  <c r="O46" i="3"/>
  <c r="P46" i="3"/>
  <c r="Q46" i="3"/>
  <c r="R46" i="3"/>
  <c r="S46" i="3"/>
  <c r="T46" i="3"/>
  <c r="U46" i="3"/>
  <c r="L47" i="3"/>
  <c r="M47" i="3"/>
  <c r="N47" i="3"/>
  <c r="O47" i="3"/>
  <c r="P47" i="3"/>
  <c r="Q47" i="3"/>
  <c r="R47" i="3"/>
  <c r="S47" i="3"/>
  <c r="T47" i="3"/>
  <c r="U47" i="3"/>
  <c r="L48" i="3"/>
  <c r="M48" i="3"/>
  <c r="N48" i="3"/>
  <c r="O48" i="3"/>
  <c r="P48" i="3"/>
  <c r="Q48" i="3"/>
  <c r="R48" i="3"/>
  <c r="S48" i="3"/>
  <c r="T48" i="3"/>
  <c r="U48" i="3"/>
  <c r="L49" i="3"/>
  <c r="M49" i="3"/>
  <c r="N49" i="3"/>
  <c r="O49" i="3"/>
  <c r="P49" i="3"/>
  <c r="Q49" i="3"/>
  <c r="R49" i="3"/>
  <c r="S49" i="3"/>
  <c r="T49" i="3"/>
  <c r="U49" i="3"/>
  <c r="L50" i="3"/>
  <c r="M50" i="3"/>
  <c r="N50" i="3"/>
  <c r="O50" i="3"/>
  <c r="P50" i="3"/>
  <c r="Q50" i="3"/>
  <c r="R50" i="3"/>
  <c r="S50" i="3"/>
  <c r="T50" i="3"/>
  <c r="U50" i="3"/>
  <c r="L51" i="3"/>
  <c r="M51" i="3"/>
  <c r="N51" i="3"/>
  <c r="O51" i="3"/>
  <c r="P51" i="3"/>
  <c r="Q51" i="3"/>
  <c r="R51" i="3"/>
  <c r="S51" i="3"/>
  <c r="T51" i="3"/>
  <c r="U51" i="3"/>
  <c r="L52" i="3"/>
  <c r="M52" i="3"/>
  <c r="N52" i="3"/>
  <c r="O52" i="3"/>
  <c r="P52" i="3"/>
  <c r="Q52" i="3"/>
  <c r="R52" i="3"/>
  <c r="S52" i="3"/>
  <c r="T52" i="3"/>
  <c r="U52" i="3"/>
  <c r="L53" i="3"/>
  <c r="M53" i="3"/>
  <c r="N53" i="3"/>
  <c r="O53" i="3"/>
  <c r="P53" i="3"/>
  <c r="Q53" i="3"/>
  <c r="R53" i="3"/>
  <c r="S53" i="3"/>
  <c r="T53" i="3"/>
  <c r="U53" i="3"/>
  <c r="L54" i="3"/>
  <c r="M54" i="3"/>
  <c r="N54" i="3"/>
  <c r="O54" i="3"/>
  <c r="P54" i="3"/>
  <c r="Q54" i="3"/>
  <c r="R54" i="3"/>
  <c r="S54" i="3"/>
  <c r="T54" i="3"/>
  <c r="U54" i="3"/>
  <c r="L55" i="3"/>
  <c r="M55" i="3"/>
  <c r="N55" i="3"/>
  <c r="O55" i="3"/>
  <c r="P55" i="3"/>
  <c r="Q55" i="3"/>
  <c r="R55" i="3"/>
  <c r="S55" i="3"/>
  <c r="T55" i="3"/>
  <c r="U55" i="3"/>
  <c r="L56" i="3"/>
  <c r="M56" i="3"/>
  <c r="N56" i="3"/>
  <c r="O56" i="3"/>
  <c r="P56" i="3"/>
  <c r="Q56" i="3"/>
  <c r="R56" i="3"/>
  <c r="S56" i="3"/>
  <c r="T56" i="3"/>
  <c r="U56" i="3"/>
  <c r="L57" i="3"/>
  <c r="M57" i="3"/>
  <c r="N57" i="3"/>
  <c r="O57" i="3"/>
  <c r="P57" i="3"/>
  <c r="Q57" i="3"/>
  <c r="R57" i="3"/>
  <c r="S57" i="3"/>
  <c r="T57" i="3"/>
  <c r="U57" i="3"/>
  <c r="L58" i="3"/>
  <c r="M58" i="3"/>
  <c r="N58" i="3"/>
  <c r="O58" i="3"/>
  <c r="P58" i="3"/>
  <c r="Q58" i="3"/>
  <c r="R58" i="3"/>
  <c r="S58" i="3"/>
  <c r="T58" i="3"/>
  <c r="U58" i="3"/>
  <c r="L59" i="3"/>
  <c r="M59" i="3"/>
  <c r="N59" i="3"/>
  <c r="O59" i="3"/>
  <c r="P59" i="3"/>
  <c r="Q59" i="3"/>
  <c r="R59" i="3"/>
  <c r="S59" i="3"/>
  <c r="T59" i="3"/>
  <c r="U59" i="3"/>
  <c r="L60" i="3"/>
  <c r="M60" i="3"/>
  <c r="N60" i="3"/>
  <c r="O60" i="3"/>
  <c r="P60" i="3"/>
  <c r="Q60" i="3"/>
  <c r="R60" i="3"/>
  <c r="S60" i="3"/>
  <c r="T60" i="3"/>
  <c r="U60" i="3"/>
  <c r="L61" i="3"/>
  <c r="M61" i="3"/>
  <c r="N61" i="3"/>
  <c r="O61" i="3"/>
  <c r="P61" i="3"/>
  <c r="Q61" i="3"/>
  <c r="R61" i="3"/>
  <c r="S61" i="3"/>
  <c r="T61" i="3"/>
  <c r="U61" i="3"/>
  <c r="L62" i="3"/>
  <c r="M62" i="3"/>
  <c r="N62" i="3"/>
  <c r="O62" i="3"/>
  <c r="P62" i="3"/>
  <c r="Q62" i="3"/>
  <c r="R62" i="3"/>
  <c r="S62" i="3"/>
  <c r="T62" i="3"/>
  <c r="U62" i="3"/>
  <c r="L63" i="3"/>
  <c r="M63" i="3"/>
  <c r="N63" i="3"/>
  <c r="O63" i="3"/>
  <c r="P63" i="3"/>
  <c r="Q63" i="3"/>
  <c r="R63" i="3"/>
  <c r="S63" i="3"/>
  <c r="T63" i="3"/>
  <c r="U63" i="3"/>
  <c r="L64" i="3"/>
  <c r="M64" i="3"/>
  <c r="N64" i="3"/>
  <c r="O64" i="3"/>
  <c r="P64" i="3"/>
  <c r="Q64" i="3"/>
  <c r="R64" i="3"/>
  <c r="S64" i="3"/>
  <c r="T64" i="3"/>
  <c r="U64" i="3"/>
  <c r="L65" i="3"/>
  <c r="M65" i="3"/>
  <c r="N65" i="3"/>
  <c r="O65" i="3"/>
  <c r="P65" i="3"/>
  <c r="Q65" i="3"/>
  <c r="R65" i="3"/>
  <c r="S65" i="3"/>
  <c r="T65" i="3"/>
  <c r="U65" i="3"/>
  <c r="L66" i="3"/>
  <c r="M66" i="3"/>
  <c r="N66" i="3"/>
  <c r="O66" i="3"/>
  <c r="P66" i="3"/>
  <c r="Q66" i="3"/>
  <c r="R66" i="3"/>
  <c r="S66" i="3"/>
  <c r="T66" i="3"/>
  <c r="U66" i="3"/>
  <c r="L67" i="3"/>
  <c r="M67" i="3"/>
  <c r="N67" i="3"/>
  <c r="O67" i="3"/>
  <c r="P67" i="3"/>
  <c r="Q67" i="3"/>
  <c r="R67" i="3"/>
  <c r="S67" i="3"/>
  <c r="T67" i="3"/>
  <c r="U67" i="3"/>
  <c r="L68" i="3"/>
  <c r="M68" i="3"/>
  <c r="N68" i="3"/>
  <c r="O68" i="3"/>
  <c r="P68" i="3"/>
  <c r="Q68" i="3"/>
  <c r="R68" i="3"/>
  <c r="S68" i="3"/>
  <c r="T68" i="3"/>
  <c r="U68" i="3"/>
  <c r="L69" i="3"/>
  <c r="M69" i="3"/>
  <c r="N69" i="3"/>
  <c r="O69" i="3"/>
  <c r="P69" i="3"/>
  <c r="Q69" i="3"/>
  <c r="R69" i="3"/>
  <c r="S69" i="3"/>
  <c r="T69" i="3"/>
  <c r="U69" i="3"/>
  <c r="L70" i="3"/>
  <c r="M70" i="3"/>
  <c r="N70" i="3"/>
  <c r="O70" i="3"/>
  <c r="P70" i="3"/>
  <c r="Q70" i="3"/>
  <c r="R70" i="3"/>
  <c r="S70" i="3"/>
  <c r="T70" i="3"/>
  <c r="U70" i="3"/>
  <c r="L71" i="3"/>
  <c r="M71" i="3"/>
  <c r="N71" i="3"/>
  <c r="O71" i="3"/>
  <c r="P71" i="3"/>
  <c r="Q71" i="3"/>
  <c r="R71" i="3"/>
  <c r="S71" i="3"/>
  <c r="T71" i="3"/>
  <c r="U71" i="3"/>
  <c r="L72" i="3"/>
  <c r="M72" i="3"/>
  <c r="N72" i="3"/>
  <c r="O72" i="3"/>
  <c r="P72" i="3"/>
  <c r="Q72" i="3"/>
  <c r="R72" i="3"/>
  <c r="S72" i="3"/>
  <c r="T72" i="3"/>
  <c r="U72" i="3"/>
  <c r="L73" i="3"/>
  <c r="M73" i="3"/>
  <c r="N73" i="3"/>
  <c r="O73" i="3"/>
  <c r="P73" i="3"/>
  <c r="Q73" i="3"/>
  <c r="R73" i="3"/>
  <c r="S73" i="3"/>
  <c r="T73" i="3"/>
  <c r="U73" i="3"/>
  <c r="L74" i="3"/>
  <c r="M74" i="3"/>
  <c r="N74" i="3"/>
  <c r="O74" i="3"/>
  <c r="P74" i="3"/>
  <c r="Q74" i="3"/>
  <c r="R74" i="3"/>
  <c r="S74" i="3"/>
  <c r="T74" i="3"/>
  <c r="U74" i="3"/>
  <c r="U11" i="3"/>
  <c r="R11" i="3"/>
  <c r="Q11" i="3"/>
  <c r="N11" i="3"/>
  <c r="T11" i="3"/>
  <c r="S11" i="3"/>
  <c r="P11" i="3"/>
  <c r="O11" i="3"/>
  <c r="M11" i="3"/>
  <c r="L11" i="3"/>
  <c r="B75" i="3"/>
  <c r="C75" i="3"/>
  <c r="D75" i="3"/>
  <c r="E75" i="3"/>
  <c r="F75" i="3"/>
  <c r="G75" i="3"/>
  <c r="H75" i="3"/>
  <c r="I75" i="3"/>
  <c r="J75" i="3"/>
  <c r="K75" i="3"/>
  <c r="B76" i="3"/>
  <c r="C76" i="3"/>
  <c r="D76" i="3"/>
  <c r="E70" i="2" s="1"/>
  <c r="E76" i="3"/>
  <c r="F76" i="3"/>
  <c r="G76" i="3"/>
  <c r="H76" i="3"/>
  <c r="I76" i="3"/>
  <c r="J76" i="3"/>
  <c r="K76" i="3"/>
  <c r="B77" i="3"/>
  <c r="C77" i="3"/>
  <c r="D77" i="3"/>
  <c r="E77" i="3"/>
  <c r="F77" i="3"/>
  <c r="G77" i="3"/>
  <c r="H77" i="3"/>
  <c r="I77" i="3"/>
  <c r="J77" i="3"/>
  <c r="K77" i="3"/>
  <c r="B78" i="3"/>
  <c r="C78" i="3"/>
  <c r="D78" i="3"/>
  <c r="E72" i="2" s="1"/>
  <c r="E78" i="3"/>
  <c r="F78" i="3"/>
  <c r="G78" i="3"/>
  <c r="H78" i="3"/>
  <c r="I78" i="3"/>
  <c r="J78" i="3"/>
  <c r="K78" i="3"/>
  <c r="B79" i="3"/>
  <c r="C79" i="3"/>
  <c r="D79" i="3"/>
  <c r="E79" i="3"/>
  <c r="F79" i="3"/>
  <c r="G79" i="3"/>
  <c r="H79" i="3"/>
  <c r="I79" i="3"/>
  <c r="J79" i="3"/>
  <c r="K79" i="3"/>
  <c r="B80" i="3"/>
  <c r="C80" i="3"/>
  <c r="D80" i="3"/>
  <c r="E74" i="2" s="1"/>
  <c r="E80" i="3"/>
  <c r="F80" i="3"/>
  <c r="G80" i="3"/>
  <c r="H80" i="3"/>
  <c r="I80" i="3"/>
  <c r="J80" i="3"/>
  <c r="K80" i="3"/>
  <c r="B81" i="3"/>
  <c r="C81" i="3"/>
  <c r="D81" i="3"/>
  <c r="E81" i="3"/>
  <c r="F81" i="3"/>
  <c r="G81" i="3"/>
  <c r="H81" i="3"/>
  <c r="I81" i="3"/>
  <c r="J81" i="3"/>
  <c r="K81" i="3"/>
  <c r="B82" i="3"/>
  <c r="C82" i="3"/>
  <c r="D82" i="3"/>
  <c r="E76" i="2" s="1"/>
  <c r="E82" i="3"/>
  <c r="F82" i="3"/>
  <c r="G82" i="3"/>
  <c r="H82" i="3"/>
  <c r="I82" i="3"/>
  <c r="J82" i="3"/>
  <c r="K82" i="3"/>
  <c r="B83" i="3"/>
  <c r="C83" i="3"/>
  <c r="D83" i="3"/>
  <c r="E83" i="3"/>
  <c r="F83" i="3"/>
  <c r="G83" i="3"/>
  <c r="H83" i="3"/>
  <c r="I83" i="3"/>
  <c r="J83" i="3"/>
  <c r="K83" i="3"/>
  <c r="B84" i="3"/>
  <c r="C84" i="3"/>
  <c r="D84" i="3"/>
  <c r="E78" i="2" s="1"/>
  <c r="E84" i="3"/>
  <c r="F84" i="3"/>
  <c r="G84" i="3"/>
  <c r="H84" i="3"/>
  <c r="I84" i="3"/>
  <c r="J84" i="3"/>
  <c r="K84" i="3"/>
  <c r="B85" i="3"/>
  <c r="C85" i="3"/>
  <c r="D85" i="3"/>
  <c r="E85" i="3"/>
  <c r="F85" i="3"/>
  <c r="G85" i="3"/>
  <c r="H85" i="3"/>
  <c r="I85" i="3"/>
  <c r="J85" i="3"/>
  <c r="K85" i="3"/>
  <c r="B86" i="3"/>
  <c r="C86" i="3"/>
  <c r="D86" i="3"/>
  <c r="E80" i="2" s="1"/>
  <c r="E86" i="3"/>
  <c r="F86" i="3"/>
  <c r="G86" i="3"/>
  <c r="H86" i="3"/>
  <c r="I86" i="3"/>
  <c r="J86" i="3"/>
  <c r="K86" i="3"/>
  <c r="B87" i="3"/>
  <c r="C87" i="3"/>
  <c r="D87" i="3"/>
  <c r="E87" i="3"/>
  <c r="F87" i="3"/>
  <c r="G87" i="3"/>
  <c r="H87" i="3"/>
  <c r="I87" i="3"/>
  <c r="J87" i="3"/>
  <c r="K87" i="3"/>
  <c r="B88" i="3"/>
  <c r="C88" i="3"/>
  <c r="D88" i="3"/>
  <c r="E82" i="2" s="1"/>
  <c r="E88" i="3"/>
  <c r="F88" i="3"/>
  <c r="G88" i="3"/>
  <c r="H88" i="3"/>
  <c r="I88" i="3"/>
  <c r="J88" i="3"/>
  <c r="K88" i="3"/>
  <c r="B89" i="3"/>
  <c r="C89" i="3"/>
  <c r="D89" i="3"/>
  <c r="E89" i="3"/>
  <c r="F89" i="3"/>
  <c r="G89" i="3"/>
  <c r="H89" i="3"/>
  <c r="I89" i="3"/>
  <c r="J89" i="3"/>
  <c r="K89" i="3"/>
  <c r="B90" i="3"/>
  <c r="C90" i="3"/>
  <c r="D90" i="3"/>
  <c r="E84" i="2" s="1"/>
  <c r="E90" i="3"/>
  <c r="F90" i="3"/>
  <c r="G90" i="3"/>
  <c r="H90" i="3"/>
  <c r="I90" i="3"/>
  <c r="J90" i="3"/>
  <c r="K90" i="3"/>
  <c r="B91" i="3"/>
  <c r="C91" i="3"/>
  <c r="D91" i="3"/>
  <c r="E91" i="3"/>
  <c r="F91" i="3"/>
  <c r="G91" i="3"/>
  <c r="H91" i="3"/>
  <c r="I91" i="3"/>
  <c r="J91" i="3"/>
  <c r="K91" i="3"/>
  <c r="B92" i="3"/>
  <c r="C92" i="3"/>
  <c r="D92" i="3"/>
  <c r="E86" i="2" s="1"/>
  <c r="E92" i="3"/>
  <c r="F92" i="3"/>
  <c r="G92" i="3"/>
  <c r="H92" i="3"/>
  <c r="I92" i="3"/>
  <c r="J92" i="3"/>
  <c r="K92" i="3"/>
  <c r="B93" i="3"/>
  <c r="C93" i="3"/>
  <c r="D93" i="3"/>
  <c r="E93" i="3"/>
  <c r="F93" i="3"/>
  <c r="G93" i="3"/>
  <c r="H93" i="3"/>
  <c r="I93" i="3"/>
  <c r="J93" i="3"/>
  <c r="K93" i="3"/>
  <c r="B94" i="3"/>
  <c r="C94" i="3"/>
  <c r="D94" i="3"/>
  <c r="E88" i="2" s="1"/>
  <c r="E94" i="3"/>
  <c r="F94" i="3"/>
  <c r="G94" i="3"/>
  <c r="H94" i="3"/>
  <c r="I94" i="3"/>
  <c r="J94" i="3"/>
  <c r="K94" i="3"/>
  <c r="B95" i="3"/>
  <c r="C95" i="3"/>
  <c r="D95" i="3"/>
  <c r="E95" i="3"/>
  <c r="F95" i="3"/>
  <c r="G95" i="3"/>
  <c r="H95" i="3"/>
  <c r="I95" i="3"/>
  <c r="J95" i="3"/>
  <c r="K95" i="3"/>
  <c r="B96" i="3"/>
  <c r="C96" i="3"/>
  <c r="D96" i="3"/>
  <c r="E90" i="2" s="1"/>
  <c r="E96" i="3"/>
  <c r="F96" i="3"/>
  <c r="G96" i="3"/>
  <c r="H96" i="3"/>
  <c r="I96" i="3"/>
  <c r="J96" i="3"/>
  <c r="K96" i="3"/>
  <c r="B97" i="3"/>
  <c r="C97" i="3"/>
  <c r="D97" i="3"/>
  <c r="E97" i="3"/>
  <c r="F97" i="3"/>
  <c r="G97" i="3"/>
  <c r="H97" i="3"/>
  <c r="I97" i="3"/>
  <c r="J97" i="3"/>
  <c r="K97" i="3"/>
  <c r="B98" i="3"/>
  <c r="C98" i="3"/>
  <c r="D98" i="3"/>
  <c r="E92" i="2" s="1"/>
  <c r="E98" i="3"/>
  <c r="F98" i="3"/>
  <c r="G98" i="3"/>
  <c r="H98" i="3"/>
  <c r="I98" i="3"/>
  <c r="J98" i="3"/>
  <c r="K98" i="3"/>
  <c r="B99" i="3"/>
  <c r="C99" i="3"/>
  <c r="D99" i="3"/>
  <c r="E99" i="3"/>
  <c r="F99" i="3"/>
  <c r="G99" i="3"/>
  <c r="H99" i="3"/>
  <c r="I99" i="3"/>
  <c r="J99" i="3"/>
  <c r="K99" i="3"/>
  <c r="B100" i="3"/>
  <c r="C100" i="3"/>
  <c r="D100" i="3"/>
  <c r="E94" i="2" s="1"/>
  <c r="E100" i="3"/>
  <c r="F100" i="3"/>
  <c r="G100" i="3"/>
  <c r="H100" i="3"/>
  <c r="I100" i="3"/>
  <c r="J100" i="3"/>
  <c r="K100" i="3"/>
  <c r="B101" i="3"/>
  <c r="C101" i="3"/>
  <c r="D101" i="3"/>
  <c r="E101" i="3"/>
  <c r="F101" i="3"/>
  <c r="G101" i="3"/>
  <c r="H101" i="3"/>
  <c r="I101" i="3"/>
  <c r="J101" i="3"/>
  <c r="K101" i="3"/>
  <c r="B102" i="3"/>
  <c r="C102" i="3"/>
  <c r="D102" i="3"/>
  <c r="E96" i="2" s="1"/>
  <c r="E102" i="3"/>
  <c r="F102" i="3"/>
  <c r="G102" i="3"/>
  <c r="H102" i="3"/>
  <c r="I102" i="3"/>
  <c r="J102" i="3"/>
  <c r="K102" i="3"/>
  <c r="B103" i="3"/>
  <c r="C103" i="3"/>
  <c r="D103" i="3"/>
  <c r="E103" i="3"/>
  <c r="F103" i="3"/>
  <c r="G103" i="3"/>
  <c r="H103" i="3"/>
  <c r="I103" i="3"/>
  <c r="J103" i="3"/>
  <c r="K103" i="3"/>
  <c r="B104" i="3"/>
  <c r="C104" i="3"/>
  <c r="D104" i="3"/>
  <c r="E98" i="2" s="1"/>
  <c r="E104" i="3"/>
  <c r="F104" i="3"/>
  <c r="G104" i="3"/>
  <c r="H104" i="3"/>
  <c r="I104" i="3"/>
  <c r="J104" i="3"/>
  <c r="K104" i="3"/>
  <c r="B105" i="3"/>
  <c r="C105" i="3"/>
  <c r="D105" i="3"/>
  <c r="E105" i="3"/>
  <c r="F105" i="3"/>
  <c r="G105" i="3"/>
  <c r="H105" i="3"/>
  <c r="I105" i="3"/>
  <c r="J105" i="3"/>
  <c r="K105" i="3"/>
  <c r="B106" i="3"/>
  <c r="C106" i="3"/>
  <c r="D106" i="3"/>
  <c r="E100" i="2" s="1"/>
  <c r="E106" i="3"/>
  <c r="F106" i="3"/>
  <c r="G106" i="3"/>
  <c r="H106" i="3"/>
  <c r="I106" i="3"/>
  <c r="J106" i="3"/>
  <c r="K106" i="3"/>
  <c r="B12" i="3"/>
  <c r="C12" i="3"/>
  <c r="D12" i="3"/>
  <c r="E12" i="3"/>
  <c r="F12" i="3"/>
  <c r="G12" i="3"/>
  <c r="H12" i="3"/>
  <c r="I12" i="3"/>
  <c r="J12" i="3"/>
  <c r="K12" i="3"/>
  <c r="B13" i="3"/>
  <c r="C13" i="3"/>
  <c r="D13" i="3"/>
  <c r="E13" i="3"/>
  <c r="F13" i="3"/>
  <c r="G13" i="3"/>
  <c r="H13" i="3"/>
  <c r="I13" i="3"/>
  <c r="J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I15" i="3"/>
  <c r="J15" i="3"/>
  <c r="K15" i="3"/>
  <c r="B16" i="3"/>
  <c r="C16" i="3"/>
  <c r="D16" i="3"/>
  <c r="E16" i="3"/>
  <c r="F16" i="3"/>
  <c r="G16" i="3"/>
  <c r="H16" i="3"/>
  <c r="I16" i="3"/>
  <c r="J16" i="3"/>
  <c r="K16" i="3"/>
  <c r="B17" i="3"/>
  <c r="C17" i="3"/>
  <c r="D17" i="3"/>
  <c r="E17" i="3"/>
  <c r="F17" i="3"/>
  <c r="G17" i="3"/>
  <c r="H17" i="3"/>
  <c r="I17" i="3"/>
  <c r="J17" i="3"/>
  <c r="K17" i="3"/>
  <c r="B18" i="3"/>
  <c r="C18" i="3"/>
  <c r="D18" i="3"/>
  <c r="E18" i="3"/>
  <c r="F18" i="3"/>
  <c r="G18" i="3"/>
  <c r="H18" i="3"/>
  <c r="I18" i="3"/>
  <c r="J18" i="3"/>
  <c r="K18" i="3"/>
  <c r="B19" i="3"/>
  <c r="C19" i="3"/>
  <c r="D19" i="3"/>
  <c r="E19" i="3"/>
  <c r="F19" i="3"/>
  <c r="G19" i="3"/>
  <c r="H19" i="3"/>
  <c r="I19" i="3"/>
  <c r="J19" i="3"/>
  <c r="K19" i="3"/>
  <c r="B20" i="3"/>
  <c r="C20" i="3"/>
  <c r="D20" i="3"/>
  <c r="E20" i="3"/>
  <c r="F20" i="3"/>
  <c r="G20" i="3"/>
  <c r="H20" i="3"/>
  <c r="I20" i="3"/>
  <c r="J20" i="3"/>
  <c r="K20" i="3"/>
  <c r="B21" i="3"/>
  <c r="C21" i="3"/>
  <c r="D21" i="3"/>
  <c r="E21" i="3"/>
  <c r="F21" i="3"/>
  <c r="G21" i="3"/>
  <c r="H21" i="3"/>
  <c r="I21" i="3"/>
  <c r="J21" i="3"/>
  <c r="K21" i="3"/>
  <c r="B22" i="3"/>
  <c r="C22" i="3"/>
  <c r="D22" i="3"/>
  <c r="E22" i="3"/>
  <c r="F22" i="3"/>
  <c r="G22" i="3"/>
  <c r="H22" i="3"/>
  <c r="I22" i="3"/>
  <c r="J22" i="3"/>
  <c r="K22" i="3"/>
  <c r="B23" i="3"/>
  <c r="C23" i="3"/>
  <c r="D23" i="3"/>
  <c r="E23" i="3"/>
  <c r="F23" i="3"/>
  <c r="G23" i="3"/>
  <c r="H23" i="3"/>
  <c r="I23" i="3"/>
  <c r="J23" i="3"/>
  <c r="K23" i="3"/>
  <c r="B24" i="3"/>
  <c r="C24" i="3"/>
  <c r="D24" i="3"/>
  <c r="E24" i="3"/>
  <c r="F24" i="3"/>
  <c r="G24" i="3"/>
  <c r="H24" i="3"/>
  <c r="I24" i="3"/>
  <c r="J24" i="3"/>
  <c r="K24" i="3"/>
  <c r="B25" i="3"/>
  <c r="C25" i="3"/>
  <c r="D25" i="3"/>
  <c r="E25" i="3"/>
  <c r="F25" i="3"/>
  <c r="G25" i="3"/>
  <c r="H25" i="3"/>
  <c r="I25" i="3"/>
  <c r="J25" i="3"/>
  <c r="K25" i="3"/>
  <c r="B26" i="3"/>
  <c r="C26" i="3"/>
  <c r="D26" i="3"/>
  <c r="E26" i="3"/>
  <c r="F26" i="3"/>
  <c r="G26" i="3"/>
  <c r="H26" i="3"/>
  <c r="I26" i="3"/>
  <c r="J26" i="3"/>
  <c r="K26" i="3"/>
  <c r="B27" i="3"/>
  <c r="C27" i="3"/>
  <c r="D27" i="3"/>
  <c r="E27" i="3"/>
  <c r="F27" i="3"/>
  <c r="G27" i="3"/>
  <c r="H27" i="3"/>
  <c r="I27" i="3"/>
  <c r="J27" i="3"/>
  <c r="K27" i="3"/>
  <c r="B28" i="3"/>
  <c r="C28" i="3"/>
  <c r="D28" i="3"/>
  <c r="E28" i="3"/>
  <c r="F28" i="3"/>
  <c r="G28" i="3"/>
  <c r="H28" i="3"/>
  <c r="I28" i="3"/>
  <c r="J28" i="3"/>
  <c r="K28" i="3"/>
  <c r="B29" i="3"/>
  <c r="C29" i="3"/>
  <c r="D29" i="3"/>
  <c r="E29" i="3"/>
  <c r="F29" i="3"/>
  <c r="G29" i="3"/>
  <c r="H29" i="3"/>
  <c r="I29" i="3"/>
  <c r="J29" i="3"/>
  <c r="K29" i="3"/>
  <c r="B30" i="3"/>
  <c r="C30" i="3"/>
  <c r="D30" i="3"/>
  <c r="E30" i="3"/>
  <c r="F30" i="3"/>
  <c r="G30" i="3"/>
  <c r="H30" i="3"/>
  <c r="I30" i="3"/>
  <c r="J30" i="3"/>
  <c r="K30" i="3"/>
  <c r="B31" i="3"/>
  <c r="C31" i="3"/>
  <c r="D31" i="3"/>
  <c r="E31" i="3"/>
  <c r="F31" i="3"/>
  <c r="G31" i="3"/>
  <c r="H31" i="3"/>
  <c r="I31" i="3"/>
  <c r="J31" i="3"/>
  <c r="K31" i="3"/>
  <c r="B32" i="3"/>
  <c r="C32" i="3"/>
  <c r="D32" i="3"/>
  <c r="E32" i="3"/>
  <c r="F32" i="3"/>
  <c r="G32" i="3"/>
  <c r="H32" i="3"/>
  <c r="I32" i="3"/>
  <c r="J32" i="3"/>
  <c r="K32" i="3"/>
  <c r="B33" i="3"/>
  <c r="C33" i="3"/>
  <c r="D33" i="3"/>
  <c r="E33" i="3"/>
  <c r="F33" i="3"/>
  <c r="G33" i="3"/>
  <c r="H33" i="3"/>
  <c r="I33" i="3"/>
  <c r="J33" i="3"/>
  <c r="K33" i="3"/>
  <c r="B34" i="3"/>
  <c r="C34" i="3"/>
  <c r="D34" i="3"/>
  <c r="E34" i="3"/>
  <c r="F34" i="3"/>
  <c r="G34" i="3"/>
  <c r="H34" i="3"/>
  <c r="I34" i="3"/>
  <c r="J34" i="3"/>
  <c r="K34" i="3"/>
  <c r="B35" i="3"/>
  <c r="C35" i="3"/>
  <c r="D35" i="3"/>
  <c r="E35" i="3"/>
  <c r="F35" i="3"/>
  <c r="G35" i="3"/>
  <c r="H35" i="3"/>
  <c r="I35" i="3"/>
  <c r="J35" i="3"/>
  <c r="K35" i="3"/>
  <c r="B36" i="3"/>
  <c r="C36" i="3"/>
  <c r="D36" i="3"/>
  <c r="E36" i="3"/>
  <c r="F36" i="3"/>
  <c r="G36" i="3"/>
  <c r="H36" i="3"/>
  <c r="I36" i="3"/>
  <c r="J36" i="3"/>
  <c r="K36" i="3"/>
  <c r="B37" i="3"/>
  <c r="C37" i="3"/>
  <c r="D37" i="3"/>
  <c r="E37" i="3"/>
  <c r="F37" i="3"/>
  <c r="G37" i="3"/>
  <c r="H37" i="3"/>
  <c r="I37" i="3"/>
  <c r="J37" i="3"/>
  <c r="K37" i="3"/>
  <c r="B38" i="3"/>
  <c r="C38" i="3"/>
  <c r="D38" i="3"/>
  <c r="E38" i="3"/>
  <c r="F38" i="3"/>
  <c r="G38" i="3"/>
  <c r="H38" i="3"/>
  <c r="I38" i="3"/>
  <c r="J38" i="3"/>
  <c r="K38" i="3"/>
  <c r="B39" i="3"/>
  <c r="C39" i="3"/>
  <c r="D39" i="3"/>
  <c r="E39" i="3"/>
  <c r="F39" i="3"/>
  <c r="G39" i="3"/>
  <c r="H39" i="3"/>
  <c r="I39" i="3"/>
  <c r="J39" i="3"/>
  <c r="K39" i="3"/>
  <c r="B40" i="3"/>
  <c r="C40" i="3"/>
  <c r="D40" i="3"/>
  <c r="E40" i="3"/>
  <c r="F40" i="3"/>
  <c r="G40" i="3"/>
  <c r="H40" i="3"/>
  <c r="I40" i="3"/>
  <c r="J40" i="3"/>
  <c r="K40" i="3"/>
  <c r="B41" i="3"/>
  <c r="C41" i="3"/>
  <c r="D41" i="3"/>
  <c r="E41" i="3"/>
  <c r="F41" i="3"/>
  <c r="G41" i="3"/>
  <c r="H41" i="3"/>
  <c r="I41" i="3"/>
  <c r="J41" i="3"/>
  <c r="K41" i="3"/>
  <c r="B42" i="3"/>
  <c r="C42" i="3"/>
  <c r="D42" i="3"/>
  <c r="E42" i="3"/>
  <c r="F42" i="3"/>
  <c r="G42" i="3"/>
  <c r="H42" i="3"/>
  <c r="I42" i="3"/>
  <c r="J42" i="3"/>
  <c r="K42" i="3"/>
  <c r="B43" i="3"/>
  <c r="C43" i="3"/>
  <c r="D43" i="3"/>
  <c r="E43" i="3"/>
  <c r="F43" i="3"/>
  <c r="G43" i="3"/>
  <c r="H43" i="3"/>
  <c r="I43" i="3"/>
  <c r="J43" i="3"/>
  <c r="K43" i="3"/>
  <c r="B44" i="3"/>
  <c r="C44" i="3"/>
  <c r="D44" i="3"/>
  <c r="E44" i="3"/>
  <c r="F44" i="3"/>
  <c r="G44" i="3"/>
  <c r="H44" i="3"/>
  <c r="I44" i="3"/>
  <c r="J44" i="3"/>
  <c r="K44" i="3"/>
  <c r="B45" i="3"/>
  <c r="C45" i="3"/>
  <c r="D45" i="3"/>
  <c r="E45" i="3"/>
  <c r="F45" i="3"/>
  <c r="G45" i="3"/>
  <c r="H45" i="3"/>
  <c r="I45" i="3"/>
  <c r="J45" i="3"/>
  <c r="K45" i="3"/>
  <c r="B46" i="3"/>
  <c r="C46" i="3"/>
  <c r="D46" i="3"/>
  <c r="E46" i="3"/>
  <c r="F46" i="3"/>
  <c r="G46" i="3"/>
  <c r="H46" i="3"/>
  <c r="I46" i="3"/>
  <c r="J46" i="3"/>
  <c r="K46" i="3"/>
  <c r="B47" i="3"/>
  <c r="C47" i="3"/>
  <c r="D47" i="3"/>
  <c r="E47" i="3"/>
  <c r="F47" i="3"/>
  <c r="G47" i="3"/>
  <c r="H47" i="3"/>
  <c r="I47" i="3"/>
  <c r="J47" i="3"/>
  <c r="K47" i="3"/>
  <c r="B48" i="3"/>
  <c r="C48" i="3"/>
  <c r="D48" i="3"/>
  <c r="E48" i="3"/>
  <c r="F48" i="3"/>
  <c r="G48" i="3"/>
  <c r="H48" i="3"/>
  <c r="I48" i="3"/>
  <c r="J48" i="3"/>
  <c r="K48" i="3"/>
  <c r="B49" i="3"/>
  <c r="C49" i="3"/>
  <c r="D49" i="3"/>
  <c r="E49" i="3"/>
  <c r="F49" i="3"/>
  <c r="G49" i="3"/>
  <c r="H49" i="3"/>
  <c r="I49" i="3"/>
  <c r="J49" i="3"/>
  <c r="K49" i="3"/>
  <c r="B50" i="3"/>
  <c r="C50" i="3"/>
  <c r="D50" i="3"/>
  <c r="E50" i="3"/>
  <c r="F50" i="3"/>
  <c r="G50" i="3"/>
  <c r="H50" i="3"/>
  <c r="I50" i="3"/>
  <c r="J50" i="3"/>
  <c r="K50" i="3"/>
  <c r="B51" i="3"/>
  <c r="C51" i="3"/>
  <c r="D51" i="3"/>
  <c r="E51" i="3"/>
  <c r="F51" i="3"/>
  <c r="G51" i="3"/>
  <c r="H51" i="3"/>
  <c r="I51" i="3"/>
  <c r="J51" i="3"/>
  <c r="K51" i="3"/>
  <c r="B52" i="3"/>
  <c r="C52" i="3"/>
  <c r="D52" i="3"/>
  <c r="E52" i="3"/>
  <c r="F52" i="3"/>
  <c r="G52" i="3"/>
  <c r="H52" i="3"/>
  <c r="I52" i="3"/>
  <c r="J52" i="3"/>
  <c r="K52" i="3"/>
  <c r="B53" i="3"/>
  <c r="C53" i="3"/>
  <c r="D53" i="3"/>
  <c r="E53" i="3"/>
  <c r="F53" i="3"/>
  <c r="G53" i="3"/>
  <c r="H53" i="3"/>
  <c r="I53" i="3"/>
  <c r="J53" i="3"/>
  <c r="K53" i="3"/>
  <c r="B54" i="3"/>
  <c r="C54" i="3"/>
  <c r="D54" i="3"/>
  <c r="E54" i="3"/>
  <c r="F54" i="3"/>
  <c r="G54" i="3"/>
  <c r="H54" i="3"/>
  <c r="I54" i="3"/>
  <c r="J54" i="3"/>
  <c r="K54" i="3"/>
  <c r="B55" i="3"/>
  <c r="C55" i="3"/>
  <c r="D55" i="3"/>
  <c r="E55" i="3"/>
  <c r="F55" i="3"/>
  <c r="G55" i="3"/>
  <c r="H55" i="3"/>
  <c r="I55" i="3"/>
  <c r="J55" i="3"/>
  <c r="K55" i="3"/>
  <c r="B56" i="3"/>
  <c r="C56" i="3"/>
  <c r="D56" i="3"/>
  <c r="E56" i="3"/>
  <c r="F56" i="3"/>
  <c r="G56" i="3"/>
  <c r="H56" i="3"/>
  <c r="I56" i="3"/>
  <c r="J56" i="3"/>
  <c r="K56" i="3"/>
  <c r="B57" i="3"/>
  <c r="C57" i="3"/>
  <c r="D57" i="3"/>
  <c r="E57" i="3"/>
  <c r="F57" i="3"/>
  <c r="G57" i="3"/>
  <c r="H57" i="3"/>
  <c r="I57" i="3"/>
  <c r="J57" i="3"/>
  <c r="K57" i="3"/>
  <c r="B58" i="3"/>
  <c r="C58" i="3"/>
  <c r="D58" i="3"/>
  <c r="E58" i="3"/>
  <c r="F58" i="3"/>
  <c r="G58" i="3"/>
  <c r="H58" i="3"/>
  <c r="I58" i="3"/>
  <c r="J58" i="3"/>
  <c r="K58" i="3"/>
  <c r="B59" i="3"/>
  <c r="C59" i="3"/>
  <c r="D59" i="3"/>
  <c r="E59" i="3"/>
  <c r="F59" i="3"/>
  <c r="G59" i="3"/>
  <c r="H59" i="3"/>
  <c r="I59" i="3"/>
  <c r="J59" i="3"/>
  <c r="K59" i="3"/>
  <c r="B60" i="3"/>
  <c r="C60" i="3"/>
  <c r="D60" i="3"/>
  <c r="E60" i="3"/>
  <c r="F60" i="3"/>
  <c r="G60" i="3"/>
  <c r="H60" i="3"/>
  <c r="I60" i="3"/>
  <c r="J60" i="3"/>
  <c r="K60" i="3"/>
  <c r="B61" i="3"/>
  <c r="C61" i="3"/>
  <c r="D61" i="3"/>
  <c r="E61" i="3"/>
  <c r="F61" i="3"/>
  <c r="G61" i="3"/>
  <c r="H61" i="3"/>
  <c r="I61" i="3"/>
  <c r="J61" i="3"/>
  <c r="K61" i="3"/>
  <c r="B62" i="3"/>
  <c r="C62" i="3"/>
  <c r="D62" i="3"/>
  <c r="E62" i="3"/>
  <c r="F62" i="3"/>
  <c r="G62" i="3"/>
  <c r="H62" i="3"/>
  <c r="I62" i="3"/>
  <c r="J62" i="3"/>
  <c r="K62" i="3"/>
  <c r="B63" i="3"/>
  <c r="C63" i="3"/>
  <c r="D63" i="3"/>
  <c r="E63" i="3"/>
  <c r="F63" i="3"/>
  <c r="G63" i="3"/>
  <c r="H63" i="3"/>
  <c r="I63" i="3"/>
  <c r="J63" i="3"/>
  <c r="K63" i="3"/>
  <c r="B64" i="3"/>
  <c r="C64" i="3"/>
  <c r="D64" i="3"/>
  <c r="E64" i="3"/>
  <c r="F64" i="3"/>
  <c r="G64" i="3"/>
  <c r="H64" i="3"/>
  <c r="I64" i="3"/>
  <c r="J64" i="3"/>
  <c r="K64" i="3"/>
  <c r="B65" i="3"/>
  <c r="C65" i="3"/>
  <c r="D65" i="3"/>
  <c r="E65" i="3"/>
  <c r="F65" i="3"/>
  <c r="G65" i="3"/>
  <c r="H65" i="3"/>
  <c r="I65" i="3"/>
  <c r="J65" i="3"/>
  <c r="K65" i="3"/>
  <c r="B66" i="3"/>
  <c r="C66" i="3"/>
  <c r="D66" i="3"/>
  <c r="E66" i="3"/>
  <c r="F66" i="3"/>
  <c r="G66" i="3"/>
  <c r="H66" i="3"/>
  <c r="I66" i="3"/>
  <c r="J66" i="3"/>
  <c r="K66" i="3"/>
  <c r="B67" i="3"/>
  <c r="C67" i="3"/>
  <c r="D67" i="3"/>
  <c r="E67" i="3"/>
  <c r="F67" i="3"/>
  <c r="G67" i="3"/>
  <c r="H67" i="3"/>
  <c r="I67" i="3"/>
  <c r="J67" i="3"/>
  <c r="K67" i="3"/>
  <c r="B68" i="3"/>
  <c r="C68" i="3"/>
  <c r="D68" i="3"/>
  <c r="E68" i="3"/>
  <c r="F68" i="3"/>
  <c r="G68" i="3"/>
  <c r="H68" i="3"/>
  <c r="I68" i="3"/>
  <c r="J68" i="3"/>
  <c r="K68" i="3"/>
  <c r="B69" i="3"/>
  <c r="C69" i="3"/>
  <c r="D69" i="3"/>
  <c r="E69" i="3"/>
  <c r="F69" i="3"/>
  <c r="G69" i="3"/>
  <c r="H69" i="3"/>
  <c r="I69" i="3"/>
  <c r="J69" i="3"/>
  <c r="K69" i="3"/>
  <c r="B70" i="3"/>
  <c r="C70" i="3"/>
  <c r="D70" i="3"/>
  <c r="E70" i="3"/>
  <c r="F70" i="3"/>
  <c r="G70" i="3"/>
  <c r="H70" i="3"/>
  <c r="I70" i="3"/>
  <c r="J70" i="3"/>
  <c r="K70" i="3"/>
  <c r="B71" i="3"/>
  <c r="C71" i="3"/>
  <c r="D71" i="3"/>
  <c r="E71" i="3"/>
  <c r="F71" i="3"/>
  <c r="G71" i="3"/>
  <c r="H71" i="3"/>
  <c r="I71" i="3"/>
  <c r="J71" i="3"/>
  <c r="K71" i="3"/>
  <c r="B72" i="3"/>
  <c r="C72" i="3"/>
  <c r="D72" i="3"/>
  <c r="E72" i="3"/>
  <c r="F72" i="3"/>
  <c r="G72" i="3"/>
  <c r="H72" i="3"/>
  <c r="I72" i="3"/>
  <c r="J72" i="3"/>
  <c r="K72" i="3"/>
  <c r="B73" i="3"/>
  <c r="C73" i="3"/>
  <c r="D73" i="3"/>
  <c r="E73" i="3"/>
  <c r="F73" i="3"/>
  <c r="G73" i="3"/>
  <c r="H73" i="3"/>
  <c r="I73" i="3"/>
  <c r="J73" i="3"/>
  <c r="K73" i="3"/>
  <c r="B74" i="3"/>
  <c r="C74" i="3"/>
  <c r="D74" i="3"/>
  <c r="E74" i="3"/>
  <c r="F74" i="3"/>
  <c r="G74" i="3"/>
  <c r="H74" i="3"/>
  <c r="I74" i="3"/>
  <c r="J74" i="3"/>
  <c r="K74" i="3"/>
  <c r="K11" i="3"/>
  <c r="J11" i="3"/>
  <c r="I11" i="3"/>
  <c r="H11" i="3"/>
  <c r="L98" i="2" l="1"/>
  <c r="L94" i="2"/>
  <c r="P94" i="2"/>
  <c r="L97" i="2"/>
  <c r="P97" i="2"/>
  <c r="P93" i="2"/>
  <c r="K97" i="2"/>
  <c r="J97" i="2" s="1"/>
  <c r="D97" i="39" s="1"/>
  <c r="K93" i="2"/>
  <c r="J93" i="2" s="1"/>
  <c r="D93" i="39" s="1"/>
  <c r="O93" i="2"/>
  <c r="L100" i="2"/>
  <c r="K99" i="2"/>
  <c r="M96" i="2"/>
  <c r="L96" i="2"/>
  <c r="K95" i="2"/>
  <c r="M94" i="2"/>
  <c r="J94" i="2" s="1"/>
  <c r="D94" i="39" s="1"/>
  <c r="P100" i="2"/>
  <c r="O99" i="2"/>
  <c r="O97" i="2"/>
  <c r="Q96" i="2"/>
  <c r="P96" i="2"/>
  <c r="O95" i="2"/>
  <c r="K100" i="2"/>
  <c r="O100" i="2"/>
  <c r="O96" i="2"/>
  <c r="N96" i="2" s="1"/>
  <c r="E96" i="39" s="1"/>
  <c r="K96" i="2"/>
  <c r="L99" i="2"/>
  <c r="L95" i="2"/>
  <c r="P99" i="2"/>
  <c r="P95" i="2"/>
  <c r="C100" i="2"/>
  <c r="E99" i="2"/>
  <c r="C96" i="2"/>
  <c r="B96" i="2" s="1"/>
  <c r="B96" i="39" s="1"/>
  <c r="E95" i="2"/>
  <c r="C92" i="2"/>
  <c r="E91" i="2"/>
  <c r="C88" i="2"/>
  <c r="E87" i="2"/>
  <c r="C84" i="2"/>
  <c r="E83" i="2"/>
  <c r="C80" i="2"/>
  <c r="E79" i="2"/>
  <c r="C76" i="2"/>
  <c r="E75" i="2"/>
  <c r="C72" i="2"/>
  <c r="E71" i="2"/>
  <c r="G100" i="2"/>
  <c r="I99" i="2"/>
  <c r="G96" i="2"/>
  <c r="F96" i="2" s="1"/>
  <c r="C96" i="39" s="1"/>
  <c r="I95" i="2"/>
  <c r="G92" i="2"/>
  <c r="I91" i="2"/>
  <c r="G88" i="2"/>
  <c r="I87" i="2"/>
  <c r="G84" i="2"/>
  <c r="I83" i="2"/>
  <c r="G80" i="2"/>
  <c r="I79" i="2"/>
  <c r="G76" i="2"/>
  <c r="I75" i="2"/>
  <c r="G72" i="2"/>
  <c r="I71" i="2"/>
  <c r="M92" i="2"/>
  <c r="M88" i="2"/>
  <c r="M84" i="2"/>
  <c r="M80" i="2"/>
  <c r="M76" i="2"/>
  <c r="M72" i="2"/>
  <c r="Q92" i="2"/>
  <c r="O89" i="2"/>
  <c r="Q88" i="2"/>
  <c r="O85" i="2"/>
  <c r="Q84" i="2"/>
  <c r="O81" i="2"/>
  <c r="Q80" i="2"/>
  <c r="O77" i="2"/>
  <c r="Q76" i="2"/>
  <c r="O73" i="2"/>
  <c r="Q72" i="2"/>
  <c r="O69" i="2"/>
  <c r="E97" i="2"/>
  <c r="E93" i="2"/>
  <c r="E89" i="2"/>
  <c r="E85" i="2"/>
  <c r="C82" i="2"/>
  <c r="C78" i="2"/>
  <c r="E77" i="2"/>
  <c r="C74" i="2"/>
  <c r="C70" i="2"/>
  <c r="B70" i="2" s="1"/>
  <c r="B70" i="39" s="1"/>
  <c r="E69" i="2"/>
  <c r="G98" i="2"/>
  <c r="I97" i="2"/>
  <c r="G94" i="2"/>
  <c r="I93" i="2"/>
  <c r="G90" i="2"/>
  <c r="I89" i="2"/>
  <c r="G86" i="2"/>
  <c r="I85" i="2"/>
  <c r="G82" i="2"/>
  <c r="I81" i="2"/>
  <c r="G78" i="2"/>
  <c r="I77" i="2"/>
  <c r="G74" i="2"/>
  <c r="I73" i="2"/>
  <c r="G70" i="2"/>
  <c r="I69" i="2"/>
  <c r="K91" i="2"/>
  <c r="M90" i="2"/>
  <c r="K87" i="2"/>
  <c r="M86" i="2"/>
  <c r="K83" i="2"/>
  <c r="M82" i="2"/>
  <c r="M78" i="2"/>
  <c r="M74" i="2"/>
  <c r="M70" i="2"/>
  <c r="O91" i="2"/>
  <c r="Q90" i="2"/>
  <c r="O87" i="2"/>
  <c r="Q86" i="2"/>
  <c r="O83" i="2"/>
  <c r="Q82" i="2"/>
  <c r="O79" i="2"/>
  <c r="Q78" i="2"/>
  <c r="O75" i="2"/>
  <c r="Q74" i="2"/>
  <c r="O71" i="2"/>
  <c r="Q70" i="2"/>
  <c r="C98" i="2"/>
  <c r="C94" i="2"/>
  <c r="B94" i="2" s="1"/>
  <c r="C90" i="2"/>
  <c r="C86" i="2"/>
  <c r="E81" i="2"/>
  <c r="E73" i="2"/>
  <c r="I88" i="2"/>
  <c r="I84" i="2"/>
  <c r="I80" i="2"/>
  <c r="I76" i="2"/>
  <c r="I72" i="2"/>
  <c r="I92" i="2"/>
  <c r="I86" i="2"/>
  <c r="I82" i="2"/>
  <c r="I78" i="2"/>
  <c r="I74" i="2"/>
  <c r="I70" i="2"/>
  <c r="K79" i="2"/>
  <c r="K75" i="2"/>
  <c r="K71" i="2"/>
  <c r="K89" i="2"/>
  <c r="K69" i="2"/>
  <c r="K85" i="2"/>
  <c r="K81" i="2"/>
  <c r="K77" i="2"/>
  <c r="K73" i="2"/>
  <c r="O92" i="2"/>
  <c r="O88" i="2"/>
  <c r="P91" i="2"/>
  <c r="N91" i="2" s="1"/>
  <c r="E91" i="39" s="1"/>
  <c r="P87" i="2"/>
  <c r="P83" i="2"/>
  <c r="P79" i="2"/>
  <c r="P75" i="2"/>
  <c r="N75" i="2" s="1"/>
  <c r="P71" i="2"/>
  <c r="P90" i="2"/>
  <c r="P86" i="2"/>
  <c r="P82" i="2"/>
  <c r="P78" i="2"/>
  <c r="N78" i="2" s="1"/>
  <c r="E78" i="39" s="1"/>
  <c r="P74" i="2"/>
  <c r="P70" i="2"/>
  <c r="P89" i="2"/>
  <c r="P85" i="2"/>
  <c r="P81" i="2"/>
  <c r="P77" i="2"/>
  <c r="P73" i="2"/>
  <c r="P69" i="2"/>
  <c r="P92" i="2"/>
  <c r="P88" i="2"/>
  <c r="P84" i="2"/>
  <c r="P80" i="2"/>
  <c r="P76" i="2"/>
  <c r="P72" i="2"/>
  <c r="O84" i="2"/>
  <c r="O80" i="2"/>
  <c r="O76" i="2"/>
  <c r="O72" i="2"/>
  <c r="Q71" i="2"/>
  <c r="C99" i="2"/>
  <c r="C91" i="2"/>
  <c r="C79" i="2"/>
  <c r="C75" i="2"/>
  <c r="G95" i="2"/>
  <c r="G87" i="2"/>
  <c r="G83" i="2"/>
  <c r="D98" i="2"/>
  <c r="B98" i="2" s="1"/>
  <c r="B98" i="39" s="1"/>
  <c r="D94" i="2"/>
  <c r="D90" i="2"/>
  <c r="D86" i="2"/>
  <c r="B86" i="2" s="1"/>
  <c r="B86" i="39" s="1"/>
  <c r="D82" i="2"/>
  <c r="D78" i="2"/>
  <c r="D74" i="2"/>
  <c r="D70" i="2"/>
  <c r="H98" i="2"/>
  <c r="F98" i="2" s="1"/>
  <c r="C98" i="39" s="1"/>
  <c r="H94" i="2"/>
  <c r="H90" i="2"/>
  <c r="H86" i="2"/>
  <c r="H82" i="2"/>
  <c r="H78" i="2"/>
  <c r="H74" i="2"/>
  <c r="F74" i="2" s="1"/>
  <c r="C74" i="39" s="1"/>
  <c r="H70" i="2"/>
  <c r="L91" i="2"/>
  <c r="J91" i="2" s="1"/>
  <c r="D91" i="39" s="1"/>
  <c r="L87" i="2"/>
  <c r="L83" i="2"/>
  <c r="L79" i="2"/>
  <c r="L75" i="2"/>
  <c r="J75" i="2" s="1"/>
  <c r="D75" i="39" s="1"/>
  <c r="L71" i="2"/>
  <c r="D97" i="2"/>
  <c r="D93" i="2"/>
  <c r="D89" i="2"/>
  <c r="D85" i="2"/>
  <c r="D81" i="2"/>
  <c r="D77" i="2"/>
  <c r="D73" i="2"/>
  <c r="D69" i="2"/>
  <c r="H97" i="2"/>
  <c r="H93" i="2"/>
  <c r="H89" i="2"/>
  <c r="H85" i="2"/>
  <c r="H81" i="2"/>
  <c r="H77" i="2"/>
  <c r="H73" i="2"/>
  <c r="H69" i="2"/>
  <c r="L90" i="2"/>
  <c r="L86" i="2"/>
  <c r="L82" i="2"/>
  <c r="L78" i="2"/>
  <c r="L74" i="2"/>
  <c r="L70" i="2"/>
  <c r="J70" i="2" s="1"/>
  <c r="D70" i="39" s="1"/>
  <c r="C93" i="2"/>
  <c r="C85" i="2"/>
  <c r="G97" i="2"/>
  <c r="F97" i="2" s="1"/>
  <c r="C97" i="39" s="1"/>
  <c r="G89" i="2"/>
  <c r="G85" i="2"/>
  <c r="F85" i="2" s="1"/>
  <c r="C85" i="39" s="1"/>
  <c r="G81" i="2"/>
  <c r="F81" i="2" s="1"/>
  <c r="C81" i="39" s="1"/>
  <c r="G73" i="2"/>
  <c r="G69" i="2"/>
  <c r="K90" i="2"/>
  <c r="K86" i="2"/>
  <c r="K82" i="2"/>
  <c r="K78" i="2"/>
  <c r="K74" i="2"/>
  <c r="C97" i="2"/>
  <c r="C89" i="2"/>
  <c r="C81" i="2"/>
  <c r="C77" i="2"/>
  <c r="B77" i="2" s="1"/>
  <c r="B77" i="39" s="1"/>
  <c r="C73" i="2"/>
  <c r="C69" i="2"/>
  <c r="G93" i="2"/>
  <c r="G77" i="2"/>
  <c r="D100" i="2"/>
  <c r="B100" i="2" s="1"/>
  <c r="D96" i="2"/>
  <c r="D92" i="2"/>
  <c r="B92" i="2" s="1"/>
  <c r="D88" i="2"/>
  <c r="D84" i="2"/>
  <c r="B84" i="2" s="1"/>
  <c r="D80" i="2"/>
  <c r="D76" i="2"/>
  <c r="B76" i="2" s="1"/>
  <c r="B76" i="39" s="1"/>
  <c r="D72" i="2"/>
  <c r="B72" i="2" s="1"/>
  <c r="B72" i="39" s="1"/>
  <c r="H100" i="2"/>
  <c r="H96" i="2"/>
  <c r="H92" i="2"/>
  <c r="F92" i="2" s="1"/>
  <c r="C92" i="39" s="1"/>
  <c r="H88" i="2"/>
  <c r="H84" i="2"/>
  <c r="F84" i="2" s="1"/>
  <c r="C84" i="39" s="1"/>
  <c r="H80" i="2"/>
  <c r="H76" i="2"/>
  <c r="H72" i="2"/>
  <c r="L89" i="2"/>
  <c r="L85" i="2"/>
  <c r="L81" i="2"/>
  <c r="L77" i="2"/>
  <c r="L73" i="2"/>
  <c r="L69" i="2"/>
  <c r="J69" i="2" s="1"/>
  <c r="D69" i="39" s="1"/>
  <c r="D99" i="2"/>
  <c r="D95" i="2"/>
  <c r="D91" i="2"/>
  <c r="B91" i="2" s="1"/>
  <c r="D87" i="2"/>
  <c r="D83" i="2"/>
  <c r="D79" i="2"/>
  <c r="B79" i="2" s="1"/>
  <c r="B79" i="39" s="1"/>
  <c r="D75" i="2"/>
  <c r="D71" i="2"/>
  <c r="H99" i="2"/>
  <c r="H95" i="2"/>
  <c r="H91" i="2"/>
  <c r="H87" i="2"/>
  <c r="H83" i="2"/>
  <c r="H79" i="2"/>
  <c r="H75" i="2"/>
  <c r="H71" i="2"/>
  <c r="L92" i="2"/>
  <c r="L88" i="2"/>
  <c r="L84" i="2"/>
  <c r="L80" i="2"/>
  <c r="L76" i="2"/>
  <c r="L72" i="2"/>
  <c r="C95" i="2"/>
  <c r="C87" i="2"/>
  <c r="C83" i="2"/>
  <c r="C71" i="2"/>
  <c r="G99" i="2"/>
  <c r="G91" i="2"/>
  <c r="G79" i="2"/>
  <c r="G75" i="2"/>
  <c r="G71" i="2"/>
  <c r="K92" i="2"/>
  <c r="K88" i="2"/>
  <c r="K84" i="2"/>
  <c r="K80" i="2"/>
  <c r="K76" i="2"/>
  <c r="K72" i="2"/>
  <c r="M71" i="2"/>
  <c r="F90" i="2"/>
  <c r="C90" i="39" s="1"/>
  <c r="N81" i="2"/>
  <c r="E81" i="39" s="1"/>
  <c r="J98" i="2"/>
  <c r="D98" i="39" s="1"/>
  <c r="N97" i="2"/>
  <c r="E97" i="39" s="1"/>
  <c r="F100" i="2"/>
  <c r="C100" i="39" s="1"/>
  <c r="J83" i="2"/>
  <c r="D83" i="39" s="1"/>
  <c r="N79" i="2"/>
  <c r="E79" i="39" s="1"/>
  <c r="J100" i="2"/>
  <c r="D100" i="39" s="1"/>
  <c r="N95" i="2"/>
  <c r="E95" i="39" s="1"/>
  <c r="N93" i="2"/>
  <c r="E93" i="39" s="1"/>
  <c r="N94" i="2"/>
  <c r="E94" i="39" s="1"/>
  <c r="N88" i="2"/>
  <c r="E88" i="39" s="1"/>
  <c r="N98" i="2"/>
  <c r="E98" i="39" s="1"/>
  <c r="N86" i="2"/>
  <c r="E86" i="39" s="1"/>
  <c r="N99" i="2"/>
  <c r="E99" i="39" s="1"/>
  <c r="N70" i="2"/>
  <c r="E70" i="39" s="1"/>
  <c r="J95" i="2"/>
  <c r="D95" i="39" s="1"/>
  <c r="J96" i="2"/>
  <c r="D96" i="39" s="1"/>
  <c r="J99" i="2"/>
  <c r="D99" i="39" s="1"/>
  <c r="B90" i="2"/>
  <c r="F11" i="3"/>
  <c r="G11" i="3"/>
  <c r="E11" i="3"/>
  <c r="C11" i="3"/>
  <c r="D11" i="3"/>
  <c r="B11" i="3"/>
  <c r="N85" i="2" l="1"/>
  <c r="E85" i="39" s="1"/>
  <c r="N100" i="2"/>
  <c r="E100" i="39" s="1"/>
  <c r="F76" i="2"/>
  <c r="C76" i="39" s="1"/>
  <c r="B80" i="2"/>
  <c r="B80" i="39" s="1"/>
  <c r="J73" i="2"/>
  <c r="D73" i="39" s="1"/>
  <c r="N82" i="2"/>
  <c r="E82" i="39" s="1"/>
  <c r="J79" i="2"/>
  <c r="D79" i="39" s="1"/>
  <c r="F70" i="2"/>
  <c r="C70" i="39" s="1"/>
  <c r="F80" i="2"/>
  <c r="C80" i="39" s="1"/>
  <c r="B74" i="2"/>
  <c r="N83" i="2"/>
  <c r="E83" i="39" s="1"/>
  <c r="B99" i="2"/>
  <c r="B99" i="39" s="1"/>
  <c r="J77" i="2"/>
  <c r="D77" i="39" s="1"/>
  <c r="B93" i="2"/>
  <c r="B93" i="39" s="1"/>
  <c r="F69" i="2"/>
  <c r="C69" i="39" s="1"/>
  <c r="B69" i="2"/>
  <c r="B69" i="39" s="1"/>
  <c r="N74" i="2"/>
  <c r="E74" i="39" s="1"/>
  <c r="N90" i="2"/>
  <c r="E90" i="39" s="1"/>
  <c r="J87" i="2"/>
  <c r="D87" i="39" s="1"/>
  <c r="F78" i="2"/>
  <c r="C78" i="39" s="1"/>
  <c r="F94" i="2"/>
  <c r="C94" i="39" s="1"/>
  <c r="N92" i="2"/>
  <c r="E92" i="39" s="1"/>
  <c r="J90" i="2"/>
  <c r="D90" i="39" s="1"/>
  <c r="F73" i="2"/>
  <c r="C73" i="39" s="1"/>
  <c r="J89" i="2"/>
  <c r="D89" i="39" s="1"/>
  <c r="F86" i="2"/>
  <c r="C86" i="39" s="1"/>
  <c r="J85" i="2"/>
  <c r="D85" i="39" s="1"/>
  <c r="B97" i="2"/>
  <c r="R97" i="2" s="1"/>
  <c r="J74" i="2"/>
  <c r="D74" i="39" s="1"/>
  <c r="N69" i="2"/>
  <c r="E69" i="39" s="1"/>
  <c r="N87" i="2"/>
  <c r="E87" i="39" s="1"/>
  <c r="B78" i="2"/>
  <c r="B78" i="39" s="1"/>
  <c r="N73" i="2"/>
  <c r="E73" i="39" s="1"/>
  <c r="J71" i="2"/>
  <c r="D71" i="39" s="1"/>
  <c r="F88" i="2"/>
  <c r="C88" i="39" s="1"/>
  <c r="F82" i="2"/>
  <c r="C82" i="39" s="1"/>
  <c r="B82" i="2"/>
  <c r="B82" i="39" s="1"/>
  <c r="F83" i="2"/>
  <c r="C83" i="39" s="1"/>
  <c r="B81" i="2"/>
  <c r="B81" i="39" s="1"/>
  <c r="N77" i="2"/>
  <c r="E77" i="39" s="1"/>
  <c r="B88" i="2"/>
  <c r="B88" i="39" s="1"/>
  <c r="J80" i="2"/>
  <c r="D80" i="39" s="1"/>
  <c r="F95" i="2"/>
  <c r="C95" i="39" s="1"/>
  <c r="F72" i="2"/>
  <c r="C72" i="39" s="1"/>
  <c r="F87" i="2"/>
  <c r="C87" i="39" s="1"/>
  <c r="N71" i="2"/>
  <c r="E71" i="39" s="1"/>
  <c r="N89" i="2"/>
  <c r="E89" i="39" s="1"/>
  <c r="J84" i="2"/>
  <c r="D84" i="39" s="1"/>
  <c r="F93" i="2"/>
  <c r="C93" i="39" s="1"/>
  <c r="J78" i="2"/>
  <c r="D78" i="39" s="1"/>
  <c r="N72" i="2"/>
  <c r="E72" i="39" s="1"/>
  <c r="B87" i="2"/>
  <c r="B87" i="39" s="1"/>
  <c r="N76" i="2"/>
  <c r="E76" i="39" s="1"/>
  <c r="F77" i="2"/>
  <c r="C77" i="39" s="1"/>
  <c r="F71" i="2"/>
  <c r="C71" i="39" s="1"/>
  <c r="B75" i="2"/>
  <c r="B75" i="39" s="1"/>
  <c r="J86" i="2"/>
  <c r="D86" i="39" s="1"/>
  <c r="B85" i="2"/>
  <c r="B85" i="39" s="1"/>
  <c r="N80" i="2"/>
  <c r="E80" i="39" s="1"/>
  <c r="B73" i="2"/>
  <c r="J76" i="2"/>
  <c r="D76" i="39" s="1"/>
  <c r="F91" i="2"/>
  <c r="C91" i="39" s="1"/>
  <c r="F75" i="2"/>
  <c r="C75" i="39" s="1"/>
  <c r="J72" i="2"/>
  <c r="D72" i="39" s="1"/>
  <c r="B95" i="2"/>
  <c r="N84" i="2"/>
  <c r="E84" i="39" s="1"/>
  <c r="F99" i="2"/>
  <c r="C99" i="39" s="1"/>
  <c r="J81" i="2"/>
  <c r="D81" i="39" s="1"/>
  <c r="F79" i="2"/>
  <c r="C79" i="39" s="1"/>
  <c r="J82" i="2"/>
  <c r="D82" i="39" s="1"/>
  <c r="J92" i="2"/>
  <c r="D92" i="39" s="1"/>
  <c r="B71" i="2"/>
  <c r="B89" i="2"/>
  <c r="B89" i="39" s="1"/>
  <c r="B83" i="2"/>
  <c r="B83" i="39" s="1"/>
  <c r="F89" i="2"/>
  <c r="C89" i="39" s="1"/>
  <c r="J88" i="2"/>
  <c r="D88" i="39" s="1"/>
  <c r="R98" i="2"/>
  <c r="F98" i="39" s="1"/>
  <c r="R91" i="2"/>
  <c r="B91" i="39"/>
  <c r="B90" i="39"/>
  <c r="R100" i="2"/>
  <c r="F100" i="39" s="1"/>
  <c r="B100" i="39"/>
  <c r="R94" i="2"/>
  <c r="B94" i="39"/>
  <c r="R74" i="2"/>
  <c r="B74" i="39"/>
  <c r="R85" i="2"/>
  <c r="B92" i="39"/>
  <c r="E75" i="39"/>
  <c r="B84" i="39"/>
  <c r="R70" i="2"/>
  <c r="R96" i="2"/>
  <c r="I9" i="37"/>
  <c r="K5" i="37"/>
  <c r="G5" i="37"/>
  <c r="I1" i="37"/>
  <c r="R93" i="2" l="1"/>
  <c r="F93" i="39" s="1"/>
  <c r="R73" i="2"/>
  <c r="R81" i="2"/>
  <c r="B97" i="39"/>
  <c r="B73" i="39"/>
  <c r="R78" i="2"/>
  <c r="F78" i="39" s="1"/>
  <c r="R77" i="2"/>
  <c r="V77" i="2" s="1"/>
  <c r="R69" i="2"/>
  <c r="F69" i="39" s="1"/>
  <c r="R80" i="2"/>
  <c r="F80" i="39" s="1"/>
  <c r="R90" i="2"/>
  <c r="R86" i="2"/>
  <c r="R71" i="2"/>
  <c r="F71" i="39" s="1"/>
  <c r="R82" i="2"/>
  <c r="R95" i="2"/>
  <c r="V95" i="2" s="1"/>
  <c r="B71" i="39"/>
  <c r="R72" i="2"/>
  <c r="R75" i="2"/>
  <c r="F75" i="39" s="1"/>
  <c r="R76" i="2"/>
  <c r="R92" i="2"/>
  <c r="B95" i="39"/>
  <c r="R87" i="2"/>
  <c r="F87" i="39" s="1"/>
  <c r="R84" i="2"/>
  <c r="V84" i="2" s="1"/>
  <c r="R99" i="2"/>
  <c r="F99" i="39" s="1"/>
  <c r="R79" i="2"/>
  <c r="F79" i="39" s="1"/>
  <c r="R83" i="2"/>
  <c r="R88" i="2"/>
  <c r="F88" i="39" s="1"/>
  <c r="R89" i="2"/>
  <c r="F74" i="39"/>
  <c r="F86" i="39"/>
  <c r="F73" i="39"/>
  <c r="V73" i="2"/>
  <c r="F91" i="39"/>
  <c r="F96" i="39"/>
  <c r="F81" i="39"/>
  <c r="F70" i="39"/>
  <c r="V71" i="2"/>
  <c r="V79" i="2"/>
  <c r="F94" i="39"/>
  <c r="F72" i="39"/>
  <c r="F76" i="39"/>
  <c r="F97" i="39"/>
  <c r="F82" i="39"/>
  <c r="F85" i="39"/>
  <c r="F90" i="39"/>
  <c r="V78" i="2" l="1"/>
  <c r="V75" i="2"/>
  <c r="F77" i="39"/>
  <c r="F95" i="39"/>
  <c r="V93" i="2"/>
  <c r="V94" i="2"/>
  <c r="V92" i="2"/>
  <c r="V85" i="2"/>
  <c r="V80" i="2"/>
  <c r="V74" i="2"/>
  <c r="V91" i="2"/>
  <c r="V86" i="2"/>
  <c r="F83" i="39"/>
  <c r="F92" i="39"/>
  <c r="V90" i="2"/>
  <c r="V72" i="2"/>
  <c r="F84" i="39"/>
  <c r="V76" i="2"/>
  <c r="V83" i="2"/>
  <c r="V82" i="2"/>
  <c r="V81" i="2"/>
  <c r="V89" i="2"/>
  <c r="F89" i="39"/>
  <c r="V97" i="2"/>
  <c r="V88" i="2"/>
  <c r="V96" i="2"/>
  <c r="V87" i="2"/>
  <c r="AD74" i="2" l="1"/>
  <c r="DI96" i="2"/>
  <c r="AG93" i="2"/>
  <c r="AT95" i="2"/>
  <c r="AA74" i="2" l="1"/>
  <c r="AA76" i="2"/>
  <c r="AB74" i="2"/>
  <c r="AB78" i="2"/>
  <c r="Z78" i="2"/>
  <c r="Y76" i="2"/>
  <c r="AD72" i="2"/>
  <c r="AD76" i="2"/>
  <c r="AE76" i="2"/>
  <c r="AB76" i="2"/>
  <c r="AA78" i="2"/>
  <c r="AE78" i="2"/>
  <c r="AB81" i="2"/>
  <c r="AD78" i="2"/>
  <c r="DD78" i="2" s="1"/>
  <c r="Z81" i="2"/>
  <c r="Y80" i="2"/>
  <c r="AD75" i="2"/>
  <c r="DK75" i="2" s="1"/>
  <c r="Y78" i="2"/>
  <c r="Y81" i="2"/>
  <c r="AE80" i="2"/>
  <c r="AA72" i="2"/>
  <c r="AA75" i="2"/>
  <c r="Z80" i="2"/>
  <c r="AB72" i="2"/>
  <c r="Z75" i="2"/>
  <c r="BL69" i="2"/>
  <c r="AA80" i="2"/>
  <c r="AE72" i="2"/>
  <c r="AB75" i="2"/>
  <c r="Y79" i="2"/>
  <c r="AA73" i="2"/>
  <c r="AD77" i="2"/>
  <c r="DE77" i="2" s="1"/>
  <c r="AE73" i="2"/>
  <c r="AD79" i="2"/>
  <c r="AD73" i="2"/>
  <c r="DF73" i="2" s="1"/>
  <c r="Y77" i="2"/>
  <c r="Y73" i="2"/>
  <c r="AB77" i="2"/>
  <c r="AD71" i="2"/>
  <c r="BQ71" i="2" s="1"/>
  <c r="Z79" i="2"/>
  <c r="AB73" i="2"/>
  <c r="AE77" i="2"/>
  <c r="AB79" i="2"/>
  <c r="AA79" i="2"/>
  <c r="Z77" i="2"/>
  <c r="AE79" i="2"/>
  <c r="AA77" i="2"/>
  <c r="AE71" i="2"/>
  <c r="Z73" i="2"/>
  <c r="AD80" i="2"/>
  <c r="DA80" i="2" s="1"/>
  <c r="Y75" i="2"/>
  <c r="Z76" i="2"/>
  <c r="AA81" i="2"/>
  <c r="AB80" i="2"/>
  <c r="Z72" i="2"/>
  <c r="AE74" i="2"/>
  <c r="AH81" i="2"/>
  <c r="Y72" i="2"/>
  <c r="AE75" i="2"/>
  <c r="Z74" i="2"/>
  <c r="Y74" i="2"/>
  <c r="DI72" i="2"/>
  <c r="DH76" i="2"/>
  <c r="BZ77" i="2"/>
  <c r="CD74" i="2"/>
  <c r="CZ70" i="2"/>
  <c r="CN84" i="2"/>
  <c r="CX73" i="2"/>
  <c r="DA72" i="2"/>
  <c r="DJ78" i="2"/>
  <c r="CC78" i="2"/>
  <c r="AO90" i="2"/>
  <c r="DE92" i="2"/>
  <c r="BN92" i="2"/>
  <c r="AI84" i="2"/>
  <c r="DH92" i="2"/>
  <c r="BZ92" i="2"/>
  <c r="DA92" i="2"/>
  <c r="DJ92" i="2"/>
  <c r="AM92" i="2"/>
  <c r="BJ92" i="2"/>
  <c r="CC92" i="2"/>
  <c r="AH92" i="2"/>
  <c r="DF92" i="2"/>
  <c r="BP92" i="2"/>
  <c r="AR92" i="2"/>
  <c r="BO92" i="2"/>
  <c r="CK92" i="2"/>
  <c r="AQ92" i="2"/>
  <c r="BI92" i="2"/>
  <c r="BD92" i="2"/>
  <c r="CD92" i="2"/>
  <c r="CF84" i="2"/>
  <c r="AO92" i="2"/>
  <c r="CF92" i="2"/>
  <c r="CB92" i="2"/>
  <c r="DC92" i="2"/>
  <c r="BF92" i="2"/>
  <c r="BK92" i="2"/>
  <c r="AG92" i="2"/>
  <c r="AR84" i="2"/>
  <c r="BL84" i="2"/>
  <c r="CN92" i="2"/>
  <c r="CI92" i="2"/>
  <c r="BG92" i="2"/>
  <c r="CW92" i="2"/>
  <c r="CH92" i="2"/>
  <c r="CM92" i="2"/>
  <c r="BC92" i="2"/>
  <c r="AI92" i="2"/>
  <c r="CY92" i="2"/>
  <c r="DI92" i="2"/>
  <c r="CZ92" i="2"/>
  <c r="DD92" i="2"/>
  <c r="AM84" i="2"/>
  <c r="AS92" i="2"/>
  <c r="BE92" i="2"/>
  <c r="BL92" i="2"/>
  <c r="AJ92" i="2"/>
  <c r="BQ92" i="2"/>
  <c r="DK84" i="2"/>
  <c r="CI84" i="2"/>
  <c r="AH84" i="2"/>
  <c r="DE84" i="2"/>
  <c r="CK84" i="2"/>
  <c r="BQ84" i="2"/>
  <c r="CD84" i="2"/>
  <c r="AN85" i="2"/>
  <c r="BK85" i="2"/>
  <c r="CG85" i="2"/>
  <c r="CX85" i="2"/>
  <c r="DH85" i="2"/>
  <c r="BL85" i="2"/>
  <c r="CH85" i="2"/>
  <c r="CY85" i="2"/>
  <c r="DI85" i="2"/>
  <c r="DE85" i="2"/>
  <c r="AJ85" i="2"/>
  <c r="BZ85" i="2"/>
  <c r="CI85" i="2"/>
  <c r="CZ85" i="2"/>
  <c r="DJ85" i="2"/>
  <c r="AL85" i="2"/>
  <c r="CA85" i="2"/>
  <c r="CK85" i="2"/>
  <c r="DA85" i="2"/>
  <c r="DK85" i="2"/>
  <c r="CN85" i="2"/>
  <c r="AM85" i="2"/>
  <c r="CB85" i="2"/>
  <c r="CL85" i="2"/>
  <c r="DC85" i="2"/>
  <c r="CD85" i="2"/>
  <c r="AT85" i="2"/>
  <c r="CC85" i="2"/>
  <c r="CM85" i="2"/>
  <c r="DD85" i="2"/>
  <c r="BC85" i="2"/>
  <c r="BJ85" i="2"/>
  <c r="CF85" i="2"/>
  <c r="CW85" i="2"/>
  <c r="DF85" i="2"/>
  <c r="BI85" i="2"/>
  <c r="BP85" i="2"/>
  <c r="BO85" i="2"/>
  <c r="AS85" i="2"/>
  <c r="BF85" i="2"/>
  <c r="BN85" i="2"/>
  <c r="AI85" i="2"/>
  <c r="AQ85" i="2"/>
  <c r="BD85" i="2"/>
  <c r="BQ85" i="2"/>
  <c r="AG85" i="2"/>
  <c r="BG85" i="2"/>
  <c r="AR85" i="2"/>
  <c r="BE85" i="2"/>
  <c r="AH85" i="2"/>
  <c r="AO85" i="2"/>
  <c r="CM84" i="2"/>
  <c r="CY84" i="2"/>
  <c r="DI93" i="2"/>
  <c r="BF86" i="2"/>
  <c r="DK93" i="2"/>
  <c r="CG86" i="2"/>
  <c r="CL86" i="2"/>
  <c r="CX93" i="2"/>
  <c r="AI86" i="2"/>
  <c r="CM86" i="2"/>
  <c r="CB86" i="2"/>
  <c r="BE93" i="2"/>
  <c r="AI93" i="2"/>
  <c r="CB93" i="2"/>
  <c r="DD86" i="2"/>
  <c r="CI86" i="2"/>
  <c r="DE93" i="2"/>
  <c r="BK93" i="2"/>
  <c r="AL93" i="2"/>
  <c r="BD93" i="2"/>
  <c r="BL86" i="2"/>
  <c r="CH86" i="2"/>
  <c r="CF86" i="2"/>
  <c r="BI93" i="2"/>
  <c r="CN93" i="2"/>
  <c r="CL93" i="2"/>
  <c r="AQ86" i="2"/>
  <c r="AT93" i="2"/>
  <c r="BE86" i="2"/>
  <c r="DJ86" i="2"/>
  <c r="CF93" i="2"/>
  <c r="BZ93" i="2"/>
  <c r="AN86" i="2"/>
  <c r="CX86" i="2"/>
  <c r="AJ93" i="2"/>
  <c r="DE86" i="2"/>
  <c r="BK86" i="2"/>
  <c r="BN86" i="2"/>
  <c r="DF93" i="2"/>
  <c r="BQ93" i="2"/>
  <c r="BJ91" i="2"/>
  <c r="AF77" i="2"/>
  <c r="DD77" i="2"/>
  <c r="BE91" i="2"/>
  <c r="AH91" i="2"/>
  <c r="BZ86" i="2"/>
  <c r="CK86" i="2"/>
  <c r="AO86" i="2"/>
  <c r="CD86" i="2"/>
  <c r="BC86" i="2"/>
  <c r="DK86" i="2"/>
  <c r="BJ86" i="2"/>
  <c r="CC72" i="2"/>
  <c r="CB72" i="2"/>
  <c r="DH93" i="2"/>
  <c r="CW93" i="2"/>
  <c r="DA93" i="2"/>
  <c r="CH93" i="2"/>
  <c r="CA93" i="2"/>
  <c r="CD93" i="2"/>
  <c r="CD75" i="2"/>
  <c r="BO86" i="2"/>
  <c r="CC86" i="2"/>
  <c r="BP86" i="2"/>
  <c r="DH86" i="2"/>
  <c r="DI86" i="2"/>
  <c r="CA86" i="2"/>
  <c r="CX72" i="2"/>
  <c r="BQ72" i="2"/>
  <c r="CM93" i="2"/>
  <c r="DJ93" i="2"/>
  <c r="BN93" i="2"/>
  <c r="AM93" i="2"/>
  <c r="CZ93" i="2"/>
  <c r="CK93" i="2"/>
  <c r="CW80" i="2"/>
  <c r="CY86" i="2"/>
  <c r="AM86" i="2"/>
  <c r="CN86" i="2"/>
  <c r="AJ86" i="2"/>
  <c r="AT86" i="2"/>
  <c r="AH86" i="2"/>
  <c r="BK72" i="2"/>
  <c r="CZ72" i="2"/>
  <c r="BF93" i="2"/>
  <c r="AN93" i="2"/>
  <c r="AR93" i="2"/>
  <c r="BG93" i="2"/>
  <c r="DD93" i="2"/>
  <c r="AO93" i="2"/>
  <c r="BO93" i="2"/>
  <c r="CI91" i="2"/>
  <c r="AR86" i="2"/>
  <c r="CZ86" i="2"/>
  <c r="BG86" i="2"/>
  <c r="AS86" i="2"/>
  <c r="AL86" i="2"/>
  <c r="DC86" i="2"/>
  <c r="CY93" i="2"/>
  <c r="CC93" i="2"/>
  <c r="AH93" i="2"/>
  <c r="BP93" i="2"/>
  <c r="DC93" i="2"/>
  <c r="CG93" i="2"/>
  <c r="DA86" i="2"/>
  <c r="DE91" i="2"/>
  <c r="BQ86" i="2"/>
  <c r="BD86" i="2"/>
  <c r="CW86" i="2"/>
  <c r="AG86" i="2"/>
  <c r="DF86" i="2"/>
  <c r="BI86" i="2"/>
  <c r="BJ72" i="2"/>
  <c r="AM72" i="2"/>
  <c r="BJ93" i="2"/>
  <c r="BC93" i="2"/>
  <c r="AS93" i="2"/>
  <c r="CI93" i="2"/>
  <c r="AQ93" i="2"/>
  <c r="BL93" i="2"/>
  <c r="AI75" i="2"/>
  <c r="BF95" i="2"/>
  <c r="CB95" i="2"/>
  <c r="AQ75" i="2"/>
  <c r="AG95" i="2"/>
  <c r="CK75" i="2"/>
  <c r="AF75" i="2"/>
  <c r="BP75" i="2"/>
  <c r="BG75" i="2"/>
  <c r="CF95" i="2"/>
  <c r="DE95" i="2"/>
  <c r="AR90" i="2"/>
  <c r="DJ95" i="2"/>
  <c r="BC95" i="2"/>
  <c r="BQ95" i="2"/>
  <c r="DK96" i="2"/>
  <c r="CA90" i="2"/>
  <c r="DK95" i="2"/>
  <c r="BO95" i="2"/>
  <c r="BJ95" i="2"/>
  <c r="AS95" i="2"/>
  <c r="CN95" i="2"/>
  <c r="CA95" i="2"/>
  <c r="DJ90" i="2"/>
  <c r="AF95" i="2"/>
  <c r="CH95" i="2"/>
  <c r="CY95" i="2"/>
  <c r="AJ95" i="2"/>
  <c r="CM95" i="2"/>
  <c r="DF95" i="2"/>
  <c r="BL95" i="2"/>
  <c r="BJ96" i="2"/>
  <c r="BI96" i="2"/>
  <c r="AJ96" i="2"/>
  <c r="CD96" i="2"/>
  <c r="AT76" i="2"/>
  <c r="CB96" i="2"/>
  <c r="DJ75" i="2"/>
  <c r="CG75" i="2"/>
  <c r="BO75" i="2"/>
  <c r="AN75" i="2"/>
  <c r="BE75" i="2"/>
  <c r="AO75" i="2"/>
  <c r="CI75" i="2"/>
  <c r="DF90" i="2"/>
  <c r="CL95" i="2"/>
  <c r="BK95" i="2"/>
  <c r="CW95" i="2"/>
  <c r="AM95" i="2"/>
  <c r="CG95" i="2"/>
  <c r="AL95" i="2"/>
  <c r="DD95" i="2"/>
  <c r="DA75" i="2"/>
  <c r="CN75" i="2"/>
  <c r="AR75" i="2"/>
  <c r="BC75" i="2"/>
  <c r="BK75" i="2"/>
  <c r="BL75" i="2"/>
  <c r="AL75" i="2"/>
  <c r="AQ91" i="2"/>
  <c r="CF91" i="2"/>
  <c r="CW91" i="2"/>
  <c r="CG72" i="2"/>
  <c r="CD72" i="2"/>
  <c r="BF72" i="2"/>
  <c r="AH75" i="2"/>
  <c r="BF75" i="2"/>
  <c r="AM90" i="2"/>
  <c r="CC95" i="2"/>
  <c r="AH95" i="2"/>
  <c r="BD95" i="2"/>
  <c r="BI95" i="2"/>
  <c r="CZ95" i="2"/>
  <c r="BE95" i="2"/>
  <c r="CX75" i="2"/>
  <c r="AM75" i="2"/>
  <c r="CB75" i="2"/>
  <c r="DE75" i="2"/>
  <c r="DD75" i="2"/>
  <c r="DC75" i="2"/>
  <c r="CK91" i="2"/>
  <c r="BD91" i="2"/>
  <c r="DJ91" i="2"/>
  <c r="CG91" i="2"/>
  <c r="AO72" i="2"/>
  <c r="AS72" i="2"/>
  <c r="CA75" i="2"/>
  <c r="BK90" i="2"/>
  <c r="CD95" i="2"/>
  <c r="BZ95" i="2"/>
  <c r="DC95" i="2"/>
  <c r="AQ95" i="2"/>
  <c r="AI95" i="2"/>
  <c r="CK95" i="2"/>
  <c r="CY75" i="2"/>
  <c r="BJ75" i="2"/>
  <c r="BZ75" i="2"/>
  <c r="CW75" i="2"/>
  <c r="AT75" i="2"/>
  <c r="DH75" i="2"/>
  <c r="BG91" i="2"/>
  <c r="DK91" i="2"/>
  <c r="DC91" i="2"/>
  <c r="CN72" i="2"/>
  <c r="AJ72" i="2"/>
  <c r="BD75" i="2"/>
  <c r="CZ75" i="2"/>
  <c r="BN95" i="2"/>
  <c r="CI95" i="2"/>
  <c r="AR95" i="2"/>
  <c r="BG95" i="2"/>
  <c r="AN95" i="2"/>
  <c r="BP95" i="2"/>
  <c r="DI75" i="2"/>
  <c r="CH75" i="2"/>
  <c r="AS75" i="2"/>
  <c r="BQ75" i="2"/>
  <c r="AG75" i="2"/>
  <c r="CF75" i="2"/>
  <c r="CX91" i="2"/>
  <c r="BC91" i="2"/>
  <c r="CB91" i="2"/>
  <c r="CK72" i="2"/>
  <c r="DH72" i="2"/>
  <c r="AJ75" i="2"/>
  <c r="AO95" i="2"/>
  <c r="DA95" i="2"/>
  <c r="DH95" i="2"/>
  <c r="CX95" i="2"/>
  <c r="DI95" i="2"/>
  <c r="CL75" i="2"/>
  <c r="CC75" i="2"/>
  <c r="CM75" i="2"/>
  <c r="DF75" i="2"/>
  <c r="BI75" i="2"/>
  <c r="BN75" i="2"/>
  <c r="BP91" i="2"/>
  <c r="CH91" i="2"/>
  <c r="BZ91" i="2"/>
  <c r="BE72" i="2"/>
  <c r="BP72" i="2"/>
  <c r="AT72" i="2"/>
  <c r="AQ96" i="2"/>
  <c r="AM96" i="2"/>
  <c r="AR96" i="2"/>
  <c r="AF96" i="2"/>
  <c r="BO96" i="2"/>
  <c r="BL96" i="2"/>
  <c r="CK96" i="2"/>
  <c r="CA96" i="2"/>
  <c r="AH96" i="2"/>
  <c r="CN96" i="2"/>
  <c r="AO96" i="2"/>
  <c r="AI96" i="2"/>
  <c r="BK96" i="2"/>
  <c r="BQ96" i="2"/>
  <c r="CX96" i="2"/>
  <c r="BN96" i="2"/>
  <c r="CI96" i="2"/>
  <c r="DJ96" i="2"/>
  <c r="BZ96" i="2"/>
  <c r="BE96" i="2"/>
  <c r="DA96" i="2"/>
  <c r="DE96" i="2"/>
  <c r="AT96" i="2"/>
  <c r="BG96" i="2"/>
  <c r="AS96" i="2"/>
  <c r="DF96" i="2"/>
  <c r="DH96" i="2"/>
  <c r="CF96" i="2"/>
  <c r="AN96" i="2"/>
  <c r="CY96" i="2"/>
  <c r="AG96" i="2"/>
  <c r="AL96" i="2"/>
  <c r="CW96" i="2"/>
  <c r="BD96" i="2"/>
  <c r="DD96" i="2"/>
  <c r="CM96" i="2"/>
  <c r="BC96" i="2"/>
  <c r="CZ96" i="2"/>
  <c r="CL96" i="2"/>
  <c r="BP96" i="2"/>
  <c r="CG96" i="2"/>
  <c r="CH96" i="2"/>
  <c r="BF96" i="2"/>
  <c r="CC96" i="2"/>
  <c r="DC96" i="2"/>
  <c r="CC80" i="2"/>
  <c r="CK90" i="2"/>
  <c r="CZ90" i="2"/>
  <c r="CL90" i="2"/>
  <c r="BD90" i="2"/>
  <c r="AQ90" i="2"/>
  <c r="BF90" i="2"/>
  <c r="DA90" i="2"/>
  <c r="DC90" i="2"/>
  <c r="BJ90" i="2"/>
  <c r="DK90" i="2"/>
  <c r="BI90" i="2"/>
  <c r="DE90" i="2"/>
  <c r="DD90" i="2"/>
  <c r="BP90" i="2"/>
  <c r="BN90" i="2"/>
  <c r="CG90" i="2"/>
  <c r="CM90" i="2"/>
  <c r="CN90" i="2"/>
  <c r="CI90" i="2"/>
  <c r="CH90" i="2"/>
  <c r="CC90" i="2"/>
  <c r="AJ90" i="2"/>
  <c r="AL90" i="2"/>
  <c r="BL90" i="2"/>
  <c r="BC90" i="2"/>
  <c r="CX90" i="2"/>
  <c r="CW90" i="2"/>
  <c r="AG90" i="2"/>
  <c r="CB90" i="2"/>
  <c r="AQ80" i="2"/>
  <c r="AT90" i="2"/>
  <c r="CF90" i="2"/>
  <c r="DI90" i="2"/>
  <c r="AN90" i="2"/>
  <c r="AI90" i="2"/>
  <c r="BQ90" i="2"/>
  <c r="BZ90" i="2"/>
  <c r="AS90" i="2"/>
  <c r="BE90" i="2"/>
  <c r="DH90" i="2"/>
  <c r="BG90" i="2"/>
  <c r="AH90" i="2"/>
  <c r="CY90" i="2"/>
  <c r="BO90" i="2"/>
  <c r="CD90" i="2"/>
  <c r="AG89" i="2"/>
  <c r="AJ89" i="2"/>
  <c r="DI89" i="2"/>
  <c r="CN89" i="2"/>
  <c r="AT89" i="2"/>
  <c r="CB89" i="2"/>
  <c r="CL89" i="2"/>
  <c r="AI89" i="2"/>
  <c r="CZ89" i="2"/>
  <c r="BI89" i="2"/>
  <c r="CG89" i="2"/>
  <c r="AQ89" i="2"/>
  <c r="BZ89" i="2"/>
  <c r="BD89" i="2"/>
  <c r="DA89" i="2"/>
  <c r="BE89" i="2"/>
  <c r="AL89" i="2"/>
  <c r="DC89" i="2"/>
  <c r="BG89" i="2"/>
  <c r="CI89" i="2"/>
  <c r="AM89" i="2"/>
  <c r="CY89" i="2"/>
  <c r="DJ89" i="2"/>
  <c r="CW89" i="2"/>
  <c r="BF89" i="2"/>
  <c r="CX89" i="2"/>
  <c r="BC89" i="2"/>
  <c r="CD89" i="2"/>
  <c r="DK89" i="2"/>
  <c r="BL89" i="2"/>
  <c r="BQ89" i="2"/>
  <c r="CA89" i="2"/>
  <c r="AN89" i="2"/>
  <c r="CC89" i="2"/>
  <c r="DH89" i="2"/>
  <c r="CF89" i="2"/>
  <c r="BO89" i="2"/>
  <c r="CM89" i="2"/>
  <c r="CH89" i="2"/>
  <c r="AR89" i="2"/>
  <c r="CK89" i="2"/>
  <c r="AS89" i="2"/>
  <c r="AH89" i="2"/>
  <c r="DF89" i="2"/>
  <c r="BN89" i="2"/>
  <c r="BJ89" i="2"/>
  <c r="BK89" i="2"/>
  <c r="BP89" i="2"/>
  <c r="DE89" i="2"/>
  <c r="AO89" i="2"/>
  <c r="DD89" i="2"/>
  <c r="BO94" i="2"/>
  <c r="DH94" i="2"/>
  <c r="AS94" i="2"/>
  <c r="CF94" i="2"/>
  <c r="DJ94" i="2"/>
  <c r="AI94" i="2"/>
  <c r="BK94" i="2"/>
  <c r="CX94" i="2"/>
  <c r="CA94" i="2"/>
  <c r="DA94" i="2"/>
  <c r="AR94" i="2"/>
  <c r="CD94" i="2"/>
  <c r="AG94" i="2"/>
  <c r="BI94" i="2"/>
  <c r="AO94" i="2"/>
  <c r="BP94" i="2"/>
  <c r="AN94" i="2"/>
  <c r="BJ94" i="2"/>
  <c r="CM94" i="2"/>
  <c r="BQ94" i="2"/>
  <c r="AQ94" i="2"/>
  <c r="DI94" i="2"/>
  <c r="BD94" i="2"/>
  <c r="CC94" i="2"/>
  <c r="DE94" i="2"/>
  <c r="BZ94" i="2"/>
  <c r="BF94" i="2"/>
  <c r="CG94" i="2"/>
  <c r="BL94" i="2"/>
  <c r="CL94" i="2"/>
  <c r="AL94" i="2"/>
  <c r="CI94" i="2"/>
  <c r="CW94" i="2"/>
  <c r="AM94" i="2"/>
  <c r="CY94" i="2"/>
  <c r="CH94" i="2"/>
  <c r="CB94" i="2"/>
  <c r="DD94" i="2"/>
  <c r="BE94" i="2"/>
  <c r="DK94" i="2"/>
  <c r="AT94" i="2"/>
  <c r="CZ94" i="2"/>
  <c r="AJ94" i="2"/>
  <c r="BN94" i="2"/>
  <c r="BG94" i="2"/>
  <c r="DC94" i="2"/>
  <c r="CK94" i="2"/>
  <c r="DF94" i="2"/>
  <c r="AH94" i="2"/>
  <c r="CN94" i="2"/>
  <c r="BC94" i="2"/>
  <c r="CW87" i="2"/>
  <c r="CG87" i="2"/>
  <c r="BL87" i="2"/>
  <c r="AH87" i="2"/>
  <c r="BE87" i="2"/>
  <c r="AO87" i="2"/>
  <c r="AJ87" i="2"/>
  <c r="AR87" i="2"/>
  <c r="DH87" i="2"/>
  <c r="DD87" i="2"/>
  <c r="DF87" i="2"/>
  <c r="BJ87" i="2"/>
  <c r="AN87" i="2"/>
  <c r="BD87" i="2"/>
  <c r="BZ87" i="2"/>
  <c r="DC87" i="2"/>
  <c r="DA87" i="2"/>
  <c r="CN87" i="2"/>
  <c r="CF87" i="2"/>
  <c r="CK87" i="2"/>
  <c r="DI87" i="2"/>
  <c r="AG87" i="2"/>
  <c r="BI87" i="2"/>
  <c r="CA87" i="2"/>
  <c r="AM87" i="2"/>
  <c r="CA97" i="2"/>
  <c r="AN97" i="2"/>
  <c r="DF97" i="2"/>
  <c r="BD97" i="2"/>
  <c r="BN97" i="2"/>
  <c r="DE97" i="2"/>
  <c r="BO97" i="2"/>
  <c r="BL97" i="2"/>
  <c r="AG97" i="2"/>
  <c r="AM97" i="2"/>
  <c r="CB97" i="2"/>
  <c r="CM97" i="2"/>
  <c r="CW97" i="2"/>
  <c r="BI97" i="2"/>
  <c r="BQ97" i="2"/>
  <c r="CZ97" i="2"/>
  <c r="DH97" i="2"/>
  <c r="CG97" i="2"/>
  <c r="AT97" i="2"/>
  <c r="CH97" i="2"/>
  <c r="CN97" i="2"/>
  <c r="BP97" i="2"/>
  <c r="DD97" i="2"/>
  <c r="DK97" i="2"/>
  <c r="BE97" i="2"/>
  <c r="CY97" i="2"/>
  <c r="BF97" i="2"/>
  <c r="AR97" i="2"/>
  <c r="AH97" i="2"/>
  <c r="AO97" i="2"/>
  <c r="CF97" i="2"/>
  <c r="AI97" i="2"/>
  <c r="DJ97" i="2"/>
  <c r="BJ97" i="2"/>
  <c r="BZ97" i="2"/>
  <c r="DC97" i="2"/>
  <c r="AQ97" i="2"/>
  <c r="CL97" i="2"/>
  <c r="CI97" i="2"/>
  <c r="CX97" i="2"/>
  <c r="AL97" i="2"/>
  <c r="BG97" i="2"/>
  <c r="CD97" i="2"/>
  <c r="BK97" i="2"/>
  <c r="BC97" i="2"/>
  <c r="AS97" i="2"/>
  <c r="AJ97" i="2"/>
  <c r="CK97" i="2"/>
  <c r="DI97" i="2"/>
  <c r="DA97" i="2"/>
  <c r="CC97" i="2"/>
  <c r="CA83" i="2"/>
  <c r="CB83" i="2"/>
  <c r="CN83" i="2"/>
  <c r="CF83" i="2"/>
  <c r="BJ83" i="2"/>
  <c r="BN83" i="2"/>
  <c r="AL83" i="2"/>
  <c r="AQ83" i="2"/>
  <c r="BL83" i="2"/>
  <c r="BQ83" i="2"/>
  <c r="DE83" i="2"/>
  <c r="CM83" i="2"/>
  <c r="CY83" i="2"/>
  <c r="BF83" i="2"/>
  <c r="AT83" i="2"/>
  <c r="BC83" i="2"/>
  <c r="DC83" i="2"/>
  <c r="CG83" i="2"/>
  <c r="AM83" i="2"/>
  <c r="CD83" i="2"/>
  <c r="CZ83" i="2"/>
  <c r="BG83" i="2"/>
  <c r="DD83" i="2"/>
  <c r="CH83" i="2"/>
  <c r="CK83" i="2"/>
  <c r="AH83" i="2"/>
  <c r="BI83" i="2"/>
  <c r="CC83" i="2"/>
  <c r="CX83" i="2"/>
  <c r="AN83" i="2"/>
  <c r="DI83" i="2"/>
  <c r="DH83" i="2"/>
  <c r="AI83" i="2"/>
  <c r="AS83" i="2"/>
  <c r="AG83" i="2"/>
  <c r="DA83" i="2"/>
  <c r="AJ83" i="2"/>
  <c r="BE83" i="2"/>
  <c r="AO83" i="2"/>
  <c r="DJ83" i="2"/>
  <c r="BD83" i="2"/>
  <c r="BK83" i="2"/>
  <c r="CW83" i="2"/>
  <c r="BZ83" i="2"/>
  <c r="DK83" i="2"/>
  <c r="DF83" i="2"/>
  <c r="BO83" i="2"/>
  <c r="CI83" i="2"/>
  <c r="BP83" i="2"/>
  <c r="CL83" i="2"/>
  <c r="AR83" i="2"/>
  <c r="BE88" i="2"/>
  <c r="CX88" i="2"/>
  <c r="CB88" i="2"/>
  <c r="BJ88" i="2"/>
  <c r="AM88" i="2"/>
  <c r="DH88" i="2"/>
  <c r="AQ88" i="2"/>
  <c r="CN88" i="2"/>
  <c r="CF88" i="2"/>
  <c r="CG88" i="2"/>
  <c r="DI88" i="2"/>
  <c r="DJ88" i="2"/>
  <c r="CL88" i="2"/>
  <c r="BZ88" i="2"/>
  <c r="CK88" i="2"/>
  <c r="BK88" i="2"/>
  <c r="CD88" i="2"/>
  <c r="BD88" i="2"/>
  <c r="DF88" i="2"/>
  <c r="BN88" i="2"/>
  <c r="CW88" i="2"/>
  <c r="AG88" i="2"/>
  <c r="DD88" i="2"/>
  <c r="BO88" i="2"/>
  <c r="CI88" i="2"/>
  <c r="BL88" i="2"/>
  <c r="AL88" i="2"/>
  <c r="CM88" i="2"/>
  <c r="DE88" i="2"/>
  <c r="AO88" i="2"/>
  <c r="CA88" i="2"/>
  <c r="AS88" i="2"/>
  <c r="BI88" i="2"/>
  <c r="AT88" i="2"/>
  <c r="BC88" i="2"/>
  <c r="AN88" i="2"/>
  <c r="BG88" i="2"/>
  <c r="DK88" i="2"/>
  <c r="AJ88" i="2"/>
  <c r="BF88" i="2"/>
  <c r="BP88" i="2"/>
  <c r="AI88" i="2"/>
  <c r="DC88" i="2"/>
  <c r="AR88" i="2"/>
  <c r="CH88" i="2"/>
  <c r="AH88" i="2"/>
  <c r="CY88" i="2"/>
  <c r="BQ88" i="2"/>
  <c r="CZ88" i="2"/>
  <c r="DA88" i="2"/>
  <c r="CC88" i="2"/>
  <c r="CY69" i="2"/>
  <c r="DK69" i="2"/>
  <c r="CW69" i="2"/>
  <c r="A5" i="2"/>
  <c r="A6" i="2"/>
  <c r="CM69" i="2" l="1"/>
  <c r="CD69" i="2"/>
  <c r="CD100" i="2" s="1"/>
  <c r="DE69" i="2"/>
  <c r="AT69" i="2"/>
  <c r="AT100" i="2" s="1"/>
  <c r="DJ69" i="2"/>
  <c r="DH77" i="2"/>
  <c r="AI77" i="2"/>
  <c r="BK78" i="2"/>
  <c r="CI69" i="2"/>
  <c r="BG69" i="2"/>
  <c r="BG100" i="2" s="1"/>
  <c r="AN69" i="2"/>
  <c r="CG69" i="2"/>
  <c r="BL77" i="2"/>
  <c r="CH77" i="2"/>
  <c r="BF78" i="2"/>
  <c r="BJ69" i="2"/>
  <c r="BI69" i="2"/>
  <c r="DJ77" i="2"/>
  <c r="AI69" i="2"/>
  <c r="AS69" i="2"/>
  <c r="BE69" i="2"/>
  <c r="AM69" i="2"/>
  <c r="AM100" i="2" s="1"/>
  <c r="DC77" i="2"/>
  <c r="CF77" i="2"/>
  <c r="AO78" i="2"/>
  <c r="BI78" i="2"/>
  <c r="CY77" i="2"/>
  <c r="BK69" i="2"/>
  <c r="CK69" i="2"/>
  <c r="DC69" i="2"/>
  <c r="DC100" i="2" s="1"/>
  <c r="BP77" i="2"/>
  <c r="AH78" i="2"/>
  <c r="CC69" i="2"/>
  <c r="BG77" i="2"/>
  <c r="DA77" i="2"/>
  <c r="DC78" i="2"/>
  <c r="CK78" i="2"/>
  <c r="BC78" i="2"/>
  <c r="CA69" i="2"/>
  <c r="CI77" i="2"/>
  <c r="AR69" i="2"/>
  <c r="CN69" i="2"/>
  <c r="DD69" i="2"/>
  <c r="CL77" i="2"/>
  <c r="AM80" i="2"/>
  <c r="CH73" i="2"/>
  <c r="CA80" i="2"/>
  <c r="CM80" i="2"/>
  <c r="DK80" i="2"/>
  <c r="DD80" i="2"/>
  <c r="BP80" i="2"/>
  <c r="BQ80" i="2"/>
  <c r="DF80" i="2"/>
  <c r="BI80" i="2"/>
  <c r="BL80" i="2"/>
  <c r="CF80" i="2"/>
  <c r="BJ80" i="2"/>
  <c r="AS80" i="2"/>
  <c r="CG80" i="2"/>
  <c r="DE80" i="2"/>
  <c r="CI80" i="2"/>
  <c r="BZ80" i="2"/>
  <c r="DJ80" i="2"/>
  <c r="AV92" i="2"/>
  <c r="BB93" i="2"/>
  <c r="AK93" i="2" s="1"/>
  <c r="DS92" i="2"/>
  <c r="DJ87" i="2"/>
  <c r="AI87" i="2"/>
  <c r="BF87" i="2"/>
  <c r="CZ87" i="2"/>
  <c r="CH87" i="2"/>
  <c r="BP87" i="2"/>
  <c r="BN87" i="2"/>
  <c r="CR92" i="2"/>
  <c r="BW92" i="2"/>
  <c r="CX87" i="2"/>
  <c r="DM87" i="2" s="1"/>
  <c r="BC87" i="2"/>
  <c r="DE87" i="2"/>
  <c r="CI87" i="2"/>
  <c r="BQ87" i="2"/>
  <c r="CD87" i="2"/>
  <c r="AS87" i="2"/>
  <c r="AL87" i="2"/>
  <c r="CB87" i="2"/>
  <c r="CL87" i="2"/>
  <c r="CP87" i="2" s="1"/>
  <c r="CC87" i="2"/>
  <c r="BK87" i="2"/>
  <c r="CY87" i="2"/>
  <c r="CT92" i="2"/>
  <c r="DO92" i="2"/>
  <c r="AQ87" i="2"/>
  <c r="DK87" i="2"/>
  <c r="AT87" i="2"/>
  <c r="CM87" i="2"/>
  <c r="BO87" i="2"/>
  <c r="BS87" i="2" s="1"/>
  <c r="BG87" i="2"/>
  <c r="CW74" i="2"/>
  <c r="BC80" i="2"/>
  <c r="CY80" i="2"/>
  <c r="AT80" i="2"/>
  <c r="AI80" i="2"/>
  <c r="DH80" i="2"/>
  <c r="AT81" i="2"/>
  <c r="AH72" i="2"/>
  <c r="AN72" i="2"/>
  <c r="BO72" i="2"/>
  <c r="CL72" i="2"/>
  <c r="AG72" i="2"/>
  <c r="CL76" i="2"/>
  <c r="BG72" i="2"/>
  <c r="AN80" i="2"/>
  <c r="BI77" i="2"/>
  <c r="BN77" i="2"/>
  <c r="AM77" i="2"/>
  <c r="CD77" i="2"/>
  <c r="AJ77" i="2"/>
  <c r="AM81" i="2"/>
  <c r="AG80" i="2"/>
  <c r="CK80" i="2"/>
  <c r="DA81" i="2"/>
  <c r="CA72" i="2"/>
  <c r="BZ70" i="2"/>
  <c r="CN70" i="2"/>
  <c r="CF72" i="2"/>
  <c r="BN76" i="2"/>
  <c r="CH80" i="2"/>
  <c r="AS77" i="2"/>
  <c r="BJ77" i="2"/>
  <c r="CG77" i="2"/>
  <c r="AL77" i="2"/>
  <c r="BO77" i="2"/>
  <c r="AO76" i="2"/>
  <c r="AL72" i="2"/>
  <c r="CN80" i="2"/>
  <c r="AO80" i="2"/>
  <c r="BE80" i="2"/>
  <c r="BG80" i="2"/>
  <c r="AN81" i="2"/>
  <c r="AF70" i="2"/>
  <c r="DF72" i="2"/>
  <c r="DD72" i="2"/>
  <c r="DM72" i="2" s="1"/>
  <c r="BZ72" i="2"/>
  <c r="CI72" i="2"/>
  <c r="CT72" i="2" s="1"/>
  <c r="CZ80" i="2"/>
  <c r="CY72" i="2"/>
  <c r="AQ77" i="2"/>
  <c r="BC77" i="2"/>
  <c r="AO77" i="2"/>
  <c r="BK77" i="2"/>
  <c r="BE77" i="2"/>
  <c r="AG77" i="2"/>
  <c r="AL80" i="2"/>
  <c r="BF80" i="2"/>
  <c r="DC80" i="2"/>
  <c r="AR80" i="2"/>
  <c r="CB80" i="2"/>
  <c r="DI80" i="2"/>
  <c r="DM80" i="2" s="1"/>
  <c r="DJ81" i="2"/>
  <c r="BD72" i="2"/>
  <c r="CM72" i="2"/>
  <c r="BI72" i="2"/>
  <c r="CH72" i="2"/>
  <c r="DD70" i="2"/>
  <c r="DK72" i="2"/>
  <c r="CN77" i="2"/>
  <c r="DF77" i="2"/>
  <c r="AN77" i="2"/>
  <c r="BQ77" i="2"/>
  <c r="BD77" i="2"/>
  <c r="CZ78" i="2"/>
  <c r="BC72" i="2"/>
  <c r="AR72" i="2"/>
  <c r="AF80" i="2"/>
  <c r="CL80" i="2"/>
  <c r="BN80" i="2"/>
  <c r="BD80" i="2"/>
  <c r="BK80" i="2"/>
  <c r="CX80" i="2"/>
  <c r="BZ81" i="2"/>
  <c r="CW72" i="2"/>
  <c r="AI72" i="2"/>
  <c r="AZ72" i="2" s="1"/>
  <c r="DE72" i="2"/>
  <c r="BN72" i="2"/>
  <c r="DA70" i="2"/>
  <c r="AQ72" i="2"/>
  <c r="AF72" i="2"/>
  <c r="AR77" i="2"/>
  <c r="DI77" i="2"/>
  <c r="AH77" i="2"/>
  <c r="CX77" i="2"/>
  <c r="CM77" i="2"/>
  <c r="BJ78" i="2"/>
  <c r="BQ78" i="2"/>
  <c r="BP81" i="2"/>
  <c r="AT70" i="2"/>
  <c r="CY74" i="2"/>
  <c r="DH81" i="2"/>
  <c r="BO81" i="2"/>
  <c r="BL81" i="2"/>
  <c r="BL100" i="2" s="1"/>
  <c r="CM81" i="2"/>
  <c r="BD81" i="2"/>
  <c r="DF74" i="2"/>
  <c r="CL70" i="2"/>
  <c r="DI70" i="2"/>
  <c r="BG70" i="2"/>
  <c r="CD70" i="2"/>
  <c r="CB70" i="2"/>
  <c r="BI70" i="2"/>
  <c r="AM76" i="2"/>
  <c r="AQ81" i="2"/>
  <c r="BG81" i="2"/>
  <c r="CK70" i="2"/>
  <c r="CB74" i="2"/>
  <c r="CG81" i="2"/>
  <c r="BN81" i="2"/>
  <c r="BQ81" i="2"/>
  <c r="CC81" i="2"/>
  <c r="BC81" i="2"/>
  <c r="DC74" i="2"/>
  <c r="CG70" i="2"/>
  <c r="AH70" i="2"/>
  <c r="BO70" i="2"/>
  <c r="DJ70" i="2"/>
  <c r="DF70" i="2"/>
  <c r="CY70" i="2"/>
  <c r="BQ70" i="2"/>
  <c r="CG76" i="2"/>
  <c r="AJ81" i="2"/>
  <c r="AQ70" i="2"/>
  <c r="CM70" i="2"/>
  <c r="DC70" i="2"/>
  <c r="DD74" i="2"/>
  <c r="BE81" i="2"/>
  <c r="CW81" i="2"/>
  <c r="CW100" i="2" s="1"/>
  <c r="DC81" i="2"/>
  <c r="BK81" i="2"/>
  <c r="BF81" i="2"/>
  <c r="CN81" i="2"/>
  <c r="AR81" i="2"/>
  <c r="BF70" i="2"/>
  <c r="BN70" i="2"/>
  <c r="CA70" i="2"/>
  <c r="DK70" i="2"/>
  <c r="AF81" i="2"/>
  <c r="BD70" i="2"/>
  <c r="BJ70" i="2"/>
  <c r="AH74" i="2"/>
  <c r="CK81" i="2"/>
  <c r="DI81" i="2"/>
  <c r="CF81" i="2"/>
  <c r="CA81" i="2"/>
  <c r="CD81" i="2"/>
  <c r="CH81" i="2"/>
  <c r="BJ81" i="2"/>
  <c r="AO70" i="2"/>
  <c r="BE70" i="2"/>
  <c r="CW70" i="2"/>
  <c r="CH70" i="2"/>
  <c r="BC70" i="2"/>
  <c r="AG81" i="2"/>
  <c r="AR70" i="2"/>
  <c r="AS81" i="2"/>
  <c r="CB81" i="2"/>
  <c r="CI81" i="2"/>
  <c r="DF81" i="2"/>
  <c r="CL81" i="2"/>
  <c r="AO81" i="2"/>
  <c r="CX81" i="2"/>
  <c r="DH70" i="2"/>
  <c r="AN70" i="2"/>
  <c r="CC70" i="2"/>
  <c r="BP70" i="2"/>
  <c r="DE70" i="2"/>
  <c r="CX70" i="2"/>
  <c r="AM70" i="2"/>
  <c r="DC76" i="2"/>
  <c r="AM78" i="2"/>
  <c r="DK81" i="2"/>
  <c r="DK100" i="2" s="1"/>
  <c r="BI81" i="2"/>
  <c r="BL74" i="2"/>
  <c r="AL81" i="2"/>
  <c r="CY81" i="2"/>
  <c r="CY100" i="2" s="1"/>
  <c r="DD81" i="2"/>
  <c r="AI81" i="2"/>
  <c r="CZ81" i="2"/>
  <c r="DE81" i="2"/>
  <c r="AG70" i="2"/>
  <c r="BL70" i="2"/>
  <c r="CF70" i="2"/>
  <c r="AL70" i="2"/>
  <c r="AS70" i="2"/>
  <c r="AI70" i="2"/>
  <c r="DK76" i="2"/>
  <c r="CM76" i="2"/>
  <c r="BK70" i="2"/>
  <c r="CI76" i="2"/>
  <c r="AT78" i="2"/>
  <c r="BZ78" i="2"/>
  <c r="BJ74" i="2"/>
  <c r="CK74" i="2"/>
  <c r="DH74" i="2"/>
  <c r="DS74" i="2" s="1"/>
  <c r="DB74" i="2" s="1"/>
  <c r="AJ74" i="2"/>
  <c r="BZ74" i="2"/>
  <c r="DE74" i="2"/>
  <c r="BD74" i="2"/>
  <c r="AS74" i="2"/>
  <c r="AL74" i="2"/>
  <c r="BC74" i="2"/>
  <c r="BO74" i="2"/>
  <c r="AF76" i="2"/>
  <c r="BI76" i="2"/>
  <c r="BK76" i="2"/>
  <c r="DD76" i="2"/>
  <c r="AH76" i="2"/>
  <c r="AL76" i="2"/>
  <c r="DI76" i="2"/>
  <c r="CW76" i="2"/>
  <c r="DS76" i="2" s="1"/>
  <c r="DB76" i="2" s="1"/>
  <c r="CB76" i="2"/>
  <c r="BN84" i="2"/>
  <c r="BJ76" i="2"/>
  <c r="CX76" i="2"/>
  <c r="AT84" i="2"/>
  <c r="DI84" i="2"/>
  <c r="CH84" i="2"/>
  <c r="CM78" i="2"/>
  <c r="AL78" i="2"/>
  <c r="DH78" i="2"/>
  <c r="BE78" i="2"/>
  <c r="CC76" i="2"/>
  <c r="BE76" i="2"/>
  <c r="BZ76" i="2"/>
  <c r="AI76" i="2"/>
  <c r="AS76" i="2"/>
  <c r="BZ69" i="2"/>
  <c r="BZ100" i="2" s="1"/>
  <c r="BD69" i="2"/>
  <c r="BD100" i="2" s="1"/>
  <c r="CH69" i="2"/>
  <c r="CH100" i="2" s="1"/>
  <c r="BP69" i="2"/>
  <c r="DF69" i="2"/>
  <c r="DF100" i="2" s="1"/>
  <c r="BN69" i="2"/>
  <c r="BN100" i="2" s="1"/>
  <c r="BP74" i="2"/>
  <c r="CN74" i="2"/>
  <c r="CC74" i="2"/>
  <c r="AF74" i="2"/>
  <c r="BN74" i="2"/>
  <c r="CC73" i="2"/>
  <c r="DA76" i="2"/>
  <c r="BG76" i="2"/>
  <c r="BP73" i="2"/>
  <c r="DK73" i="2"/>
  <c r="AI73" i="2"/>
  <c r="CA74" i="2"/>
  <c r="AS84" i="2"/>
  <c r="CL84" i="2"/>
  <c r="AO84" i="2"/>
  <c r="BG84" i="2"/>
  <c r="CH76" i="2"/>
  <c r="DA84" i="2"/>
  <c r="AL84" i="2"/>
  <c r="CW78" i="2"/>
  <c r="DS78" i="2" s="1"/>
  <c r="AI78" i="2"/>
  <c r="DK78" i="2"/>
  <c r="AN78" i="2"/>
  <c r="CL78" i="2"/>
  <c r="AF78" i="2"/>
  <c r="BF69" i="2"/>
  <c r="BF100" i="2" s="1"/>
  <c r="DI69" i="2"/>
  <c r="DI100" i="2" s="1"/>
  <c r="CF69" i="2"/>
  <c r="DA69" i="2"/>
  <c r="DA100" i="2" s="1"/>
  <c r="CZ69" i="2"/>
  <c r="CZ100" i="2" s="1"/>
  <c r="DH69" i="2"/>
  <c r="DH100" i="2" s="1"/>
  <c r="AO74" i="2"/>
  <c r="CX74" i="2"/>
  <c r="CF74" i="2"/>
  <c r="AT74" i="2"/>
  <c r="CH74" i="2"/>
  <c r="CZ74" i="2"/>
  <c r="DD73" i="2"/>
  <c r="BC76" i="2"/>
  <c r="AG76" i="2"/>
  <c r="CZ76" i="2"/>
  <c r="DA73" i="2"/>
  <c r="BE74" i="2"/>
  <c r="CC77" i="2"/>
  <c r="CA77" i="2"/>
  <c r="CP77" i="2" s="1"/>
  <c r="BD84" i="2"/>
  <c r="AJ84" i="2"/>
  <c r="CX84" i="2"/>
  <c r="CB84" i="2"/>
  <c r="CC84" i="2"/>
  <c r="AN84" i="2"/>
  <c r="BJ84" i="2"/>
  <c r="CH78" i="2"/>
  <c r="DI78" i="2"/>
  <c r="DE78" i="2"/>
  <c r="CA78" i="2"/>
  <c r="DA78" i="2"/>
  <c r="CZ77" i="2"/>
  <c r="CL74" i="2"/>
  <c r="DA74" i="2"/>
  <c r="AN74" i="2"/>
  <c r="CI74" i="2"/>
  <c r="CM74" i="2"/>
  <c r="AR76" i="2"/>
  <c r="AH69" i="2"/>
  <c r="CX69" i="2"/>
  <c r="AQ69" i="2"/>
  <c r="AQ100" i="2" s="1"/>
  <c r="CL69" i="2"/>
  <c r="AO69" i="2"/>
  <c r="BQ69" i="2"/>
  <c r="BQ100" i="2" s="1"/>
  <c r="AG74" i="2"/>
  <c r="BG74" i="2"/>
  <c r="DK74" i="2"/>
  <c r="CY76" i="2"/>
  <c r="AJ73" i="2"/>
  <c r="AR73" i="2"/>
  <c r="CA76" i="2"/>
  <c r="AQ76" i="2"/>
  <c r="BP76" i="2"/>
  <c r="AJ70" i="2"/>
  <c r="BL76" i="2"/>
  <c r="CI70" i="2"/>
  <c r="CW77" i="2"/>
  <c r="DS77" i="2" s="1"/>
  <c r="DL77" i="2" s="1"/>
  <c r="AG84" i="2"/>
  <c r="AV84" i="2" s="1"/>
  <c r="BK84" i="2"/>
  <c r="BP84" i="2"/>
  <c r="BZ84" i="2"/>
  <c r="CV84" i="2" s="1"/>
  <c r="CE84" i="2" s="1"/>
  <c r="DJ84" i="2"/>
  <c r="DO84" i="2" s="1"/>
  <c r="BC84" i="2"/>
  <c r="DD84" i="2"/>
  <c r="BL78" i="2"/>
  <c r="CB78" i="2"/>
  <c r="AQ78" i="2"/>
  <c r="CI78" i="2"/>
  <c r="BL72" i="2"/>
  <c r="BF77" i="2"/>
  <c r="BF74" i="2"/>
  <c r="CG74" i="2"/>
  <c r="BK74" i="2"/>
  <c r="AR74" i="2"/>
  <c r="BF76" i="2"/>
  <c r="CN76" i="2"/>
  <c r="DF76" i="2"/>
  <c r="BO76" i="2"/>
  <c r="AJ76" i="2"/>
  <c r="BO69" i="2"/>
  <c r="BC69" i="2"/>
  <c r="BC100" i="2" s="1"/>
  <c r="CB69" i="2"/>
  <c r="CB100" i="2" s="1"/>
  <c r="AJ69" i="2"/>
  <c r="AL69" i="2"/>
  <c r="AL100" i="2" s="1"/>
  <c r="AG69" i="2"/>
  <c r="AG100" i="2" s="1"/>
  <c r="BQ74" i="2"/>
  <c r="AI74" i="2"/>
  <c r="AQ74" i="2"/>
  <c r="DJ74" i="2"/>
  <c r="AM74" i="2"/>
  <c r="DI74" i="2"/>
  <c r="BI74" i="2"/>
  <c r="DE76" i="2"/>
  <c r="CK76" i="2"/>
  <c r="BZ73" i="2"/>
  <c r="CD76" i="2"/>
  <c r="BD76" i="2"/>
  <c r="BQ76" i="2"/>
  <c r="CW73" i="2"/>
  <c r="AN76" i="2"/>
  <c r="CB77" i="2"/>
  <c r="DF84" i="2"/>
  <c r="CA84" i="2"/>
  <c r="CG84" i="2"/>
  <c r="BP78" i="2"/>
  <c r="AS78" i="2"/>
  <c r="AZ93" i="2"/>
  <c r="CR86" i="2"/>
  <c r="CV92" i="2"/>
  <c r="CO92" i="2" s="1"/>
  <c r="BS92" i="2"/>
  <c r="BV92" i="2" s="1"/>
  <c r="BU92" i="2"/>
  <c r="AV85" i="2"/>
  <c r="CD71" i="2"/>
  <c r="AQ71" i="2"/>
  <c r="BF71" i="2"/>
  <c r="DA71" i="2"/>
  <c r="DK71" i="2"/>
  <c r="CX71" i="2"/>
  <c r="DF71" i="2"/>
  <c r="DD71" i="2"/>
  <c r="CI71" i="2"/>
  <c r="CA71" i="2"/>
  <c r="DH71" i="2"/>
  <c r="AN71" i="2"/>
  <c r="CC71" i="2"/>
  <c r="CG71" i="2"/>
  <c r="AF71" i="2"/>
  <c r="DJ71" i="2"/>
  <c r="CZ71" i="2"/>
  <c r="BL71" i="2"/>
  <c r="DI71" i="2"/>
  <c r="AR71" i="2"/>
  <c r="BI71" i="2"/>
  <c r="CF71" i="2"/>
  <c r="AS71" i="2"/>
  <c r="DJ76" i="2"/>
  <c r="CF76" i="2"/>
  <c r="DC84" i="2"/>
  <c r="AQ84" i="2"/>
  <c r="BI84" i="2"/>
  <c r="DH84" i="2"/>
  <c r="CZ84" i="2"/>
  <c r="BO84" i="2"/>
  <c r="BF84" i="2"/>
  <c r="BE84" i="2"/>
  <c r="CW84" i="2"/>
  <c r="CH71" i="2"/>
  <c r="BD71" i="2"/>
  <c r="AI71" i="2"/>
  <c r="CM71" i="2"/>
  <c r="AM71" i="2"/>
  <c r="CB71" i="2"/>
  <c r="BG71" i="2"/>
  <c r="BE71" i="2"/>
  <c r="CK71" i="2"/>
  <c r="BK71" i="2"/>
  <c r="BN71" i="2"/>
  <c r="CY71" i="2"/>
  <c r="CN71" i="2"/>
  <c r="CL71" i="2"/>
  <c r="BP71" i="2"/>
  <c r="CR84" i="2"/>
  <c r="CX78" i="2"/>
  <c r="BO78" i="2"/>
  <c r="AR78" i="2"/>
  <c r="CF78" i="2"/>
  <c r="AJ71" i="2"/>
  <c r="DE71" i="2"/>
  <c r="BZ71" i="2"/>
  <c r="AJ80" i="2"/>
  <c r="CD80" i="2"/>
  <c r="BO80" i="2"/>
  <c r="AH80" i="2"/>
  <c r="AT77" i="2"/>
  <c r="DK77" i="2"/>
  <c r="CK77" i="2"/>
  <c r="CV77" i="2" s="1"/>
  <c r="CJ77" i="2" s="1"/>
  <c r="DC72" i="2"/>
  <c r="DS72" i="2" s="1"/>
  <c r="DG72" i="2" s="1"/>
  <c r="DJ72" i="2"/>
  <c r="DE79" i="2"/>
  <c r="AF79" i="2"/>
  <c r="BD79" i="2"/>
  <c r="BJ79" i="2"/>
  <c r="AG79" i="2"/>
  <c r="DJ79" i="2"/>
  <c r="CY79" i="2"/>
  <c r="AT79" i="2"/>
  <c r="AO79" i="2"/>
  <c r="BQ79" i="2"/>
  <c r="AH79" i="2"/>
  <c r="DH79" i="2"/>
  <c r="CN79" i="2"/>
  <c r="DK79" i="2"/>
  <c r="BL79" i="2"/>
  <c r="BC79" i="2"/>
  <c r="CB79" i="2"/>
  <c r="CD79" i="2"/>
  <c r="CK79" i="2"/>
  <c r="AR79" i="2"/>
  <c r="BK79" i="2"/>
  <c r="DF79" i="2"/>
  <c r="BG79" i="2"/>
  <c r="CM79" i="2"/>
  <c r="CL79" i="2"/>
  <c r="CG79" i="2"/>
  <c r="CC79" i="2"/>
  <c r="DA79" i="2"/>
  <c r="BE79" i="2"/>
  <c r="BN79" i="2"/>
  <c r="AL79" i="2"/>
  <c r="CF79" i="2"/>
  <c r="AS79" i="2"/>
  <c r="AM79" i="2"/>
  <c r="BO79" i="2"/>
  <c r="BF79" i="2"/>
  <c r="CA79" i="2"/>
  <c r="CZ79" i="2"/>
  <c r="CX79" i="2"/>
  <c r="AQ79" i="2"/>
  <c r="CW79" i="2"/>
  <c r="DI79" i="2"/>
  <c r="AN79" i="2"/>
  <c r="DC79" i="2"/>
  <c r="DD79" i="2"/>
  <c r="BZ79" i="2"/>
  <c r="BP79" i="2"/>
  <c r="BI79" i="2"/>
  <c r="CI79" i="2"/>
  <c r="AJ79" i="2"/>
  <c r="AI79" i="2"/>
  <c r="CH79" i="2"/>
  <c r="CG78" i="2"/>
  <c r="BN78" i="2"/>
  <c r="AT71" i="2"/>
  <c r="BO71" i="2"/>
  <c r="BJ71" i="2"/>
  <c r="AO71" i="2"/>
  <c r="AG71" i="2"/>
  <c r="DC71" i="2"/>
  <c r="AL71" i="2"/>
  <c r="BC71" i="2"/>
  <c r="CW71" i="2"/>
  <c r="AH71" i="2"/>
  <c r="CN78" i="2"/>
  <c r="CD78" i="2"/>
  <c r="AJ78" i="2"/>
  <c r="BD78" i="2"/>
  <c r="CY78" i="2"/>
  <c r="DF78" i="2"/>
  <c r="BG78" i="2"/>
  <c r="AG78" i="2"/>
  <c r="DH73" i="2"/>
  <c r="BN73" i="2"/>
  <c r="AH73" i="2"/>
  <c r="CG73" i="2"/>
  <c r="AN73" i="2"/>
  <c r="CN73" i="2"/>
  <c r="BE73" i="2"/>
  <c r="BO73" i="2"/>
  <c r="DC73" i="2"/>
  <c r="AO73" i="2"/>
  <c r="DI73" i="2"/>
  <c r="CB73" i="2"/>
  <c r="CI73" i="2"/>
  <c r="BJ73" i="2"/>
  <c r="CZ73" i="2"/>
  <c r="BD73" i="2"/>
  <c r="BQ73" i="2"/>
  <c r="BC73" i="2"/>
  <c r="CY73" i="2"/>
  <c r="AM73" i="2"/>
  <c r="CF73" i="2"/>
  <c r="CM73" i="2"/>
  <c r="BK73" i="2"/>
  <c r="AF73" i="2"/>
  <c r="BF73" i="2"/>
  <c r="BI73" i="2"/>
  <c r="CK73" i="2"/>
  <c r="CA73" i="2"/>
  <c r="AT73" i="2"/>
  <c r="AL73" i="2"/>
  <c r="DO77" i="2"/>
  <c r="AG73" i="2"/>
  <c r="DJ73" i="2"/>
  <c r="CD73" i="2"/>
  <c r="BL73" i="2"/>
  <c r="CL73" i="2"/>
  <c r="DE73" i="2"/>
  <c r="BG73" i="2"/>
  <c r="AQ73" i="2"/>
  <c r="AS73" i="2"/>
  <c r="DF91" i="2"/>
  <c r="AT91" i="2"/>
  <c r="AO91" i="2"/>
  <c r="CA91" i="2"/>
  <c r="BI91" i="2"/>
  <c r="AG91" i="2"/>
  <c r="DH91" i="2"/>
  <c r="DS91" i="2" s="1"/>
  <c r="DG91" i="2" s="1"/>
  <c r="AJ91" i="2"/>
  <c r="BF91" i="2"/>
  <c r="CC91" i="2"/>
  <c r="CD91" i="2"/>
  <c r="AR91" i="2"/>
  <c r="BN91" i="2"/>
  <c r="AL91" i="2"/>
  <c r="BB91" i="2" s="1"/>
  <c r="AU91" i="2" s="1"/>
  <c r="DD91" i="2"/>
  <c r="AM91" i="2"/>
  <c r="AN91" i="2"/>
  <c r="AV72" i="2"/>
  <c r="DA91" i="2"/>
  <c r="AS91" i="2"/>
  <c r="BO91" i="2"/>
  <c r="BS91" i="2" s="1"/>
  <c r="BK91" i="2"/>
  <c r="BU91" i="2" s="1"/>
  <c r="CM91" i="2"/>
  <c r="CR91" i="2" s="1"/>
  <c r="CL91" i="2"/>
  <c r="BQ91" i="2"/>
  <c r="BB75" i="2"/>
  <c r="AP75" i="2" s="1"/>
  <c r="AI91" i="2"/>
  <c r="DM77" i="2"/>
  <c r="CZ91" i="2"/>
  <c r="CT84" i="2"/>
  <c r="BY92" i="2"/>
  <c r="BR92" i="2" s="1"/>
  <c r="CL92" i="2"/>
  <c r="AN92" i="2"/>
  <c r="AX92" i="2" s="1"/>
  <c r="CG92" i="2"/>
  <c r="CA92" i="2"/>
  <c r="CX92" i="2"/>
  <c r="DM92" i="2" s="1"/>
  <c r="AL92" i="2"/>
  <c r="BB92" i="2" s="1"/>
  <c r="AU92" i="2" s="1"/>
  <c r="AT92" i="2"/>
  <c r="AZ92" i="2" s="1"/>
  <c r="DK92" i="2"/>
  <c r="DQ92" i="2" s="1"/>
  <c r="DI91" i="2"/>
  <c r="CY91" i="2"/>
  <c r="DO91" i="2" s="1"/>
  <c r="BL91" i="2"/>
  <c r="CN91" i="2"/>
  <c r="AX85" i="2"/>
  <c r="CV91" i="2"/>
  <c r="CJ91" i="2" s="1"/>
  <c r="BU75" i="2"/>
  <c r="DM86" i="2"/>
  <c r="BU93" i="2"/>
  <c r="BS85" i="2"/>
  <c r="CV85" i="2"/>
  <c r="CJ85" i="2" s="1"/>
  <c r="DM85" i="2"/>
  <c r="BU85" i="2"/>
  <c r="BW85" i="2"/>
  <c r="CR85" i="2"/>
  <c r="CP85" i="2"/>
  <c r="DO85" i="2"/>
  <c r="BB95" i="2"/>
  <c r="AU95" i="2" s="1"/>
  <c r="DM93" i="2"/>
  <c r="BB85" i="2"/>
  <c r="AZ85" i="2"/>
  <c r="DQ85" i="2"/>
  <c r="CT85" i="2"/>
  <c r="DS85" i="2"/>
  <c r="BY85" i="2"/>
  <c r="BR85" i="2" s="1"/>
  <c r="DS86" i="2"/>
  <c r="DG86" i="2" s="1"/>
  <c r="BB86" i="2"/>
  <c r="AP86" i="2" s="1"/>
  <c r="BU86" i="2"/>
  <c r="CT86" i="2"/>
  <c r="CV93" i="2"/>
  <c r="CE93" i="2" s="1"/>
  <c r="CP86" i="2"/>
  <c r="BS93" i="2"/>
  <c r="BY93" i="2"/>
  <c r="BR93" i="2" s="1"/>
  <c r="DS93" i="2"/>
  <c r="DL93" i="2" s="1"/>
  <c r="AZ86" i="2"/>
  <c r="AV86" i="2"/>
  <c r="DO86" i="2"/>
  <c r="AV93" i="2"/>
  <c r="AV96" i="2"/>
  <c r="BW93" i="2"/>
  <c r="AX93" i="2"/>
  <c r="DQ86" i="2"/>
  <c r="CT96" i="2"/>
  <c r="BY86" i="2"/>
  <c r="BH86" i="2" s="1"/>
  <c r="BW86" i="2"/>
  <c r="BW95" i="2"/>
  <c r="BS75" i="2"/>
  <c r="DQ72" i="2"/>
  <c r="AV95" i="2"/>
  <c r="CT93" i="2"/>
  <c r="DO93" i="2"/>
  <c r="AX86" i="2"/>
  <c r="CR93" i="2"/>
  <c r="DQ93" i="2"/>
  <c r="DO95" i="2"/>
  <c r="AV90" i="2"/>
  <c r="CR95" i="2"/>
  <c r="BS86" i="2"/>
  <c r="CP93" i="2"/>
  <c r="CV86" i="2"/>
  <c r="CE86" i="2" s="1"/>
  <c r="DO96" i="2"/>
  <c r="CT75" i="2"/>
  <c r="BY96" i="2"/>
  <c r="BH96" i="2" s="1"/>
  <c r="AX95" i="2"/>
  <c r="CV95" i="2"/>
  <c r="CE95" i="2" s="1"/>
  <c r="BW75" i="2"/>
  <c r="BS95" i="2"/>
  <c r="CV75" i="2"/>
  <c r="CO75" i="2" s="1"/>
  <c r="DQ95" i="2"/>
  <c r="BU72" i="2"/>
  <c r="BY75" i="2"/>
  <c r="BM75" i="2" s="1"/>
  <c r="CR96" i="2"/>
  <c r="CR90" i="2"/>
  <c r="BS96" i="2"/>
  <c r="DQ96" i="2"/>
  <c r="DQ75" i="2"/>
  <c r="DS75" i="2"/>
  <c r="DG75" i="2" s="1"/>
  <c r="DM75" i="2"/>
  <c r="DS96" i="2"/>
  <c r="DG96" i="2" s="1"/>
  <c r="BU90" i="2"/>
  <c r="CR75" i="2"/>
  <c r="DO75" i="2"/>
  <c r="CP75" i="2"/>
  <c r="AV75" i="2"/>
  <c r="AZ76" i="2"/>
  <c r="DM96" i="2"/>
  <c r="AZ96" i="2"/>
  <c r="BB96" i="2"/>
  <c r="AP96" i="2" s="1"/>
  <c r="CT95" i="2"/>
  <c r="CP95" i="2"/>
  <c r="AX75" i="2"/>
  <c r="CP96" i="2"/>
  <c r="BY95" i="2"/>
  <c r="BU96" i="2"/>
  <c r="DS95" i="2"/>
  <c r="DG95" i="2" s="1"/>
  <c r="AZ95" i="2"/>
  <c r="BU95" i="2"/>
  <c r="DM95" i="2"/>
  <c r="AZ75" i="2"/>
  <c r="AX96" i="2"/>
  <c r="BW96" i="2"/>
  <c r="CV96" i="2"/>
  <c r="CO96" i="2" s="1"/>
  <c r="CP90" i="2"/>
  <c r="DM90" i="2"/>
  <c r="AX90" i="2"/>
  <c r="BU94" i="2"/>
  <c r="DQ90" i="2"/>
  <c r="DO94" i="2"/>
  <c r="BS83" i="2"/>
  <c r="BB94" i="2"/>
  <c r="AP94" i="2" s="1"/>
  <c r="BY90" i="2"/>
  <c r="BR90" i="2" s="1"/>
  <c r="BB97" i="2"/>
  <c r="AP97" i="2" s="1"/>
  <c r="DO90" i="2"/>
  <c r="BX92" i="2"/>
  <c r="CR88" i="2"/>
  <c r="CR97" i="2"/>
  <c r="BY94" i="2"/>
  <c r="BR94" i="2" s="1"/>
  <c r="AV89" i="2"/>
  <c r="AX94" i="2"/>
  <c r="DM94" i="2"/>
  <c r="CR83" i="2"/>
  <c r="BS97" i="2"/>
  <c r="AZ90" i="2"/>
  <c r="CV90" i="2"/>
  <c r="CE90" i="2" s="1"/>
  <c r="BW94" i="2"/>
  <c r="AV94" i="2"/>
  <c r="BB83" i="2"/>
  <c r="AP83" i="2" s="1"/>
  <c r="CP88" i="2"/>
  <c r="DS94" i="2"/>
  <c r="DL94" i="2" s="1"/>
  <c r="CP94" i="2"/>
  <c r="BS94" i="2"/>
  <c r="BS89" i="2"/>
  <c r="CT90" i="2"/>
  <c r="BW90" i="2"/>
  <c r="BY83" i="2"/>
  <c r="BM83" i="2" s="1"/>
  <c r="DO83" i="2"/>
  <c r="DQ97" i="2"/>
  <c r="CR94" i="2"/>
  <c r="BS90" i="2"/>
  <c r="DQ83" i="2"/>
  <c r="BU89" i="2"/>
  <c r="AU93" i="2"/>
  <c r="AZ94" i="2"/>
  <c r="CV94" i="2"/>
  <c r="CJ94" i="2" s="1"/>
  <c r="AX88" i="2"/>
  <c r="AV88" i="2"/>
  <c r="BY97" i="2"/>
  <c r="BH97" i="2" s="1"/>
  <c r="CV87" i="2"/>
  <c r="CJ87" i="2" s="1"/>
  <c r="DS87" i="2"/>
  <c r="DL87" i="2" s="1"/>
  <c r="AX87" i="2"/>
  <c r="BB90" i="2"/>
  <c r="DS90" i="2"/>
  <c r="CP83" i="2"/>
  <c r="BW97" i="2"/>
  <c r="DQ87" i="2"/>
  <c r="DO89" i="2"/>
  <c r="CR89" i="2"/>
  <c r="CP89" i="2"/>
  <c r="CT89" i="2"/>
  <c r="AZ88" i="2"/>
  <c r="BS88" i="2"/>
  <c r="BU88" i="2"/>
  <c r="BB88" i="2"/>
  <c r="AP88" i="2" s="1"/>
  <c r="CV88" i="2"/>
  <c r="CE88" i="2" s="1"/>
  <c r="BY87" i="2"/>
  <c r="BR87" i="2" s="1"/>
  <c r="DQ88" i="2"/>
  <c r="DM88" i="2"/>
  <c r="BU83" i="2"/>
  <c r="DM97" i="2"/>
  <c r="AZ97" i="2"/>
  <c r="DS97" i="2"/>
  <c r="DG97" i="2" s="1"/>
  <c r="AV97" i="2"/>
  <c r="CP97" i="2"/>
  <c r="CV89" i="2"/>
  <c r="DO88" i="2"/>
  <c r="AX97" i="2"/>
  <c r="BU97" i="2"/>
  <c r="DM89" i="2"/>
  <c r="DO97" i="2"/>
  <c r="DQ94" i="2"/>
  <c r="AX89" i="2"/>
  <c r="BB89" i="2"/>
  <c r="AU89" i="2" s="1"/>
  <c r="CT94" i="2"/>
  <c r="DS89" i="2"/>
  <c r="DG89" i="2" s="1"/>
  <c r="DM83" i="2"/>
  <c r="CT97" i="2"/>
  <c r="CT88" i="2"/>
  <c r="BY88" i="2"/>
  <c r="BH88" i="2" s="1"/>
  <c r="AV83" i="2"/>
  <c r="CV83" i="2"/>
  <c r="CJ83" i="2" s="1"/>
  <c r="CT83" i="2"/>
  <c r="BW83" i="2"/>
  <c r="AV87" i="2"/>
  <c r="DQ89" i="2"/>
  <c r="BW88" i="2"/>
  <c r="DS88" i="2"/>
  <c r="DG88" i="2" s="1"/>
  <c r="DS83" i="2"/>
  <c r="AZ83" i="2"/>
  <c r="DB92" i="2"/>
  <c r="DG92" i="2"/>
  <c r="BY89" i="2"/>
  <c r="BW89" i="2"/>
  <c r="CV97" i="2"/>
  <c r="CJ97" i="2" s="1"/>
  <c r="AZ89" i="2"/>
  <c r="DL92" i="2"/>
  <c r="AX83" i="2"/>
  <c r="BU87" i="2" l="1"/>
  <c r="AZ87" i="2"/>
  <c r="DQ84" i="2"/>
  <c r="BB87" i="2"/>
  <c r="AP87" i="2" s="1"/>
  <c r="BK100" i="2"/>
  <c r="AS100" i="2"/>
  <c r="CG100" i="2"/>
  <c r="DD100" i="2"/>
  <c r="AI100" i="2"/>
  <c r="AN100" i="2"/>
  <c r="DE100" i="2"/>
  <c r="CN100" i="2"/>
  <c r="BP100" i="2"/>
  <c r="AR100" i="2"/>
  <c r="BI100" i="2"/>
  <c r="CI100" i="2"/>
  <c r="CM100" i="2"/>
  <c r="AO100" i="2"/>
  <c r="BJ100" i="2"/>
  <c r="CF100" i="2"/>
  <c r="CA100" i="2"/>
  <c r="BO100" i="2"/>
  <c r="CK100" i="2"/>
  <c r="BE100" i="2"/>
  <c r="AZ69" i="2"/>
  <c r="AJ100" i="2"/>
  <c r="CP69" i="2"/>
  <c r="CP100" i="2" s="1"/>
  <c r="CL100" i="2"/>
  <c r="DM69" i="2"/>
  <c r="CX100" i="2"/>
  <c r="DO69" i="2"/>
  <c r="DJ100" i="2"/>
  <c r="AX69" i="2"/>
  <c r="AH100" i="2"/>
  <c r="CT69" i="2"/>
  <c r="CC100" i="2"/>
  <c r="AP93" i="2"/>
  <c r="BU69" i="2"/>
  <c r="BU100" i="2" s="1"/>
  <c r="CP72" i="2"/>
  <c r="DO80" i="2"/>
  <c r="BW80" i="2"/>
  <c r="BB81" i="2"/>
  <c r="AU81" i="2" s="1"/>
  <c r="DM74" i="2"/>
  <c r="BY74" i="2"/>
  <c r="BM74" i="2" s="1"/>
  <c r="DQ80" i="2"/>
  <c r="DR80" i="2" s="1"/>
  <c r="DQ73" i="2"/>
  <c r="CV72" i="2"/>
  <c r="CE72" i="2" s="1"/>
  <c r="DQ77" i="2"/>
  <c r="AZ77" i="2"/>
  <c r="AV69" i="2"/>
  <c r="DS69" i="2"/>
  <c r="BW69" i="2"/>
  <c r="BW100" i="2" s="1"/>
  <c r="DM76" i="2"/>
  <c r="AX77" i="2"/>
  <c r="CV80" i="2"/>
  <c r="CO80" i="2" s="1"/>
  <c r="BT92" i="2"/>
  <c r="CJ92" i="2"/>
  <c r="CP76" i="2"/>
  <c r="CE92" i="2"/>
  <c r="CT77" i="2"/>
  <c r="BY80" i="2"/>
  <c r="BM80" i="2" s="1"/>
  <c r="CV76" i="2"/>
  <c r="CO76" i="2" s="1"/>
  <c r="CP80" i="2"/>
  <c r="BW84" i="2"/>
  <c r="DM84" i="2"/>
  <c r="CE91" i="2"/>
  <c r="AK92" i="2"/>
  <c r="CR72" i="2"/>
  <c r="CS72" i="2" s="1"/>
  <c r="AX72" i="2"/>
  <c r="BA72" i="2" s="1"/>
  <c r="BS72" i="2"/>
  <c r="BB70" i="2"/>
  <c r="AK70" i="2" s="1"/>
  <c r="AV81" i="2"/>
  <c r="AV70" i="2"/>
  <c r="CT70" i="2"/>
  <c r="CR73" i="2"/>
  <c r="DM71" i="2"/>
  <c r="BU74" i="2"/>
  <c r="CR76" i="2"/>
  <c r="BU77" i="2"/>
  <c r="CR80" i="2"/>
  <c r="AV80" i="2"/>
  <c r="CT87" i="2"/>
  <c r="DR92" i="2"/>
  <c r="DQ91" i="2"/>
  <c r="BX85" i="2"/>
  <c r="AZ80" i="2"/>
  <c r="BW87" i="2"/>
  <c r="CR87" i="2"/>
  <c r="CQ87" i="2" s="1"/>
  <c r="AZ74" i="2"/>
  <c r="BY72" i="2"/>
  <c r="BH72" i="2" s="1"/>
  <c r="CT80" i="2"/>
  <c r="CU80" i="2" s="1"/>
  <c r="CR77" i="2"/>
  <c r="BW72" i="2"/>
  <c r="BB72" i="2"/>
  <c r="AK72" i="2" s="1"/>
  <c r="DS80" i="2"/>
  <c r="DB80" i="2" s="1"/>
  <c r="BW78" i="2"/>
  <c r="DS73" i="2"/>
  <c r="DG73" i="2" s="1"/>
  <c r="BW76" i="2"/>
  <c r="BB78" i="2"/>
  <c r="AK78" i="2" s="1"/>
  <c r="AX84" i="2"/>
  <c r="BU78" i="2"/>
  <c r="DO74" i="2"/>
  <c r="BW74" i="2"/>
  <c r="BW81" i="2"/>
  <c r="BS80" i="2"/>
  <c r="BB80" i="2"/>
  <c r="AU80" i="2" s="1"/>
  <c r="BU80" i="2"/>
  <c r="BS77" i="2"/>
  <c r="BY77" i="2"/>
  <c r="BM77" i="2" s="1"/>
  <c r="DO72" i="2"/>
  <c r="BS74" i="2"/>
  <c r="DM81" i="2"/>
  <c r="AV76" i="2"/>
  <c r="BS81" i="2"/>
  <c r="BR74" i="2"/>
  <c r="CR81" i="2"/>
  <c r="AV77" i="2"/>
  <c r="AZ81" i="2"/>
  <c r="CR78" i="2"/>
  <c r="CP78" i="2"/>
  <c r="AV71" i="2"/>
  <c r="AX80" i="2"/>
  <c r="BA80" i="2" s="1"/>
  <c r="BY76" i="2"/>
  <c r="BR76" i="2" s="1"/>
  <c r="DM70" i="2"/>
  <c r="CV81" i="2"/>
  <c r="CJ81" i="2" s="1"/>
  <c r="DS81" i="2"/>
  <c r="DG81" i="2" s="1"/>
  <c r="BY81" i="2"/>
  <c r="BR81" i="2" s="1"/>
  <c r="BB77" i="2"/>
  <c r="AP77" i="2" s="1"/>
  <c r="BU70" i="2"/>
  <c r="BW70" i="2"/>
  <c r="DQ70" i="2"/>
  <c r="AZ70" i="2"/>
  <c r="CP70" i="2"/>
  <c r="CR69" i="2"/>
  <c r="CR100" i="2" s="1"/>
  <c r="DO87" i="2"/>
  <c r="DP87" i="2" s="1"/>
  <c r="BH92" i="2"/>
  <c r="CU86" i="2"/>
  <c r="CU85" i="2"/>
  <c r="AX91" i="2"/>
  <c r="CO93" i="2"/>
  <c r="DM91" i="2"/>
  <c r="BW91" i="2"/>
  <c r="BT91" i="2" s="1"/>
  <c r="DQ74" i="2"/>
  <c r="CR74" i="2"/>
  <c r="BS76" i="2"/>
  <c r="CT74" i="2"/>
  <c r="CV69" i="2"/>
  <c r="DO81" i="2"/>
  <c r="AX70" i="2"/>
  <c r="AX81" i="2"/>
  <c r="BS70" i="2"/>
  <c r="CR70" i="2"/>
  <c r="CP81" i="2"/>
  <c r="AX71" i="2"/>
  <c r="AZ84" i="2"/>
  <c r="CP74" i="2"/>
  <c r="AV74" i="2"/>
  <c r="DQ78" i="2"/>
  <c r="BW77" i="2"/>
  <c r="CV78" i="2"/>
  <c r="CV70" i="2"/>
  <c r="CO70" i="2" s="1"/>
  <c r="DQ81" i="2"/>
  <c r="BY70" i="2"/>
  <c r="BR70" i="2" s="1"/>
  <c r="BU81" i="2"/>
  <c r="DO70" i="2"/>
  <c r="CT81" i="2"/>
  <c r="CT73" i="2"/>
  <c r="BY79" i="2"/>
  <c r="BM79" i="2" s="1"/>
  <c r="DN72" i="2"/>
  <c r="DB75" i="2"/>
  <c r="DO79" i="2"/>
  <c r="BB84" i="2"/>
  <c r="AU84" i="2" s="1"/>
  <c r="BB74" i="2"/>
  <c r="AU74" i="2" s="1"/>
  <c r="BS69" i="2"/>
  <c r="BS100" i="2" s="1"/>
  <c r="CV74" i="2"/>
  <c r="CJ74" i="2" s="1"/>
  <c r="CT76" i="2"/>
  <c r="DS70" i="2"/>
  <c r="DG70" i="2" s="1"/>
  <c r="CR71" i="2"/>
  <c r="DO76" i="2"/>
  <c r="AZ79" i="2"/>
  <c r="CT79" i="2"/>
  <c r="AV78" i="2"/>
  <c r="CO84" i="2"/>
  <c r="CT78" i="2"/>
  <c r="DO71" i="2"/>
  <c r="BB69" i="2"/>
  <c r="BB76" i="2"/>
  <c r="AU76" i="2" s="1"/>
  <c r="AX78" i="2"/>
  <c r="DQ76" i="2"/>
  <c r="BU76" i="2"/>
  <c r="AX76" i="2"/>
  <c r="AX74" i="2"/>
  <c r="DL78" i="2"/>
  <c r="DG78" i="2"/>
  <c r="DQ69" i="2"/>
  <c r="DP77" i="2"/>
  <c r="BS84" i="2"/>
  <c r="BY69" i="2"/>
  <c r="DB78" i="2"/>
  <c r="DM78" i="2"/>
  <c r="BY71" i="2"/>
  <c r="BM71" i="2" s="1"/>
  <c r="DM79" i="2"/>
  <c r="CV71" i="2"/>
  <c r="CE71" i="2" s="1"/>
  <c r="BY84" i="2"/>
  <c r="BH84" i="2" s="1"/>
  <c r="CP71" i="2"/>
  <c r="CP84" i="2"/>
  <c r="CQ84" i="2" s="1"/>
  <c r="CJ84" i="2"/>
  <c r="BX75" i="2"/>
  <c r="CP79" i="2"/>
  <c r="DS84" i="2"/>
  <c r="DM73" i="2"/>
  <c r="DO78" i="2"/>
  <c r="BB73" i="2"/>
  <c r="AK73" i="2" s="1"/>
  <c r="AZ73" i="2"/>
  <c r="CR79" i="2"/>
  <c r="DS79" i="2"/>
  <c r="DB79" i="2" s="1"/>
  <c r="BW79" i="2"/>
  <c r="BU84" i="2"/>
  <c r="CO91" i="2"/>
  <c r="BM92" i="2"/>
  <c r="BT85" i="2"/>
  <c r="AY93" i="2"/>
  <c r="BY91" i="2"/>
  <c r="BM91" i="2" s="1"/>
  <c r="AV91" i="2"/>
  <c r="DB93" i="2"/>
  <c r="DR93" i="2"/>
  <c r="DG93" i="2"/>
  <c r="DP92" i="2"/>
  <c r="CE85" i="2"/>
  <c r="AZ91" i="2"/>
  <c r="CT91" i="2"/>
  <c r="CP91" i="2"/>
  <c r="DL86" i="2"/>
  <c r="DN92" i="2"/>
  <c r="CO77" i="2"/>
  <c r="BY73" i="2"/>
  <c r="BM73" i="2" s="1"/>
  <c r="BU79" i="2"/>
  <c r="AV79" i="2"/>
  <c r="BU71" i="2"/>
  <c r="CT71" i="2"/>
  <c r="BS79" i="2"/>
  <c r="CE77" i="2"/>
  <c r="CJ75" i="2"/>
  <c r="CE75" i="2"/>
  <c r="BU73" i="2"/>
  <c r="DS71" i="2"/>
  <c r="DB71" i="2" s="1"/>
  <c r="AZ78" i="2"/>
  <c r="BS71" i="2"/>
  <c r="CV79" i="2"/>
  <c r="CO79" i="2" s="1"/>
  <c r="BY78" i="2"/>
  <c r="AX79" i="2"/>
  <c r="DQ71" i="2"/>
  <c r="AX73" i="2"/>
  <c r="BB79" i="2"/>
  <c r="BS78" i="2"/>
  <c r="DR72" i="2"/>
  <c r="DR77" i="2"/>
  <c r="DN77" i="2"/>
  <c r="DQ79" i="2"/>
  <c r="BB71" i="2"/>
  <c r="AV73" i="2"/>
  <c r="BW73" i="2"/>
  <c r="DO73" i="2"/>
  <c r="BW71" i="2"/>
  <c r="CV73" i="2"/>
  <c r="CO73" i="2" s="1"/>
  <c r="AZ71" i="2"/>
  <c r="DB77" i="2"/>
  <c r="BH74" i="2"/>
  <c r="DR75" i="2"/>
  <c r="BS73" i="2"/>
  <c r="AK75" i="2"/>
  <c r="CP73" i="2"/>
  <c r="AU75" i="2"/>
  <c r="DL80" i="2"/>
  <c r="AW92" i="2"/>
  <c r="BA92" i="2"/>
  <c r="AY92" i="2"/>
  <c r="CJ93" i="2"/>
  <c r="AP95" i="2"/>
  <c r="BV85" i="2"/>
  <c r="DP72" i="2"/>
  <c r="DL76" i="2"/>
  <c r="DR86" i="2"/>
  <c r="DR84" i="2"/>
  <c r="DG76" i="2"/>
  <c r="AK95" i="2"/>
  <c r="CP92" i="2"/>
  <c r="AP92" i="2"/>
  <c r="DG77" i="2"/>
  <c r="BA93" i="2"/>
  <c r="CE78" i="2"/>
  <c r="CJ78" i="2"/>
  <c r="CO78" i="2"/>
  <c r="BA75" i="2"/>
  <c r="CO85" i="2"/>
  <c r="BX93" i="2"/>
  <c r="DP85" i="2"/>
  <c r="CS85" i="2"/>
  <c r="DR85" i="2"/>
  <c r="BV75" i="2"/>
  <c r="AU72" i="2"/>
  <c r="DN93" i="2"/>
  <c r="AW85" i="2"/>
  <c r="BA85" i="2"/>
  <c r="AY85" i="2"/>
  <c r="DB85" i="2"/>
  <c r="DG85" i="2"/>
  <c r="DL85" i="2"/>
  <c r="AP85" i="2"/>
  <c r="AU85" i="2"/>
  <c r="AK85" i="2"/>
  <c r="DN85" i="2"/>
  <c r="BM85" i="2"/>
  <c r="BH85" i="2"/>
  <c r="CQ85" i="2"/>
  <c r="DP86" i="2"/>
  <c r="CS86" i="2"/>
  <c r="AY86" i="2"/>
  <c r="CO86" i="2"/>
  <c r="AK86" i="2"/>
  <c r="AU86" i="2"/>
  <c r="DN86" i="2"/>
  <c r="CQ86" i="2"/>
  <c r="CJ86" i="2"/>
  <c r="DB86" i="2"/>
  <c r="BT86" i="2"/>
  <c r="BM96" i="2"/>
  <c r="BM93" i="2"/>
  <c r="BV93" i="2"/>
  <c r="BH93" i="2"/>
  <c r="DP93" i="2"/>
  <c r="BR86" i="2"/>
  <c r="BM86" i="2"/>
  <c r="BT93" i="2"/>
  <c r="AW93" i="2"/>
  <c r="BA86" i="2"/>
  <c r="BV86" i="2"/>
  <c r="AW86" i="2"/>
  <c r="BX86" i="2"/>
  <c r="CU93" i="2"/>
  <c r="CS93" i="2"/>
  <c r="CS95" i="2"/>
  <c r="CS96" i="2"/>
  <c r="AW75" i="2"/>
  <c r="DL75" i="2"/>
  <c r="AW90" i="2"/>
  <c r="CQ95" i="2"/>
  <c r="CQ76" i="2"/>
  <c r="BT75" i="2"/>
  <c r="AP70" i="2"/>
  <c r="DR95" i="2"/>
  <c r="BA95" i="2"/>
  <c r="BT83" i="2"/>
  <c r="CQ93" i="2"/>
  <c r="CS75" i="2"/>
  <c r="CU75" i="2"/>
  <c r="BR96" i="2"/>
  <c r="DP95" i="2"/>
  <c r="DL96" i="2"/>
  <c r="CQ75" i="2"/>
  <c r="AY75" i="2"/>
  <c r="AP89" i="2"/>
  <c r="AK83" i="2"/>
  <c r="DL95" i="2"/>
  <c r="AK76" i="2"/>
  <c r="AW95" i="2"/>
  <c r="BT72" i="2"/>
  <c r="AU94" i="2"/>
  <c r="BM94" i="2"/>
  <c r="BT87" i="2"/>
  <c r="AK96" i="2"/>
  <c r="DL91" i="2"/>
  <c r="DR96" i="2"/>
  <c r="CO95" i="2"/>
  <c r="DB91" i="2"/>
  <c r="AK91" i="2"/>
  <c r="DP75" i="2"/>
  <c r="BH75" i="2"/>
  <c r="CJ95" i="2"/>
  <c r="CJ96" i="2"/>
  <c r="AY94" i="2"/>
  <c r="CQ90" i="2"/>
  <c r="AP91" i="2"/>
  <c r="BV95" i="2"/>
  <c r="DB96" i="2"/>
  <c r="CE96" i="2"/>
  <c r="BX72" i="2"/>
  <c r="DB87" i="2"/>
  <c r="DN96" i="2"/>
  <c r="DP96" i="2"/>
  <c r="BR75" i="2"/>
  <c r="DL72" i="2"/>
  <c r="AY95" i="2"/>
  <c r="DN75" i="2"/>
  <c r="DR74" i="2"/>
  <c r="BA96" i="2"/>
  <c r="AU70" i="2"/>
  <c r="BR72" i="2"/>
  <c r="DG74" i="2"/>
  <c r="AU96" i="2"/>
  <c r="BX95" i="2"/>
  <c r="CU95" i="2"/>
  <c r="DB72" i="2"/>
  <c r="AK88" i="2"/>
  <c r="DN95" i="2"/>
  <c r="DN94" i="2"/>
  <c r="DL74" i="2"/>
  <c r="AW96" i="2"/>
  <c r="AY96" i="2"/>
  <c r="BV96" i="2"/>
  <c r="AY80" i="2"/>
  <c r="BT96" i="2"/>
  <c r="CU96" i="2"/>
  <c r="AW80" i="2"/>
  <c r="DB95" i="2"/>
  <c r="DB94" i="2"/>
  <c r="BX96" i="2"/>
  <c r="BT95" i="2"/>
  <c r="DR94" i="2"/>
  <c r="CQ96" i="2"/>
  <c r="BH95" i="2"/>
  <c r="BR95" i="2"/>
  <c r="DG94" i="2"/>
  <c r="BM95" i="2"/>
  <c r="BT90" i="2"/>
  <c r="BT94" i="2"/>
  <c r="BX94" i="2"/>
  <c r="BV94" i="2"/>
  <c r="DP89" i="2"/>
  <c r="AP80" i="2"/>
  <c r="BH87" i="2"/>
  <c r="DG87" i="2"/>
  <c r="DN90" i="2"/>
  <c r="AK80" i="2"/>
  <c r="AU97" i="2"/>
  <c r="DL97" i="2"/>
  <c r="BM87" i="2"/>
  <c r="BX83" i="2"/>
  <c r="DR90" i="2"/>
  <c r="DP90" i="2"/>
  <c r="CO90" i="2"/>
  <c r="AW94" i="2"/>
  <c r="CJ90" i="2"/>
  <c r="BA94" i="2"/>
  <c r="CU88" i="2"/>
  <c r="DN83" i="2"/>
  <c r="AK97" i="2"/>
  <c r="CS83" i="2"/>
  <c r="CE83" i="2"/>
  <c r="DP94" i="2"/>
  <c r="CO83" i="2"/>
  <c r="AU83" i="2"/>
  <c r="BH90" i="2"/>
  <c r="DP88" i="2"/>
  <c r="BT88" i="2"/>
  <c r="BM90" i="2"/>
  <c r="DR83" i="2"/>
  <c r="AY90" i="2"/>
  <c r="CS90" i="2"/>
  <c r="AY87" i="2"/>
  <c r="DP97" i="2"/>
  <c r="CS94" i="2"/>
  <c r="DR89" i="2"/>
  <c r="DL69" i="2"/>
  <c r="DL100" i="2" s="1"/>
  <c r="BA87" i="2"/>
  <c r="AK94" i="2"/>
  <c r="BA90" i="2"/>
  <c r="BH94" i="2"/>
  <c r="DN97" i="2"/>
  <c r="CU94" i="2"/>
  <c r="CU83" i="2"/>
  <c r="BX90" i="2"/>
  <c r="BX97" i="2"/>
  <c r="CU97" i="2"/>
  <c r="AY88" i="2"/>
  <c r="CS97" i="2"/>
  <c r="BX89" i="2"/>
  <c r="AW87" i="2"/>
  <c r="DN89" i="2"/>
  <c r="DB97" i="2"/>
  <c r="DP83" i="2"/>
  <c r="CU90" i="2"/>
  <c r="CQ94" i="2"/>
  <c r="BH83" i="2"/>
  <c r="AU88" i="2"/>
  <c r="DN88" i="2"/>
  <c r="DR97" i="2"/>
  <c r="CU89" i="2"/>
  <c r="CS89" i="2"/>
  <c r="BV90" i="2"/>
  <c r="AK90" i="2"/>
  <c r="AU90" i="2"/>
  <c r="AP90" i="2"/>
  <c r="BV97" i="2"/>
  <c r="BT97" i="2"/>
  <c r="BA97" i="2"/>
  <c r="BR83" i="2"/>
  <c r="AW89" i="2"/>
  <c r="BR88" i="2"/>
  <c r="CE94" i="2"/>
  <c r="AW88" i="2"/>
  <c r="CE87" i="2"/>
  <c r="BH69" i="2"/>
  <c r="BH100" i="2" s="1"/>
  <c r="DG69" i="2"/>
  <c r="DG100" i="2" s="1"/>
  <c r="CO87" i="2"/>
  <c r="BV88" i="2"/>
  <c r="BM97" i="2"/>
  <c r="BA88" i="2"/>
  <c r="DB90" i="2"/>
  <c r="DG90" i="2"/>
  <c r="DL90" i="2"/>
  <c r="BR97" i="2"/>
  <c r="CQ97" i="2"/>
  <c r="CO94" i="2"/>
  <c r="CE80" i="2"/>
  <c r="CJ80" i="2"/>
  <c r="DB89" i="2"/>
  <c r="CQ89" i="2"/>
  <c r="CQ88" i="2"/>
  <c r="CS88" i="2"/>
  <c r="CO88" i="2"/>
  <c r="CJ88" i="2"/>
  <c r="AU87" i="2"/>
  <c r="AK87" i="2"/>
  <c r="CQ83" i="2"/>
  <c r="BX88" i="2"/>
  <c r="BX87" i="2"/>
  <c r="CJ89" i="2"/>
  <c r="CE89" i="2"/>
  <c r="BV83" i="2"/>
  <c r="BA83" i="2"/>
  <c r="BV87" i="2"/>
  <c r="BT89" i="2"/>
  <c r="AK89" i="2"/>
  <c r="DR88" i="2"/>
  <c r="BM88" i="2"/>
  <c r="AY97" i="2"/>
  <c r="DL89" i="2"/>
  <c r="CO89" i="2"/>
  <c r="AW97" i="2"/>
  <c r="DG83" i="2"/>
  <c r="DL83" i="2"/>
  <c r="AY89" i="2"/>
  <c r="DB88" i="2"/>
  <c r="DL88" i="2"/>
  <c r="BA89" i="2"/>
  <c r="AY83" i="2"/>
  <c r="DB83" i="2"/>
  <c r="CE97" i="2"/>
  <c r="AW83" i="2"/>
  <c r="BV89" i="2"/>
  <c r="BH89" i="2"/>
  <c r="BM89" i="2"/>
  <c r="BR89" i="2"/>
  <c r="CO97" i="2"/>
  <c r="CS87" i="2" l="1"/>
  <c r="DN84" i="2"/>
  <c r="CU87" i="2"/>
  <c r="AP81" i="2"/>
  <c r="AK81" i="2"/>
  <c r="DQ100" i="2"/>
  <c r="DS100" i="2"/>
  <c r="CT100" i="2"/>
  <c r="AX100" i="2"/>
  <c r="AZ100" i="2"/>
  <c r="DO100" i="2"/>
  <c r="DM100" i="2"/>
  <c r="CQ69" i="2"/>
  <c r="CQ100" i="2" s="1"/>
  <c r="BR69" i="2"/>
  <c r="BR100" i="2" s="1"/>
  <c r="BY100" i="2"/>
  <c r="BM69" i="2"/>
  <c r="BM100" i="2" s="1"/>
  <c r="CS69" i="2"/>
  <c r="CS100" i="2" s="1"/>
  <c r="DB69" i="2"/>
  <c r="DB100" i="2" s="1"/>
  <c r="CJ69" i="2"/>
  <c r="CJ100" i="2" s="1"/>
  <c r="CV100" i="2"/>
  <c r="AU69" i="2"/>
  <c r="AU100" i="2" s="1"/>
  <c r="BB100" i="2"/>
  <c r="AW69" i="2"/>
  <c r="AW100" i="2" s="1"/>
  <c r="AV100" i="2"/>
  <c r="CU69" i="2"/>
  <c r="CU100" i="2" s="1"/>
  <c r="CO69" i="2"/>
  <c r="CO100" i="2" s="1"/>
  <c r="CO81" i="2"/>
  <c r="BA70" i="2"/>
  <c r="BA69" i="2"/>
  <c r="BA100" i="2" s="1"/>
  <c r="AY69" i="2"/>
  <c r="AY100" i="2" s="1"/>
  <c r="BT69" i="2"/>
  <c r="BT100" i="2" s="1"/>
  <c r="CE73" i="2"/>
  <c r="AY77" i="2"/>
  <c r="CU72" i="2"/>
  <c r="BH80" i="2"/>
  <c r="DN80" i="2"/>
  <c r="AP78" i="2"/>
  <c r="DP80" i="2"/>
  <c r="CQ72" i="2"/>
  <c r="AU78" i="2"/>
  <c r="BT77" i="2"/>
  <c r="CS80" i="2"/>
  <c r="BA77" i="2"/>
  <c r="BA71" i="2"/>
  <c r="BR80" i="2"/>
  <c r="CU74" i="2"/>
  <c r="CS76" i="2"/>
  <c r="BV72" i="2"/>
  <c r="BM72" i="2"/>
  <c r="CO72" i="2"/>
  <c r="CE69" i="2"/>
  <c r="CE100" i="2" s="1"/>
  <c r="BR77" i="2"/>
  <c r="CE81" i="2"/>
  <c r="CU76" i="2"/>
  <c r="BX78" i="2"/>
  <c r="CS70" i="2"/>
  <c r="BH77" i="2"/>
  <c r="AP76" i="2"/>
  <c r="DL70" i="2"/>
  <c r="CJ72" i="2"/>
  <c r="AW77" i="2"/>
  <c r="BH79" i="2"/>
  <c r="DR70" i="2"/>
  <c r="CS81" i="2"/>
  <c r="CQ77" i="2"/>
  <c r="DP84" i="2"/>
  <c r="AW72" i="2"/>
  <c r="AY72" i="2"/>
  <c r="DG80" i="2"/>
  <c r="BR73" i="2"/>
  <c r="AY70" i="2"/>
  <c r="AP72" i="2"/>
  <c r="BV80" i="2"/>
  <c r="CO74" i="2"/>
  <c r="AW70" i="2"/>
  <c r="CE76" i="2"/>
  <c r="CJ76" i="2"/>
  <c r="AY84" i="2"/>
  <c r="DN91" i="2"/>
  <c r="AW81" i="2"/>
  <c r="AP84" i="2"/>
  <c r="AK84" i="2"/>
  <c r="BX84" i="2"/>
  <c r="CU70" i="2"/>
  <c r="CQ70" i="2"/>
  <c r="DB81" i="2"/>
  <c r="DL81" i="2"/>
  <c r="CE70" i="2"/>
  <c r="BV70" i="2"/>
  <c r="CU78" i="2"/>
  <c r="CS78" i="2"/>
  <c r="BX74" i="2"/>
  <c r="BV81" i="2"/>
  <c r="CQ80" i="2"/>
  <c r="AY91" i="2"/>
  <c r="DN87" i="2"/>
  <c r="BT80" i="2"/>
  <c r="BH81" i="2"/>
  <c r="BX81" i="2"/>
  <c r="CS77" i="2"/>
  <c r="DL73" i="2"/>
  <c r="DR87" i="2"/>
  <c r="BV91" i="2"/>
  <c r="DB73" i="2"/>
  <c r="BT81" i="2"/>
  <c r="BM81" i="2"/>
  <c r="AW76" i="2"/>
  <c r="CU81" i="2"/>
  <c r="BT74" i="2"/>
  <c r="BH91" i="2"/>
  <c r="CU77" i="2"/>
  <c r="CU79" i="2"/>
  <c r="AK77" i="2"/>
  <c r="BV76" i="2"/>
  <c r="DP74" i="2"/>
  <c r="BV74" i="2"/>
  <c r="BV71" i="2"/>
  <c r="CQ78" i="2"/>
  <c r="AY74" i="2"/>
  <c r="AY81" i="2"/>
  <c r="BX80" i="2"/>
  <c r="BV69" i="2"/>
  <c r="BV100" i="2" s="1"/>
  <c r="AP69" i="2"/>
  <c r="AP100" i="2" s="1"/>
  <c r="BX70" i="2"/>
  <c r="BA81" i="2"/>
  <c r="BT70" i="2"/>
  <c r="CJ71" i="2"/>
  <c r="DP76" i="2"/>
  <c r="BH70" i="2"/>
  <c r="CO71" i="2"/>
  <c r="DN81" i="2"/>
  <c r="BA74" i="2"/>
  <c r="BM76" i="2"/>
  <c r="BH76" i="2"/>
  <c r="AW78" i="2"/>
  <c r="AU77" i="2"/>
  <c r="BM70" i="2"/>
  <c r="DN74" i="2"/>
  <c r="AP74" i="2"/>
  <c r="AW74" i="2"/>
  <c r="DP70" i="2"/>
  <c r="CQ81" i="2"/>
  <c r="BR91" i="2"/>
  <c r="BX91" i="2"/>
  <c r="DR91" i="2"/>
  <c r="DP91" i="2"/>
  <c r="CU91" i="2"/>
  <c r="AW91" i="2"/>
  <c r="CJ70" i="2"/>
  <c r="CS73" i="2"/>
  <c r="CQ74" i="2"/>
  <c r="DR81" i="2"/>
  <c r="CE74" i="2"/>
  <c r="BX77" i="2"/>
  <c r="AW84" i="2"/>
  <c r="BH71" i="2"/>
  <c r="DP73" i="2"/>
  <c r="BR71" i="2"/>
  <c r="DN70" i="2"/>
  <c r="BT71" i="2"/>
  <c r="BA84" i="2"/>
  <c r="BT79" i="2"/>
  <c r="DR79" i="2"/>
  <c r="BX76" i="2"/>
  <c r="DP81" i="2"/>
  <c r="CS74" i="2"/>
  <c r="BV77" i="2"/>
  <c r="BV79" i="2"/>
  <c r="DP78" i="2"/>
  <c r="AK69" i="2"/>
  <c r="BX69" i="2"/>
  <c r="BX100" i="2" s="1"/>
  <c r="DN76" i="2"/>
  <c r="DR76" i="2"/>
  <c r="AU73" i="2"/>
  <c r="DL79" i="2"/>
  <c r="DR78" i="2"/>
  <c r="BX73" i="2"/>
  <c r="DL84" i="2"/>
  <c r="AK74" i="2"/>
  <c r="AY76" i="2"/>
  <c r="DN69" i="2"/>
  <c r="DN100" i="2" s="1"/>
  <c r="BH73" i="2"/>
  <c r="BA76" i="2"/>
  <c r="BR79" i="2"/>
  <c r="BT76" i="2"/>
  <c r="CS71" i="2"/>
  <c r="DP69" i="2"/>
  <c r="DP100" i="2" s="1"/>
  <c r="BT84" i="2"/>
  <c r="DG79" i="2"/>
  <c r="DB70" i="2"/>
  <c r="CQ73" i="2"/>
  <c r="BX71" i="2"/>
  <c r="DN78" i="2"/>
  <c r="CQ79" i="2"/>
  <c r="CU73" i="2"/>
  <c r="CU84" i="2"/>
  <c r="CQ71" i="2"/>
  <c r="CS84" i="2"/>
  <c r="BM84" i="2"/>
  <c r="CS79" i="2"/>
  <c r="BV84" i="2"/>
  <c r="BX79" i="2"/>
  <c r="BR84" i="2"/>
  <c r="DR69" i="2"/>
  <c r="DR100" i="2" s="1"/>
  <c r="AP73" i="2"/>
  <c r="AY79" i="2"/>
  <c r="DB84" i="2"/>
  <c r="DG84" i="2"/>
  <c r="BA91" i="2"/>
  <c r="CS91" i="2"/>
  <c r="CQ91" i="2"/>
  <c r="BV73" i="2"/>
  <c r="CU71" i="2"/>
  <c r="DN79" i="2"/>
  <c r="CJ79" i="2"/>
  <c r="BT73" i="2"/>
  <c r="DL71" i="2"/>
  <c r="DP79" i="2"/>
  <c r="CE79" i="2"/>
  <c r="DG71" i="2"/>
  <c r="AY73" i="2"/>
  <c r="AY78" i="2"/>
  <c r="BA78" i="2"/>
  <c r="AP71" i="2"/>
  <c r="AK71" i="2"/>
  <c r="AU71" i="2"/>
  <c r="AW71" i="2"/>
  <c r="DP71" i="2"/>
  <c r="DR71" i="2"/>
  <c r="AY71" i="2"/>
  <c r="DN71" i="2"/>
  <c r="BA79" i="2"/>
  <c r="AW79" i="2"/>
  <c r="DR73" i="2"/>
  <c r="DN73" i="2"/>
  <c r="CJ73" i="2"/>
  <c r="BM78" i="2"/>
  <c r="BH78" i="2"/>
  <c r="BR78" i="2"/>
  <c r="AW73" i="2"/>
  <c r="BA73" i="2"/>
  <c r="BV78" i="2"/>
  <c r="BT78" i="2"/>
  <c r="AK79" i="2"/>
  <c r="AP79" i="2"/>
  <c r="AU79" i="2"/>
  <c r="CU92" i="2"/>
  <c r="CS92" i="2"/>
  <c r="CQ92" i="2"/>
  <c r="R11" i="53" l="1"/>
  <c r="R11" i="54"/>
  <c r="R11" i="52"/>
  <c r="Q5" i="2" l="1"/>
  <c r="P6" i="2"/>
  <c r="O7" i="2"/>
  <c r="P7" i="2"/>
  <c r="Q7" i="2"/>
  <c r="Q9" i="2"/>
  <c r="Q10" i="2"/>
  <c r="O13" i="2"/>
  <c r="P13" i="2"/>
  <c r="P14" i="2"/>
  <c r="O15" i="2"/>
  <c r="P15" i="2"/>
  <c r="Q15" i="2"/>
  <c r="Q17" i="2"/>
  <c r="P18" i="2"/>
  <c r="Q18" i="2"/>
  <c r="Q22" i="2"/>
  <c r="Q23" i="2"/>
  <c r="O25" i="2"/>
  <c r="O26" i="2"/>
  <c r="P26" i="2"/>
  <c r="Q29" i="2"/>
  <c r="P30" i="2"/>
  <c r="Q30" i="2"/>
  <c r="P31" i="2"/>
  <c r="Q31" i="2"/>
  <c r="Q34" i="2"/>
  <c r="O36" i="2"/>
  <c r="P37" i="2"/>
  <c r="O38" i="2"/>
  <c r="P38" i="2"/>
  <c r="P39" i="2"/>
  <c r="Q39" i="2"/>
  <c r="O40" i="2"/>
  <c r="Q41" i="2"/>
  <c r="P42" i="2"/>
  <c r="Q42" i="2"/>
  <c r="Q45" i="2"/>
  <c r="O46" i="2"/>
  <c r="Q46" i="2"/>
  <c r="Q47" i="2"/>
  <c r="O48" i="2"/>
  <c r="O50" i="2"/>
  <c r="P50" i="2"/>
  <c r="Q53" i="2"/>
  <c r="P54" i="2"/>
  <c r="Q54" i="2"/>
  <c r="P55" i="2"/>
  <c r="Q55" i="2"/>
  <c r="O56" i="2"/>
  <c r="Q57" i="2"/>
  <c r="O58" i="2"/>
  <c r="Q58" i="2"/>
  <c r="P61" i="2"/>
  <c r="O62" i="2"/>
  <c r="P62" i="2"/>
  <c r="P63" i="2"/>
  <c r="Q63" i="2"/>
  <c r="O64" i="2"/>
  <c r="Q65" i="2"/>
  <c r="P66" i="2"/>
  <c r="Q66" i="2"/>
  <c r="L5" i="2"/>
  <c r="L7" i="2"/>
  <c r="M7" i="2"/>
  <c r="L12" i="2"/>
  <c r="M12" i="2"/>
  <c r="L13" i="2"/>
  <c r="M15" i="2"/>
  <c r="L17" i="2"/>
  <c r="M17" i="2"/>
  <c r="L23" i="2"/>
  <c r="L24" i="2"/>
  <c r="L25" i="2"/>
  <c r="M25" i="2"/>
  <c r="M28" i="2"/>
  <c r="L29" i="2"/>
  <c r="L31" i="2"/>
  <c r="M31" i="2"/>
  <c r="L36" i="2"/>
  <c r="M36" i="2"/>
  <c r="L37" i="2"/>
  <c r="M39" i="2"/>
  <c r="L41" i="2"/>
  <c r="M41" i="2"/>
  <c r="L47" i="2"/>
  <c r="L48" i="2"/>
  <c r="L49" i="2"/>
  <c r="M49" i="2"/>
  <c r="M52" i="2"/>
  <c r="L53" i="2"/>
  <c r="L55" i="2"/>
  <c r="M55" i="2"/>
  <c r="L60" i="2"/>
  <c r="M60" i="2"/>
  <c r="L61" i="2"/>
  <c r="M63" i="2"/>
  <c r="L65" i="2"/>
  <c r="M65" i="2"/>
  <c r="K6" i="2"/>
  <c r="K14" i="2"/>
  <c r="K18" i="2"/>
  <c r="K26" i="2"/>
  <c r="K30" i="2"/>
  <c r="K38" i="2"/>
  <c r="K42" i="2"/>
  <c r="K50" i="2"/>
  <c r="K54" i="2"/>
  <c r="K62" i="2"/>
  <c r="K66" i="2"/>
  <c r="I5" i="2"/>
  <c r="I6" i="2"/>
  <c r="I11" i="2"/>
  <c r="I12" i="2"/>
  <c r="I13" i="2"/>
  <c r="I14" i="2"/>
  <c r="I15" i="2"/>
  <c r="I16" i="2"/>
  <c r="I17" i="2"/>
  <c r="I18" i="2"/>
  <c r="I23" i="2"/>
  <c r="I24" i="2"/>
  <c r="I25" i="2"/>
  <c r="I26" i="2"/>
  <c r="I27" i="2"/>
  <c r="I28" i="2"/>
  <c r="I29" i="2"/>
  <c r="I30" i="2"/>
  <c r="I35" i="2"/>
  <c r="I36" i="2"/>
  <c r="I37" i="2"/>
  <c r="I38" i="2"/>
  <c r="I39" i="2"/>
  <c r="I40" i="2"/>
  <c r="I41" i="2"/>
  <c r="I42" i="2"/>
  <c r="I47" i="2"/>
  <c r="I48" i="2"/>
  <c r="I49" i="2"/>
  <c r="I50" i="2"/>
  <c r="I51" i="2"/>
  <c r="I52" i="2"/>
  <c r="I53" i="2"/>
  <c r="I54" i="2"/>
  <c r="I59" i="2"/>
  <c r="I60" i="2"/>
  <c r="I61" i="2"/>
  <c r="I62" i="2"/>
  <c r="I63" i="2"/>
  <c r="I64" i="2"/>
  <c r="I65" i="2"/>
  <c r="I66" i="2"/>
  <c r="H5" i="2"/>
  <c r="H9" i="2"/>
  <c r="H13" i="2"/>
  <c r="H15" i="2"/>
  <c r="H17" i="2"/>
  <c r="H18" i="2"/>
  <c r="H21" i="2"/>
  <c r="H25" i="2"/>
  <c r="H26" i="2"/>
  <c r="H29" i="2"/>
  <c r="H33" i="2"/>
  <c r="H37" i="2"/>
  <c r="H39" i="2"/>
  <c r="H41" i="2"/>
  <c r="H42" i="2"/>
  <c r="H45" i="2"/>
  <c r="H49" i="2"/>
  <c r="H50" i="2"/>
  <c r="H53" i="2"/>
  <c r="H57" i="2"/>
  <c r="H61" i="2"/>
  <c r="H63" i="2"/>
  <c r="H65" i="2"/>
  <c r="H66" i="2"/>
  <c r="E7" i="2"/>
  <c r="E8" i="2"/>
  <c r="E9" i="2"/>
  <c r="E11" i="2"/>
  <c r="E19" i="2"/>
  <c r="E23" i="2"/>
  <c r="E24" i="2"/>
  <c r="E25" i="2"/>
  <c r="E31" i="2"/>
  <c r="E32" i="2"/>
  <c r="E33" i="2"/>
  <c r="E35" i="2"/>
  <c r="E43" i="2"/>
  <c r="E47" i="2"/>
  <c r="E48" i="2"/>
  <c r="E49" i="2"/>
  <c r="E55" i="2"/>
  <c r="E56" i="2"/>
  <c r="E57" i="2"/>
  <c r="E59" i="2"/>
  <c r="E67" i="2"/>
  <c r="D7" i="2"/>
  <c r="D8" i="2"/>
  <c r="D9" i="2"/>
  <c r="D15" i="2"/>
  <c r="D16" i="2"/>
  <c r="D17" i="2"/>
  <c r="D31" i="2"/>
  <c r="D32" i="2"/>
  <c r="D33" i="2"/>
  <c r="D39" i="2"/>
  <c r="D40" i="2"/>
  <c r="D41" i="2"/>
  <c r="D55" i="2"/>
  <c r="D56" i="2"/>
  <c r="D57" i="2"/>
  <c r="D63" i="2"/>
  <c r="D64" i="2"/>
  <c r="D65" i="2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A62" i="2"/>
  <c r="A63" i="2"/>
  <c r="A64" i="2"/>
  <c r="A65" i="2"/>
  <c r="A66" i="2"/>
  <c r="A67" i="2"/>
  <c r="A68" i="2"/>
  <c r="A56" i="2"/>
  <c r="A57" i="2"/>
  <c r="A58" i="2"/>
  <c r="T58" i="2"/>
  <c r="U58" i="2" s="1"/>
  <c r="A59" i="2"/>
  <c r="T59" i="2"/>
  <c r="U59" i="2" s="1"/>
  <c r="A60" i="2"/>
  <c r="T60" i="2"/>
  <c r="U60" i="2" s="1"/>
  <c r="A46" i="2"/>
  <c r="A47" i="2"/>
  <c r="A48" i="2"/>
  <c r="A49" i="2"/>
  <c r="A50" i="2"/>
  <c r="A51" i="2"/>
  <c r="A52" i="2"/>
  <c r="A53" i="2"/>
  <c r="A54" i="2"/>
  <c r="A55" i="2"/>
  <c r="T44" i="2"/>
  <c r="U44" i="2" s="1"/>
  <c r="A44" i="2"/>
  <c r="T43" i="2"/>
  <c r="U43" i="2" s="1"/>
  <c r="A43" i="2"/>
  <c r="T42" i="2"/>
  <c r="U42" i="2" s="1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18" i="2"/>
  <c r="T18" i="2"/>
  <c r="U18" i="2" s="1"/>
  <c r="A19" i="2"/>
  <c r="T19" i="2"/>
  <c r="U19" i="2" s="1"/>
  <c r="A20" i="2"/>
  <c r="T20" i="2"/>
  <c r="U20" i="2" s="1"/>
  <c r="A61" i="2"/>
  <c r="A45" i="2"/>
  <c r="A21" i="2"/>
  <c r="A17" i="2"/>
  <c r="A16" i="2"/>
  <c r="A15" i="2"/>
  <c r="A14" i="2"/>
  <c r="A13" i="2"/>
  <c r="A12" i="2"/>
  <c r="A11" i="2"/>
  <c r="A10" i="2"/>
  <c r="A9" i="2"/>
  <c r="A8" i="2"/>
  <c r="A7" i="2"/>
  <c r="R11" i="47"/>
  <c r="C51" i="2" l="1"/>
  <c r="C27" i="2"/>
  <c r="M61" i="2"/>
  <c r="M53" i="2"/>
  <c r="M37" i="2"/>
  <c r="M29" i="2"/>
  <c r="M13" i="2"/>
  <c r="M5" i="2"/>
  <c r="O32" i="2"/>
  <c r="O24" i="2"/>
  <c r="O16" i="2"/>
  <c r="O8" i="2"/>
  <c r="G64" i="2"/>
  <c r="G52" i="2"/>
  <c r="G40" i="2"/>
  <c r="G28" i="2"/>
  <c r="G16" i="2"/>
  <c r="O28" i="2"/>
  <c r="Q6" i="2"/>
  <c r="D67" i="2"/>
  <c r="D51" i="2"/>
  <c r="D43" i="2"/>
  <c r="D27" i="2"/>
  <c r="D19" i="2"/>
  <c r="C66" i="2"/>
  <c r="C42" i="2"/>
  <c r="C18" i="2"/>
  <c r="D66" i="2"/>
  <c r="D58" i="2"/>
  <c r="D42" i="2"/>
  <c r="D34" i="2"/>
  <c r="D18" i="2"/>
  <c r="D10" i="2"/>
  <c r="E58" i="2"/>
  <c r="E50" i="2"/>
  <c r="E34" i="2"/>
  <c r="E26" i="2"/>
  <c r="E10" i="2"/>
  <c r="C18" i="37"/>
  <c r="D18" i="37"/>
  <c r="C50" i="2"/>
  <c r="C26" i="2"/>
  <c r="K67" i="2"/>
  <c r="K43" i="2"/>
  <c r="K19" i="2"/>
  <c r="O63" i="2"/>
  <c r="N63" i="2" s="1"/>
  <c r="O47" i="2"/>
  <c r="O39" i="2"/>
  <c r="N39" i="2" s="1"/>
  <c r="B18" i="37"/>
  <c r="C62" i="2"/>
  <c r="C54" i="2"/>
  <c r="C38" i="2"/>
  <c r="C30" i="2"/>
  <c r="C14" i="2"/>
  <c r="C6" i="2"/>
  <c r="D54" i="2"/>
  <c r="D46" i="2"/>
  <c r="D30" i="2"/>
  <c r="D22" i="2"/>
  <c r="D6" i="2"/>
  <c r="E62" i="2"/>
  <c r="E46" i="2"/>
  <c r="E38" i="2"/>
  <c r="E22" i="2"/>
  <c r="E14" i="2"/>
  <c r="D53" i="2"/>
  <c r="D21" i="2"/>
  <c r="E61" i="2"/>
  <c r="E45" i="2"/>
  <c r="E37" i="2"/>
  <c r="E21" i="2"/>
  <c r="E13" i="2"/>
  <c r="D45" i="2"/>
  <c r="D29" i="2"/>
  <c r="D5" i="2"/>
  <c r="D68" i="2"/>
  <c r="D52" i="2"/>
  <c r="D44" i="2"/>
  <c r="D28" i="2"/>
  <c r="D20" i="2"/>
  <c r="E68" i="2"/>
  <c r="E60" i="2"/>
  <c r="E44" i="2"/>
  <c r="E36" i="2"/>
  <c r="E20" i="2"/>
  <c r="E12" i="2"/>
  <c r="E18" i="37"/>
  <c r="C29" i="2"/>
  <c r="K61" i="2"/>
  <c r="K37" i="2"/>
  <c r="K13" i="2"/>
  <c r="C68" i="2"/>
  <c r="C52" i="2"/>
  <c r="C44" i="2"/>
  <c r="C28" i="2"/>
  <c r="C20" i="2"/>
  <c r="K68" i="2"/>
  <c r="K60" i="2"/>
  <c r="J60" i="2" s="1"/>
  <c r="D60" i="39" s="1"/>
  <c r="K44" i="2"/>
  <c r="K36" i="2"/>
  <c r="K20" i="2"/>
  <c r="K12" i="2"/>
  <c r="J12" i="2" s="1"/>
  <c r="M64" i="2"/>
  <c r="M48" i="2"/>
  <c r="M40" i="2"/>
  <c r="M24" i="2"/>
  <c r="M16" i="2"/>
  <c r="C53" i="2"/>
  <c r="Q33" i="2"/>
  <c r="M51" i="2"/>
  <c r="O68" i="2"/>
  <c r="O52" i="2"/>
  <c r="P49" i="2"/>
  <c r="O44" i="2"/>
  <c r="P25" i="2"/>
  <c r="O20" i="2"/>
  <c r="O12" i="2"/>
  <c r="C65" i="2"/>
  <c r="C41" i="2"/>
  <c r="C17" i="2"/>
  <c r="K49" i="2"/>
  <c r="K25" i="2"/>
  <c r="J25" i="2" s="1"/>
  <c r="L67" i="2"/>
  <c r="L59" i="2"/>
  <c r="L43" i="2"/>
  <c r="L35" i="2"/>
  <c r="L19" i="2"/>
  <c r="L11" i="2"/>
  <c r="Q67" i="2"/>
  <c r="Q59" i="2"/>
  <c r="Q51" i="2"/>
  <c r="Q43" i="2"/>
  <c r="Q35" i="2"/>
  <c r="Q19" i="2"/>
  <c r="Q11" i="2"/>
  <c r="H27" i="2"/>
  <c r="M67" i="2"/>
  <c r="M43" i="2"/>
  <c r="C64" i="2"/>
  <c r="C40" i="2"/>
  <c r="C8" i="2"/>
  <c r="B8" i="2" s="1"/>
  <c r="B8" i="39" s="1"/>
  <c r="H54" i="2"/>
  <c r="H14" i="2"/>
  <c r="H6" i="2"/>
  <c r="K56" i="2"/>
  <c r="K48" i="2"/>
  <c r="K32" i="2"/>
  <c r="K24" i="2"/>
  <c r="K8" i="2"/>
  <c r="M66" i="2"/>
  <c r="M54" i="2"/>
  <c r="M42" i="2"/>
  <c r="M30" i="2"/>
  <c r="M18" i="2"/>
  <c r="M6" i="2"/>
  <c r="P67" i="2"/>
  <c r="P51" i="2"/>
  <c r="P43" i="2"/>
  <c r="P27" i="2"/>
  <c r="P19" i="2"/>
  <c r="O14" i="2"/>
  <c r="C5" i="2"/>
  <c r="H51" i="2"/>
  <c r="M27" i="2"/>
  <c r="M19" i="2"/>
  <c r="O60" i="2"/>
  <c r="C56" i="2"/>
  <c r="B56" i="2" s="1"/>
  <c r="B56" i="39" s="1"/>
  <c r="C32" i="2"/>
  <c r="C16" i="2"/>
  <c r="H62" i="2"/>
  <c r="H38" i="2"/>
  <c r="H30" i="2"/>
  <c r="C63" i="2"/>
  <c r="C39" i="2"/>
  <c r="C15" i="2"/>
  <c r="G58" i="2"/>
  <c r="G46" i="2"/>
  <c r="G34" i="2"/>
  <c r="G22" i="2"/>
  <c r="G10" i="2"/>
  <c r="K55" i="2"/>
  <c r="J55" i="2" s="1"/>
  <c r="K31" i="2"/>
  <c r="J31" i="2" s="1"/>
  <c r="K7" i="2"/>
  <c r="J7" i="2" s="1"/>
  <c r="L66" i="2"/>
  <c r="L54" i="2"/>
  <c r="L42" i="2"/>
  <c r="L30" i="2"/>
  <c r="L18" i="2"/>
  <c r="L6" i="2"/>
  <c r="O59" i="2"/>
  <c r="O51" i="2"/>
  <c r="O35" i="2"/>
  <c r="O27" i="2"/>
  <c r="O19" i="2"/>
  <c r="G57" i="2"/>
  <c r="G45" i="2"/>
  <c r="G33" i="2"/>
  <c r="G21" i="2"/>
  <c r="G9" i="2"/>
  <c r="Q27" i="2"/>
  <c r="P59" i="2"/>
  <c r="P35" i="2"/>
  <c r="G62" i="2"/>
  <c r="G50" i="2"/>
  <c r="G38" i="2"/>
  <c r="G26" i="2"/>
  <c r="F26" i="2" s="1"/>
  <c r="C26" i="39" s="1"/>
  <c r="G14" i="2"/>
  <c r="K59" i="2"/>
  <c r="K47" i="2"/>
  <c r="K23" i="2"/>
  <c r="O67" i="2"/>
  <c r="O43" i="2"/>
  <c r="O31" i="2"/>
  <c r="N31" i="2" s="1"/>
  <c r="O23" i="2"/>
  <c r="H55" i="2"/>
  <c r="H43" i="2"/>
  <c r="H31" i="2"/>
  <c r="H19" i="2"/>
  <c r="K58" i="2"/>
  <c r="K46" i="2"/>
  <c r="K22" i="2"/>
  <c r="K10" i="2"/>
  <c r="M59" i="2"/>
  <c r="M47" i="2"/>
  <c r="M35" i="2"/>
  <c r="M23" i="2"/>
  <c r="M11" i="2"/>
  <c r="Q62" i="2"/>
  <c r="N62" i="2" s="1"/>
  <c r="E62" i="39" s="1"/>
  <c r="Q50" i="2"/>
  <c r="N50" i="2" s="1"/>
  <c r="E50" i="39" s="1"/>
  <c r="Q38" i="2"/>
  <c r="N38" i="2" s="1"/>
  <c r="Q26" i="2"/>
  <c r="N26" i="2" s="1"/>
  <c r="E26" i="39" s="1"/>
  <c r="Q14" i="2"/>
  <c r="C61" i="2"/>
  <c r="C49" i="2"/>
  <c r="C25" i="2"/>
  <c r="C13" i="2"/>
  <c r="G67" i="2"/>
  <c r="G49" i="2"/>
  <c r="F49" i="2" s="1"/>
  <c r="G31" i="2"/>
  <c r="G13" i="2"/>
  <c r="F13" i="2" s="1"/>
  <c r="C13" i="39" s="1"/>
  <c r="K45" i="2"/>
  <c r="K21" i="2"/>
  <c r="C60" i="2"/>
  <c r="C36" i="2"/>
  <c r="C12" i="2"/>
  <c r="H36" i="2"/>
  <c r="H24" i="2"/>
  <c r="H12" i="2"/>
  <c r="M46" i="2"/>
  <c r="M10" i="2"/>
  <c r="O66" i="2"/>
  <c r="N66" i="2" s="1"/>
  <c r="O42" i="2"/>
  <c r="N42" i="2" s="1"/>
  <c r="E42" i="39" s="1"/>
  <c r="O34" i="2"/>
  <c r="O30" i="2"/>
  <c r="O22" i="2"/>
  <c r="O18" i="2"/>
  <c r="N18" i="2" s="1"/>
  <c r="O10" i="2"/>
  <c r="C47" i="2"/>
  <c r="C23" i="2"/>
  <c r="G66" i="2"/>
  <c r="G54" i="2"/>
  <c r="G42" i="2"/>
  <c r="F42" i="2" s="1"/>
  <c r="C42" i="39" s="1"/>
  <c r="G30" i="2"/>
  <c r="G24" i="2"/>
  <c r="G12" i="2"/>
  <c r="L58" i="2"/>
  <c r="L46" i="2"/>
  <c r="L34" i="2"/>
  <c r="L22" i="2"/>
  <c r="L10" i="2"/>
  <c r="Q61" i="2"/>
  <c r="Q49" i="2"/>
  <c r="Q37" i="2"/>
  <c r="Q25" i="2"/>
  <c r="Q21" i="2"/>
  <c r="Q13" i="2"/>
  <c r="N13" i="2" s="1"/>
  <c r="E13" i="39" s="1"/>
  <c r="C58" i="2"/>
  <c r="C34" i="2"/>
  <c r="C22" i="2"/>
  <c r="D62" i="2"/>
  <c r="D38" i="2"/>
  <c r="D26" i="2"/>
  <c r="E66" i="2"/>
  <c r="E54" i="2"/>
  <c r="E30" i="2"/>
  <c r="E18" i="2"/>
  <c r="H23" i="2"/>
  <c r="H11" i="2"/>
  <c r="I58" i="2"/>
  <c r="I22" i="2"/>
  <c r="M57" i="2"/>
  <c r="P53" i="2"/>
  <c r="P45" i="2"/>
  <c r="P29" i="2"/>
  <c r="P21" i="2"/>
  <c r="P5" i="2"/>
  <c r="C45" i="2"/>
  <c r="C21" i="2"/>
  <c r="D61" i="2"/>
  <c r="D37" i="2"/>
  <c r="D13" i="2"/>
  <c r="E53" i="2"/>
  <c r="E29" i="2"/>
  <c r="E17" i="2"/>
  <c r="G65" i="2"/>
  <c r="G59" i="2"/>
  <c r="G47" i="2"/>
  <c r="G41" i="2"/>
  <c r="F41" i="2" s="1"/>
  <c r="C41" i="39" s="1"/>
  <c r="G29" i="2"/>
  <c r="F29" i="2" s="1"/>
  <c r="C29" i="39" s="1"/>
  <c r="G23" i="2"/>
  <c r="G17" i="2"/>
  <c r="G5" i="2"/>
  <c r="F5" i="2" s="1"/>
  <c r="C5" i="39" s="1"/>
  <c r="I57" i="2"/>
  <c r="I45" i="2"/>
  <c r="I33" i="2"/>
  <c r="I9" i="2"/>
  <c r="K53" i="2"/>
  <c r="J53" i="2" s="1"/>
  <c r="K29" i="2"/>
  <c r="J29" i="2" s="1"/>
  <c r="D29" i="39" s="1"/>
  <c r="K17" i="2"/>
  <c r="J17" i="2" s="1"/>
  <c r="D17" i="39" s="1"/>
  <c r="L63" i="2"/>
  <c r="L57" i="2"/>
  <c r="L45" i="2"/>
  <c r="L39" i="2"/>
  <c r="L27" i="2"/>
  <c r="L21" i="2"/>
  <c r="L9" i="2"/>
  <c r="O65" i="2"/>
  <c r="O57" i="2"/>
  <c r="O49" i="2"/>
  <c r="O41" i="2"/>
  <c r="O33" i="2"/>
  <c r="O29" i="2"/>
  <c r="O21" i="2"/>
  <c r="O5" i="2"/>
  <c r="D60" i="2"/>
  <c r="D48" i="2"/>
  <c r="D36" i="2"/>
  <c r="D24" i="2"/>
  <c r="D12" i="2"/>
  <c r="E64" i="2"/>
  <c r="E52" i="2"/>
  <c r="B52" i="2" s="1"/>
  <c r="E40" i="2"/>
  <c r="E28" i="2"/>
  <c r="E16" i="2"/>
  <c r="H64" i="2"/>
  <c r="H58" i="2"/>
  <c r="H52" i="2"/>
  <c r="H46" i="2"/>
  <c r="H40" i="2"/>
  <c r="H34" i="2"/>
  <c r="H28" i="2"/>
  <c r="H22" i="2"/>
  <c r="H16" i="2"/>
  <c r="H10" i="2"/>
  <c r="I68" i="2"/>
  <c r="I56" i="2"/>
  <c r="I44" i="2"/>
  <c r="I32" i="2"/>
  <c r="I20" i="2"/>
  <c r="I8" i="2"/>
  <c r="K64" i="2"/>
  <c r="K52" i="2"/>
  <c r="K40" i="2"/>
  <c r="K28" i="2"/>
  <c r="K16" i="2"/>
  <c r="M68" i="2"/>
  <c r="M62" i="2"/>
  <c r="M56" i="2"/>
  <c r="M50" i="2"/>
  <c r="M44" i="2"/>
  <c r="M38" i="2"/>
  <c r="M32" i="2"/>
  <c r="M26" i="2"/>
  <c r="M20" i="2"/>
  <c r="M14" i="2"/>
  <c r="M8" i="2"/>
  <c r="Q68" i="2"/>
  <c r="Q64" i="2"/>
  <c r="Q60" i="2"/>
  <c r="Q56" i="2"/>
  <c r="Q52" i="2"/>
  <c r="Q48" i="2"/>
  <c r="Q44" i="2"/>
  <c r="Q40" i="2"/>
  <c r="Q36" i="2"/>
  <c r="Q32" i="2"/>
  <c r="Q28" i="2"/>
  <c r="Q24" i="2"/>
  <c r="Q20" i="2"/>
  <c r="Q16" i="2"/>
  <c r="Q12" i="2"/>
  <c r="Q8" i="2"/>
  <c r="G63" i="2"/>
  <c r="G51" i="2"/>
  <c r="G39" i="2"/>
  <c r="G27" i="2"/>
  <c r="G15" i="2"/>
  <c r="H68" i="2"/>
  <c r="H56" i="2"/>
  <c r="H44" i="2"/>
  <c r="H32" i="2"/>
  <c r="H20" i="2"/>
  <c r="H8" i="2"/>
  <c r="P47" i="2"/>
  <c r="P23" i="2"/>
  <c r="P11" i="2"/>
  <c r="G68" i="2"/>
  <c r="G56" i="2"/>
  <c r="G44" i="2"/>
  <c r="G32" i="2"/>
  <c r="G20" i="2"/>
  <c r="G8" i="2"/>
  <c r="K35" i="2"/>
  <c r="K11" i="2"/>
  <c r="O55" i="2"/>
  <c r="N55" i="2" s="1"/>
  <c r="O11" i="2"/>
  <c r="H67" i="2"/>
  <c r="H7" i="2"/>
  <c r="K34" i="2"/>
  <c r="C37" i="2"/>
  <c r="G61" i="2"/>
  <c r="G55" i="2"/>
  <c r="G43" i="2"/>
  <c r="G37" i="2"/>
  <c r="G25" i="2"/>
  <c r="G19" i="2"/>
  <c r="G7" i="2"/>
  <c r="K57" i="2"/>
  <c r="K33" i="2"/>
  <c r="K9" i="2"/>
  <c r="P58" i="2"/>
  <c r="N58" i="2" s="1"/>
  <c r="E58" i="39" s="1"/>
  <c r="P46" i="2"/>
  <c r="N46" i="2" s="1"/>
  <c r="P34" i="2"/>
  <c r="P22" i="2"/>
  <c r="P10" i="2"/>
  <c r="C48" i="2"/>
  <c r="C24" i="2"/>
  <c r="H60" i="2"/>
  <c r="H48" i="2"/>
  <c r="M58" i="2"/>
  <c r="M34" i="2"/>
  <c r="M22" i="2"/>
  <c r="O54" i="2"/>
  <c r="N54" i="2" s="1"/>
  <c r="E54" i="39" s="1"/>
  <c r="O6" i="2"/>
  <c r="N6" i="2" s="1"/>
  <c r="E6" i="39" s="1"/>
  <c r="C59" i="2"/>
  <c r="C35" i="2"/>
  <c r="C11" i="2"/>
  <c r="G60" i="2"/>
  <c r="G48" i="2"/>
  <c r="G36" i="2"/>
  <c r="F36" i="2" s="1"/>
  <c r="C36" i="39" s="1"/>
  <c r="G18" i="2"/>
  <c r="G6" i="2"/>
  <c r="L64" i="2"/>
  <c r="L52" i="2"/>
  <c r="L40" i="2"/>
  <c r="L28" i="2"/>
  <c r="L16" i="2"/>
  <c r="C46" i="2"/>
  <c r="C10" i="2"/>
  <c r="D50" i="2"/>
  <c r="B50" i="2" s="1"/>
  <c r="B50" i="39" s="1"/>
  <c r="D14" i="2"/>
  <c r="E42" i="2"/>
  <c r="E6" i="2"/>
  <c r="H59" i="2"/>
  <c r="H47" i="2"/>
  <c r="H35" i="2"/>
  <c r="I46" i="2"/>
  <c r="I34" i="2"/>
  <c r="I10" i="2"/>
  <c r="M45" i="2"/>
  <c r="M33" i="2"/>
  <c r="M21" i="2"/>
  <c r="M9" i="2"/>
  <c r="P65" i="2"/>
  <c r="P57" i="2"/>
  <c r="P41" i="2"/>
  <c r="P33" i="2"/>
  <c r="P17" i="2"/>
  <c r="P9" i="2"/>
  <c r="C57" i="2"/>
  <c r="B57" i="2" s="1"/>
  <c r="B57" i="39" s="1"/>
  <c r="C33" i="2"/>
  <c r="B33" i="2" s="1"/>
  <c r="B33" i="39" s="1"/>
  <c r="C9" i="2"/>
  <c r="D49" i="2"/>
  <c r="D25" i="2"/>
  <c r="E65" i="2"/>
  <c r="E41" i="2"/>
  <c r="E5" i="2"/>
  <c r="G53" i="2"/>
  <c r="G35" i="2"/>
  <c r="G11" i="2"/>
  <c r="I21" i="2"/>
  <c r="K65" i="2"/>
  <c r="J65" i="2" s="1"/>
  <c r="D65" i="39" s="1"/>
  <c r="K41" i="2"/>
  <c r="J41" i="2" s="1"/>
  <c r="K5" i="2"/>
  <c r="L51" i="2"/>
  <c r="L33" i="2"/>
  <c r="L15" i="2"/>
  <c r="O61" i="2"/>
  <c r="O53" i="2"/>
  <c r="O45" i="2"/>
  <c r="O37" i="2"/>
  <c r="N37" i="2" s="1"/>
  <c r="E37" i="39" s="1"/>
  <c r="O17" i="2"/>
  <c r="O9" i="2"/>
  <c r="C67" i="2"/>
  <c r="C55" i="2"/>
  <c r="C43" i="2"/>
  <c r="C31" i="2"/>
  <c r="C19" i="2"/>
  <c r="C7" i="2"/>
  <c r="B7" i="2" s="1"/>
  <c r="D59" i="2"/>
  <c r="D47" i="2"/>
  <c r="D35" i="2"/>
  <c r="D23" i="2"/>
  <c r="D11" i="2"/>
  <c r="E63" i="2"/>
  <c r="E51" i="2"/>
  <c r="E39" i="2"/>
  <c r="E27" i="2"/>
  <c r="E15" i="2"/>
  <c r="I67" i="2"/>
  <c r="I55" i="2"/>
  <c r="I43" i="2"/>
  <c r="I31" i="2"/>
  <c r="I19" i="2"/>
  <c r="I7" i="2"/>
  <c r="K63" i="2"/>
  <c r="K51" i="2"/>
  <c r="K39" i="2"/>
  <c r="K27" i="2"/>
  <c r="K15" i="2"/>
  <c r="L68" i="2"/>
  <c r="L62" i="2"/>
  <c r="L56" i="2"/>
  <c r="L50" i="2"/>
  <c r="L44" i="2"/>
  <c r="L38" i="2"/>
  <c r="L32" i="2"/>
  <c r="L26" i="2"/>
  <c r="L20" i="2"/>
  <c r="L14" i="2"/>
  <c r="L8" i="2"/>
  <c r="P68" i="2"/>
  <c r="P64" i="2"/>
  <c r="N64" i="2" s="1"/>
  <c r="E64" i="39" s="1"/>
  <c r="P60" i="2"/>
  <c r="P56" i="2"/>
  <c r="P52" i="2"/>
  <c r="P48" i="2"/>
  <c r="P44" i="2"/>
  <c r="P40" i="2"/>
  <c r="P36" i="2"/>
  <c r="P32" i="2"/>
  <c r="N32" i="2" s="1"/>
  <c r="P28" i="2"/>
  <c r="P24" i="2"/>
  <c r="P20" i="2"/>
  <c r="P16" i="2"/>
  <c r="P12" i="2"/>
  <c r="P8" i="2"/>
  <c r="J20" i="49"/>
  <c r="J43" i="49" s="1"/>
  <c r="J20" i="54"/>
  <c r="J20" i="53"/>
  <c r="J20" i="52"/>
  <c r="B11" i="46"/>
  <c r="B34" i="46" s="1"/>
  <c r="B11" i="53"/>
  <c r="B11" i="54"/>
  <c r="B11" i="52"/>
  <c r="J2" i="40"/>
  <c r="J2" i="54"/>
  <c r="J2" i="53"/>
  <c r="J2" i="52"/>
  <c r="N25" i="2"/>
  <c r="N7" i="2"/>
  <c r="E7" i="39" s="1"/>
  <c r="N15" i="2"/>
  <c r="N30" i="2"/>
  <c r="J24" i="2"/>
  <c r="J61" i="2"/>
  <c r="J36" i="2"/>
  <c r="D36" i="39" s="1"/>
  <c r="J23" i="2"/>
  <c r="J49" i="2"/>
  <c r="B11" i="20"/>
  <c r="B34" i="20" s="1"/>
  <c r="D2" i="39"/>
  <c r="B11" i="47"/>
  <c r="B34" i="47" s="1"/>
  <c r="B11" i="43"/>
  <c r="B11" i="40"/>
  <c r="B11" i="49"/>
  <c r="B34" i="49" s="1"/>
  <c r="F65" i="2"/>
  <c r="C65" i="39" s="1"/>
  <c r="R11" i="20"/>
  <c r="R34" i="20" s="1"/>
  <c r="J20" i="47"/>
  <c r="J43" i="47" s="1"/>
  <c r="R11" i="46"/>
  <c r="R34" i="46" s="1"/>
  <c r="J20" i="43"/>
  <c r="J20" i="46"/>
  <c r="R11" i="49"/>
  <c r="R34" i="49" s="1"/>
  <c r="J20" i="42"/>
  <c r="C2" i="39"/>
  <c r="B2" i="39"/>
  <c r="R11" i="42"/>
  <c r="R11" i="43"/>
  <c r="R11" i="40"/>
  <c r="J20" i="20"/>
  <c r="J20" i="40"/>
  <c r="B11" i="42"/>
  <c r="B35" i="42" s="1"/>
  <c r="R34" i="47"/>
  <c r="J2" i="43"/>
  <c r="J2" i="20"/>
  <c r="J25" i="20" s="1"/>
  <c r="E2" i="39"/>
  <c r="J2" i="42"/>
  <c r="J26" i="42" s="1"/>
  <c r="J2" i="49"/>
  <c r="J25" i="49" s="1"/>
  <c r="J2" i="46"/>
  <c r="J25" i="46" s="1"/>
  <c r="J2" i="47"/>
  <c r="J25" i="47" s="1"/>
  <c r="N14" i="2" l="1"/>
  <c r="B22" i="2"/>
  <c r="N40" i="2"/>
  <c r="J48" i="2"/>
  <c r="D48" i="39" s="1"/>
  <c r="J8" i="2"/>
  <c r="J56" i="2"/>
  <c r="D56" i="39" s="1"/>
  <c r="B54" i="2"/>
  <c r="B54" i="39" s="1"/>
  <c r="B17" i="2"/>
  <c r="B17" i="39" s="1"/>
  <c r="J51" i="2"/>
  <c r="D51" i="39" s="1"/>
  <c r="F28" i="2"/>
  <c r="C28" i="39" s="1"/>
  <c r="F27" i="2"/>
  <c r="C27" i="39" s="1"/>
  <c r="N5" i="2"/>
  <c r="E5" i="39" s="1"/>
  <c r="J66" i="2"/>
  <c r="D66" i="39" s="1"/>
  <c r="F59" i="2"/>
  <c r="C59" i="39" s="1"/>
  <c r="F10" i="2"/>
  <c r="C10" i="39" s="1"/>
  <c r="J43" i="2"/>
  <c r="D43" i="39" s="1"/>
  <c r="N43" i="2"/>
  <c r="B51" i="2"/>
  <c r="B51" i="39" s="1"/>
  <c r="B63" i="2"/>
  <c r="B63" i="39" s="1"/>
  <c r="J37" i="2"/>
  <c r="D37" i="39" s="1"/>
  <c r="F64" i="2"/>
  <c r="C64" i="39" s="1"/>
  <c r="B39" i="2"/>
  <c r="B39" i="39" s="1"/>
  <c r="J42" i="2"/>
  <c r="D42" i="39" s="1"/>
  <c r="N22" i="2"/>
  <c r="E22" i="39" s="1"/>
  <c r="F34" i="2"/>
  <c r="C34" i="39" s="1"/>
  <c r="N8" i="2"/>
  <c r="E8" i="39" s="1"/>
  <c r="N16" i="2"/>
  <c r="E16" i="39" s="1"/>
  <c r="J20" i="2"/>
  <c r="D20" i="39" s="1"/>
  <c r="J68" i="2"/>
  <c r="D68" i="39" s="1"/>
  <c r="J30" i="2"/>
  <c r="D30" i="39" s="1"/>
  <c r="N49" i="2"/>
  <c r="E49" i="39" s="1"/>
  <c r="N9" i="2"/>
  <c r="E9" i="39" s="1"/>
  <c r="N44" i="2"/>
  <c r="E44" i="39" s="1"/>
  <c r="J14" i="2"/>
  <c r="D14" i="39" s="1"/>
  <c r="J62" i="2"/>
  <c r="D62" i="39" s="1"/>
  <c r="N47" i="2"/>
  <c r="E47" i="39" s="1"/>
  <c r="B36" i="2"/>
  <c r="B36" i="39" s="1"/>
  <c r="J18" i="2"/>
  <c r="D18" i="39" s="1"/>
  <c r="F20" i="2"/>
  <c r="C20" i="39" s="1"/>
  <c r="B44" i="2"/>
  <c r="B44" i="39" s="1"/>
  <c r="F43" i="2"/>
  <c r="C43" i="39" s="1"/>
  <c r="N61" i="2"/>
  <c r="E61" i="39" s="1"/>
  <c r="J21" i="2"/>
  <c r="D21" i="39" s="1"/>
  <c r="B11" i="2"/>
  <c r="B11" i="39" s="1"/>
  <c r="N29" i="2"/>
  <c r="E29" i="39" s="1"/>
  <c r="N53" i="2"/>
  <c r="E53" i="39" s="1"/>
  <c r="N67" i="2"/>
  <c r="E67" i="39" s="1"/>
  <c r="N20" i="2"/>
  <c r="E20" i="39" s="1"/>
  <c r="N19" i="2"/>
  <c r="E19" i="39" s="1"/>
  <c r="N33" i="2"/>
  <c r="E33" i="39" s="1"/>
  <c r="N51" i="2"/>
  <c r="E51" i="39" s="1"/>
  <c r="N52" i="2"/>
  <c r="E52" i="39" s="1"/>
  <c r="N12" i="2"/>
  <c r="E12" i="39" s="1"/>
  <c r="J52" i="2"/>
  <c r="D52" i="39" s="1"/>
  <c r="J40" i="2"/>
  <c r="D40" i="39" s="1"/>
  <c r="F57" i="2"/>
  <c r="C57" i="39" s="1"/>
  <c r="J6" i="2"/>
  <c r="D6" i="39" s="1"/>
  <c r="J67" i="2"/>
  <c r="D67" i="39" s="1"/>
  <c r="J15" i="2"/>
  <c r="D15" i="39" s="1"/>
  <c r="F58" i="2"/>
  <c r="C58" i="39" s="1"/>
  <c r="J33" i="2"/>
  <c r="D33" i="39" s="1"/>
  <c r="J47" i="2"/>
  <c r="D47" i="39" s="1"/>
  <c r="B53" i="2"/>
  <c r="B53" i="39" s="1"/>
  <c r="F24" i="2"/>
  <c r="C24" i="39" s="1"/>
  <c r="B18" i="2"/>
  <c r="B18" i="39" s="1"/>
  <c r="B66" i="2"/>
  <c r="B66" i="39" s="1"/>
  <c r="B14" i="2"/>
  <c r="B14" i="39" s="1"/>
  <c r="B25" i="2"/>
  <c r="B25" i="39" s="1"/>
  <c r="B62" i="2"/>
  <c r="B62" i="39" s="1"/>
  <c r="B34" i="2"/>
  <c r="B34" i="39" s="1"/>
  <c r="B59" i="2"/>
  <c r="B59" i="39" s="1"/>
  <c r="J28" i="2"/>
  <c r="D28" i="39" s="1"/>
  <c r="F46" i="2"/>
  <c r="C46" i="39" s="1"/>
  <c r="B64" i="2"/>
  <c r="B64" i="39" s="1"/>
  <c r="J27" i="2"/>
  <c r="D27" i="39" s="1"/>
  <c r="F45" i="2"/>
  <c r="C45" i="39" s="1"/>
  <c r="J59" i="2"/>
  <c r="D59" i="39" s="1"/>
  <c r="N35" i="2"/>
  <c r="E35" i="39" s="1"/>
  <c r="N36" i="2"/>
  <c r="E36" i="39" s="1"/>
  <c r="J50" i="2"/>
  <c r="D50" i="39" s="1"/>
  <c r="J64" i="2"/>
  <c r="D64" i="39" s="1"/>
  <c r="J58" i="2"/>
  <c r="D58" i="39" s="1"/>
  <c r="N60" i="2"/>
  <c r="E60" i="39" s="1"/>
  <c r="J44" i="2"/>
  <c r="D44" i="39" s="1"/>
  <c r="B60" i="2"/>
  <c r="B60" i="39" s="1"/>
  <c r="F9" i="2"/>
  <c r="C9" i="39" s="1"/>
  <c r="N27" i="2"/>
  <c r="E27" i="39" s="1"/>
  <c r="J54" i="2"/>
  <c r="D54" i="39" s="1"/>
  <c r="F14" i="2"/>
  <c r="C14" i="39" s="1"/>
  <c r="N11" i="2"/>
  <c r="E11" i="39" s="1"/>
  <c r="N28" i="2"/>
  <c r="E28" i="39" s="1"/>
  <c r="J38" i="2"/>
  <c r="D38" i="39" s="1"/>
  <c r="J10" i="2"/>
  <c r="D10" i="39" s="1"/>
  <c r="J16" i="2"/>
  <c r="D16" i="39" s="1"/>
  <c r="N21" i="2"/>
  <c r="E21" i="39" s="1"/>
  <c r="B30" i="2"/>
  <c r="B30" i="39" s="1"/>
  <c r="N34" i="2"/>
  <c r="E34" i="39" s="1"/>
  <c r="B12" i="2"/>
  <c r="B12" i="39" s="1"/>
  <c r="B5" i="2"/>
  <c r="B5" i="39" s="1"/>
  <c r="J39" i="2"/>
  <c r="D39" i="39" s="1"/>
  <c r="J22" i="2"/>
  <c r="D22" i="39" s="1"/>
  <c r="F8" i="2"/>
  <c r="C8" i="39" s="1"/>
  <c r="N24" i="2"/>
  <c r="E24" i="39" s="1"/>
  <c r="N56" i="2"/>
  <c r="E56" i="39" s="1"/>
  <c r="J32" i="2"/>
  <c r="D32" i="39" s="1"/>
  <c r="J34" i="2"/>
  <c r="D34" i="39" s="1"/>
  <c r="J45" i="2"/>
  <c r="D45" i="39" s="1"/>
  <c r="B13" i="2"/>
  <c r="B13" i="39" s="1"/>
  <c r="F33" i="2"/>
  <c r="C33" i="39" s="1"/>
  <c r="J63" i="2"/>
  <c r="D63" i="39" s="1"/>
  <c r="N10" i="2"/>
  <c r="E10" i="39" s="1"/>
  <c r="J46" i="2"/>
  <c r="D46" i="39" s="1"/>
  <c r="N68" i="2"/>
  <c r="E68" i="39" s="1"/>
  <c r="B41" i="2"/>
  <c r="B41" i="39" s="1"/>
  <c r="N17" i="2"/>
  <c r="E17" i="39" s="1"/>
  <c r="J9" i="2"/>
  <c r="D9" i="39" s="1"/>
  <c r="F68" i="2"/>
  <c r="C68" i="39" s="1"/>
  <c r="B28" i="2"/>
  <c r="B28" i="39" s="1"/>
  <c r="N65" i="2"/>
  <c r="E65" i="39" s="1"/>
  <c r="F12" i="2"/>
  <c r="C12" i="39" s="1"/>
  <c r="J35" i="2"/>
  <c r="D35" i="39" s="1"/>
  <c r="N59" i="2"/>
  <c r="E59" i="39" s="1"/>
  <c r="J11" i="2"/>
  <c r="D11" i="39" s="1"/>
  <c r="N48" i="2"/>
  <c r="E48" i="39" s="1"/>
  <c r="F31" i="2"/>
  <c r="C31" i="39" s="1"/>
  <c r="N45" i="2"/>
  <c r="E45" i="39" s="1"/>
  <c r="J57" i="2"/>
  <c r="D57" i="39" s="1"/>
  <c r="N23" i="2"/>
  <c r="E23" i="39" s="1"/>
  <c r="N41" i="2"/>
  <c r="E41" i="39" s="1"/>
  <c r="N57" i="2"/>
  <c r="E57" i="39" s="1"/>
  <c r="J5" i="2"/>
  <c r="D5" i="39" s="1"/>
  <c r="J13" i="2"/>
  <c r="D13" i="39" s="1"/>
  <c r="J19" i="2"/>
  <c r="D19" i="39" s="1"/>
  <c r="J26" i="2"/>
  <c r="D26" i="39" s="1"/>
  <c r="B42" i="2"/>
  <c r="B42" i="39" s="1"/>
  <c r="F7" i="2"/>
  <c r="C7" i="39" s="1"/>
  <c r="B65" i="2"/>
  <c r="B65" i="39" s="1"/>
  <c r="D23" i="39"/>
  <c r="F66" i="2"/>
  <c r="C66" i="39" s="1"/>
  <c r="F50" i="2"/>
  <c r="C50" i="39" s="1"/>
  <c r="B9" i="2"/>
  <c r="B9" i="39" s="1"/>
  <c r="B43" i="2"/>
  <c r="B43" i="39" s="1"/>
  <c r="B35" i="2"/>
  <c r="B35" i="39" s="1"/>
  <c r="F60" i="2"/>
  <c r="C60" i="39" s="1"/>
  <c r="F51" i="2"/>
  <c r="C51" i="39" s="1"/>
  <c r="F40" i="2"/>
  <c r="C40" i="39" s="1"/>
  <c r="F67" i="2"/>
  <c r="C67" i="39" s="1"/>
  <c r="B58" i="2"/>
  <c r="B58" i="39" s="1"/>
  <c r="B68" i="2"/>
  <c r="B68" i="39" s="1"/>
  <c r="E15" i="39"/>
  <c r="E40" i="39"/>
  <c r="E38" i="39"/>
  <c r="E30" i="39"/>
  <c r="B24" i="2"/>
  <c r="B24" i="39" s="1"/>
  <c r="D55" i="39"/>
  <c r="B23" i="2"/>
  <c r="B23" i="39" s="1"/>
  <c r="B37" i="2"/>
  <c r="B37" i="39" s="1"/>
  <c r="B38" i="2"/>
  <c r="B38" i="39" s="1"/>
  <c r="E66" i="39"/>
  <c r="B49" i="2"/>
  <c r="B49" i="39" s="1"/>
  <c r="B6" i="2"/>
  <c r="B6" i="39" s="1"/>
  <c r="F48" i="2"/>
  <c r="C48" i="39" s="1"/>
  <c r="F44" i="2"/>
  <c r="C44" i="39" s="1"/>
  <c r="D7" i="39"/>
  <c r="F53" i="2"/>
  <c r="C53" i="39" s="1"/>
  <c r="F11" i="2"/>
  <c r="C11" i="39" s="1"/>
  <c r="F61" i="2"/>
  <c r="C61" i="39" s="1"/>
  <c r="F56" i="2"/>
  <c r="C56" i="39" s="1"/>
  <c r="F32" i="2"/>
  <c r="C32" i="39" s="1"/>
  <c r="F35" i="2"/>
  <c r="C35" i="39" s="1"/>
  <c r="B61" i="2"/>
  <c r="B61" i="39" s="1"/>
  <c r="F16" i="2"/>
  <c r="C16" i="39" s="1"/>
  <c r="F63" i="2"/>
  <c r="C63" i="39" s="1"/>
  <c r="B32" i="2"/>
  <c r="B32" i="39" s="1"/>
  <c r="E46" i="39"/>
  <c r="E18" i="39"/>
  <c r="E31" i="39"/>
  <c r="B40" i="2"/>
  <c r="B40" i="39" s="1"/>
  <c r="E14" i="39"/>
  <c r="E63" i="39"/>
  <c r="F21" i="2"/>
  <c r="C21" i="39" s="1"/>
  <c r="D24" i="39"/>
  <c r="F55" i="2"/>
  <c r="C55" i="39" s="1"/>
  <c r="D49" i="39"/>
  <c r="J43" i="20"/>
  <c r="J44" i="42"/>
  <c r="R35" i="42"/>
  <c r="E25" i="39"/>
  <c r="F62" i="2"/>
  <c r="C62" i="39" s="1"/>
  <c r="F37" i="2"/>
  <c r="C37" i="39" s="1"/>
  <c r="F38" i="2"/>
  <c r="C38" i="39" s="1"/>
  <c r="B19" i="2"/>
  <c r="B19" i="39" s="1"/>
  <c r="F6" i="2"/>
  <c r="C6" i="39" s="1"/>
  <c r="F18" i="2"/>
  <c r="C18" i="39" s="1"/>
  <c r="B10" i="2"/>
  <c r="B10" i="39" s="1"/>
  <c r="F23" i="2"/>
  <c r="C23" i="39" s="1"/>
  <c r="B31" i="2"/>
  <c r="B31" i="39" s="1"/>
  <c r="E55" i="39"/>
  <c r="D31" i="39"/>
  <c r="F54" i="2"/>
  <c r="C54" i="39" s="1"/>
  <c r="F17" i="2"/>
  <c r="B67" i="2"/>
  <c r="B67" i="39" s="1"/>
  <c r="D25" i="39"/>
  <c r="E32" i="39"/>
  <c r="B47" i="2"/>
  <c r="B47" i="39" s="1"/>
  <c r="D61" i="39"/>
  <c r="B46" i="2"/>
  <c r="B46" i="39" s="1"/>
  <c r="F25" i="2"/>
  <c r="C25" i="39" s="1"/>
  <c r="B21" i="2"/>
  <c r="B21" i="39" s="1"/>
  <c r="D12" i="39"/>
  <c r="B48" i="2"/>
  <c r="E39" i="39"/>
  <c r="D53" i="39"/>
  <c r="B55" i="2"/>
  <c r="B55" i="39" s="1"/>
  <c r="B29" i="2"/>
  <c r="B29" i="39" s="1"/>
  <c r="B20" i="2"/>
  <c r="B20" i="39" s="1"/>
  <c r="F15" i="2"/>
  <c r="C15" i="39" s="1"/>
  <c r="F19" i="2"/>
  <c r="C19" i="39" s="1"/>
  <c r="C49" i="39"/>
  <c r="F39" i="2"/>
  <c r="C39" i="39" s="1"/>
  <c r="F30" i="2"/>
  <c r="C30" i="39" s="1"/>
  <c r="B45" i="2"/>
  <c r="B45" i="39" s="1"/>
  <c r="B26" i="2"/>
  <c r="B26" i="39" s="1"/>
  <c r="F52" i="2"/>
  <c r="C52" i="39" s="1"/>
  <c r="F47" i="2"/>
  <c r="C47" i="39" s="1"/>
  <c r="B15" i="2"/>
  <c r="B15" i="39" s="1"/>
  <c r="B16" i="2"/>
  <c r="B16" i="39" s="1"/>
  <c r="B27" i="2"/>
  <c r="F22" i="2"/>
  <c r="C22" i="39" s="1"/>
  <c r="J43" i="46"/>
  <c r="B7" i="39"/>
  <c r="B22" i="39"/>
  <c r="D41" i="39"/>
  <c r="B52" i="39"/>
  <c r="E43" i="39"/>
  <c r="R64" i="2" l="1"/>
  <c r="F64" i="39" s="1"/>
  <c r="R57" i="2"/>
  <c r="R14" i="2"/>
  <c r="F14" i="39" s="1"/>
  <c r="R41" i="2"/>
  <c r="F41" i="39" s="1"/>
  <c r="R51" i="2"/>
  <c r="F51" i="39" s="1"/>
  <c r="R5" i="2"/>
  <c r="F5" i="39" s="1"/>
  <c r="R8" i="2"/>
  <c r="F8" i="39" s="1"/>
  <c r="R28" i="2"/>
  <c r="F28" i="39" s="1"/>
  <c r="R59" i="2"/>
  <c r="R43" i="2"/>
  <c r="F43" i="39" s="1"/>
  <c r="R24" i="2"/>
  <c r="F24" i="39" s="1"/>
  <c r="R36" i="2"/>
  <c r="F36" i="39" s="1"/>
  <c r="R33" i="2"/>
  <c r="F33" i="39" s="1"/>
  <c r="R40" i="2"/>
  <c r="F40" i="39" s="1"/>
  <c r="R68" i="2"/>
  <c r="V68" i="2" s="1"/>
  <c r="R56" i="2"/>
  <c r="F56" i="39" s="1"/>
  <c r="R13" i="2"/>
  <c r="F13" i="39" s="1"/>
  <c r="R7" i="2"/>
  <c r="F7" i="39" s="1"/>
  <c r="R17" i="2"/>
  <c r="F17" i="39" s="1"/>
  <c r="R31" i="2"/>
  <c r="F31" i="39" s="1"/>
  <c r="R58" i="2"/>
  <c r="R37" i="2"/>
  <c r="F37" i="39" s="1"/>
  <c r="R60" i="2"/>
  <c r="F60" i="39" s="1"/>
  <c r="R49" i="2"/>
  <c r="F49" i="39" s="1"/>
  <c r="R44" i="2"/>
  <c r="F44" i="39" s="1"/>
  <c r="R63" i="2"/>
  <c r="F63" i="39" s="1"/>
  <c r="R21" i="2"/>
  <c r="F21" i="39" s="1"/>
  <c r="R6" i="2"/>
  <c r="F6" i="39" s="1"/>
  <c r="R62" i="2"/>
  <c r="F62" i="39" s="1"/>
  <c r="R12" i="2"/>
  <c r="F12" i="39" s="1"/>
  <c r="R11" i="2"/>
  <c r="F11" i="39" s="1"/>
  <c r="C17" i="39"/>
  <c r="R38" i="2"/>
  <c r="F38" i="39" s="1"/>
  <c r="R42" i="2"/>
  <c r="F42" i="39" s="1"/>
  <c r="R54" i="2"/>
  <c r="F54" i="39" s="1"/>
  <c r="R65" i="2"/>
  <c r="R23" i="2"/>
  <c r="F23" i="39" s="1"/>
  <c r="R10" i="2"/>
  <c r="F10" i="39" s="1"/>
  <c r="R9" i="2"/>
  <c r="F9" i="39" s="1"/>
  <c r="R15" i="2"/>
  <c r="F15" i="39" s="1"/>
  <c r="R30" i="2"/>
  <c r="F30" i="39" s="1"/>
  <c r="R67" i="2"/>
  <c r="F67" i="39" s="1"/>
  <c r="R25" i="2"/>
  <c r="F25" i="39" s="1"/>
  <c r="R46" i="2"/>
  <c r="F46" i="39" s="1"/>
  <c r="D8" i="39"/>
  <c r="R20" i="2"/>
  <c r="F20" i="39" s="1"/>
  <c r="R34" i="2"/>
  <c r="F34" i="39" s="1"/>
  <c r="R19" i="2"/>
  <c r="F19" i="39" s="1"/>
  <c r="R32" i="2"/>
  <c r="F32" i="39" s="1"/>
  <c r="R45" i="2"/>
  <c r="F45" i="39" s="1"/>
  <c r="B48" i="39"/>
  <c r="R48" i="2"/>
  <c r="F48" i="39" s="1"/>
  <c r="R29" i="2"/>
  <c r="F29" i="39" s="1"/>
  <c r="R55" i="2"/>
  <c r="R61" i="2"/>
  <c r="R50" i="2"/>
  <c r="F50" i="39" s="1"/>
  <c r="R53" i="2"/>
  <c r="F53" i="39" s="1"/>
  <c r="R47" i="2"/>
  <c r="R22" i="2"/>
  <c r="R66" i="2"/>
  <c r="R52" i="2"/>
  <c r="R39" i="2"/>
  <c r="R26" i="2"/>
  <c r="F26" i="39" s="1"/>
  <c r="R35" i="2"/>
  <c r="F35" i="39" s="1"/>
  <c r="R18" i="2"/>
  <c r="F18" i="39" s="1"/>
  <c r="R16" i="2"/>
  <c r="F16" i="39" s="1"/>
  <c r="B27" i="39"/>
  <c r="R27" i="2"/>
  <c r="F58" i="39" l="1"/>
  <c r="V58" i="2"/>
  <c r="F65" i="39"/>
  <c r="V65" i="2"/>
  <c r="F57" i="39"/>
  <c r="V57" i="2"/>
  <c r="F59" i="39"/>
  <c r="V59" i="2"/>
  <c r="F68" i="39"/>
  <c r="V56" i="2"/>
  <c r="V61" i="2"/>
  <c r="V55" i="2"/>
  <c r="V5" i="2"/>
  <c r="V6" i="2"/>
  <c r="V67" i="2"/>
  <c r="V11" i="2"/>
  <c r="V40" i="2"/>
  <c r="V42" i="2"/>
  <c r="V7" i="2"/>
  <c r="V12" i="2"/>
  <c r="V62" i="2"/>
  <c r="V41" i="2"/>
  <c r="V10" i="2"/>
  <c r="V9" i="2"/>
  <c r="V37" i="2"/>
  <c r="V51" i="2"/>
  <c r="V8" i="2"/>
  <c r="V20" i="2"/>
  <c r="V13" i="2"/>
  <c r="V43" i="2"/>
  <c r="V30" i="2"/>
  <c r="V23" i="2"/>
  <c r="V32" i="2"/>
  <c r="V31" i="2"/>
  <c r="V48" i="2"/>
  <c r="V45" i="2"/>
  <c r="V60" i="2"/>
  <c r="V17" i="2"/>
  <c r="V19" i="2"/>
  <c r="F55" i="39"/>
  <c r="V44" i="2"/>
  <c r="V54" i="2"/>
  <c r="V53" i="2"/>
  <c r="V38" i="2"/>
  <c r="V39" i="2"/>
  <c r="V64" i="2"/>
  <c r="V49" i="2"/>
  <c r="V21" i="2"/>
  <c r="V52" i="2"/>
  <c r="V35" i="2"/>
  <c r="V50" i="2"/>
  <c r="F52" i="39"/>
  <c r="F22" i="39"/>
  <c r="V14" i="2"/>
  <c r="V33" i="2"/>
  <c r="V22" i="2"/>
  <c r="V29" i="2"/>
  <c r="F66" i="39"/>
  <c r="V46" i="2"/>
  <c r="V66" i="2"/>
  <c r="V28" i="2"/>
  <c r="F39" i="39"/>
  <c r="V34" i="2"/>
  <c r="V36" i="2"/>
  <c r="F61" i="39"/>
  <c r="V24" i="2"/>
  <c r="V25" i="2"/>
  <c r="V63" i="2"/>
  <c r="F47" i="39"/>
  <c r="V47" i="2"/>
  <c r="F27" i="39"/>
  <c r="V26" i="2"/>
  <c r="V15" i="2"/>
  <c r="V16" i="2"/>
  <c r="V18" i="2"/>
  <c r="V27" i="2"/>
  <c r="AD26" i="2" l="1"/>
  <c r="AA26" i="2"/>
  <c r="Y26" i="2"/>
  <c r="AE26" i="2"/>
  <c r="AB26" i="2"/>
  <c r="Z26" i="2"/>
  <c r="AB21" i="2"/>
  <c r="AD21" i="2"/>
  <c r="Y21" i="2"/>
  <c r="Z21" i="2"/>
  <c r="AA21" i="2"/>
  <c r="AE21" i="2"/>
  <c r="AB23" i="2"/>
  <c r="AD23" i="2"/>
  <c r="Y23" i="2"/>
  <c r="AE23" i="2"/>
  <c r="Z23" i="2"/>
  <c r="AA23" i="2"/>
  <c r="AB9" i="2"/>
  <c r="Y9" i="2"/>
  <c r="Z9" i="2"/>
  <c r="AA9" i="2"/>
  <c r="AE9" i="2"/>
  <c r="AD9" i="2"/>
  <c r="AD11" i="2"/>
  <c r="Y11" i="2"/>
  <c r="AB11" i="2"/>
  <c r="AE11" i="2"/>
  <c r="Z11" i="2"/>
  <c r="AA11" i="2"/>
  <c r="AE59" i="2"/>
  <c r="AE49" i="2"/>
  <c r="AA28" i="2"/>
  <c r="AB28" i="2"/>
  <c r="AE28" i="2"/>
  <c r="Y28" i="2"/>
  <c r="AD28" i="2"/>
  <c r="Z28" i="2"/>
  <c r="AE5" i="2"/>
  <c r="X5" i="2"/>
  <c r="AD5" i="2"/>
  <c r="Y5" i="2"/>
  <c r="AA5" i="2"/>
  <c r="Z5" i="2"/>
  <c r="AB5" i="2"/>
  <c r="X41" i="2"/>
  <c r="W41" i="2"/>
  <c r="Z41" i="2"/>
  <c r="Z98" i="2" s="1"/>
  <c r="AA62" i="2"/>
  <c r="AD62" i="2"/>
  <c r="AD27" i="2"/>
  <c r="Y27" i="2"/>
  <c r="AE27" i="2"/>
  <c r="Z27" i="2"/>
  <c r="AA27" i="2"/>
  <c r="AB27" i="2"/>
  <c r="AA63" i="2"/>
  <c r="Y63" i="2"/>
  <c r="AD38" i="2"/>
  <c r="AB38" i="2"/>
  <c r="AE38" i="2"/>
  <c r="Z38" i="2"/>
  <c r="AA38" i="2"/>
  <c r="Y38" i="2"/>
  <c r="Z45" i="2"/>
  <c r="AA20" i="2"/>
  <c r="AE20" i="2"/>
  <c r="AB20" i="2"/>
  <c r="Y20" i="2"/>
  <c r="AD20" i="2"/>
  <c r="Z20" i="2"/>
  <c r="AA12" i="2"/>
  <c r="AB12" i="2"/>
  <c r="AE12" i="2"/>
  <c r="AD12" i="2"/>
  <c r="Z12" i="2"/>
  <c r="Y12" i="2"/>
  <c r="Z65" i="2"/>
  <c r="AD65" i="2"/>
  <c r="AB36" i="2"/>
  <c r="Z36" i="2"/>
  <c r="Y36" i="2"/>
  <c r="AD36" i="2"/>
  <c r="AE36" i="2"/>
  <c r="AA36" i="2"/>
  <c r="Y33" i="2"/>
  <c r="Z33" i="2"/>
  <c r="AA33" i="2"/>
  <c r="AB33" i="2"/>
  <c r="AE33" i="2"/>
  <c r="AD33" i="2"/>
  <c r="AD30" i="2"/>
  <c r="AB30" i="2"/>
  <c r="AE30" i="2"/>
  <c r="Z30" i="2"/>
  <c r="Y30" i="2"/>
  <c r="AA30" i="2"/>
  <c r="AB17" i="2"/>
  <c r="Y17" i="2"/>
  <c r="AD17" i="2"/>
  <c r="Z17" i="2"/>
  <c r="AA17" i="2"/>
  <c r="AE17" i="2"/>
  <c r="AE60" i="2"/>
  <c r="Y60" i="2"/>
  <c r="AD25" i="2"/>
  <c r="Y25" i="2"/>
  <c r="Z25" i="2"/>
  <c r="AA25" i="2"/>
  <c r="AE25" i="2"/>
  <c r="AB25" i="2"/>
  <c r="AE46" i="2"/>
  <c r="AA46" i="2"/>
  <c r="AD53" i="2"/>
  <c r="AE53" i="2"/>
  <c r="Y48" i="2"/>
  <c r="Z48" i="2"/>
  <c r="AA8" i="2"/>
  <c r="AB8" i="2"/>
  <c r="AD8" i="2"/>
  <c r="Y8" i="2"/>
  <c r="Z8" i="2"/>
  <c r="AE8" i="2"/>
  <c r="AB7" i="2"/>
  <c r="AD7" i="2"/>
  <c r="Y7" i="2"/>
  <c r="AE7" i="2"/>
  <c r="Z7" i="2"/>
  <c r="AA7" i="2"/>
  <c r="AE61" i="2"/>
  <c r="AD61" i="2"/>
  <c r="AD14" i="2"/>
  <c r="AA14" i="2"/>
  <c r="Y14" i="2"/>
  <c r="AE14" i="2"/>
  <c r="AB14" i="2"/>
  <c r="Z14" i="2"/>
  <c r="Z43" i="2"/>
  <c r="AA43" i="2"/>
  <c r="X43" i="2"/>
  <c r="AD6" i="2"/>
  <c r="AA6" i="2"/>
  <c r="AE6" i="2"/>
  <c r="AB6" i="2"/>
  <c r="Y6" i="2"/>
  <c r="Z6" i="2"/>
  <c r="Y13" i="2"/>
  <c r="Z13" i="2"/>
  <c r="AB13" i="2"/>
  <c r="AD13" i="2"/>
  <c r="AA13" i="2"/>
  <c r="AE13" i="2"/>
  <c r="AD18" i="2"/>
  <c r="AA18" i="2"/>
  <c r="AE18" i="2"/>
  <c r="AB18" i="2"/>
  <c r="Y18" i="2"/>
  <c r="Z18" i="2"/>
  <c r="AA24" i="2"/>
  <c r="AB24" i="2"/>
  <c r="AD24" i="2"/>
  <c r="Y24" i="2"/>
  <c r="Z24" i="2"/>
  <c r="AE24" i="2"/>
  <c r="Y35" i="2"/>
  <c r="AD35" i="2"/>
  <c r="Z35" i="2"/>
  <c r="AE35" i="2"/>
  <c r="AA35" i="2"/>
  <c r="AB35" i="2"/>
  <c r="Y31" i="2"/>
  <c r="AD31" i="2"/>
  <c r="Z31" i="2"/>
  <c r="AE31" i="2"/>
  <c r="AA31" i="2"/>
  <c r="AB31" i="2"/>
  <c r="Y51" i="2"/>
  <c r="Z51" i="2"/>
  <c r="AB42" i="2"/>
  <c r="X42" i="2"/>
  <c r="AD22" i="2"/>
  <c r="AA22" i="2"/>
  <c r="AE22" i="2"/>
  <c r="AB22" i="2"/>
  <c r="Z22" i="2"/>
  <c r="Y22" i="2"/>
  <c r="AD34" i="2"/>
  <c r="AB34" i="2"/>
  <c r="AE34" i="2"/>
  <c r="Y34" i="2"/>
  <c r="Z34" i="2"/>
  <c r="AA34" i="2"/>
  <c r="AD19" i="2"/>
  <c r="Y19" i="2"/>
  <c r="AE19" i="2"/>
  <c r="Z19" i="2"/>
  <c r="AA19" i="2"/>
  <c r="AB19" i="2"/>
  <c r="AD10" i="2"/>
  <c r="AA10" i="2"/>
  <c r="AE10" i="2"/>
  <c r="AB10" i="2"/>
  <c r="Y10" i="2"/>
  <c r="Z10" i="2"/>
  <c r="AD47" i="2"/>
  <c r="AB47" i="2"/>
  <c r="Y64" i="2"/>
  <c r="AD64" i="2"/>
  <c r="Z64" i="2"/>
  <c r="AE64" i="2"/>
  <c r="AA64" i="2"/>
  <c r="AD57" i="2"/>
  <c r="AE57" i="2"/>
  <c r="W57" i="2"/>
  <c r="AA59" i="2" s="1"/>
  <c r="AA99" i="2"/>
  <c r="Y39" i="2"/>
  <c r="Z39" i="2"/>
  <c r="AA39" i="2"/>
  <c r="AD39" i="2"/>
  <c r="AE39" i="2"/>
  <c r="AB39" i="2"/>
  <c r="AA16" i="2"/>
  <c r="AB16" i="2"/>
  <c r="AE16" i="2"/>
  <c r="AD16" i="2"/>
  <c r="Y16" i="2"/>
  <c r="Z16" i="2"/>
  <c r="AD15" i="2"/>
  <c r="Y15" i="2"/>
  <c r="AE15" i="2"/>
  <c r="Z15" i="2"/>
  <c r="AA15" i="2"/>
  <c r="AB15" i="2"/>
  <c r="Y29" i="2"/>
  <c r="Z29" i="2"/>
  <c r="AA29" i="2"/>
  <c r="AB29" i="2"/>
  <c r="AD29" i="2"/>
  <c r="AE29" i="2"/>
  <c r="AB52" i="2"/>
  <c r="AE44" i="2"/>
  <c r="AB44" i="2"/>
  <c r="X44" i="2"/>
  <c r="AB32" i="2"/>
  <c r="Y32" i="2"/>
  <c r="AE32" i="2"/>
  <c r="AD32" i="2"/>
  <c r="AA32" i="2"/>
  <c r="Z32" i="2"/>
  <c r="AD37" i="2"/>
  <c r="Y37" i="2"/>
  <c r="Z37" i="2"/>
  <c r="AA37" i="2"/>
  <c r="AB37" i="2"/>
  <c r="AE37" i="2"/>
  <c r="AB40" i="2"/>
  <c r="Z40" i="2"/>
  <c r="Y40" i="2"/>
  <c r="AA40" i="2"/>
  <c r="AE40" i="2"/>
  <c r="AD40" i="2"/>
  <c r="X46" i="2"/>
  <c r="X47" i="2" l="1"/>
  <c r="AD52" i="2"/>
  <c r="AA51" i="2"/>
  <c r="AB43" i="2"/>
  <c r="AA61" i="2"/>
  <c r="AE48" i="2"/>
  <c r="AB53" i="2"/>
  <c r="AB50" i="2"/>
  <c r="Z60" i="2"/>
  <c r="Y65" i="2"/>
  <c r="AA45" i="2"/>
  <c r="AD63" i="2"/>
  <c r="Y41" i="2"/>
  <c r="Y49" i="2"/>
  <c r="AD59" i="2"/>
  <c r="AD44" i="2"/>
  <c r="AE47" i="2"/>
  <c r="X58" i="2"/>
  <c r="AD42" i="2"/>
  <c r="Y43" i="2"/>
  <c r="AD48" i="2"/>
  <c r="AA50" i="2"/>
  <c r="Y46" i="2"/>
  <c r="AD60" i="2"/>
  <c r="Y45" i="2"/>
  <c r="Z62" i="2"/>
  <c r="AA41" i="2"/>
  <c r="AA98" i="2" s="1"/>
  <c r="Z52" i="2"/>
  <c r="X71" i="2"/>
  <c r="X73" i="2"/>
  <c r="X78" i="2"/>
  <c r="X76" i="2"/>
  <c r="X81" i="2"/>
  <c r="X74" i="2"/>
  <c r="X80" i="2"/>
  <c r="X75" i="2"/>
  <c r="X72" i="2"/>
  <c r="X77" i="2"/>
  <c r="X79" i="2"/>
  <c r="X64" i="2"/>
  <c r="AA47" i="2"/>
  <c r="AE42" i="2"/>
  <c r="AD43" i="2"/>
  <c r="Z61" i="2"/>
  <c r="AB48" i="2"/>
  <c r="AE50" i="2"/>
  <c r="AD46" i="2"/>
  <c r="AB65" i="2"/>
  <c r="AE45" i="2"/>
  <c r="Z63" i="2"/>
  <c r="Y62" i="2"/>
  <c r="AB59" i="2"/>
  <c r="Z44" i="2"/>
  <c r="Y52" i="2"/>
  <c r="X57" i="2"/>
  <c r="AC57" i="2" s="1"/>
  <c r="Z47" i="2"/>
  <c r="AE51" i="2"/>
  <c r="AE43" i="2"/>
  <c r="Y61" i="2"/>
  <c r="Y53" i="2"/>
  <c r="AD50" i="2"/>
  <c r="Z46" i="2"/>
  <c r="AB60" i="2"/>
  <c r="AA65" i="2"/>
  <c r="AD45" i="2"/>
  <c r="X63" i="2"/>
  <c r="AB62" i="2"/>
  <c r="AB41" i="2"/>
  <c r="AB49" i="2"/>
  <c r="Z59" i="2"/>
  <c r="X45" i="2"/>
  <c r="AC41" i="2" s="1"/>
  <c r="AD49" i="2"/>
  <c r="Y44" i="2"/>
  <c r="AA52" i="2"/>
  <c r="Y47" i="2"/>
  <c r="AA42" i="2"/>
  <c r="AB51" i="2"/>
  <c r="X61" i="2"/>
  <c r="Z53" i="2"/>
  <c r="Z50" i="2"/>
  <c r="AB46" i="2"/>
  <c r="X60" i="2"/>
  <c r="AE65" i="2"/>
  <c r="AE63" i="2"/>
  <c r="X62" i="2"/>
  <c r="AE41" i="2"/>
  <c r="AA49" i="2"/>
  <c r="X59" i="2"/>
  <c r="AA44" i="2"/>
  <c r="AE52" i="2"/>
  <c r="Z99" i="2"/>
  <c r="AB64" i="2"/>
  <c r="Z42" i="2"/>
  <c r="AD51" i="2"/>
  <c r="AB61" i="2"/>
  <c r="AA48" i="2"/>
  <c r="AA53" i="2"/>
  <c r="Y50" i="2"/>
  <c r="AA60" i="2"/>
  <c r="AB45" i="2"/>
  <c r="AB63" i="2"/>
  <c r="AE62" i="2"/>
  <c r="AD41" i="2"/>
  <c r="Z49" i="2"/>
  <c r="X49" i="2"/>
  <c r="X51" i="2"/>
  <c r="X31" i="2"/>
  <c r="X36" i="2"/>
  <c r="X29" i="2"/>
  <c r="X52" i="2"/>
  <c r="X30" i="2"/>
  <c r="X37" i="2"/>
  <c r="X34" i="2"/>
  <c r="X32" i="2"/>
  <c r="X39" i="2"/>
  <c r="X38" i="2"/>
  <c r="BG54" i="2"/>
  <c r="X40" i="2"/>
  <c r="X33" i="2"/>
  <c r="X53" i="2"/>
  <c r="X50" i="2"/>
  <c r="DI14" i="2"/>
  <c r="DA47" i="2"/>
  <c r="X48" i="2"/>
  <c r="X35" i="2"/>
  <c r="AR65" i="2"/>
  <c r="CY14" i="2"/>
  <c r="X10" i="2"/>
  <c r="CK14" i="2"/>
  <c r="X18" i="2"/>
  <c r="CG14" i="2"/>
  <c r="AM14" i="2"/>
  <c r="BN14" i="2"/>
  <c r="X9" i="2"/>
  <c r="BJ14" i="2"/>
  <c r="BZ14" i="2"/>
  <c r="X7" i="2"/>
  <c r="AO14" i="2"/>
  <c r="X21" i="2"/>
  <c r="AI14" i="2"/>
  <c r="X8" i="2"/>
  <c r="DC14" i="2"/>
  <c r="CC14" i="2"/>
  <c r="DE14" i="2"/>
  <c r="CN14" i="2"/>
  <c r="AH14" i="2"/>
  <c r="CL14" i="2"/>
  <c r="AJ14" i="2"/>
  <c r="AR14" i="2"/>
  <c r="DA14" i="2"/>
  <c r="AG14" i="2"/>
  <c r="CZ14" i="2"/>
  <c r="BP14" i="2"/>
  <c r="AT14" i="2"/>
  <c r="BO14" i="2"/>
  <c r="X20" i="2"/>
  <c r="X19" i="2"/>
  <c r="BE14" i="2"/>
  <c r="X12" i="2"/>
  <c r="DJ14" i="2"/>
  <c r="AS14" i="2"/>
  <c r="CB14" i="2"/>
  <c r="AF14" i="2"/>
  <c r="DD14" i="2"/>
  <c r="CA14" i="2"/>
  <c r="CW14" i="2"/>
  <c r="BC14" i="2"/>
  <c r="CX14" i="2"/>
  <c r="AL14" i="2"/>
  <c r="X16" i="2"/>
  <c r="X11" i="2"/>
  <c r="BP18" i="2"/>
  <c r="BK14" i="2"/>
  <c r="BD14" i="2"/>
  <c r="CD14" i="2"/>
  <c r="BL14" i="2"/>
  <c r="X14" i="2"/>
  <c r="X17" i="2"/>
  <c r="X15" i="2"/>
  <c r="AN14" i="2"/>
  <c r="CH14" i="2"/>
  <c r="CM14" i="2"/>
  <c r="DF14" i="2"/>
  <c r="DK14" i="2"/>
  <c r="CF14" i="2"/>
  <c r="BG14" i="2"/>
  <c r="X6" i="2"/>
  <c r="AQ14" i="2"/>
  <c r="DH14" i="2"/>
  <c r="CI14" i="2"/>
  <c r="BI14" i="2"/>
  <c r="X13" i="2"/>
  <c r="CH60" i="2"/>
  <c r="X27" i="2"/>
  <c r="X22" i="2"/>
  <c r="AH23" i="2"/>
  <c r="DE32" i="2"/>
  <c r="X28" i="2"/>
  <c r="X26" i="2"/>
  <c r="CY35" i="2"/>
  <c r="X24" i="2"/>
  <c r="X23" i="2"/>
  <c r="X25" i="2"/>
  <c r="AN51" i="2"/>
  <c r="CD51" i="2"/>
  <c r="BF51" i="2"/>
  <c r="DD51" i="2"/>
  <c r="CC51" i="2"/>
  <c r="BI51" i="2"/>
  <c r="BD51" i="2"/>
  <c r="BL51" i="2"/>
  <c r="BC51" i="2"/>
  <c r="CW51" i="2"/>
  <c r="CA51" i="2"/>
  <c r="CF51" i="2"/>
  <c r="CH51" i="2"/>
  <c r="AR51" i="2"/>
  <c r="AO51" i="2"/>
  <c r="BK51" i="2"/>
  <c r="BP51" i="2"/>
  <c r="BG51" i="2"/>
  <c r="AJ51" i="2"/>
  <c r="AF51" i="2"/>
  <c r="CG51" i="2"/>
  <c r="CN51" i="2"/>
  <c r="DJ51" i="2"/>
  <c r="CY51" i="2"/>
  <c r="BJ51" i="2"/>
  <c r="CM51" i="2"/>
  <c r="CX51" i="2"/>
  <c r="AM51" i="2"/>
  <c r="BZ51" i="2"/>
  <c r="CI51" i="2"/>
  <c r="CZ51" i="2"/>
  <c r="AQ51" i="2"/>
  <c r="CL51" i="2"/>
  <c r="AT51" i="2"/>
  <c r="BQ51" i="2"/>
  <c r="CK51" i="2"/>
  <c r="DF51" i="2"/>
  <c r="CB51" i="2"/>
  <c r="DE51" i="2"/>
  <c r="AL51" i="2"/>
  <c r="AG51" i="2"/>
  <c r="BO51" i="2"/>
  <c r="DI51" i="2"/>
  <c r="DC51" i="2"/>
  <c r="BE51" i="2"/>
  <c r="DH51" i="2"/>
  <c r="AI51" i="2"/>
  <c r="AH51" i="2"/>
  <c r="BN51" i="2"/>
  <c r="AS51" i="2"/>
  <c r="DA51" i="2"/>
  <c r="DK51" i="2"/>
  <c r="S19" i="47" l="1"/>
  <c r="BQ14" i="2"/>
  <c r="BF14" i="2"/>
  <c r="CI61" i="2"/>
  <c r="AX14" i="2"/>
  <c r="DQ14" i="2"/>
  <c r="AV14" i="2"/>
  <c r="AZ51" i="2"/>
  <c r="DQ51" i="2"/>
  <c r="BS51" i="2"/>
  <c r="CR51" i="2"/>
  <c r="BW51" i="2"/>
  <c r="CV51" i="2"/>
  <c r="CJ51" i="2" s="1"/>
  <c r="DM14" i="2"/>
  <c r="DO14" i="2"/>
  <c r="BB14" i="2"/>
  <c r="AP14" i="2" s="1"/>
  <c r="BS14" i="2"/>
  <c r="AX51" i="2"/>
  <c r="DO51" i="2"/>
  <c r="BU14" i="2"/>
  <c r="CR14" i="2"/>
  <c r="CT14" i="2"/>
  <c r="AZ14" i="2"/>
  <c r="CT51" i="2"/>
  <c r="BY14" i="2"/>
  <c r="BM14" i="2" s="1"/>
  <c r="BU51" i="2"/>
  <c r="CP51" i="2"/>
  <c r="AV51" i="2"/>
  <c r="BB51" i="2"/>
  <c r="AU51" i="2" s="1"/>
  <c r="DM51" i="2"/>
  <c r="CP14" i="2"/>
  <c r="CV14" i="2"/>
  <c r="CJ14" i="2" s="1"/>
  <c r="DS14" i="2"/>
  <c r="BY51" i="2"/>
  <c r="BM51" i="2" s="1"/>
  <c r="DS51" i="2"/>
  <c r="DG51" i="2" s="1"/>
  <c r="BP35" i="2"/>
  <c r="CK35" i="2"/>
  <c r="DC35" i="2"/>
  <c r="BN35" i="2"/>
  <c r="CN35" i="2"/>
  <c r="AQ54" i="2"/>
  <c r="BZ35" i="2"/>
  <c r="DJ35" i="2"/>
  <c r="CB35" i="2"/>
  <c r="DK35" i="2"/>
  <c r="AF35" i="2"/>
  <c r="DH35" i="2"/>
  <c r="BF61" i="2"/>
  <c r="BJ35" i="2"/>
  <c r="AT35" i="2"/>
  <c r="BO35" i="2"/>
  <c r="CD66" i="2"/>
  <c r="AS35" i="2"/>
  <c r="AH35" i="2"/>
  <c r="BD35" i="2"/>
  <c r="DF35" i="2"/>
  <c r="AL35" i="2"/>
  <c r="AI35" i="2"/>
  <c r="BG35" i="2"/>
  <c r="BI35" i="2"/>
  <c r="BC35" i="2"/>
  <c r="AJ47" i="2"/>
  <c r="CA65" i="2"/>
  <c r="DF23" i="2"/>
  <c r="AQ65" i="2"/>
  <c r="AJ35" i="2"/>
  <c r="CG35" i="2"/>
  <c r="AG35" i="2"/>
  <c r="BP47" i="2"/>
  <c r="BC65" i="2"/>
  <c r="CA35" i="2"/>
  <c r="CW35" i="2"/>
  <c r="CZ54" i="2"/>
  <c r="CB23" i="2"/>
  <c r="BK35" i="2"/>
  <c r="AQ35" i="2"/>
  <c r="BK65" i="2"/>
  <c r="CF35" i="2"/>
  <c r="BQ35" i="2"/>
  <c r="CL35" i="2"/>
  <c r="AN35" i="2"/>
  <c r="AR35" i="2"/>
  <c r="CZ35" i="2"/>
  <c r="BP65" i="2"/>
  <c r="DE35" i="2"/>
  <c r="AM35" i="2"/>
  <c r="CM35" i="2"/>
  <c r="CC35" i="2"/>
  <c r="DH47" i="2"/>
  <c r="BL35" i="2"/>
  <c r="BE35" i="2"/>
  <c r="AN61" i="2"/>
  <c r="AS61" i="2"/>
  <c r="DC15" i="2"/>
  <c r="CD61" i="2"/>
  <c r="CM63" i="2"/>
  <c r="AO61" i="2"/>
  <c r="CX61" i="2"/>
  <c r="CK32" i="2"/>
  <c r="AI47" i="2"/>
  <c r="BL52" i="2"/>
  <c r="DD23" i="2"/>
  <c r="AO60" i="2"/>
  <c r="DK43" i="2"/>
  <c r="AF64" i="2"/>
  <c r="BO56" i="2"/>
  <c r="AO65" i="2"/>
  <c r="BP64" i="2"/>
  <c r="CC23" i="2"/>
  <c r="DK65" i="2"/>
  <c r="DJ23" i="2"/>
  <c r="CL60" i="2"/>
  <c r="DJ65" i="2"/>
  <c r="BF63" i="2"/>
  <c r="DE23" i="2"/>
  <c r="CF23" i="2"/>
  <c r="AT23" i="2"/>
  <c r="BC23" i="2"/>
  <c r="CC18" i="2"/>
  <c r="AH18" i="2"/>
  <c r="BQ23" i="2"/>
  <c r="CF18" i="2"/>
  <c r="CD65" i="2"/>
  <c r="BF64" i="2"/>
  <c r="CK23" i="2"/>
  <c r="AS52" i="2"/>
  <c r="BJ60" i="2"/>
  <c r="DH23" i="2"/>
  <c r="DK23" i="2"/>
  <c r="BI60" i="2"/>
  <c r="CN23" i="2"/>
  <c r="BE64" i="2"/>
  <c r="CF60" i="2"/>
  <c r="CI23" i="2"/>
  <c r="BD23" i="2"/>
  <c r="BF23" i="2"/>
  <c r="BZ32" i="2"/>
  <c r="AR60" i="2"/>
  <c r="CY23" i="2"/>
  <c r="AR32" i="2"/>
  <c r="DF60" i="2"/>
  <c r="CY60" i="2"/>
  <c r="CW60" i="2"/>
  <c r="DI23" i="2"/>
  <c r="AN60" i="2"/>
  <c r="BN60" i="2"/>
  <c r="CB60" i="2"/>
  <c r="AR23" i="2"/>
  <c r="CD60" i="2"/>
  <c r="AS23" i="2"/>
  <c r="AF23" i="2"/>
  <c r="CX23" i="2"/>
  <c r="AM23" i="2"/>
  <c r="CZ32" i="2"/>
  <c r="AI32" i="2"/>
  <c r="BK32" i="2"/>
  <c r="BC18" i="2"/>
  <c r="DA64" i="2"/>
  <c r="CI18" i="2"/>
  <c r="DD18" i="2"/>
  <c r="CL63" i="2"/>
  <c r="DF63" i="2"/>
  <c r="CN63" i="2"/>
  <c r="CC64" i="2"/>
  <c r="AN18" i="2"/>
  <c r="BN63" i="2"/>
  <c r="DH5" i="2"/>
  <c r="BK18" i="2"/>
  <c r="BI46" i="2"/>
  <c r="BC64" i="2"/>
  <c r="AM64" i="2"/>
  <c r="CK18" i="2"/>
  <c r="CN45" i="2"/>
  <c r="CN32" i="2"/>
  <c r="CD64" i="2"/>
  <c r="BJ18" i="2"/>
  <c r="DF47" i="2"/>
  <c r="AS40" i="2"/>
  <c r="DI18" i="2"/>
  <c r="DD64" i="2"/>
  <c r="CW18" i="2"/>
  <c r="BN18" i="2"/>
  <c r="BD18" i="2"/>
  <c r="AH64" i="2"/>
  <c r="BQ18" i="2"/>
  <c r="AR18" i="2"/>
  <c r="AJ18" i="2"/>
  <c r="AF52" i="2"/>
  <c r="CC60" i="2"/>
  <c r="CZ18" i="2"/>
  <c r="AM63" i="2"/>
  <c r="BQ64" i="2"/>
  <c r="AG18" i="2"/>
  <c r="AL18" i="2"/>
  <c r="BK43" i="2"/>
  <c r="CY18" i="2"/>
  <c r="AJ64" i="2"/>
  <c r="BZ18" i="2"/>
  <c r="BI18" i="2"/>
  <c r="BL22" i="2"/>
  <c r="DH63" i="2"/>
  <c r="AQ18" i="2"/>
  <c r="BI61" i="2"/>
  <c r="DF18" i="2"/>
  <c r="DH64" i="2"/>
  <c r="CH64" i="2"/>
  <c r="CG18" i="2"/>
  <c r="BQ63" i="2"/>
  <c r="BN59" i="2"/>
  <c r="BQ54" i="2"/>
  <c r="CI35" i="2"/>
  <c r="BZ48" i="2"/>
  <c r="BL18" i="2"/>
  <c r="CG63" i="2"/>
  <c r="AS18" i="2"/>
  <c r="CA64" i="2"/>
  <c r="DJ18" i="2"/>
  <c r="CH18" i="2"/>
  <c r="DE18" i="2"/>
  <c r="AM41" i="2"/>
  <c r="CG23" i="2"/>
  <c r="CW47" i="2"/>
  <c r="BL23" i="2"/>
  <c r="CB47" i="2"/>
  <c r="CM52" i="2"/>
  <c r="BI52" i="2"/>
  <c r="CW23" i="2"/>
  <c r="CZ23" i="2"/>
  <c r="DD35" i="2"/>
  <c r="CX35" i="2"/>
  <c r="CD35" i="2"/>
  <c r="BF35" i="2"/>
  <c r="AL47" i="2"/>
  <c r="CA52" i="2"/>
  <c r="CZ52" i="2"/>
  <c r="CA60" i="2"/>
  <c r="CM18" i="2"/>
  <c r="DD61" i="2"/>
  <c r="CD63" i="2"/>
  <c r="BO23" i="2"/>
  <c r="CM23" i="2"/>
  <c r="CH35" i="2"/>
  <c r="DI35" i="2"/>
  <c r="BE32" i="2"/>
  <c r="BZ47" i="2"/>
  <c r="CF47" i="2"/>
  <c r="CA47" i="2"/>
  <c r="CM47" i="2"/>
  <c r="BC52" i="2"/>
  <c r="AG52" i="2"/>
  <c r="DJ60" i="2"/>
  <c r="CN60" i="2"/>
  <c r="BG18" i="2"/>
  <c r="DC18" i="2"/>
  <c r="AO18" i="2"/>
  <c r="CY40" i="2"/>
  <c r="DE47" i="2"/>
  <c r="DI47" i="2"/>
  <c r="AQ47" i="2"/>
  <c r="AR47" i="2"/>
  <c r="BZ52" i="2"/>
  <c r="DJ52" i="2"/>
  <c r="AJ24" i="2"/>
  <c r="CC52" i="2"/>
  <c r="DC24" i="2"/>
  <c r="AI23" i="2"/>
  <c r="CL23" i="2"/>
  <c r="BI47" i="2"/>
  <c r="AM47" i="2"/>
  <c r="BN52" i="2"/>
  <c r="CD52" i="2"/>
  <c r="CL24" i="2"/>
  <c r="BK23" i="2"/>
  <c r="DK47" i="2"/>
  <c r="DA23" i="2"/>
  <c r="BL47" i="2"/>
  <c r="BE23" i="2"/>
  <c r="CD23" i="2"/>
  <c r="BJ23" i="2"/>
  <c r="BN47" i="2"/>
  <c r="DC47" i="2"/>
  <c r="DD47" i="2"/>
  <c r="AI52" i="2"/>
  <c r="BZ23" i="2"/>
  <c r="BN23" i="2"/>
  <c r="BG23" i="2"/>
  <c r="DA35" i="2"/>
  <c r="AO35" i="2"/>
  <c r="BJ32" i="2"/>
  <c r="BJ47" i="2"/>
  <c r="BD52" i="2"/>
  <c r="BE52" i="2"/>
  <c r="DH60" i="2"/>
  <c r="DA18" i="2"/>
  <c r="CD18" i="2"/>
  <c r="AF63" i="2"/>
  <c r="BK47" i="2"/>
  <c r="BD47" i="2"/>
  <c r="AG47" i="2"/>
  <c r="DC52" i="2"/>
  <c r="DJ24" i="2"/>
  <c r="CN47" i="2"/>
  <c r="CL47" i="2"/>
  <c r="DJ47" i="2"/>
  <c r="AN52" i="2"/>
  <c r="DH52" i="2"/>
  <c r="CL52" i="2"/>
  <c r="BQ47" i="2"/>
  <c r="BC47" i="2"/>
  <c r="CZ47" i="2"/>
  <c r="CY47" i="2"/>
  <c r="AT52" i="2"/>
  <c r="AJ52" i="2"/>
  <c r="AF47" i="2"/>
  <c r="CW52" i="2"/>
  <c r="BF52" i="2"/>
  <c r="BO47" i="2"/>
  <c r="CX47" i="2"/>
  <c r="CK47" i="2"/>
  <c r="CG52" i="2"/>
  <c r="CB52" i="2"/>
  <c r="BK52" i="2"/>
  <c r="BC29" i="2"/>
  <c r="AN23" i="2"/>
  <c r="BI23" i="2"/>
  <c r="AN47" i="2"/>
  <c r="CI47" i="2"/>
  <c r="AH47" i="2"/>
  <c r="CY52" i="2"/>
  <c r="AJ23" i="2"/>
  <c r="CH23" i="2"/>
  <c r="CC47" i="2"/>
  <c r="AL32" i="2"/>
  <c r="CM32" i="2"/>
  <c r="AT45" i="2"/>
  <c r="BG45" i="2"/>
  <c r="CH19" i="2"/>
  <c r="DI32" i="2"/>
  <c r="BL54" i="2"/>
  <c r="BQ19" i="2"/>
  <c r="DE44" i="2"/>
  <c r="AT19" i="2"/>
  <c r="CW32" i="2"/>
  <c r="BC32" i="2"/>
  <c r="CA54" i="2"/>
  <c r="DJ54" i="2"/>
  <c r="AN32" i="2"/>
  <c r="CA32" i="2"/>
  <c r="BQ44" i="2"/>
  <c r="DH19" i="2"/>
  <c r="AO44" i="2"/>
  <c r="DF19" i="2"/>
  <c r="CK44" i="2"/>
  <c r="DH44" i="2"/>
  <c r="AL52" i="2"/>
  <c r="CF52" i="2"/>
  <c r="AQ23" i="2"/>
  <c r="BP23" i="2"/>
  <c r="AI19" i="2"/>
  <c r="DA19" i="2"/>
  <c r="AS32" i="2"/>
  <c r="CD47" i="2"/>
  <c r="AS47" i="2"/>
  <c r="CX52" i="2"/>
  <c r="BP60" i="2"/>
  <c r="AT60" i="2"/>
  <c r="AQ29" i="2"/>
  <c r="AL19" i="2"/>
  <c r="AH44" i="2"/>
  <c r="DC19" i="2"/>
  <c r="AN19" i="2"/>
  <c r="DD19" i="2"/>
  <c r="CW44" i="2"/>
  <c r="CD44" i="2"/>
  <c r="DC23" i="2"/>
  <c r="AO23" i="2"/>
  <c r="AL23" i="2"/>
  <c r="AF19" i="2"/>
  <c r="CY19" i="2"/>
  <c r="CM19" i="2"/>
  <c r="CG32" i="2"/>
  <c r="CH44" i="2"/>
  <c r="BZ44" i="2"/>
  <c r="CF44" i="2"/>
  <c r="BO44" i="2"/>
  <c r="AT47" i="2"/>
  <c r="AO47" i="2"/>
  <c r="BG47" i="2"/>
  <c r="CH47" i="2"/>
  <c r="DK52" i="2"/>
  <c r="BJ52" i="2"/>
  <c r="BC43" i="2"/>
  <c r="DC60" i="2"/>
  <c r="DE60" i="2"/>
  <c r="CK61" i="2"/>
  <c r="CK63" i="2"/>
  <c r="DA63" i="2"/>
  <c r="CB44" i="2"/>
  <c r="CF19" i="2"/>
  <c r="AI44" i="2"/>
  <c r="BC44" i="2"/>
  <c r="DK19" i="2"/>
  <c r="BC19" i="2"/>
  <c r="DC44" i="2"/>
  <c r="BE44" i="2"/>
  <c r="AQ52" i="2"/>
  <c r="BG52" i="2"/>
  <c r="CC24" i="2"/>
  <c r="BO19" i="2"/>
  <c r="CL19" i="2"/>
  <c r="AJ19" i="2"/>
  <c r="CX44" i="2"/>
  <c r="BI44" i="2"/>
  <c r="BN44" i="2"/>
  <c r="AG23" i="2"/>
  <c r="CA23" i="2"/>
  <c r="AS19" i="2"/>
  <c r="BN19" i="2"/>
  <c r="CB19" i="2"/>
  <c r="BG32" i="2"/>
  <c r="AF32" i="2"/>
  <c r="CG44" i="2"/>
  <c r="CY44" i="2"/>
  <c r="BD44" i="2"/>
  <c r="AN44" i="2"/>
  <c r="BE47" i="2"/>
  <c r="BF47" i="2"/>
  <c r="CG47" i="2"/>
  <c r="BP52" i="2"/>
  <c r="BO52" i="2"/>
  <c r="DE52" i="2"/>
  <c r="BG64" i="2"/>
  <c r="AS60" i="2"/>
  <c r="AM60" i="2"/>
  <c r="DJ61" i="2"/>
  <c r="BK63" i="2"/>
  <c r="DE19" i="2"/>
  <c r="CX19" i="2"/>
  <c r="DJ44" i="2"/>
  <c r="AS44" i="2"/>
  <c r="DI44" i="2"/>
  <c r="BK19" i="2"/>
  <c r="AO19" i="2"/>
  <c r="BG19" i="2"/>
  <c r="DA44" i="2"/>
  <c r="AM44" i="2"/>
  <c r="CN19" i="2"/>
  <c r="BI19" i="2"/>
  <c r="BJ44" i="2"/>
  <c r="CM44" i="2"/>
  <c r="AR19" i="2"/>
  <c r="CG19" i="2"/>
  <c r="CC19" i="2"/>
  <c r="CI44" i="2"/>
  <c r="AR44" i="2"/>
  <c r="AQ44" i="2"/>
  <c r="DI19" i="2"/>
  <c r="DK44" i="2"/>
  <c r="BL19" i="2"/>
  <c r="CK19" i="2"/>
  <c r="BE19" i="2"/>
  <c r="AT44" i="2"/>
  <c r="DF52" i="2"/>
  <c r="BP29" i="2"/>
  <c r="CX32" i="2"/>
  <c r="CI32" i="2"/>
  <c r="BL64" i="2"/>
  <c r="BO64" i="2"/>
  <c r="BN41" i="2"/>
  <c r="AG61" i="2"/>
  <c r="CL61" i="2"/>
  <c r="BP32" i="2"/>
  <c r="DJ32" i="2"/>
  <c r="DD32" i="2"/>
  <c r="DE64" i="2"/>
  <c r="CM61" i="2"/>
  <c r="DC61" i="2"/>
  <c r="BZ61" i="2"/>
  <c r="DJ45" i="2"/>
  <c r="BO61" i="2"/>
  <c r="CW61" i="2"/>
  <c r="DH32" i="2"/>
  <c r="AJ32" i="2"/>
  <c r="BL32" i="2"/>
  <c r="CZ64" i="2"/>
  <c r="CI64" i="2"/>
  <c r="BP41" i="2"/>
  <c r="BD45" i="2"/>
  <c r="DF61" i="2"/>
  <c r="BG61" i="2"/>
  <c r="CF32" i="2"/>
  <c r="DA32" i="2"/>
  <c r="DC32" i="2"/>
  <c r="AQ64" i="2"/>
  <c r="AL61" i="2"/>
  <c r="BK66" i="2"/>
  <c r="CD41" i="2"/>
  <c r="CC32" i="2"/>
  <c r="CY32" i="2"/>
  <c r="CB32" i="2"/>
  <c r="AQ32" i="2"/>
  <c r="CF64" i="2"/>
  <c r="AL64" i="2"/>
  <c r="AI41" i="2"/>
  <c r="CI45" i="2"/>
  <c r="CH61" i="2"/>
  <c r="DA61" i="2"/>
  <c r="AT41" i="2"/>
  <c r="CL32" i="2"/>
  <c r="BF32" i="2"/>
  <c r="CX64" i="2"/>
  <c r="CK64" i="2"/>
  <c r="BD64" i="2"/>
  <c r="CL45" i="2"/>
  <c r="CF61" i="2"/>
  <c r="CY61" i="2"/>
  <c r="BJ66" i="2"/>
  <c r="BD32" i="2"/>
  <c r="AO32" i="2"/>
  <c r="BK64" i="2"/>
  <c r="AO64" i="2"/>
  <c r="AM45" i="2"/>
  <c r="AT61" i="2"/>
  <c r="BE61" i="2"/>
  <c r="CB66" i="2"/>
  <c r="BN32" i="2"/>
  <c r="DF32" i="2"/>
  <c r="AI64" i="2"/>
  <c r="AN64" i="2"/>
  <c r="AS64" i="2"/>
  <c r="DI41" i="2"/>
  <c r="DH41" i="2"/>
  <c r="BI45" i="2"/>
  <c r="DK61" i="2"/>
  <c r="BL61" i="2"/>
  <c r="AO41" i="2"/>
  <c r="BL41" i="2"/>
  <c r="DK32" i="2"/>
  <c r="CD32" i="2"/>
  <c r="DF64" i="2"/>
  <c r="DK64" i="2"/>
  <c r="CY64" i="2"/>
  <c r="CG64" i="2"/>
  <c r="CM41" i="2"/>
  <c r="BN61" i="2"/>
  <c r="AM61" i="2"/>
  <c r="AG32" i="2"/>
  <c r="AT32" i="2"/>
  <c r="BQ32" i="2"/>
  <c r="CM64" i="2"/>
  <c r="BJ64" i="2"/>
  <c r="CG45" i="2"/>
  <c r="AJ61" i="2"/>
  <c r="BC61" i="2"/>
  <c r="DI52" i="2"/>
  <c r="DD52" i="2"/>
  <c r="BO60" i="2"/>
  <c r="DD60" i="2"/>
  <c r="BO18" i="2"/>
  <c r="BE18" i="2"/>
  <c r="BU18" i="2" s="1"/>
  <c r="AT18" i="2"/>
  <c r="CB18" i="2"/>
  <c r="CH54" i="2"/>
  <c r="AS54" i="2"/>
  <c r="BJ61" i="2"/>
  <c r="BQ29" i="2"/>
  <c r="CK52" i="2"/>
  <c r="AM52" i="2"/>
  <c r="DA52" i="2"/>
  <c r="CG60" i="2"/>
  <c r="BZ60" i="2"/>
  <c r="BG60" i="2"/>
  <c r="CA18" i="2"/>
  <c r="AI54" i="2"/>
  <c r="BK61" i="2"/>
  <c r="CZ61" i="2"/>
  <c r="AT63" i="2"/>
  <c r="CF63" i="2"/>
  <c r="BQ52" i="2"/>
  <c r="CI52" i="2"/>
  <c r="DA60" i="2"/>
  <c r="BK60" i="2"/>
  <c r="BD60" i="2"/>
  <c r="DK18" i="2"/>
  <c r="CX18" i="2"/>
  <c r="CL18" i="2"/>
  <c r="CW54" i="2"/>
  <c r="AL45" i="2"/>
  <c r="AH61" i="2"/>
  <c r="BE63" i="2"/>
  <c r="BD19" i="2"/>
  <c r="CW19" i="2"/>
  <c r="AH19" i="2"/>
  <c r="AH32" i="2"/>
  <c r="AL44" i="2"/>
  <c r="BP44" i="2"/>
  <c r="DC64" i="2"/>
  <c r="AI60" i="2"/>
  <c r="DK60" i="2"/>
  <c r="BC60" i="2"/>
  <c r="BG41" i="2"/>
  <c r="CD45" i="2"/>
  <c r="DH61" i="2"/>
  <c r="CG61" i="2"/>
  <c r="BD61" i="2"/>
  <c r="CB61" i="2"/>
  <c r="DI63" i="2"/>
  <c r="AO63" i="2"/>
  <c r="BJ19" i="2"/>
  <c r="BP19" i="2"/>
  <c r="BO32" i="2"/>
  <c r="CN44" i="2"/>
  <c r="CZ44" i="2"/>
  <c r="DD44" i="2"/>
  <c r="DF44" i="2"/>
  <c r="BZ64" i="2"/>
  <c r="CN64" i="2"/>
  <c r="AF60" i="2"/>
  <c r="AQ60" i="2"/>
  <c r="CX60" i="2"/>
  <c r="AG60" i="2"/>
  <c r="CI60" i="2"/>
  <c r="DC41" i="2"/>
  <c r="DA45" i="2"/>
  <c r="BQ61" i="2"/>
  <c r="DE61" i="2"/>
  <c r="CA61" i="2"/>
  <c r="CL66" i="2"/>
  <c r="CB63" i="2"/>
  <c r="CI19" i="2"/>
  <c r="AM19" i="2"/>
  <c r="BI32" i="2"/>
  <c r="CH32" i="2"/>
  <c r="BF44" i="2"/>
  <c r="AF44" i="2"/>
  <c r="BI64" i="2"/>
  <c r="BN64" i="2"/>
  <c r="AT64" i="2"/>
  <c r="CB64" i="2"/>
  <c r="CL43" i="2"/>
  <c r="BE60" i="2"/>
  <c r="CM60" i="2"/>
  <c r="AG45" i="2"/>
  <c r="AF61" i="2"/>
  <c r="AI61" i="2"/>
  <c r="AR61" i="2"/>
  <c r="BZ63" i="2"/>
  <c r="AG19" i="2"/>
  <c r="CZ19" i="2"/>
  <c r="CA19" i="2"/>
  <c r="BZ19" i="2"/>
  <c r="AM32" i="2"/>
  <c r="CC44" i="2"/>
  <c r="AJ44" i="2"/>
  <c r="BG44" i="2"/>
  <c r="CA44" i="2"/>
  <c r="CL44" i="2"/>
  <c r="BK44" i="2"/>
  <c r="CW64" i="2"/>
  <c r="AG64" i="2"/>
  <c r="DI64" i="2"/>
  <c r="DJ64" i="2"/>
  <c r="AL60" i="2"/>
  <c r="BL60" i="2"/>
  <c r="BE41" i="2"/>
  <c r="CA41" i="2"/>
  <c r="CH45" i="2"/>
  <c r="AQ61" i="2"/>
  <c r="DI61" i="2"/>
  <c r="CD19" i="2"/>
  <c r="BF19" i="2"/>
  <c r="DJ19" i="2"/>
  <c r="AQ19" i="2"/>
  <c r="BL44" i="2"/>
  <c r="AG44" i="2"/>
  <c r="AR64" i="2"/>
  <c r="CL64" i="2"/>
  <c r="AH60" i="2"/>
  <c r="CK60" i="2"/>
  <c r="BQ45" i="2"/>
  <c r="CN61" i="2"/>
  <c r="CC61" i="2"/>
  <c r="BP61" i="2"/>
  <c r="CG66" i="2"/>
  <c r="DJ67" i="2"/>
  <c r="AQ67" i="2"/>
  <c r="DF67" i="2"/>
  <c r="BK67" i="2"/>
  <c r="BC67" i="2"/>
  <c r="CX54" i="2"/>
  <c r="AL54" i="2"/>
  <c r="CN54" i="2"/>
  <c r="BJ54" i="2"/>
  <c r="DF54" i="2"/>
  <c r="BI66" i="2"/>
  <c r="DF66" i="2"/>
  <c r="CH43" i="2"/>
  <c r="CK37" i="2"/>
  <c r="CB67" i="2"/>
  <c r="BE54" i="2"/>
  <c r="CY66" i="2"/>
  <c r="CW67" i="2"/>
  <c r="DA56" i="2"/>
  <c r="CA67" i="2"/>
  <c r="BL67" i="2"/>
  <c r="AM67" i="2"/>
  <c r="BN54" i="2"/>
  <c r="DK54" i="2"/>
  <c r="CL54" i="2"/>
  <c r="CX66" i="2"/>
  <c r="CF40" i="2"/>
  <c r="BD67" i="2"/>
  <c r="CI67" i="2"/>
  <c r="CF67" i="2"/>
  <c r="DC67" i="2"/>
  <c r="AR54" i="2"/>
  <c r="CY54" i="2"/>
  <c r="CK54" i="2"/>
  <c r="AF26" i="2"/>
  <c r="DE67" i="2"/>
  <c r="AN67" i="2"/>
  <c r="AS67" i="2"/>
  <c r="AL33" i="2"/>
  <c r="AO67" i="2"/>
  <c r="CC67" i="2"/>
  <c r="AJ67" i="2"/>
  <c r="AH67" i="2"/>
  <c r="DE54" i="2"/>
  <c r="AH54" i="2"/>
  <c r="CZ66" i="2"/>
  <c r="BJ22" i="2"/>
  <c r="DH18" i="2"/>
  <c r="AI9" i="2"/>
  <c r="CK67" i="2"/>
  <c r="BN67" i="2"/>
  <c r="CX67" i="2"/>
  <c r="DD54" i="2"/>
  <c r="BD54" i="2"/>
  <c r="DI54" i="2"/>
  <c r="CN6" i="2"/>
  <c r="DK67" i="2"/>
  <c r="CL67" i="2"/>
  <c r="DA67" i="2"/>
  <c r="AL67" i="2"/>
  <c r="CH67" i="2"/>
  <c r="BC54" i="2"/>
  <c r="CX10" i="2"/>
  <c r="CD67" i="2"/>
  <c r="CM67" i="2"/>
  <c r="BE15" i="2"/>
  <c r="BQ67" i="2"/>
  <c r="BO67" i="2"/>
  <c r="AG67" i="2"/>
  <c r="BF54" i="2"/>
  <c r="CG54" i="2"/>
  <c r="BO54" i="2"/>
  <c r="CW66" i="2"/>
  <c r="CM31" i="2"/>
  <c r="DI57" i="2"/>
  <c r="BJ67" i="2"/>
  <c r="CZ67" i="2"/>
  <c r="BP67" i="2"/>
  <c r="AT67" i="2"/>
  <c r="BC50" i="2"/>
  <c r="DD8" i="2"/>
  <c r="BF5" i="2"/>
  <c r="CG67" i="2"/>
  <c r="BF67" i="2"/>
  <c r="BG67" i="2"/>
  <c r="BZ67" i="2"/>
  <c r="AR67" i="2"/>
  <c r="AJ54" i="2"/>
  <c r="BK54" i="2"/>
  <c r="CF54" i="2"/>
  <c r="AT66" i="2"/>
  <c r="BL66" i="2"/>
  <c r="DC66" i="2"/>
  <c r="DK28" i="2"/>
  <c r="BI67" i="2"/>
  <c r="CN67" i="2"/>
  <c r="AI67" i="2"/>
  <c r="DD67" i="2"/>
  <c r="DH67" i="2"/>
  <c r="CM54" i="2"/>
  <c r="DA54" i="2"/>
  <c r="DH54" i="2"/>
  <c r="DE66" i="2"/>
  <c r="BE29" i="2"/>
  <c r="CY67" i="2"/>
  <c r="BE67" i="2"/>
  <c r="DI67" i="2"/>
  <c r="AT54" i="2"/>
  <c r="AR66" i="2"/>
  <c r="CY28" i="2"/>
  <c r="DF65" i="2"/>
  <c r="DI65" i="2"/>
  <c r="AL28" i="2"/>
  <c r="CX65" i="2"/>
  <c r="BQ65" i="2"/>
  <c r="BD41" i="2"/>
  <c r="CG41" i="2"/>
  <c r="CK41" i="2"/>
  <c r="DH28" i="2"/>
  <c r="BK28" i="2"/>
  <c r="CZ65" i="2"/>
  <c r="CG65" i="2"/>
  <c r="BD65" i="2"/>
  <c r="DE65" i="2"/>
  <c r="AS65" i="2"/>
  <c r="AG65" i="2"/>
  <c r="CN41" i="2"/>
  <c r="AS41" i="2"/>
  <c r="CL41" i="2"/>
  <c r="AJ41" i="2"/>
  <c r="CK65" i="2"/>
  <c r="DC65" i="2"/>
  <c r="BO65" i="2"/>
  <c r="BE65" i="2"/>
  <c r="DD41" i="2"/>
  <c r="BQ41" i="2"/>
  <c r="CC65" i="2"/>
  <c r="CF65" i="2"/>
  <c r="BZ41" i="2"/>
  <c r="BJ41" i="2"/>
  <c r="CB65" i="2"/>
  <c r="CM65" i="2"/>
  <c r="CC41" i="2"/>
  <c r="AL65" i="2"/>
  <c r="CW65" i="2"/>
  <c r="CN65" i="2"/>
  <c r="AF65" i="2"/>
  <c r="DJ41" i="2"/>
  <c r="CI41" i="2"/>
  <c r="DA41" i="2"/>
  <c r="AG41" i="2"/>
  <c r="CB58" i="2"/>
  <c r="CB99" i="2" s="1"/>
  <c r="AT65" i="2"/>
  <c r="BL65" i="2"/>
  <c r="CH65" i="2"/>
  <c r="CB41" i="2"/>
  <c r="AH41" i="2"/>
  <c r="AN41" i="2"/>
  <c r="DK58" i="2"/>
  <c r="DK99" i="2" s="1"/>
  <c r="CY65" i="2"/>
  <c r="BF65" i="2"/>
  <c r="DE41" i="2"/>
  <c r="CZ41" i="2"/>
  <c r="BK41" i="2"/>
  <c r="AS58" i="2"/>
  <c r="AS99" i="2" s="1"/>
  <c r="BI65" i="2"/>
  <c r="DH65" i="2"/>
  <c r="AI65" i="2"/>
  <c r="DF41" i="2"/>
  <c r="AR41" i="2"/>
  <c r="DK41" i="2"/>
  <c r="DI58" i="2"/>
  <c r="DI99" i="2" s="1"/>
  <c r="BZ65" i="2"/>
  <c r="BG65" i="2"/>
  <c r="AN65" i="2"/>
  <c r="CL65" i="2"/>
  <c r="CH41" i="2"/>
  <c r="BI41" i="2"/>
  <c r="CF41" i="2"/>
  <c r="AN50" i="2"/>
  <c r="CK45" i="2"/>
  <c r="CK40" i="2"/>
  <c r="AR24" i="2"/>
  <c r="DD66" i="2"/>
  <c r="DF58" i="2"/>
  <c r="DF99" i="2" s="1"/>
  <c r="DC63" i="2"/>
  <c r="BP63" i="2"/>
  <c r="AJ63" i="2"/>
  <c r="AN63" i="2"/>
  <c r="CY63" i="2"/>
  <c r="AT24" i="2"/>
  <c r="AI66" i="2"/>
  <c r="DH66" i="2"/>
  <c r="CI63" i="2"/>
  <c r="AI63" i="2"/>
  <c r="AR63" i="2"/>
  <c r="AG66" i="2"/>
  <c r="CX63" i="2"/>
  <c r="BD63" i="2"/>
  <c r="AL63" i="2"/>
  <c r="AR27" i="2"/>
  <c r="AH52" i="2"/>
  <c r="AR52" i="2"/>
  <c r="CN52" i="2"/>
  <c r="BQ60" i="2"/>
  <c r="DI60" i="2"/>
  <c r="CZ60" i="2"/>
  <c r="AJ60" i="2"/>
  <c r="BF60" i="2"/>
  <c r="AI18" i="2"/>
  <c r="BF18" i="2"/>
  <c r="AF18" i="2"/>
  <c r="BN65" i="2"/>
  <c r="DA65" i="2"/>
  <c r="CI65" i="2"/>
  <c r="AH65" i="2"/>
  <c r="AH50" i="2"/>
  <c r="AM54" i="2"/>
  <c r="DC54" i="2"/>
  <c r="CB54" i="2"/>
  <c r="BC41" i="2"/>
  <c r="CY41" i="2"/>
  <c r="CL40" i="2"/>
  <c r="BO66" i="2"/>
  <c r="CH63" i="2"/>
  <c r="BC63" i="2"/>
  <c r="AG15" i="2"/>
  <c r="AO54" i="2"/>
  <c r="CD54" i="2"/>
  <c r="BP54" i="2"/>
  <c r="AN54" i="2"/>
  <c r="CI54" i="2"/>
  <c r="CX41" i="2"/>
  <c r="CW41" i="2"/>
  <c r="BK40" i="2"/>
  <c r="DE24" i="2"/>
  <c r="BC66" i="2"/>
  <c r="BP58" i="2"/>
  <c r="BP99" i="2" s="1"/>
  <c r="BL63" i="2"/>
  <c r="CA63" i="2"/>
  <c r="BO63" i="2"/>
  <c r="AG63" i="2"/>
  <c r="AS26" i="2"/>
  <c r="CY26" i="2"/>
  <c r="CH52" i="2"/>
  <c r="AO52" i="2"/>
  <c r="DA43" i="2"/>
  <c r="AM18" i="2"/>
  <c r="CN18" i="2"/>
  <c r="AJ65" i="2"/>
  <c r="BJ65" i="2"/>
  <c r="AM65" i="2"/>
  <c r="DD65" i="2"/>
  <c r="CC54" i="2"/>
  <c r="AF54" i="2"/>
  <c r="BZ54" i="2"/>
  <c r="AG54" i="2"/>
  <c r="BI54" i="2"/>
  <c r="BO41" i="2"/>
  <c r="BF41" i="2"/>
  <c r="DI66" i="2"/>
  <c r="BE66" i="2"/>
  <c r="AH63" i="2"/>
  <c r="AR15" i="2"/>
  <c r="BG15" i="2"/>
  <c r="DE15" i="2"/>
  <c r="CB15" i="2"/>
  <c r="BO15" i="2"/>
  <c r="DF15" i="2"/>
  <c r="BK15" i="2"/>
  <c r="CD28" i="2"/>
  <c r="BZ28" i="2"/>
  <c r="AN28" i="2"/>
  <c r="BG28" i="2"/>
  <c r="CA28" i="2"/>
  <c r="CC5" i="2"/>
  <c r="DK63" i="2"/>
  <c r="BF28" i="2"/>
  <c r="CG28" i="2"/>
  <c r="DC28" i="2"/>
  <c r="CK28" i="2"/>
  <c r="DA28" i="2"/>
  <c r="AQ28" i="2"/>
  <c r="BQ28" i="2"/>
  <c r="DD28" i="2"/>
  <c r="CX28" i="2"/>
  <c r="AI28" i="2"/>
  <c r="DF28" i="2"/>
  <c r="BI53" i="2"/>
  <c r="BD28" i="2"/>
  <c r="CC28" i="2"/>
  <c r="BO28" i="2"/>
  <c r="AH28" i="2"/>
  <c r="BC28" i="2"/>
  <c r="BG5" i="2"/>
  <c r="BP28" i="2"/>
  <c r="AR28" i="2"/>
  <c r="AO53" i="2"/>
  <c r="CW63" i="2"/>
  <c r="AQ63" i="2"/>
  <c r="CB28" i="2"/>
  <c r="AF28" i="2"/>
  <c r="BN28" i="2"/>
  <c r="BK5" i="2"/>
  <c r="CH28" i="2"/>
  <c r="BL5" i="2"/>
  <c r="AM28" i="2"/>
  <c r="DE28" i="2"/>
  <c r="AJ28" i="2"/>
  <c r="CW28" i="2"/>
  <c r="CW53" i="2"/>
  <c r="CL28" i="2"/>
  <c r="AG28" i="2"/>
  <c r="DJ28" i="2"/>
  <c r="CF28" i="2"/>
  <c r="BZ53" i="2"/>
  <c r="CI28" i="2"/>
  <c r="CN28" i="2"/>
  <c r="AT28" i="2"/>
  <c r="CZ28" i="2"/>
  <c r="CM28" i="2"/>
  <c r="CD22" i="2"/>
  <c r="BE28" i="2"/>
  <c r="BJ28" i="2"/>
  <c r="BL28" i="2"/>
  <c r="DI28" i="2"/>
  <c r="AO28" i="2"/>
  <c r="AS28" i="2"/>
  <c r="BI28" i="2"/>
  <c r="BP57" i="2"/>
  <c r="CK50" i="2"/>
  <c r="BF45" i="2"/>
  <c r="BN45" i="2"/>
  <c r="CN66" i="2"/>
  <c r="CH66" i="2"/>
  <c r="BZ66" i="2"/>
  <c r="BK53" i="2"/>
  <c r="DH58" i="2"/>
  <c r="DH99" i="2" s="1"/>
  <c r="CY58" i="2"/>
  <c r="CY99" i="2" s="1"/>
  <c r="CB37" i="2"/>
  <c r="BE45" i="2"/>
  <c r="AF45" i="2"/>
  <c r="AN66" i="2"/>
  <c r="CK66" i="2"/>
  <c r="CL37" i="2"/>
  <c r="CA58" i="2"/>
  <c r="CA99" i="2" s="1"/>
  <c r="DK66" i="2"/>
  <c r="BN66" i="2"/>
  <c r="CM66" i="2"/>
  <c r="AQ66" i="2"/>
  <c r="DA49" i="2"/>
  <c r="DD45" i="2"/>
  <c r="BC45" i="2"/>
  <c r="CA45" i="2"/>
  <c r="CB45" i="2"/>
  <c r="BP66" i="2"/>
  <c r="BP53" i="2"/>
  <c r="CF37" i="2"/>
  <c r="CC45" i="2"/>
  <c r="CX45" i="2"/>
  <c r="AJ66" i="2"/>
  <c r="DA66" i="2"/>
  <c r="AS66" i="2"/>
  <c r="CF66" i="2"/>
  <c r="DH53" i="2"/>
  <c r="AJ45" i="2"/>
  <c r="BD66" i="2"/>
  <c r="AM66" i="2"/>
  <c r="BG66" i="2"/>
  <c r="CC66" i="2"/>
  <c r="DJ66" i="2"/>
  <c r="DE53" i="2"/>
  <c r="BL45" i="2"/>
  <c r="AO66" i="2"/>
  <c r="CA66" i="2"/>
  <c r="BF66" i="2"/>
  <c r="AL66" i="2"/>
  <c r="CL58" i="2"/>
  <c r="CL99" i="2" s="1"/>
  <c r="AR58" i="2"/>
  <c r="AR99" i="2" s="1"/>
  <c r="BE57" i="2"/>
  <c r="DF57" i="2"/>
  <c r="DI45" i="2"/>
  <c r="DK45" i="2"/>
  <c r="AN45" i="2"/>
  <c r="BQ66" i="2"/>
  <c r="AH66" i="2"/>
  <c r="CI66" i="2"/>
  <c r="BF57" i="2"/>
  <c r="AS45" i="2"/>
  <c r="BJ45" i="2"/>
  <c r="DF45" i="2"/>
  <c r="CW58" i="2"/>
  <c r="CW99" i="2" s="1"/>
  <c r="DA57" i="2"/>
  <c r="CG57" i="2"/>
  <c r="BL57" i="2"/>
  <c r="AR57" i="2"/>
  <c r="BQ68" i="2"/>
  <c r="BF68" i="2"/>
  <c r="BJ68" i="2"/>
  <c r="BL24" i="2"/>
  <c r="CN37" i="2"/>
  <c r="BZ29" i="2"/>
  <c r="DK5" i="2"/>
  <c r="CC63" i="2"/>
  <c r="DJ63" i="2"/>
  <c r="BG63" i="2"/>
  <c r="BZ5" i="2"/>
  <c r="CN62" i="2"/>
  <c r="CZ57" i="2"/>
  <c r="AR68" i="2"/>
  <c r="CI68" i="2"/>
  <c r="DC68" i="2"/>
  <c r="CL68" i="2"/>
  <c r="AM37" i="2"/>
  <c r="CM62" i="2"/>
  <c r="BJ62" i="2"/>
  <c r="CW62" i="2"/>
  <c r="CX57" i="2"/>
  <c r="AS57" i="2"/>
  <c r="BK68" i="2"/>
  <c r="CY37" i="2"/>
  <c r="BZ37" i="2"/>
  <c r="DH37" i="2"/>
  <c r="DC37" i="2"/>
  <c r="BL68" i="2"/>
  <c r="DD68" i="2"/>
  <c r="AG68" i="2"/>
  <c r="CG68" i="2"/>
  <c r="DE68" i="2"/>
  <c r="AH37" i="2"/>
  <c r="DJ37" i="2"/>
  <c r="AR62" i="2"/>
  <c r="BL62" i="2"/>
  <c r="CM68" i="2"/>
  <c r="CX68" i="2"/>
  <c r="DF68" i="2"/>
  <c r="BQ37" i="2"/>
  <c r="AN62" i="2"/>
  <c r="DE62" i="2"/>
  <c r="BI62" i="2"/>
  <c r="DK57" i="2"/>
  <c r="CN57" i="2"/>
  <c r="CB57" i="2"/>
  <c r="DD57" i="2"/>
  <c r="DJ57" i="2"/>
  <c r="AN68" i="2"/>
  <c r="DK68" i="2"/>
  <c r="AS24" i="2"/>
  <c r="AH24" i="2"/>
  <c r="CK24" i="2"/>
  <c r="AO37" i="2"/>
  <c r="AI58" i="2"/>
  <c r="AI99" i="2" s="1"/>
  <c r="CX58" i="2"/>
  <c r="CX99" i="2" s="1"/>
  <c r="BJ63" i="2"/>
  <c r="DE63" i="2"/>
  <c r="CZ63" i="2"/>
  <c r="AS63" i="2"/>
  <c r="DD63" i="2"/>
  <c r="BP62" i="2"/>
  <c r="AN57" i="2"/>
  <c r="AO57" i="2"/>
  <c r="BK57" i="2"/>
  <c r="AG57" i="2"/>
  <c r="BI57" i="2"/>
  <c r="BN57" i="2"/>
  <c r="BZ45" i="2"/>
  <c r="AM24" i="2"/>
  <c r="BC24" i="2"/>
  <c r="CA24" i="2"/>
  <c r="AS37" i="2"/>
  <c r="CZ37" i="2"/>
  <c r="BN37" i="2"/>
  <c r="AN58" i="2"/>
  <c r="AN99" i="2" s="1"/>
  <c r="DI27" i="2"/>
  <c r="BI63" i="2"/>
  <c r="AT57" i="2"/>
  <c r="BZ57" i="2"/>
  <c r="AJ68" i="2"/>
  <c r="DI68" i="2"/>
  <c r="DH68" i="2"/>
  <c r="BJ37" i="2"/>
  <c r="DE37" i="2"/>
  <c r="AM62" i="2"/>
  <c r="BQ62" i="2"/>
  <c r="BC57" i="2"/>
  <c r="CF57" i="2"/>
  <c r="CY57" i="2"/>
  <c r="CM57" i="2"/>
  <c r="BG68" i="2"/>
  <c r="AO68" i="2"/>
  <c r="CZ68" i="2"/>
  <c r="BK37" i="2"/>
  <c r="CX37" i="2"/>
  <c r="DA62" i="2"/>
  <c r="CK57" i="2"/>
  <c r="DH57" i="2"/>
  <c r="CL57" i="2"/>
  <c r="CI57" i="2"/>
  <c r="CA57" i="2"/>
  <c r="DA68" i="2"/>
  <c r="AQ68" i="2"/>
  <c r="BD68" i="2"/>
  <c r="CY68" i="2"/>
  <c r="CI37" i="2"/>
  <c r="BF37" i="2"/>
  <c r="BL37" i="2"/>
  <c r="CB62" i="2"/>
  <c r="BO62" i="2"/>
  <c r="BD57" i="2"/>
  <c r="DE57" i="2"/>
  <c r="AM57" i="2"/>
  <c r="AL57" i="2"/>
  <c r="CW57" i="2"/>
  <c r="DC57" i="2"/>
  <c r="AM68" i="2"/>
  <c r="BC68" i="2"/>
  <c r="CA68" i="2"/>
  <c r="CK68" i="2"/>
  <c r="AI68" i="2"/>
  <c r="DJ68" i="2"/>
  <c r="DF37" i="2"/>
  <c r="CZ62" i="2"/>
  <c r="BG57" i="2"/>
  <c r="CH68" i="2"/>
  <c r="CN68" i="2"/>
  <c r="BI68" i="2"/>
  <c r="BN68" i="2"/>
  <c r="BE37" i="2"/>
  <c r="DA37" i="2"/>
  <c r="AQ57" i="2"/>
  <c r="AH57" i="2"/>
  <c r="BQ57" i="2"/>
  <c r="AI57" i="2"/>
  <c r="CB68" i="2"/>
  <c r="BP68" i="2"/>
  <c r="CC68" i="2"/>
  <c r="AT68" i="2"/>
  <c r="AL68" i="2"/>
  <c r="DI37" i="2"/>
  <c r="AG62" i="2"/>
  <c r="AQ62" i="2"/>
  <c r="AJ57" i="2"/>
  <c r="BO57" i="2"/>
  <c r="CH57" i="2"/>
  <c r="CC57" i="2"/>
  <c r="AH68" i="2"/>
  <c r="CW68" i="2"/>
  <c r="CD68" i="2"/>
  <c r="AS68" i="2"/>
  <c r="BE68" i="2"/>
  <c r="AG37" i="2"/>
  <c r="DH62" i="2"/>
  <c r="BG62" i="2"/>
  <c r="DD62" i="2"/>
  <c r="CD57" i="2"/>
  <c r="BJ57" i="2"/>
  <c r="BO68" i="2"/>
  <c r="CF68" i="2"/>
  <c r="BZ68" i="2"/>
  <c r="CW37" i="2"/>
  <c r="CD37" i="2"/>
  <c r="DC62" i="2"/>
  <c r="AL40" i="2"/>
  <c r="DE40" i="2"/>
  <c r="BF53" i="2"/>
  <c r="CH37" i="2"/>
  <c r="AR37" i="2"/>
  <c r="CK58" i="2"/>
  <c r="CK99" i="2" s="1"/>
  <c r="CM26" i="2"/>
  <c r="CW26" i="2"/>
  <c r="AT46" i="2"/>
  <c r="DI62" i="2"/>
  <c r="AO62" i="2"/>
  <c r="BN62" i="2"/>
  <c r="BD62" i="2"/>
  <c r="CD40" i="2"/>
  <c r="CG40" i="2"/>
  <c r="CX26" i="2"/>
  <c r="DJ26" i="2"/>
  <c r="CZ40" i="2"/>
  <c r="DK40" i="2"/>
  <c r="BC40" i="2"/>
  <c r="AI40" i="2"/>
  <c r="DF40" i="2"/>
  <c r="BI26" i="2"/>
  <c r="AL26" i="2"/>
  <c r="CW12" i="2"/>
  <c r="CI40" i="2"/>
  <c r="DD40" i="2"/>
  <c r="BJ40" i="2"/>
  <c r="BF40" i="2"/>
  <c r="AH26" i="2"/>
  <c r="BN40" i="2"/>
  <c r="AJ40" i="2"/>
  <c r="BL40" i="2"/>
  <c r="DI24" i="2"/>
  <c r="CN24" i="2"/>
  <c r="CM53" i="2"/>
  <c r="AL37" i="2"/>
  <c r="DK37" i="2"/>
  <c r="AG58" i="2"/>
  <c r="AG99" i="2" s="1"/>
  <c r="AS25" i="2"/>
  <c r="BC26" i="2"/>
  <c r="BG26" i="2"/>
  <c r="CF5" i="2"/>
  <c r="AM22" i="2"/>
  <c r="CI62" i="2"/>
  <c r="BC62" i="2"/>
  <c r="BK62" i="2"/>
  <c r="CH5" i="2"/>
  <c r="CD62" i="2"/>
  <c r="BP40" i="2"/>
  <c r="CN40" i="2"/>
  <c r="AN24" i="2"/>
  <c r="CW24" i="2"/>
  <c r="DI53" i="2"/>
  <c r="BG37" i="2"/>
  <c r="BJ26" i="2"/>
  <c r="AO5" i="2"/>
  <c r="AS33" i="2"/>
  <c r="CC62" i="2"/>
  <c r="AT62" i="2"/>
  <c r="CG62" i="2"/>
  <c r="BZ62" i="2"/>
  <c r="BZ40" i="2"/>
  <c r="DC40" i="2"/>
  <c r="AH40" i="2"/>
  <c r="BF26" i="2"/>
  <c r="CA40" i="2"/>
  <c r="BD40" i="2"/>
  <c r="DI40" i="2"/>
  <c r="CH40" i="2"/>
  <c r="DJ40" i="2"/>
  <c r="DE26" i="2"/>
  <c r="AI26" i="2"/>
  <c r="AG40" i="2"/>
  <c r="CM40" i="2"/>
  <c r="BO40" i="2"/>
  <c r="BG40" i="2"/>
  <c r="DK26" i="2"/>
  <c r="DA40" i="2"/>
  <c r="CB40" i="2"/>
  <c r="AR40" i="2"/>
  <c r="BQ40" i="2"/>
  <c r="AF40" i="2"/>
  <c r="AJ26" i="2"/>
  <c r="AR26" i="2"/>
  <c r="AM40" i="2"/>
  <c r="AQ40" i="2"/>
  <c r="AO40" i="2"/>
  <c r="CX40" i="2"/>
  <c r="CH26" i="2"/>
  <c r="BI40" i="2"/>
  <c r="AN40" i="2"/>
  <c r="CC40" i="2"/>
  <c r="CD26" i="2"/>
  <c r="AQ26" i="2"/>
  <c r="BE40" i="2"/>
  <c r="CW40" i="2"/>
  <c r="AT40" i="2"/>
  <c r="DH40" i="2"/>
  <c r="CB26" i="2"/>
  <c r="BF56" i="2"/>
  <c r="CW56" i="2"/>
  <c r="AM56" i="2"/>
  <c r="BP56" i="2"/>
  <c r="DA50" i="2"/>
  <c r="AG50" i="2"/>
  <c r="DI50" i="2"/>
  <c r="AF29" i="2"/>
  <c r="BK26" i="2"/>
  <c r="AO26" i="2"/>
  <c r="DJ62" i="2"/>
  <c r="AS62" i="2"/>
  <c r="AI56" i="2"/>
  <c r="AL56" i="2"/>
  <c r="AL50" i="2"/>
  <c r="CL50" i="2"/>
  <c r="BL50" i="2"/>
  <c r="CB50" i="2"/>
  <c r="CK56" i="2"/>
  <c r="DH50" i="2"/>
  <c r="CZ50" i="2"/>
  <c r="CA56" i="2"/>
  <c r="BZ56" i="2"/>
  <c r="BQ56" i="2"/>
  <c r="BL56" i="2"/>
  <c r="CC56" i="2"/>
  <c r="CN50" i="2"/>
  <c r="BO50" i="2"/>
  <c r="BI50" i="2"/>
  <c r="AS56" i="2"/>
  <c r="CM50" i="2"/>
  <c r="AO50" i="2"/>
  <c r="DK50" i="2"/>
  <c r="CI50" i="2"/>
  <c r="CX56" i="2"/>
  <c r="CB56" i="2"/>
  <c r="DD56" i="2"/>
  <c r="DF56" i="2"/>
  <c r="CG56" i="2"/>
  <c r="BQ50" i="2"/>
  <c r="CD50" i="2"/>
  <c r="AR50" i="2"/>
  <c r="DD50" i="2"/>
  <c r="AT53" i="2"/>
  <c r="DE58" i="2"/>
  <c r="DE99" i="2" s="1"/>
  <c r="DC58" i="2"/>
  <c r="DC99" i="2" s="1"/>
  <c r="CN58" i="2"/>
  <c r="CN99" i="2" s="1"/>
  <c r="BO49" i="2"/>
  <c r="CI26" i="2"/>
  <c r="DD26" i="2"/>
  <c r="AF62" i="2"/>
  <c r="CY62" i="2"/>
  <c r="CF62" i="2"/>
  <c r="BF62" i="2"/>
  <c r="BK56" i="2"/>
  <c r="CD56" i="2"/>
  <c r="BE56" i="2"/>
  <c r="DJ56" i="2"/>
  <c r="AJ56" i="2"/>
  <c r="DE50" i="2"/>
  <c r="BF50" i="2"/>
  <c r="DC50" i="2"/>
  <c r="BE53" i="2"/>
  <c r="CL53" i="2"/>
  <c r="DC29" i="2"/>
  <c r="BL26" i="2"/>
  <c r="BE26" i="2"/>
  <c r="AJ62" i="2"/>
  <c r="AL62" i="2"/>
  <c r="CY56" i="2"/>
  <c r="AF56" i="2"/>
  <c r="BD50" i="2"/>
  <c r="AT50" i="2"/>
  <c r="CG50" i="2"/>
  <c r="DD53" i="2"/>
  <c r="AJ58" i="2"/>
  <c r="AJ99" i="2" s="1"/>
  <c r="CM49" i="2"/>
  <c r="CA26" i="2"/>
  <c r="BN26" i="2"/>
  <c r="CL26" i="2"/>
  <c r="DF62" i="2"/>
  <c r="AI62" i="2"/>
  <c r="BE62" i="2"/>
  <c r="CZ56" i="2"/>
  <c r="AQ56" i="2"/>
  <c r="CL56" i="2"/>
  <c r="AF50" i="2"/>
  <c r="AM50" i="2"/>
  <c r="CW50" i="2"/>
  <c r="BJ56" i="2"/>
  <c r="CF56" i="2"/>
  <c r="AN56" i="2"/>
  <c r="CF50" i="2"/>
  <c r="AS50" i="2"/>
  <c r="CH56" i="2"/>
  <c r="AI50" i="2"/>
  <c r="BG50" i="2"/>
  <c r="AR56" i="2"/>
  <c r="CN56" i="2"/>
  <c r="DC56" i="2"/>
  <c r="AO56" i="2"/>
  <c r="DH56" i="2"/>
  <c r="AG56" i="2"/>
  <c r="CM56" i="2"/>
  <c r="DJ50" i="2"/>
  <c r="CH50" i="2"/>
  <c r="BD53" i="2"/>
  <c r="DA53" i="2"/>
  <c r="BC58" i="2"/>
  <c r="BC99" i="2" s="1"/>
  <c r="AT58" i="2"/>
  <c r="AT99" i="2" s="1"/>
  <c r="CK26" i="2"/>
  <c r="DK62" i="2"/>
  <c r="CL62" i="2"/>
  <c r="AH62" i="2"/>
  <c r="CX62" i="2"/>
  <c r="CA62" i="2"/>
  <c r="DI56" i="2"/>
  <c r="BG56" i="2"/>
  <c r="AT56" i="2"/>
  <c r="BI56" i="2"/>
  <c r="BC56" i="2"/>
  <c r="CX50" i="2"/>
  <c r="BK50" i="2"/>
  <c r="CY50" i="2"/>
  <c r="CA50" i="2"/>
  <c r="DE56" i="2"/>
  <c r="BP50" i="2"/>
  <c r="BE50" i="2"/>
  <c r="AJ50" i="2"/>
  <c r="BN50" i="2"/>
  <c r="CC50" i="2"/>
  <c r="DK56" i="2"/>
  <c r="AH56" i="2"/>
  <c r="CI56" i="2"/>
  <c r="BN56" i="2"/>
  <c r="BD56" i="2"/>
  <c r="DF50" i="2"/>
  <c r="AQ50" i="2"/>
  <c r="BZ50" i="2"/>
  <c r="BJ50" i="2"/>
  <c r="AS53" i="2"/>
  <c r="AL53" i="2"/>
  <c r="CI53" i="2"/>
  <c r="AG53" i="2"/>
  <c r="BO42" i="2"/>
  <c r="BP5" i="2"/>
  <c r="AN5" i="2"/>
  <c r="DC53" i="2"/>
  <c r="CD53" i="2"/>
  <c r="DE46" i="2"/>
  <c r="CD5" i="2"/>
  <c r="BO5" i="2"/>
  <c r="BO53" i="2"/>
  <c r="AJ53" i="2"/>
  <c r="BQ25" i="2"/>
  <c r="BF42" i="2"/>
  <c r="AM53" i="2"/>
  <c r="CW22" i="2"/>
  <c r="BC5" i="2"/>
  <c r="AI55" i="2"/>
  <c r="DH43" i="2"/>
  <c r="AG43" i="2"/>
  <c r="CB24" i="2"/>
  <c r="CM24" i="2"/>
  <c r="BJ24" i="2"/>
  <c r="DH24" i="2"/>
  <c r="CY24" i="2"/>
  <c r="CG53" i="2"/>
  <c r="AN53" i="2"/>
  <c r="DI29" i="2"/>
  <c r="AT29" i="2"/>
  <c r="AO29" i="2"/>
  <c r="BQ5" i="2"/>
  <c r="BZ22" i="2"/>
  <c r="BE5" i="2"/>
  <c r="AR43" i="2"/>
  <c r="AF43" i="2"/>
  <c r="DJ43" i="2"/>
  <c r="BN43" i="2"/>
  <c r="AN43" i="2"/>
  <c r="BQ20" i="2"/>
  <c r="CK43" i="2"/>
  <c r="DI43" i="2"/>
  <c r="DD24" i="2"/>
  <c r="BK24" i="2"/>
  <c r="CB53" i="2"/>
  <c r="CK53" i="2"/>
  <c r="BI25" i="2"/>
  <c r="CF29" i="2"/>
  <c r="CM46" i="2"/>
  <c r="DE42" i="2"/>
  <c r="CH62" i="2"/>
  <c r="CK62" i="2"/>
  <c r="DF43" i="2"/>
  <c r="AJ43" i="2"/>
  <c r="AT43" i="2"/>
  <c r="AH6" i="2"/>
  <c r="DE43" i="2"/>
  <c r="AS43" i="2"/>
  <c r="CM43" i="2"/>
  <c r="CF43" i="2"/>
  <c r="BQ43" i="2"/>
  <c r="CC20" i="2"/>
  <c r="DK6" i="2"/>
  <c r="CG43" i="2"/>
  <c r="AH43" i="2"/>
  <c r="CC43" i="2"/>
  <c r="AI43" i="2"/>
  <c r="CI43" i="2"/>
  <c r="CG24" i="2"/>
  <c r="AR53" i="2"/>
  <c r="BL53" i="2"/>
  <c r="CF55" i="2"/>
  <c r="DF48" i="2"/>
  <c r="BJ29" i="2"/>
  <c r="BO46" i="2"/>
  <c r="BK46" i="2"/>
  <c r="Q19" i="46"/>
  <c r="CN5" i="2"/>
  <c r="CZ43" i="2"/>
  <c r="BP43" i="2"/>
  <c r="BP24" i="2"/>
  <c r="CC53" i="2"/>
  <c r="BQ53" i="2"/>
  <c r="CH53" i="2"/>
  <c r="CG48" i="2"/>
  <c r="DF29" i="2"/>
  <c r="BO29" i="2"/>
  <c r="AH46" i="2"/>
  <c r="AQ43" i="2"/>
  <c r="DD43" i="2"/>
  <c r="BF43" i="2"/>
  <c r="CW43" i="2"/>
  <c r="BE43" i="2"/>
  <c r="BG43" i="2"/>
  <c r="BI43" i="2"/>
  <c r="CD43" i="2"/>
  <c r="CX43" i="2"/>
  <c r="CN43" i="2"/>
  <c r="BJ43" i="2"/>
  <c r="CB43" i="2"/>
  <c r="CG20" i="2"/>
  <c r="BL43" i="2"/>
  <c r="BD43" i="2"/>
  <c r="CZ24" i="2"/>
  <c r="CN53" i="2"/>
  <c r="CX53" i="2"/>
  <c r="CB42" i="2"/>
  <c r="BD5" i="2"/>
  <c r="CL5" i="2"/>
  <c r="CA43" i="2"/>
  <c r="AM43" i="2"/>
  <c r="AO43" i="2"/>
  <c r="AT20" i="2"/>
  <c r="BO43" i="2"/>
  <c r="DC43" i="2"/>
  <c r="BZ43" i="2"/>
  <c r="AL43" i="2"/>
  <c r="CY43" i="2"/>
  <c r="CW20" i="2"/>
  <c r="CC17" i="2"/>
  <c r="DC5" i="2"/>
  <c r="DI5" i="2"/>
  <c r="BI5" i="2"/>
  <c r="CZ5" i="2"/>
  <c r="AR5" i="2"/>
  <c r="CF17" i="2"/>
  <c r="DJ5" i="2"/>
  <c r="CI5" i="2"/>
  <c r="DE5" i="2"/>
  <c r="CY5" i="2"/>
  <c r="BN5" i="2"/>
  <c r="BL17" i="2"/>
  <c r="DI17" i="2"/>
  <c r="AS17" i="2"/>
  <c r="CL17" i="2"/>
  <c r="AJ17" i="2"/>
  <c r="BQ17" i="2"/>
  <c r="AL7" i="2"/>
  <c r="DK17" i="2"/>
  <c r="BG17" i="2"/>
  <c r="CN7" i="2"/>
  <c r="CX17" i="2"/>
  <c r="BF17" i="2"/>
  <c r="CK5" i="2"/>
  <c r="CG17" i="2"/>
  <c r="CG5" i="2"/>
  <c r="CW5" i="2"/>
  <c r="AT5" i="2"/>
  <c r="AN17" i="2"/>
  <c r="CM17" i="2"/>
  <c r="CX8" i="2"/>
  <c r="AF8" i="2"/>
  <c r="AO12" i="2"/>
  <c r="BD7" i="2"/>
  <c r="CY7" i="2"/>
  <c r="BZ8" i="2"/>
  <c r="AQ7" i="2"/>
  <c r="BP7" i="2"/>
  <c r="DK7" i="2"/>
  <c r="CG8" i="2"/>
  <c r="AN8" i="2"/>
  <c r="DC7" i="2"/>
  <c r="AS7" i="2"/>
  <c r="CH8" i="2"/>
  <c r="BK8" i="2"/>
  <c r="DK8" i="2"/>
  <c r="AI12" i="2"/>
  <c r="BN8" i="2"/>
  <c r="CK8" i="2"/>
  <c r="AH8" i="2"/>
  <c r="DA5" i="2"/>
  <c r="AF9" i="2"/>
  <c r="AG8" i="2"/>
  <c r="DK12" i="2"/>
  <c r="CF7" i="2"/>
  <c r="AI7" i="2"/>
  <c r="BQ7" i="2"/>
  <c r="AG7" i="2"/>
  <c r="BJ5" i="2"/>
  <c r="CX5" i="2"/>
  <c r="CB8" i="2"/>
  <c r="DE8" i="2"/>
  <c r="CK7" i="2"/>
  <c r="BG8" i="2"/>
  <c r="AT8" i="2"/>
  <c r="CA8" i="2"/>
  <c r="CL7" i="2"/>
  <c r="BJ53" i="2"/>
  <c r="DF53" i="2"/>
  <c r="AF53" i="2"/>
  <c r="BG53" i="2"/>
  <c r="BP55" i="2"/>
  <c r="CH55" i="2"/>
  <c r="AL58" i="2"/>
  <c r="AL99" i="2" s="1"/>
  <c r="AH58" i="2"/>
  <c r="AH99" i="2" s="1"/>
  <c r="AJ25" i="2"/>
  <c r="AT25" i="2"/>
  <c r="CI25" i="2"/>
  <c r="CH46" i="2"/>
  <c r="AF46" i="2"/>
  <c r="BQ8" i="2"/>
  <c r="AR8" i="2"/>
  <c r="AQ8" i="2"/>
  <c r="CX27" i="2"/>
  <c r="AI53" i="2"/>
  <c r="DK53" i="2"/>
  <c r="BC53" i="2"/>
  <c r="BQ55" i="2"/>
  <c r="BN55" i="2"/>
  <c r="DD58" i="2"/>
  <c r="DD99" i="2" s="1"/>
  <c r="AG25" i="2"/>
  <c r="AL25" i="2"/>
  <c r="AN46" i="2"/>
  <c r="CL8" i="2"/>
  <c r="BN7" i="2"/>
  <c r="BI55" i="2"/>
  <c r="CY55" i="2"/>
  <c r="AF25" i="2"/>
  <c r="CA25" i="2"/>
  <c r="CH25" i="2"/>
  <c r="CA53" i="2"/>
  <c r="AH53" i="2"/>
  <c r="CF53" i="2"/>
  <c r="DJ53" i="2"/>
  <c r="CC55" i="2"/>
  <c r="CL55" i="2"/>
  <c r="DE55" i="2"/>
  <c r="BF55" i="2"/>
  <c r="CG58" i="2"/>
  <c r="CG99" i="2" s="1"/>
  <c r="BO58" i="2"/>
  <c r="BO99" i="2" s="1"/>
  <c r="CD25" i="2"/>
  <c r="AM25" i="2"/>
  <c r="AN25" i="2"/>
  <c r="CG29" i="2"/>
  <c r="AM29" i="2"/>
  <c r="BL46" i="2"/>
  <c r="CG7" i="2"/>
  <c r="BC12" i="2"/>
  <c r="CM5" i="2"/>
  <c r="BZ55" i="2"/>
  <c r="BD55" i="2"/>
  <c r="BK55" i="2"/>
  <c r="CN25" i="2"/>
  <c r="DK25" i="2"/>
  <c r="BF25" i="2"/>
  <c r="DC55" i="2"/>
  <c r="CK25" i="2"/>
  <c r="DC25" i="2"/>
  <c r="DJ25" i="2"/>
  <c r="DH25" i="2"/>
  <c r="BZ25" i="2"/>
  <c r="CY53" i="2"/>
  <c r="AQ53" i="2"/>
  <c r="BN53" i="2"/>
  <c r="AH55" i="2"/>
  <c r="AT55" i="2"/>
  <c r="BO55" i="2"/>
  <c r="BF58" i="2"/>
  <c r="BF99" i="2" s="1"/>
  <c r="BK58" i="2"/>
  <c r="BK99" i="2" s="1"/>
  <c r="BZ58" i="2"/>
  <c r="BZ99" i="2" s="1"/>
  <c r="CD58" i="2"/>
  <c r="CD99" i="2" s="1"/>
  <c r="BJ25" i="2"/>
  <c r="CX25" i="2"/>
  <c r="CZ25" i="2"/>
  <c r="BD25" i="2"/>
  <c r="BL29" i="2"/>
  <c r="BG46" i="2"/>
  <c r="DA8" i="2"/>
  <c r="AN12" i="2"/>
  <c r="DH22" i="2"/>
  <c r="DH55" i="2"/>
  <c r="BC55" i="2"/>
  <c r="DA25" i="2"/>
  <c r="AR25" i="2"/>
  <c r="BL25" i="2"/>
  <c r="CM25" i="2"/>
  <c r="BC25" i="2"/>
  <c r="CF25" i="2"/>
  <c r="DF25" i="2"/>
  <c r="CN55" i="2"/>
  <c r="BG55" i="2"/>
  <c r="CC25" i="2"/>
  <c r="BG25" i="2"/>
  <c r="BO25" i="2"/>
  <c r="CZ55" i="2"/>
  <c r="CI55" i="2"/>
  <c r="DE25" i="2"/>
  <c r="DD25" i="2"/>
  <c r="AO25" i="2"/>
  <c r="CW25" i="2"/>
  <c r="CB25" i="2"/>
  <c r="CX55" i="2"/>
  <c r="AQ25" i="2"/>
  <c r="BN25" i="2"/>
  <c r="DI25" i="2"/>
  <c r="DJ55" i="2"/>
  <c r="CW55" i="2"/>
  <c r="BP25" i="2"/>
  <c r="CG25" i="2"/>
  <c r="AI25" i="2"/>
  <c r="BE25" i="2"/>
  <c r="CZ53" i="2"/>
  <c r="CK55" i="2"/>
  <c r="AQ55" i="2"/>
  <c r="AJ55" i="2"/>
  <c r="BJ58" i="2"/>
  <c r="BJ99" i="2" s="1"/>
  <c r="AO58" i="2"/>
  <c r="AO99" i="2" s="1"/>
  <c r="BN58" i="2"/>
  <c r="BN99" i="2" s="1"/>
  <c r="AF58" i="2"/>
  <c r="BK25" i="2"/>
  <c r="CL25" i="2"/>
  <c r="CK29" i="2"/>
  <c r="AQ46" i="2"/>
  <c r="CM8" i="2"/>
  <c r="CL33" i="2"/>
  <c r="BD8" i="2"/>
  <c r="BK7" i="2"/>
  <c r="BZ7" i="2"/>
  <c r="DD5" i="2"/>
  <c r="AM55" i="2"/>
  <c r="DI55" i="2"/>
  <c r="AL55" i="2"/>
  <c r="AO55" i="2"/>
  <c r="CY25" i="2"/>
  <c r="AH25" i="2"/>
  <c r="DI12" i="2"/>
  <c r="CM6" i="2"/>
  <c r="BF9" i="2"/>
  <c r="CC9" i="2"/>
  <c r="CD9" i="2"/>
  <c r="DC6" i="2"/>
  <c r="CH12" i="2"/>
  <c r="CL6" i="2"/>
  <c r="BE6" i="2"/>
  <c r="CA12" i="2"/>
  <c r="CZ12" i="2"/>
  <c r="CM9" i="2"/>
  <c r="BI12" i="2"/>
  <c r="DA12" i="2"/>
  <c r="BJ6" i="2"/>
  <c r="AJ12" i="2"/>
  <c r="BE12" i="2"/>
  <c r="CN12" i="2"/>
  <c r="AR12" i="2"/>
  <c r="AS9" i="2"/>
  <c r="AR9" i="2"/>
  <c r="CA6" i="2"/>
  <c r="DE12" i="2"/>
  <c r="BI9" i="2"/>
  <c r="CY12" i="2"/>
  <c r="DH12" i="2"/>
  <c r="AS12" i="2"/>
  <c r="CB12" i="2"/>
  <c r="CF9" i="2"/>
  <c r="CG12" i="2"/>
  <c r="BZ9" i="2"/>
  <c r="DA9" i="2"/>
  <c r="CX16" i="2"/>
  <c r="DJ6" i="2"/>
  <c r="CZ9" i="2"/>
  <c r="AM12" i="2"/>
  <c r="AG12" i="2"/>
  <c r="BD9" i="2"/>
  <c r="BP12" i="2"/>
  <c r="BL9" i="2"/>
  <c r="CK12" i="2"/>
  <c r="DJ12" i="2"/>
  <c r="BQ9" i="2"/>
  <c r="CK9" i="2"/>
  <c r="DA6" i="2"/>
  <c r="CI12" i="2"/>
  <c r="CN9" i="2"/>
  <c r="BO9" i="2"/>
  <c r="AJ9" i="2"/>
  <c r="CD6" i="2"/>
  <c r="BQ12" i="2"/>
  <c r="DF9" i="2"/>
  <c r="CH9" i="2"/>
  <c r="DD12" i="2"/>
  <c r="BD12" i="2"/>
  <c r="AS6" i="2"/>
  <c r="AH9" i="2"/>
  <c r="CL12" i="2"/>
  <c r="CB9" i="2"/>
  <c r="CM12" i="2"/>
  <c r="AF12" i="2"/>
  <c r="BG9" i="2"/>
  <c r="AN9" i="2"/>
  <c r="CA9" i="2"/>
  <c r="BD6" i="2"/>
  <c r="BQ10" i="2"/>
  <c r="BN12" i="2"/>
  <c r="BZ12" i="2"/>
  <c r="DC9" i="2"/>
  <c r="BK9" i="2"/>
  <c r="CB5" i="2"/>
  <c r="BO12" i="2"/>
  <c r="BL12" i="2"/>
  <c r="AS16" i="2"/>
  <c r="BZ6" i="2"/>
  <c r="BK6" i="2"/>
  <c r="CF10" i="2"/>
  <c r="CC12" i="2"/>
  <c r="DD9" i="2"/>
  <c r="BJ9" i="2"/>
  <c r="CL9" i="2"/>
  <c r="AN16" i="2"/>
  <c r="CG9" i="2"/>
  <c r="DK9" i="2"/>
  <c r="CH6" i="2"/>
  <c r="AF6" i="2"/>
  <c r="BI15" i="2"/>
  <c r="BP15" i="2"/>
  <c r="CG15" i="2"/>
  <c r="CD15" i="2"/>
  <c r="BJ15" i="2"/>
  <c r="AL20" i="2"/>
  <c r="CN20" i="2"/>
  <c r="DF20" i="2"/>
  <c r="BI20" i="2"/>
  <c r="BZ20" i="2"/>
  <c r="CL20" i="2"/>
  <c r="CY6" i="2"/>
  <c r="DI6" i="2"/>
  <c r="CB6" i="2"/>
  <c r="CX6" i="2"/>
  <c r="BN15" i="2"/>
  <c r="CK15" i="2"/>
  <c r="BC15" i="2"/>
  <c r="DI20" i="2"/>
  <c r="CI6" i="2"/>
  <c r="AG6" i="2"/>
  <c r="DF6" i="2"/>
  <c r="CC6" i="2"/>
  <c r="BF15" i="2"/>
  <c r="DD15" i="2"/>
  <c r="AJ15" i="2"/>
  <c r="CH20" i="2"/>
  <c r="BF20" i="2"/>
  <c r="AQ20" i="2"/>
  <c r="AJ20" i="2"/>
  <c r="DA20" i="2"/>
  <c r="BL6" i="2"/>
  <c r="DD6" i="2"/>
  <c r="DE6" i="2"/>
  <c r="AQ6" i="2"/>
  <c r="CM15" i="2"/>
  <c r="AH15" i="2"/>
  <c r="BQ15" i="2"/>
  <c r="DJ20" i="2"/>
  <c r="CX20" i="2"/>
  <c r="CY20" i="2"/>
  <c r="CZ20" i="2"/>
  <c r="CX13" i="2"/>
  <c r="CF6" i="2"/>
  <c r="AO6" i="2"/>
  <c r="CW6" i="2"/>
  <c r="CF15" i="2"/>
  <c r="CI15" i="2"/>
  <c r="AO15" i="2"/>
  <c r="AI20" i="2"/>
  <c r="AR20" i="2"/>
  <c r="DC20" i="2"/>
  <c r="AO20" i="2"/>
  <c r="CL15" i="2"/>
  <c r="DH15" i="2"/>
  <c r="AN15" i="2"/>
  <c r="CF20" i="2"/>
  <c r="CD20" i="2"/>
  <c r="DH20" i="2"/>
  <c r="CM20" i="2"/>
  <c r="BN20" i="2"/>
  <c r="BP20" i="2"/>
  <c r="BG13" i="2"/>
  <c r="AM6" i="2"/>
  <c r="BP6" i="2"/>
  <c r="AT6" i="2"/>
  <c r="CK6" i="2"/>
  <c r="DK15" i="2"/>
  <c r="CH15" i="2"/>
  <c r="DJ15" i="2"/>
  <c r="BZ15" i="2"/>
  <c r="AG20" i="2"/>
  <c r="CI20" i="2"/>
  <c r="BC20" i="2"/>
  <c r="AS20" i="2"/>
  <c r="CC15" i="2"/>
  <c r="AL15" i="2"/>
  <c r="BD15" i="2"/>
  <c r="DD20" i="2"/>
  <c r="AN20" i="2"/>
  <c r="BG20" i="2"/>
  <c r="BI6" i="2"/>
  <c r="AI6" i="2"/>
  <c r="AN6" i="2"/>
  <c r="CW15" i="2"/>
  <c r="CY15" i="2"/>
  <c r="DI15" i="2"/>
  <c r="BO20" i="2"/>
  <c r="DK20" i="2"/>
  <c r="DH6" i="2"/>
  <c r="CG6" i="2"/>
  <c r="BO6" i="2"/>
  <c r="AI15" i="2"/>
  <c r="AT15" i="2"/>
  <c r="CA20" i="2"/>
  <c r="AH20" i="2"/>
  <c r="CB20" i="2"/>
  <c r="AL6" i="2"/>
  <c r="BL15" i="2"/>
  <c r="CN15" i="2"/>
  <c r="CA15" i="2"/>
  <c r="CZ15" i="2"/>
  <c r="BE20" i="2"/>
  <c r="BK20" i="2"/>
  <c r="CK20" i="2"/>
  <c r="AM20" i="2"/>
  <c r="AF20" i="2"/>
  <c r="BJ20" i="2"/>
  <c r="BG6" i="2"/>
  <c r="BQ6" i="2"/>
  <c r="BC6" i="2"/>
  <c r="AF15" i="2"/>
  <c r="AM15" i="2"/>
  <c r="CX15" i="2"/>
  <c r="BL20" i="2"/>
  <c r="AR6" i="2"/>
  <c r="BF6" i="2"/>
  <c r="CZ6" i="2"/>
  <c r="BN6" i="2"/>
  <c r="AJ6" i="2"/>
  <c r="DA15" i="2"/>
  <c r="AS15" i="2"/>
  <c r="AQ15" i="2"/>
  <c r="DE20" i="2"/>
  <c r="BD20" i="2"/>
  <c r="BP45" i="2"/>
  <c r="CY45" i="2"/>
  <c r="DC45" i="2"/>
  <c r="BO45" i="2"/>
  <c r="DH45" i="2"/>
  <c r="BG59" i="2"/>
  <c r="AJ59" i="2"/>
  <c r="CI59" i="2"/>
  <c r="BC59" i="2"/>
  <c r="CD24" i="2"/>
  <c r="DA24" i="2"/>
  <c r="BD24" i="2"/>
  <c r="BI29" i="2"/>
  <c r="BN29" i="2"/>
  <c r="AL29" i="2"/>
  <c r="DH29" i="2"/>
  <c r="DJ46" i="2"/>
  <c r="CF46" i="2"/>
  <c r="CX46" i="2"/>
  <c r="AT37" i="2"/>
  <c r="CC37" i="2"/>
  <c r="AF37" i="2"/>
  <c r="CA37" i="2"/>
  <c r="BD37" i="2"/>
  <c r="BP37" i="2"/>
  <c r="BO37" i="2"/>
  <c r="AN37" i="2"/>
  <c r="BI37" i="2"/>
  <c r="DD37" i="2"/>
  <c r="AI37" i="2"/>
  <c r="BC37" i="2"/>
  <c r="AQ37" i="2"/>
  <c r="CM37" i="2"/>
  <c r="AJ37" i="2"/>
  <c r="CG37" i="2"/>
  <c r="AH45" i="2"/>
  <c r="CW45" i="2"/>
  <c r="DE45" i="2"/>
  <c r="CF45" i="2"/>
  <c r="CF59" i="2"/>
  <c r="BQ24" i="2"/>
  <c r="CX24" i="2"/>
  <c r="BE24" i="2"/>
  <c r="BC46" i="2"/>
  <c r="AL46" i="2"/>
  <c r="BE59" i="2"/>
  <c r="CH24" i="2"/>
  <c r="DF24" i="2"/>
  <c r="BG24" i="2"/>
  <c r="CH29" i="2"/>
  <c r="AH29" i="2"/>
  <c r="DK46" i="2"/>
  <c r="CL46" i="2"/>
  <c r="AN59" i="2"/>
  <c r="BQ59" i="2"/>
  <c r="CN59" i="2"/>
  <c r="BI59" i="2"/>
  <c r="AM59" i="2"/>
  <c r="BI42" i="2"/>
  <c r="DH42" i="2"/>
  <c r="DC42" i="2"/>
  <c r="BJ42" i="2"/>
  <c r="DJ42" i="2"/>
  <c r="CY42" i="2"/>
  <c r="CZ45" i="2"/>
  <c r="BL59" i="2"/>
  <c r="AH59" i="2"/>
  <c r="CW59" i="2"/>
  <c r="AG59" i="2"/>
  <c r="BK59" i="2"/>
  <c r="AI29" i="2"/>
  <c r="BP42" i="2"/>
  <c r="CL39" i="2"/>
  <c r="AF55" i="2"/>
  <c r="BJ55" i="2"/>
  <c r="CD55" i="2"/>
  <c r="DA55" i="2"/>
  <c r="BE55" i="2"/>
  <c r="CA55" i="2"/>
  <c r="CM55" i="2"/>
  <c r="AN55" i="2"/>
  <c r="CG55" i="2"/>
  <c r="AS55" i="2"/>
  <c r="CB55" i="2"/>
  <c r="DF55" i="2"/>
  <c r="AG55" i="2"/>
  <c r="DK55" i="2"/>
  <c r="DD55" i="2"/>
  <c r="BL55" i="2"/>
  <c r="AR55" i="2"/>
  <c r="DF26" i="2"/>
  <c r="BD26" i="2"/>
  <c r="BO26" i="2"/>
  <c r="CG26" i="2"/>
  <c r="AN26" i="2"/>
  <c r="CZ26" i="2"/>
  <c r="AT26" i="2"/>
  <c r="BZ26" i="2"/>
  <c r="BQ26" i="2"/>
  <c r="DA26" i="2"/>
  <c r="AG26" i="2"/>
  <c r="DI26" i="2"/>
  <c r="DH26" i="2"/>
  <c r="BP26" i="2"/>
  <c r="CC26" i="2"/>
  <c r="CF26" i="2"/>
  <c r="DC59" i="2"/>
  <c r="AQ59" i="2"/>
  <c r="DI59" i="2"/>
  <c r="CK46" i="2"/>
  <c r="DH46" i="2"/>
  <c r="BF46" i="2"/>
  <c r="CN46" i="2"/>
  <c r="CW46" i="2"/>
  <c r="AR46" i="2"/>
  <c r="BQ46" i="2"/>
  <c r="CY46" i="2"/>
  <c r="BD46" i="2"/>
  <c r="CD46" i="2"/>
  <c r="DF46" i="2"/>
  <c r="BK45" i="2"/>
  <c r="AI45" i="2"/>
  <c r="DF59" i="2"/>
  <c r="CH59" i="2"/>
  <c r="CB59" i="2"/>
  <c r="BD59" i="2"/>
  <c r="BO24" i="2"/>
  <c r="AI24" i="2"/>
  <c r="AQ24" i="2"/>
  <c r="AL24" i="2"/>
  <c r="CM29" i="2"/>
  <c r="CD29" i="2"/>
  <c r="CB46" i="2"/>
  <c r="DI46" i="2"/>
  <c r="CN42" i="2"/>
  <c r="DK22" i="2"/>
  <c r="AR59" i="2"/>
  <c r="AS59" i="2"/>
  <c r="CX59" i="2"/>
  <c r="CL59" i="2"/>
  <c r="AO45" i="2"/>
  <c r="AR45" i="2"/>
  <c r="CY59" i="2"/>
  <c r="AI59" i="2"/>
  <c r="AT59" i="2"/>
  <c r="BO59" i="2"/>
  <c r="CM59" i="2"/>
  <c r="BJ59" i="2"/>
  <c r="DH59" i="2"/>
  <c r="BN24" i="2"/>
  <c r="CF24" i="2"/>
  <c r="AF24" i="2"/>
  <c r="CB29" i="2"/>
  <c r="BZ46" i="2"/>
  <c r="CI46" i="2"/>
  <c r="CM45" i="2"/>
  <c r="AQ45" i="2"/>
  <c r="DJ59" i="2"/>
  <c r="CG59" i="2"/>
  <c r="BF24" i="2"/>
  <c r="BI24" i="2"/>
  <c r="DK24" i="2"/>
  <c r="AO24" i="2"/>
  <c r="AN29" i="2"/>
  <c r="BD29" i="2"/>
  <c r="AI46" i="2"/>
  <c r="DD46" i="2"/>
  <c r="BD27" i="2"/>
  <c r="AH27" i="2"/>
  <c r="BF59" i="2"/>
  <c r="DE59" i="2"/>
  <c r="DD59" i="2"/>
  <c r="CZ59" i="2"/>
  <c r="BZ59" i="2"/>
  <c r="DK59" i="2"/>
  <c r="AL59" i="2"/>
  <c r="AO59" i="2"/>
  <c r="CA59" i="2"/>
  <c r="BP59" i="2"/>
  <c r="DA59" i="2"/>
  <c r="BZ24" i="2"/>
  <c r="AG24" i="2"/>
  <c r="CI24" i="2"/>
  <c r="CN29" i="2"/>
  <c r="AJ29" i="2"/>
  <c r="AG29" i="2"/>
  <c r="CY29" i="2"/>
  <c r="CX29" i="2"/>
  <c r="CA29" i="2"/>
  <c r="BK29" i="2"/>
  <c r="CW29" i="2"/>
  <c r="AS29" i="2"/>
  <c r="BF29" i="2"/>
  <c r="AR29" i="2"/>
  <c r="DE29" i="2"/>
  <c r="DA29" i="2"/>
  <c r="DK29" i="2"/>
  <c r="DD29" i="2"/>
  <c r="CL29" i="2"/>
  <c r="CZ29" i="2"/>
  <c r="CI29" i="2"/>
  <c r="CC29" i="2"/>
  <c r="DJ29" i="2"/>
  <c r="BG29" i="2"/>
  <c r="CD59" i="2"/>
  <c r="CK59" i="2"/>
  <c r="CC59" i="2"/>
  <c r="AF59" i="2"/>
  <c r="DI48" i="2"/>
  <c r="BG58" i="2"/>
  <c r="BG99" i="2" s="1"/>
  <c r="BG49" i="2"/>
  <c r="DC12" i="2"/>
  <c r="BI8" i="2"/>
  <c r="CW8" i="2"/>
  <c r="BF8" i="2"/>
  <c r="AT7" i="2"/>
  <c r="AF17" i="2"/>
  <c r="DF12" i="2"/>
  <c r="CD12" i="2"/>
  <c r="BL7" i="2"/>
  <c r="AG17" i="2"/>
  <c r="BJ7" i="2"/>
  <c r="CX9" i="2"/>
  <c r="AL9" i="2"/>
  <c r="BK12" i="2"/>
  <c r="BE58" i="2"/>
  <c r="BE99" i="2" s="1"/>
  <c r="BI58" i="2"/>
  <c r="BI99" i="2" s="1"/>
  <c r="BL58" i="2"/>
  <c r="BL99" i="2" s="1"/>
  <c r="AH7" i="2"/>
  <c r="BJ12" i="2"/>
  <c r="AT12" i="2"/>
  <c r="AT17" i="2"/>
  <c r="DH17" i="2"/>
  <c r="CZ17" i="2"/>
  <c r="AR7" i="2"/>
  <c r="AM9" i="2"/>
  <c r="CW9" i="2"/>
  <c r="BE9" i="2"/>
  <c r="AO9" i="2"/>
  <c r="BQ58" i="2"/>
  <c r="BQ99" i="2" s="1"/>
  <c r="AQ58" i="2"/>
  <c r="AQ99" i="2" s="1"/>
  <c r="BC10" i="2"/>
  <c r="CY8" i="2"/>
  <c r="BG12" i="2"/>
  <c r="AH12" i="2"/>
  <c r="AN7" i="2"/>
  <c r="AL12" i="2"/>
  <c r="DI7" i="2"/>
  <c r="AS8" i="2"/>
  <c r="BF12" i="2"/>
  <c r="CW17" i="2"/>
  <c r="BE17" i="2"/>
  <c r="BI7" i="2"/>
  <c r="BI17" i="2"/>
  <c r="BG7" i="2"/>
  <c r="BP9" i="2"/>
  <c r="AT9" i="2"/>
  <c r="DI9" i="2"/>
  <c r="DJ58" i="2"/>
  <c r="DJ99" i="2" s="1"/>
  <c r="CF58" i="2"/>
  <c r="CF99" i="2" s="1"/>
  <c r="CW10" i="2"/>
  <c r="DJ8" i="2"/>
  <c r="CC8" i="2"/>
  <c r="DJ9" i="2"/>
  <c r="AQ12" i="2"/>
  <c r="AG9" i="2"/>
  <c r="CH17" i="2"/>
  <c r="BN9" i="2"/>
  <c r="CM58" i="2"/>
  <c r="CM99" i="2" s="1"/>
  <c r="CZ58" i="2"/>
  <c r="CZ99" i="2" s="1"/>
  <c r="DA58" i="2"/>
  <c r="DA99" i="2" s="1"/>
  <c r="DI8" i="2"/>
  <c r="BL8" i="2"/>
  <c r="CD8" i="2"/>
  <c r="AJ8" i="2"/>
  <c r="BC8" i="2"/>
  <c r="BO8" i="2"/>
  <c r="CF12" i="2"/>
  <c r="DH9" i="2"/>
  <c r="CX12" i="2"/>
  <c r="CI9" i="2"/>
  <c r="CI7" i="2"/>
  <c r="BK17" i="2"/>
  <c r="CW7" i="2"/>
  <c r="CX7" i="2"/>
  <c r="CY9" i="2"/>
  <c r="DE9" i="2"/>
  <c r="BC9" i="2"/>
  <c r="AQ9" i="2"/>
  <c r="AJ42" i="2"/>
  <c r="AQ17" i="2"/>
  <c r="BZ17" i="2"/>
  <c r="AM7" i="2"/>
  <c r="CZ7" i="2"/>
  <c r="AL17" i="2"/>
  <c r="AM11" i="2"/>
  <c r="CD11" i="2"/>
  <c r="CZ11" i="2"/>
  <c r="DD11" i="2"/>
  <c r="AO11" i="2"/>
  <c r="AQ11" i="2"/>
  <c r="AR42" i="2"/>
  <c r="AG42" i="2"/>
  <c r="BP22" i="2"/>
  <c r="CH7" i="2"/>
  <c r="DE7" i="2"/>
  <c r="DA17" i="2"/>
  <c r="DD7" i="2"/>
  <c r="CM7" i="2"/>
  <c r="BF7" i="2"/>
  <c r="CA7" i="2"/>
  <c r="AR17" i="2"/>
  <c r="DE22" i="2"/>
  <c r="AO7" i="2"/>
  <c r="DH7" i="2"/>
  <c r="DJ7" i="2"/>
  <c r="CB7" i="2"/>
  <c r="AT22" i="2"/>
  <c r="AI17" i="2"/>
  <c r="CD17" i="2"/>
  <c r="BE11" i="2"/>
  <c r="AI11" i="2"/>
  <c r="AH42" i="2"/>
  <c r="DF27" i="2"/>
  <c r="DC17" i="2"/>
  <c r="AF7" i="2"/>
  <c r="AQ22" i="2"/>
  <c r="BO17" i="2"/>
  <c r="DF17" i="2"/>
  <c r="AM17" i="2"/>
  <c r="CA17" i="2"/>
  <c r="CN17" i="2"/>
  <c r="BO7" i="2"/>
  <c r="CY11" i="2"/>
  <c r="DE11" i="2"/>
  <c r="AS11" i="2"/>
  <c r="DA7" i="2"/>
  <c r="AL8" i="2"/>
  <c r="BJ17" i="2"/>
  <c r="BC7" i="2"/>
  <c r="CI8" i="2"/>
  <c r="AO17" i="2"/>
  <c r="BJ8" i="2"/>
  <c r="DC8" i="2"/>
  <c r="DE17" i="2"/>
  <c r="DF22" i="2"/>
  <c r="BP17" i="2"/>
  <c r="BQ22" i="2"/>
  <c r="DJ11" i="2"/>
  <c r="AH11" i="2"/>
  <c r="BO11" i="2"/>
  <c r="BC11" i="2"/>
  <c r="CB11" i="2"/>
  <c r="BJ11" i="2"/>
  <c r="BN11" i="2"/>
  <c r="CA11" i="2"/>
  <c r="AF11" i="2"/>
  <c r="CI11" i="2"/>
  <c r="AH17" i="2"/>
  <c r="CC7" i="2"/>
  <c r="BC17" i="2"/>
  <c r="BD17" i="2"/>
  <c r="CI17" i="2"/>
  <c r="BN17" i="2"/>
  <c r="DJ17" i="2"/>
  <c r="CB17" i="2"/>
  <c r="AJ7" i="2"/>
  <c r="DC11" i="2"/>
  <c r="BZ11" i="2"/>
  <c r="DK11" i="2"/>
  <c r="AL11" i="2"/>
  <c r="CH11" i="2"/>
  <c r="CX11" i="2"/>
  <c r="CK17" i="2"/>
  <c r="CY17" i="2"/>
  <c r="BE7" i="2"/>
  <c r="DD17" i="2"/>
  <c r="DF7" i="2"/>
  <c r="CD7" i="2"/>
  <c r="CM11" i="2"/>
  <c r="BL11" i="2"/>
  <c r="CF11" i="2"/>
  <c r="AJ11" i="2"/>
  <c r="CW11" i="2"/>
  <c r="BI27" i="2"/>
  <c r="AT27" i="2"/>
  <c r="CL27" i="2"/>
  <c r="BL27" i="2"/>
  <c r="BJ27" i="2"/>
  <c r="BZ27" i="2"/>
  <c r="BC27" i="2"/>
  <c r="DH27" i="2"/>
  <c r="CZ27" i="2"/>
  <c r="AN27" i="2"/>
  <c r="AO27" i="2"/>
  <c r="CI27" i="2"/>
  <c r="BF27" i="2"/>
  <c r="CC27" i="2"/>
  <c r="BQ27" i="2"/>
  <c r="AL27" i="2"/>
  <c r="CF27" i="2"/>
  <c r="DK27" i="2"/>
  <c r="AS27" i="2"/>
  <c r="DJ27" i="2"/>
  <c r="CM27" i="2"/>
  <c r="DD27" i="2"/>
  <c r="DC27" i="2"/>
  <c r="AJ27" i="2"/>
  <c r="CG31" i="2"/>
  <c r="AM27" i="2"/>
  <c r="BP27" i="2"/>
  <c r="DF5" i="2"/>
  <c r="CA5" i="2"/>
  <c r="AH5" i="2"/>
  <c r="CH27" i="2"/>
  <c r="AG27" i="2"/>
  <c r="AS5" i="2"/>
  <c r="BN27" i="2"/>
  <c r="BG27" i="2"/>
  <c r="CN27" i="2"/>
  <c r="CY27" i="2"/>
  <c r="CA27" i="2"/>
  <c r="DA27" i="2"/>
  <c r="CD27" i="2"/>
  <c r="BO27" i="2"/>
  <c r="DE27" i="2"/>
  <c r="AI27" i="2"/>
  <c r="AQ27" i="2"/>
  <c r="CG27" i="2"/>
  <c r="BE27" i="2"/>
  <c r="AF27" i="2"/>
  <c r="CB27" i="2"/>
  <c r="CK27" i="2"/>
  <c r="CW27" i="2"/>
  <c r="BG16" i="2"/>
  <c r="CC16" i="2"/>
  <c r="CY16" i="2"/>
  <c r="CH16" i="2"/>
  <c r="AM13" i="2"/>
  <c r="DA13" i="2"/>
  <c r="CZ13" i="2"/>
  <c r="AH48" i="2"/>
  <c r="CL48" i="2"/>
  <c r="CY48" i="2"/>
  <c r="AL48" i="2"/>
  <c r="AT48" i="2"/>
  <c r="BL10" i="2"/>
  <c r="AN10" i="2"/>
  <c r="CN10" i="2"/>
  <c r="AO10" i="2"/>
  <c r="BN49" i="2"/>
  <c r="CX49" i="2"/>
  <c r="BI22" i="2"/>
  <c r="CA22" i="2"/>
  <c r="BG22" i="2"/>
  <c r="CA16" i="2"/>
  <c r="CK16" i="2"/>
  <c r="DE16" i="2"/>
  <c r="CN16" i="2"/>
  <c r="BP13" i="2"/>
  <c r="BL13" i="2"/>
  <c r="BF48" i="2"/>
  <c r="DF10" i="2"/>
  <c r="CL10" i="2"/>
  <c r="DD49" i="2"/>
  <c r="AF49" i="2"/>
  <c r="DJ49" i="2"/>
  <c r="BE49" i="2"/>
  <c r="AM16" i="2"/>
  <c r="BP16" i="2"/>
  <c r="BC16" i="2"/>
  <c r="DJ16" i="2"/>
  <c r="AO13" i="2"/>
  <c r="AF13" i="2"/>
  <c r="AH13" i="2"/>
  <c r="AI13" i="2"/>
  <c r="CW48" i="2"/>
  <c r="AG48" i="2"/>
  <c r="DH10" i="2"/>
  <c r="CM10" i="2"/>
  <c r="CG49" i="2"/>
  <c r="CA49" i="2"/>
  <c r="BP49" i="2"/>
  <c r="DC49" i="2"/>
  <c r="DH16" i="2"/>
  <c r="AJ16" i="2"/>
  <c r="AR13" i="2"/>
  <c r="AT13" i="2"/>
  <c r="CN13" i="2"/>
  <c r="BJ48" i="2"/>
  <c r="BD48" i="2"/>
  <c r="CH10" i="2"/>
  <c r="DI10" i="2"/>
  <c r="CC10" i="2"/>
  <c r="CZ49" i="2"/>
  <c r="BQ49" i="2"/>
  <c r="CK22" i="2"/>
  <c r="DC22" i="2"/>
  <c r="DA22" i="2"/>
  <c r="BP11" i="2"/>
  <c r="CC11" i="2"/>
  <c r="AR11" i="2"/>
  <c r="BF11" i="2"/>
  <c r="DF11" i="2"/>
  <c r="DA11" i="2"/>
  <c r="BQ11" i="2"/>
  <c r="BK11" i="2"/>
  <c r="AG11" i="2"/>
  <c r="CK11" i="2"/>
  <c r="CN11" i="2"/>
  <c r="BG11" i="2"/>
  <c r="AN11" i="2"/>
  <c r="CL11" i="2"/>
  <c r="DH11" i="2"/>
  <c r="BI11" i="2"/>
  <c r="BD11" i="2"/>
  <c r="CG11" i="2"/>
  <c r="AT11" i="2"/>
  <c r="DI11" i="2"/>
  <c r="BO16" i="2"/>
  <c r="AQ16" i="2"/>
  <c r="CH13" i="2"/>
  <c r="DD13" i="2"/>
  <c r="BK13" i="2"/>
  <c r="AS13" i="2"/>
  <c r="AI48" i="2"/>
  <c r="BC48" i="2"/>
  <c r="AJ48" i="2"/>
  <c r="CZ48" i="2"/>
  <c r="AM10" i="2"/>
  <c r="BI10" i="2"/>
  <c r="CD10" i="2"/>
  <c r="CI49" i="2"/>
  <c r="DI49" i="2"/>
  <c r="BD49" i="2"/>
  <c r="AS49" i="2"/>
  <c r="BK22" i="2"/>
  <c r="AJ22" i="2"/>
  <c r="CY13" i="2"/>
  <c r="BE13" i="2"/>
  <c r="BU13" i="2" s="1"/>
  <c r="CG13" i="2"/>
  <c r="AL13" i="2"/>
  <c r="CL13" i="2"/>
  <c r="AS48" i="2"/>
  <c r="DK48" i="2"/>
  <c r="AN48" i="2"/>
  <c r="BP48" i="2"/>
  <c r="AL10" i="2"/>
  <c r="CK10" i="2"/>
  <c r="AF10" i="2"/>
  <c r="CH49" i="2"/>
  <c r="AO49" i="2"/>
  <c r="BL49" i="2"/>
  <c r="DI22" i="2"/>
  <c r="CN22" i="2"/>
  <c r="AR22" i="2"/>
  <c r="CB22" i="2"/>
  <c r="AI22" i="2"/>
  <c r="CB16" i="2"/>
  <c r="CD16" i="2"/>
  <c r="BF16" i="2"/>
  <c r="BN16" i="2"/>
  <c r="BK16" i="2"/>
  <c r="BQ16" i="2"/>
  <c r="CF16" i="2"/>
  <c r="DA16" i="2"/>
  <c r="BI16" i="2"/>
  <c r="AI16" i="2"/>
  <c r="DF13" i="2"/>
  <c r="BN13" i="2"/>
  <c r="BI13" i="2"/>
  <c r="BP10" i="2"/>
  <c r="BN10" i="2"/>
  <c r="CI10" i="2"/>
  <c r="AI10" i="2"/>
  <c r="CF49" i="2"/>
  <c r="BJ49" i="2"/>
  <c r="AH22" i="2"/>
  <c r="DE13" i="2"/>
  <c r="CB13" i="2"/>
  <c r="DH13" i="2"/>
  <c r="CM48" i="2"/>
  <c r="DC48" i="2"/>
  <c r="DE48" i="2"/>
  <c r="CB10" i="2"/>
  <c r="CA10" i="2"/>
  <c r="CD49" i="2"/>
  <c r="BI49" i="2"/>
  <c r="BZ49" i="2"/>
  <c r="AG49" i="2"/>
  <c r="BC22" i="2"/>
  <c r="AO22" i="2"/>
  <c r="CC22" i="2"/>
  <c r="CN8" i="2"/>
  <c r="AO8" i="2"/>
  <c r="AI8" i="2"/>
  <c r="CZ8" i="2"/>
  <c r="DH8" i="2"/>
  <c r="BP8" i="2"/>
  <c r="DF8" i="2"/>
  <c r="AM8" i="2"/>
  <c r="CF8" i="2"/>
  <c r="BE8" i="2"/>
  <c r="DK16" i="2"/>
  <c r="CL16" i="2"/>
  <c r="BZ16" i="2"/>
  <c r="DK13" i="2"/>
  <c r="DD48" i="2"/>
  <c r="CK48" i="2"/>
  <c r="DJ48" i="2"/>
  <c r="BI48" i="2"/>
  <c r="AR10" i="2"/>
  <c r="BZ10" i="2"/>
  <c r="AH49" i="2"/>
  <c r="BI33" i="2"/>
  <c r="BO22" i="2"/>
  <c r="CG22" i="2"/>
  <c r="CZ16" i="2"/>
  <c r="AF16" i="2"/>
  <c r="AG16" i="2"/>
  <c r="AJ13" i="2"/>
  <c r="CA13" i="2"/>
  <c r="DJ13" i="2"/>
  <c r="CN48" i="2"/>
  <c r="DH48" i="2"/>
  <c r="CA48" i="2"/>
  <c r="BO48" i="2"/>
  <c r="DC10" i="2"/>
  <c r="AT10" i="2"/>
  <c r="DE10" i="2"/>
  <c r="DH49" i="2"/>
  <c r="CK49" i="2"/>
  <c r="CN49" i="2"/>
  <c r="CM16" i="2"/>
  <c r="DC16" i="2"/>
  <c r="BE16" i="2"/>
  <c r="BC13" i="2"/>
  <c r="BF13" i="2"/>
  <c r="CI13" i="2"/>
  <c r="AN13" i="2"/>
  <c r="BD13" i="2"/>
  <c r="DI13" i="2"/>
  <c r="CF48" i="2"/>
  <c r="BE10" i="2"/>
  <c r="AH10" i="2"/>
  <c r="AJ10" i="2"/>
  <c r="AG10" i="2"/>
  <c r="AT49" i="2"/>
  <c r="CW49" i="2"/>
  <c r="BD16" i="2"/>
  <c r="AR16" i="2"/>
  <c r="CI16" i="2"/>
  <c r="AH16" i="2"/>
  <c r="BJ13" i="2"/>
  <c r="CM13" i="2"/>
  <c r="CF13" i="2"/>
  <c r="AQ48" i="2"/>
  <c r="AF48" i="2"/>
  <c r="CX48" i="2"/>
  <c r="BN48" i="2"/>
  <c r="DA10" i="2"/>
  <c r="BD10" i="2"/>
  <c r="AS10" i="2"/>
  <c r="AQ10" i="2"/>
  <c r="AJ49" i="2"/>
  <c r="AQ49" i="2"/>
  <c r="DE49" i="2"/>
  <c r="CC49" i="2"/>
  <c r="CF22" i="2"/>
  <c r="AN22" i="2"/>
  <c r="CY22" i="2"/>
  <c r="AG22" i="2"/>
  <c r="CM22" i="2"/>
  <c r="CG16" i="2"/>
  <c r="AT16" i="2"/>
  <c r="BO13" i="2"/>
  <c r="CC13" i="2"/>
  <c r="CK13" i="2"/>
  <c r="AQ13" i="2"/>
  <c r="BQ48" i="2"/>
  <c r="CH48" i="2"/>
  <c r="AM48" i="2"/>
  <c r="CB48" i="2"/>
  <c r="CI48" i="2"/>
  <c r="CG10" i="2"/>
  <c r="CY10" i="2"/>
  <c r="DK10" i="2"/>
  <c r="CZ10" i="2"/>
  <c r="DF49" i="2"/>
  <c r="AR49" i="2"/>
  <c r="BC49" i="2"/>
  <c r="CB49" i="2"/>
  <c r="BE22" i="2"/>
  <c r="DJ22" i="2"/>
  <c r="AS22" i="2"/>
  <c r="DF16" i="2"/>
  <c r="DI16" i="2"/>
  <c r="BJ16" i="2"/>
  <c r="DD16" i="2"/>
  <c r="BQ13" i="2"/>
  <c r="CW13" i="2"/>
  <c r="AG13" i="2"/>
  <c r="DC13" i="2"/>
  <c r="BG48" i="2"/>
  <c r="BE48" i="2"/>
  <c r="AR48" i="2"/>
  <c r="BF10" i="2"/>
  <c r="BK10" i="2"/>
  <c r="BG10" i="2"/>
  <c r="CL49" i="2"/>
  <c r="BF22" i="2"/>
  <c r="BN22" i="2"/>
  <c r="CX22" i="2"/>
  <c r="BD22" i="2"/>
  <c r="AO16" i="2"/>
  <c r="BL16" i="2"/>
  <c r="CW16" i="2"/>
  <c r="AL16" i="2"/>
  <c r="BZ13" i="2"/>
  <c r="CD13" i="2"/>
  <c r="BL48" i="2"/>
  <c r="DA48" i="2"/>
  <c r="DJ10" i="2"/>
  <c r="BO10" i="2"/>
  <c r="DD10" i="2"/>
  <c r="BJ10" i="2"/>
  <c r="AL49" i="2"/>
  <c r="AN49" i="2"/>
  <c r="BK49" i="2"/>
  <c r="DD22" i="2"/>
  <c r="CL22" i="2"/>
  <c r="AL22" i="2"/>
  <c r="CZ22" i="2"/>
  <c r="AS46" i="2"/>
  <c r="CA46" i="2"/>
  <c r="CC46" i="2"/>
  <c r="AJ46" i="2"/>
  <c r="CG46" i="2"/>
  <c r="AG46" i="2"/>
  <c r="BP46" i="2"/>
  <c r="BE46" i="2"/>
  <c r="BN46" i="2"/>
  <c r="AO46" i="2"/>
  <c r="AO48" i="2"/>
  <c r="CC48" i="2"/>
  <c r="CH58" i="2"/>
  <c r="CH99" i="2" s="1"/>
  <c r="AM58" i="2"/>
  <c r="AM99" i="2" s="1"/>
  <c r="CI58" i="2"/>
  <c r="CI99" i="2" s="1"/>
  <c r="BD58" i="2"/>
  <c r="BD99" i="2" s="1"/>
  <c r="DK49" i="2"/>
  <c r="BF49" i="2"/>
  <c r="AI49" i="2"/>
  <c r="DC46" i="2"/>
  <c r="CZ46" i="2"/>
  <c r="CD48" i="2"/>
  <c r="BK48" i="2"/>
  <c r="CC58" i="2"/>
  <c r="CC99" i="2" s="1"/>
  <c r="CY49" i="2"/>
  <c r="AM49" i="2"/>
  <c r="BJ46" i="2"/>
  <c r="DA46" i="2"/>
  <c r="AM46" i="2"/>
  <c r="CH22" i="2"/>
  <c r="CN38" i="2"/>
  <c r="CI22" i="2"/>
  <c r="AF22" i="2"/>
  <c r="DJ33" i="2"/>
  <c r="BO33" i="2"/>
  <c r="AF33" i="2"/>
  <c r="BK27" i="2"/>
  <c r="CC33" i="2"/>
  <c r="DH33" i="2"/>
  <c r="AM26" i="2"/>
  <c r="CD30" i="2"/>
  <c r="CI39" i="2"/>
  <c r="AN33" i="2"/>
  <c r="BP33" i="2"/>
  <c r="BF33" i="2"/>
  <c r="CZ33" i="2"/>
  <c r="DA33" i="2"/>
  <c r="AR33" i="2"/>
  <c r="DC33" i="2"/>
  <c r="CD39" i="2"/>
  <c r="CB33" i="2"/>
  <c r="BN33" i="2"/>
  <c r="AJ33" i="2"/>
  <c r="CG33" i="2"/>
  <c r="DE33" i="2"/>
  <c r="CN26" i="2"/>
  <c r="DI33" i="2"/>
  <c r="AI33" i="2"/>
  <c r="BJ33" i="2"/>
  <c r="CF33" i="2"/>
  <c r="CH33" i="2"/>
  <c r="CA39" i="2"/>
  <c r="BC33" i="2"/>
  <c r="AG33" i="2"/>
  <c r="BL33" i="2"/>
  <c r="AO33" i="2"/>
  <c r="AT33" i="2"/>
  <c r="CD33" i="2"/>
  <c r="BG33" i="2"/>
  <c r="DC26" i="2"/>
  <c r="CM33" i="2"/>
  <c r="CI33" i="2"/>
  <c r="CN33" i="2"/>
  <c r="BK31" i="2"/>
  <c r="BJ38" i="2"/>
  <c r="CD31" i="2"/>
  <c r="CA31" i="2"/>
  <c r="DD31" i="2"/>
  <c r="BQ31" i="2"/>
  <c r="BP31" i="2"/>
  <c r="DJ31" i="2"/>
  <c r="BE31" i="2"/>
  <c r="AQ31" i="2"/>
  <c r="AR31" i="2"/>
  <c r="AL31" i="2"/>
  <c r="DF31" i="2"/>
  <c r="CH31" i="2"/>
  <c r="CB31" i="2"/>
  <c r="CF31" i="2"/>
  <c r="CX31" i="2"/>
  <c r="CY31" i="2"/>
  <c r="CZ31" i="2"/>
  <c r="DH38" i="2"/>
  <c r="BJ31" i="2"/>
  <c r="DK31" i="2"/>
  <c r="CL31" i="2"/>
  <c r="AM31" i="2"/>
  <c r="BD31" i="2"/>
  <c r="BG31" i="2"/>
  <c r="AG31" i="2"/>
  <c r="AS31" i="2"/>
  <c r="BN31" i="2"/>
  <c r="AH31" i="2"/>
  <c r="BF31" i="2"/>
  <c r="BO31" i="2"/>
  <c r="AT31" i="2"/>
  <c r="DI31" i="2"/>
  <c r="CC31" i="2"/>
  <c r="CK31" i="2"/>
  <c r="CW31" i="2"/>
  <c r="CN31" i="2"/>
  <c r="BZ31" i="2"/>
  <c r="CI31" i="2"/>
  <c r="AO31" i="2"/>
  <c r="AN31" i="2"/>
  <c r="BI31" i="2"/>
  <c r="DH31" i="2"/>
  <c r="DA31" i="2"/>
  <c r="AJ31" i="2"/>
  <c r="BL31" i="2"/>
  <c r="DE31" i="2"/>
  <c r="AI31" i="2"/>
  <c r="BC31" i="2"/>
  <c r="DC31" i="2"/>
  <c r="AF31" i="2"/>
  <c r="AR38" i="2"/>
  <c r="BZ38" i="2"/>
  <c r="AS38" i="2"/>
  <c r="CF38" i="2"/>
  <c r="CK38" i="2"/>
  <c r="AF38" i="2"/>
  <c r="AL38" i="2"/>
  <c r="CC38" i="2"/>
  <c r="AG38" i="2"/>
  <c r="AI38" i="2"/>
  <c r="BL38" i="2"/>
  <c r="AQ38" i="2"/>
  <c r="CZ38" i="2"/>
  <c r="BP38" i="2"/>
  <c r="CM38" i="2"/>
  <c r="BO38" i="2"/>
  <c r="BD38" i="2"/>
  <c r="AJ38" i="2"/>
  <c r="BF38" i="2"/>
  <c r="DA38" i="2"/>
  <c r="CG38" i="2"/>
  <c r="BN38" i="2"/>
  <c r="CW38" i="2"/>
  <c r="DK38" i="2"/>
  <c r="CX38" i="2"/>
  <c r="DF38" i="2"/>
  <c r="CB38" i="2"/>
  <c r="BK38" i="2"/>
  <c r="DJ38" i="2"/>
  <c r="BC38" i="2"/>
  <c r="CY38" i="2"/>
  <c r="CL38" i="2"/>
  <c r="AN38" i="2"/>
  <c r="AL39" i="2"/>
  <c r="AG39" i="2"/>
  <c r="BK39" i="2"/>
  <c r="DF39" i="2"/>
  <c r="BF39" i="2"/>
  <c r="DK39" i="2"/>
  <c r="BG39" i="2"/>
  <c r="AR39" i="2"/>
  <c r="CN39" i="2"/>
  <c r="AS39" i="2"/>
  <c r="BQ39" i="2"/>
  <c r="BL39" i="2"/>
  <c r="AQ39" i="2"/>
  <c r="AT39" i="2"/>
  <c r="CZ39" i="2"/>
  <c r="CW39" i="2"/>
  <c r="BN39" i="2"/>
  <c r="DE39" i="2"/>
  <c r="DI39" i="2"/>
  <c r="AI39" i="2"/>
  <c r="AM39" i="2"/>
  <c r="DH39" i="2"/>
  <c r="AO39" i="2"/>
  <c r="BZ39" i="2"/>
  <c r="AF34" i="2"/>
  <c r="CX34" i="2"/>
  <c r="CM34" i="2"/>
  <c r="BZ34" i="2"/>
  <c r="CC34" i="2"/>
  <c r="AN34" i="2"/>
  <c r="DI34" i="2"/>
  <c r="AH34" i="2"/>
  <c r="AJ34" i="2"/>
  <c r="AM34" i="2"/>
  <c r="AO34" i="2"/>
  <c r="AL34" i="2"/>
  <c r="CB34" i="2"/>
  <c r="DH34" i="2"/>
  <c r="CN34" i="2"/>
  <c r="BL34" i="2"/>
  <c r="BP34" i="2"/>
  <c r="BD34" i="2"/>
  <c r="DK34" i="2"/>
  <c r="DE34" i="2"/>
  <c r="AQ34" i="2"/>
  <c r="AT34" i="2"/>
  <c r="CD34" i="2"/>
  <c r="BO34" i="2"/>
  <c r="BN34" i="2"/>
  <c r="BI34" i="2"/>
  <c r="CK34" i="2"/>
  <c r="CA34" i="2"/>
  <c r="BG34" i="2"/>
  <c r="BF34" i="2"/>
  <c r="BC34" i="2"/>
  <c r="CH34" i="2"/>
  <c r="CF34" i="2"/>
  <c r="CY34" i="2"/>
  <c r="DJ34" i="2"/>
  <c r="CZ34" i="2"/>
  <c r="BJ34" i="2"/>
  <c r="DA34" i="2"/>
  <c r="CL34" i="2"/>
  <c r="DF34" i="2"/>
  <c r="DC34" i="2"/>
  <c r="AI34" i="2"/>
  <c r="CI34" i="2"/>
  <c r="CW34" i="2"/>
  <c r="BE34" i="2"/>
  <c r="DD34" i="2"/>
  <c r="BK34" i="2"/>
  <c r="CG34" i="2"/>
  <c r="AR34" i="2"/>
  <c r="AG34" i="2"/>
  <c r="AS34" i="2"/>
  <c r="BQ34" i="2"/>
  <c r="CY39" i="2"/>
  <c r="AF39" i="2"/>
  <c r="AN39" i="2"/>
  <c r="CC39" i="2"/>
  <c r="BC39" i="2"/>
  <c r="DD39" i="2"/>
  <c r="DC39" i="2"/>
  <c r="DJ39" i="2"/>
  <c r="BO39" i="2"/>
  <c r="CX39" i="2"/>
  <c r="CF39" i="2"/>
  <c r="CB39" i="2"/>
  <c r="CH39" i="2"/>
  <c r="CK39" i="2"/>
  <c r="BL42" i="2"/>
  <c r="CW42" i="2"/>
  <c r="CZ42" i="2"/>
  <c r="CK42" i="2"/>
  <c r="CX42" i="2"/>
  <c r="CM42" i="2"/>
  <c r="DK42" i="2"/>
  <c r="CG42" i="2"/>
  <c r="CL42" i="2"/>
  <c r="CD42" i="2"/>
  <c r="DA42" i="2"/>
  <c r="AS42" i="2"/>
  <c r="CI42" i="2"/>
  <c r="BC42" i="2"/>
  <c r="AO42" i="2"/>
  <c r="CH42" i="2"/>
  <c r="AQ42" i="2"/>
  <c r="DD42" i="2"/>
  <c r="BN42" i="2"/>
  <c r="AN42" i="2"/>
  <c r="BQ42" i="2"/>
  <c r="DF42" i="2"/>
  <c r="AT42" i="2"/>
  <c r="BE42" i="2"/>
  <c r="DI42" i="2"/>
  <c r="BD42" i="2"/>
  <c r="AI42" i="2"/>
  <c r="AL42" i="2"/>
  <c r="BZ42" i="2"/>
  <c r="CC42" i="2"/>
  <c r="AM42" i="2"/>
  <c r="CF42" i="2"/>
  <c r="CA42" i="2"/>
  <c r="BK42" i="2"/>
  <c r="BG42" i="2"/>
  <c r="DA39" i="2"/>
  <c r="CG39" i="2"/>
  <c r="BE39" i="2"/>
  <c r="AH39" i="2"/>
  <c r="BI39" i="2"/>
  <c r="BP39" i="2"/>
  <c r="BD39" i="2"/>
  <c r="BJ39" i="2"/>
  <c r="AJ39" i="2"/>
  <c r="CM39" i="2"/>
  <c r="CX33" i="2"/>
  <c r="DF33" i="2"/>
  <c r="BZ33" i="2"/>
  <c r="BQ33" i="2"/>
  <c r="CY33" i="2"/>
  <c r="CA33" i="2"/>
  <c r="BK33" i="2"/>
  <c r="BE33" i="2"/>
  <c r="AQ33" i="2"/>
  <c r="CK33" i="2"/>
  <c r="AM33" i="2"/>
  <c r="DD33" i="2"/>
  <c r="DK33" i="2"/>
  <c r="AH33" i="2"/>
  <c r="CW33" i="2"/>
  <c r="BD33" i="2"/>
  <c r="AM38" i="2"/>
  <c r="DD38" i="2"/>
  <c r="AO38" i="2"/>
  <c r="DC38" i="2"/>
  <c r="CI38" i="2"/>
  <c r="DE38" i="2"/>
  <c r="CD38" i="2"/>
  <c r="DI38" i="2"/>
  <c r="AT38" i="2"/>
  <c r="BG38" i="2"/>
  <c r="AH38" i="2"/>
  <c r="BI38" i="2"/>
  <c r="BE38" i="2"/>
  <c r="BQ38" i="2"/>
  <c r="CH38" i="2"/>
  <c r="CA38" i="2"/>
  <c r="AJ30" i="2"/>
  <c r="CY30" i="2"/>
  <c r="BZ21" i="2"/>
  <c r="DJ21" i="2"/>
  <c r="DE21" i="2"/>
  <c r="DF21" i="2"/>
  <c r="BN21" i="2"/>
  <c r="AM21" i="2"/>
  <c r="BI21" i="2"/>
  <c r="AJ21" i="2"/>
  <c r="AT21" i="2"/>
  <c r="AR21" i="2"/>
  <c r="CL21" i="2"/>
  <c r="CM21" i="2"/>
  <c r="AS21" i="2"/>
  <c r="BL21" i="2"/>
  <c r="BP21" i="2"/>
  <c r="CC21" i="2"/>
  <c r="CG21" i="2"/>
  <c r="DK21" i="2"/>
  <c r="CK21" i="2"/>
  <c r="CH21" i="2"/>
  <c r="CA21" i="2"/>
  <c r="CF21" i="2"/>
  <c r="BD21" i="2"/>
  <c r="BF21" i="2"/>
  <c r="DD21" i="2"/>
  <c r="AI21" i="2"/>
  <c r="AQ21" i="2"/>
  <c r="AH21" i="2"/>
  <c r="DA21" i="2"/>
  <c r="BJ21" i="2"/>
  <c r="BC21" i="2"/>
  <c r="CW21" i="2"/>
  <c r="CD21" i="2"/>
  <c r="DH21" i="2"/>
  <c r="DC21" i="2"/>
  <c r="BG21" i="2"/>
  <c r="AF21" i="2"/>
  <c r="CI21" i="2"/>
  <c r="DI21" i="2"/>
  <c r="AO21" i="2"/>
  <c r="CX21" i="2"/>
  <c r="AL21" i="2"/>
  <c r="BQ21" i="2"/>
  <c r="AN21" i="2"/>
  <c r="AG21" i="2"/>
  <c r="CB21" i="2"/>
  <c r="CN21" i="2"/>
  <c r="CY21" i="2"/>
  <c r="BK21" i="2"/>
  <c r="BE21" i="2"/>
  <c r="BO21" i="2"/>
  <c r="CZ21" i="2"/>
  <c r="BF30" i="2"/>
  <c r="BQ30" i="2"/>
  <c r="DJ30" i="2"/>
  <c r="BP30" i="2"/>
  <c r="CK30" i="2"/>
  <c r="CM30" i="2"/>
  <c r="DC30" i="2"/>
  <c r="BC30" i="2"/>
  <c r="CF30" i="2"/>
  <c r="DD30" i="2"/>
  <c r="CN30" i="2"/>
  <c r="AT30" i="2"/>
  <c r="DE30" i="2"/>
  <c r="BN30" i="2"/>
  <c r="AF30" i="2"/>
  <c r="BI30" i="2"/>
  <c r="AI30" i="2"/>
  <c r="CZ30" i="2"/>
  <c r="CL30" i="2"/>
  <c r="DK30" i="2"/>
  <c r="CI30" i="2"/>
  <c r="AO30" i="2"/>
  <c r="DA30" i="2"/>
  <c r="BL30" i="2"/>
  <c r="DI30" i="2"/>
  <c r="AQ30" i="2"/>
  <c r="CB30" i="2"/>
  <c r="CC30" i="2"/>
  <c r="AH30" i="2"/>
  <c r="DH30" i="2"/>
  <c r="BD30" i="2"/>
  <c r="BE30" i="2"/>
  <c r="AS30" i="2"/>
  <c r="BZ30" i="2"/>
  <c r="AL30" i="2"/>
  <c r="BK30" i="2"/>
  <c r="BO30" i="2"/>
  <c r="AN30" i="2"/>
  <c r="CG30" i="2"/>
  <c r="AG30" i="2"/>
  <c r="AR30" i="2"/>
  <c r="DF30" i="2"/>
  <c r="BJ30" i="2"/>
  <c r="CH30" i="2"/>
  <c r="CA30" i="2"/>
  <c r="CX30" i="2"/>
  <c r="AM30" i="2"/>
  <c r="BG30" i="2"/>
  <c r="CW30" i="2"/>
  <c r="BL36" i="2"/>
  <c r="BJ36" i="2"/>
  <c r="AL36" i="2"/>
  <c r="DC36" i="2"/>
  <c r="BO36" i="2"/>
  <c r="DF36" i="2"/>
  <c r="BF36" i="2"/>
  <c r="CI36" i="2"/>
  <c r="CX36" i="2"/>
  <c r="AF36" i="2"/>
  <c r="BP36" i="2"/>
  <c r="BN36" i="2"/>
  <c r="DJ36" i="2"/>
  <c r="AR36" i="2"/>
  <c r="DH36" i="2"/>
  <c r="BI36" i="2"/>
  <c r="BZ36" i="2"/>
  <c r="CH36" i="2"/>
  <c r="CY36" i="2"/>
  <c r="CC36" i="2"/>
  <c r="DK36" i="2"/>
  <c r="CN36" i="2"/>
  <c r="CK36" i="2"/>
  <c r="AQ36" i="2"/>
  <c r="CL36" i="2"/>
  <c r="AJ36" i="2"/>
  <c r="CD36" i="2"/>
  <c r="DE36" i="2"/>
  <c r="BD36" i="2"/>
  <c r="AI36" i="2"/>
  <c r="CW36" i="2"/>
  <c r="CM36" i="2"/>
  <c r="AO36" i="2"/>
  <c r="DD36" i="2"/>
  <c r="AG36" i="2"/>
  <c r="DI36" i="2"/>
  <c r="BC36" i="2"/>
  <c r="CF36" i="2"/>
  <c r="BE36" i="2"/>
  <c r="AN36" i="2"/>
  <c r="CZ36" i="2"/>
  <c r="AM36" i="2"/>
  <c r="DA36" i="2"/>
  <c r="CG36" i="2"/>
  <c r="BG36" i="2"/>
  <c r="BK36" i="2"/>
  <c r="AT36" i="2"/>
  <c r="AS36" i="2"/>
  <c r="BQ36" i="2"/>
  <c r="CB36" i="2"/>
  <c r="AH36" i="2"/>
  <c r="CA36" i="2"/>
  <c r="BW14" i="2" l="1"/>
  <c r="BX14" i="2" s="1"/>
  <c r="AV24" i="2"/>
  <c r="H5" i="47"/>
  <c r="H17" i="47" s="1"/>
  <c r="I5" i="47"/>
  <c r="P12" i="47" s="1"/>
  <c r="P10" i="47"/>
  <c r="I17" i="47" s="1"/>
  <c r="P9" i="46"/>
  <c r="D9" i="46" s="1"/>
  <c r="P8" i="49"/>
  <c r="M5" i="49" s="1"/>
  <c r="P9" i="47"/>
  <c r="D9" i="47" s="1"/>
  <c r="H5" i="49"/>
  <c r="H17" i="49" s="1"/>
  <c r="P9" i="49"/>
  <c r="D9" i="49" s="1"/>
  <c r="D13" i="47"/>
  <c r="P13" i="47" s="1"/>
  <c r="L17" i="49"/>
  <c r="L5" i="49" s="1"/>
  <c r="D13" i="46"/>
  <c r="P13" i="46" s="1"/>
  <c r="G5" i="46"/>
  <c r="D8" i="46" s="1"/>
  <c r="P8" i="20"/>
  <c r="M5" i="20" s="1"/>
  <c r="D13" i="49"/>
  <c r="P13" i="49" s="1"/>
  <c r="D12" i="47"/>
  <c r="K5" i="47" s="1"/>
  <c r="M17" i="49"/>
  <c r="P14" i="49" s="1"/>
  <c r="P8" i="47"/>
  <c r="M5" i="47" s="1"/>
  <c r="D14" i="49"/>
  <c r="G17" i="49" s="1"/>
  <c r="G5" i="42"/>
  <c r="D8" i="42" s="1"/>
  <c r="H5" i="20"/>
  <c r="H17" i="20" s="1"/>
  <c r="K17" i="47"/>
  <c r="D10" i="47" s="1"/>
  <c r="D14" i="46"/>
  <c r="G17" i="46" s="1"/>
  <c r="P9" i="20"/>
  <c r="D9" i="20" s="1"/>
  <c r="H5" i="46"/>
  <c r="H17" i="46" s="1"/>
  <c r="L17" i="47"/>
  <c r="L5" i="47" s="1"/>
  <c r="M17" i="20"/>
  <c r="P14" i="20" s="1"/>
  <c r="D13" i="20"/>
  <c r="P13" i="20" s="1"/>
  <c r="K17" i="20"/>
  <c r="D10" i="20" s="1"/>
  <c r="K17" i="46"/>
  <c r="D10" i="46" s="1"/>
  <c r="L17" i="20"/>
  <c r="L5" i="20" s="1"/>
  <c r="M17" i="46"/>
  <c r="P14" i="46" s="1"/>
  <c r="I17" i="52"/>
  <c r="H17" i="52"/>
  <c r="L5" i="54"/>
  <c r="I17" i="53"/>
  <c r="I17" i="40"/>
  <c r="P13" i="52"/>
  <c r="P12" i="53"/>
  <c r="D9" i="53"/>
  <c r="P14" i="53"/>
  <c r="I3" i="54"/>
  <c r="B12" i="54"/>
  <c r="H17" i="53"/>
  <c r="D10" i="40"/>
  <c r="D9" i="52"/>
  <c r="L5" i="53"/>
  <c r="G17" i="52"/>
  <c r="G17" i="54"/>
  <c r="P14" i="43"/>
  <c r="H17" i="54"/>
  <c r="P12" i="40"/>
  <c r="D9" i="54"/>
  <c r="P13" i="54"/>
  <c r="DO29" i="2"/>
  <c r="G5" i="47"/>
  <c r="D8" i="47" s="1"/>
  <c r="BW24" i="2"/>
  <c r="CR17" i="2"/>
  <c r="BA14" i="2"/>
  <c r="AU14" i="2"/>
  <c r="BR14" i="2"/>
  <c r="BH14" i="2"/>
  <c r="AW14" i="2"/>
  <c r="AK51" i="2"/>
  <c r="AP51" i="2"/>
  <c r="DN14" i="2"/>
  <c r="CV19" i="2"/>
  <c r="CE19" i="2" s="1"/>
  <c r="DO20" i="2"/>
  <c r="AK14" i="2"/>
  <c r="AY14" i="2"/>
  <c r="CR11" i="2"/>
  <c r="CV15" i="2"/>
  <c r="CJ15" i="2" s="1"/>
  <c r="DM15" i="2"/>
  <c r="BY15" i="2"/>
  <c r="BH15" i="2" s="1"/>
  <c r="BU19" i="2"/>
  <c r="CV8" i="2"/>
  <c r="CE8" i="2" s="1"/>
  <c r="AX11" i="2"/>
  <c r="BY11" i="2"/>
  <c r="BH11" i="2" s="1"/>
  <c r="CR12" i="2"/>
  <c r="DP14" i="2"/>
  <c r="DO9" i="2"/>
  <c r="AV18" i="2"/>
  <c r="DS13" i="2"/>
  <c r="DG13" i="2" s="1"/>
  <c r="CT11" i="2"/>
  <c r="BB20" i="2"/>
  <c r="AU20" i="2" s="1"/>
  <c r="CT17" i="2"/>
  <c r="CR13" i="2"/>
  <c r="CV17" i="2"/>
  <c r="CE17" i="2" s="1"/>
  <c r="DQ9" i="2"/>
  <c r="CV18" i="2"/>
  <c r="CE18" i="2" s="1"/>
  <c r="DQ18" i="2"/>
  <c r="BV14" i="2"/>
  <c r="DQ17" i="2"/>
  <c r="CT12" i="2"/>
  <c r="CQ14" i="2"/>
  <c r="AV12" i="2"/>
  <c r="AV47" i="2"/>
  <c r="BU65" i="2"/>
  <c r="AX45" i="2"/>
  <c r="BU53" i="2"/>
  <c r="DM65" i="2"/>
  <c r="CP23" i="2"/>
  <c r="DQ37" i="2"/>
  <c r="CR46" i="2"/>
  <c r="BS62" i="2"/>
  <c r="BU43" i="2"/>
  <c r="CP40" i="2"/>
  <c r="AX23" i="2"/>
  <c r="AV35" i="2"/>
  <c r="BS55" i="2"/>
  <c r="AX53" i="2"/>
  <c r="BU31" i="2"/>
  <c r="BS22" i="2"/>
  <c r="AX63" i="2"/>
  <c r="DQ45" i="2"/>
  <c r="CT37" i="2"/>
  <c r="CP43" i="2"/>
  <c r="BS56" i="2"/>
  <c r="CP33" i="2"/>
  <c r="CR60" i="2"/>
  <c r="DO53" i="2"/>
  <c r="AX36" i="2"/>
  <c r="BU58" i="2"/>
  <c r="BU99" i="2" s="1"/>
  <c r="CP55" i="2"/>
  <c r="BB55" i="2"/>
  <c r="AP55" i="2" s="1"/>
  <c r="CV68" i="2"/>
  <c r="CE68" i="2" s="1"/>
  <c r="AZ54" i="2"/>
  <c r="BU62" i="2"/>
  <c r="AX57" i="2"/>
  <c r="DS28" i="2"/>
  <c r="DB28" i="2" s="1"/>
  <c r="DO65" i="2"/>
  <c r="DS60" i="2"/>
  <c r="DL60" i="2" s="1"/>
  <c r="BS64" i="2"/>
  <c r="AX35" i="2"/>
  <c r="DS25" i="2"/>
  <c r="DB25" i="2" s="1"/>
  <c r="CV43" i="2"/>
  <c r="CJ43" i="2" s="1"/>
  <c r="AV52" i="2"/>
  <c r="BB52" i="2"/>
  <c r="AP52" i="2" s="1"/>
  <c r="DS41" i="2"/>
  <c r="DL41" i="2" s="1"/>
  <c r="AV67" i="2"/>
  <c r="AV60" i="2"/>
  <c r="DS44" i="2"/>
  <c r="DB44" i="2" s="1"/>
  <c r="DM47" i="2"/>
  <c r="DQ47" i="2"/>
  <c r="BU22" i="2"/>
  <c r="BY62" i="2"/>
  <c r="BH62" i="2" s="1"/>
  <c r="BU21" i="2"/>
  <c r="CT49" i="2"/>
  <c r="AX25" i="2"/>
  <c r="BU56" i="2"/>
  <c r="CT40" i="2"/>
  <c r="AX24" i="2"/>
  <c r="AV28" i="2"/>
  <c r="AX41" i="2"/>
  <c r="CR65" i="2"/>
  <c r="CR52" i="2"/>
  <c r="CT59" i="2"/>
  <c r="BY55" i="2"/>
  <c r="BM55" i="2" s="1"/>
  <c r="CR40" i="2"/>
  <c r="BY35" i="2"/>
  <c r="BM35" i="2" s="1"/>
  <c r="CV29" i="2"/>
  <c r="AV65" i="2"/>
  <c r="DM46" i="2"/>
  <c r="AX44" i="2"/>
  <c r="BS44" i="2"/>
  <c r="DO52" i="2"/>
  <c r="DO35" i="2"/>
  <c r="BU34" i="2"/>
  <c r="CT39" i="2"/>
  <c r="CR31" i="2"/>
  <c r="AV40" i="2"/>
  <c r="DO54" i="2"/>
  <c r="DM64" i="2"/>
  <c r="CT52" i="2"/>
  <c r="BS35" i="2"/>
  <c r="DO40" i="2"/>
  <c r="DM35" i="2"/>
  <c r="BU30" i="2"/>
  <c r="DM25" i="2"/>
  <c r="AX43" i="2"/>
  <c r="BB62" i="2"/>
  <c r="AU62" i="2" s="1"/>
  <c r="BY24" i="2"/>
  <c r="BH24" i="2" s="1"/>
  <c r="DO57" i="2"/>
  <c r="BU23" i="2"/>
  <c r="CR22" i="2"/>
  <c r="AV45" i="2"/>
  <c r="DO32" i="2"/>
  <c r="BY23" i="2"/>
  <c r="BR23" i="2" s="1"/>
  <c r="CU51" i="2"/>
  <c r="DM49" i="2"/>
  <c r="CT29" i="2"/>
  <c r="DQ55" i="2"/>
  <c r="BW25" i="2"/>
  <c r="BW67" i="2"/>
  <c r="DR51" i="2"/>
  <c r="CT36" i="2"/>
  <c r="BS30" i="2"/>
  <c r="DO21" i="2"/>
  <c r="BU38" i="2"/>
  <c r="BU42" i="2"/>
  <c r="BS42" i="2"/>
  <c r="DO39" i="2"/>
  <c r="BB38" i="2"/>
  <c r="AU38" i="2" s="1"/>
  <c r="AV31" i="2"/>
  <c r="DO27" i="2"/>
  <c r="DQ53" i="2"/>
  <c r="BS25" i="2"/>
  <c r="DQ24" i="2"/>
  <c r="AV53" i="2"/>
  <c r="BS66" i="2"/>
  <c r="DM41" i="2"/>
  <c r="CP65" i="2"/>
  <c r="CT67" i="2"/>
  <c r="CV40" i="2"/>
  <c r="CJ40" i="2" s="1"/>
  <c r="DS64" i="2"/>
  <c r="DL64" i="2" s="1"/>
  <c r="BB64" i="2"/>
  <c r="AU64" i="2" s="1"/>
  <c r="CR23" i="2"/>
  <c r="CS51" i="2"/>
  <c r="BY49" i="2"/>
  <c r="BR49" i="2" s="1"/>
  <c r="BU67" i="2"/>
  <c r="DM23" i="2"/>
  <c r="CP35" i="2"/>
  <c r="CP47" i="2"/>
  <c r="CR33" i="2"/>
  <c r="CP25" i="2"/>
  <c r="AV25" i="2"/>
  <c r="DO43" i="2"/>
  <c r="BY40" i="2"/>
  <c r="BM40" i="2" s="1"/>
  <c r="CV45" i="2"/>
  <c r="CO45" i="2" s="1"/>
  <c r="BY65" i="2"/>
  <c r="BR65" i="2" s="1"/>
  <c r="DQ54" i="2"/>
  <c r="DS67" i="2"/>
  <c r="DB67" i="2" s="1"/>
  <c r="CP32" i="2"/>
  <c r="DM33" i="2"/>
  <c r="AZ34" i="2"/>
  <c r="CT48" i="2"/>
  <c r="BU48" i="2"/>
  <c r="AX27" i="2"/>
  <c r="CR29" i="2"/>
  <c r="BU24" i="2"/>
  <c r="AV43" i="2"/>
  <c r="DO58" i="2"/>
  <c r="DO99" i="2" s="1"/>
  <c r="DM66" i="2"/>
  <c r="AX54" i="2"/>
  <c r="BB60" i="2"/>
  <c r="AK60" i="2" s="1"/>
  <c r="CP44" i="2"/>
  <c r="CP60" i="2"/>
  <c r="DQ30" i="2"/>
  <c r="CR21" i="2"/>
  <c r="CP38" i="2"/>
  <c r="AX34" i="2"/>
  <c r="AX38" i="2"/>
  <c r="DO49" i="2"/>
  <c r="AZ49" i="2"/>
  <c r="AZ48" i="2"/>
  <c r="CR27" i="2"/>
  <c r="BS27" i="2"/>
  <c r="DQ22" i="2"/>
  <c r="DQ25" i="2"/>
  <c r="DQ40" i="2"/>
  <c r="AX66" i="2"/>
  <c r="CT66" i="2"/>
  <c r="BS28" i="2"/>
  <c r="BW41" i="2"/>
  <c r="CR54" i="2"/>
  <c r="BB41" i="2"/>
  <c r="AU41" i="2" s="1"/>
  <c r="DQ60" i="2"/>
  <c r="BU64" i="2"/>
  <c r="CT32" i="2"/>
  <c r="DS32" i="2"/>
  <c r="DL32" i="2" s="1"/>
  <c r="BS52" i="2"/>
  <c r="DQ52" i="2"/>
  <c r="CT64" i="2"/>
  <c r="CE51" i="2"/>
  <c r="CO51" i="2"/>
  <c r="AV30" i="2"/>
  <c r="AV21" i="2"/>
  <c r="BY21" i="2"/>
  <c r="BR21" i="2" s="1"/>
  <c r="DM42" i="2"/>
  <c r="CT58" i="2"/>
  <c r="CT99" i="2" s="1"/>
  <c r="DO22" i="2"/>
  <c r="CR49" i="2"/>
  <c r="BS49" i="2"/>
  <c r="AV42" i="2"/>
  <c r="DO42" i="2"/>
  <c r="BB46" i="2"/>
  <c r="AU46" i="2" s="1"/>
  <c r="CT43" i="2"/>
  <c r="CP62" i="2"/>
  <c r="DO62" i="2"/>
  <c r="CR56" i="2"/>
  <c r="BU40" i="2"/>
  <c r="DO68" i="2"/>
  <c r="CP28" i="2"/>
  <c r="DQ41" i="2"/>
  <c r="BB48" i="2"/>
  <c r="AP48" i="2" s="1"/>
  <c r="CR67" i="2"/>
  <c r="BY44" i="2"/>
  <c r="BH44" i="2" s="1"/>
  <c r="BB23" i="2"/>
  <c r="AP23" i="2" s="1"/>
  <c r="AX32" i="2"/>
  <c r="AZ23" i="2"/>
  <c r="BU32" i="2"/>
  <c r="DO60" i="2"/>
  <c r="CR35" i="2"/>
  <c r="DB51" i="2"/>
  <c r="CQ51" i="2"/>
  <c r="DS36" i="2"/>
  <c r="DG36" i="2" s="1"/>
  <c r="BW42" i="2"/>
  <c r="DM39" i="2"/>
  <c r="DS38" i="2"/>
  <c r="DB38" i="2" s="1"/>
  <c r="BB31" i="2"/>
  <c r="AK31" i="2" s="1"/>
  <c r="DM31" i="2"/>
  <c r="AX49" i="2"/>
  <c r="BW37" i="2"/>
  <c r="BS68" i="2"/>
  <c r="DO63" i="2"/>
  <c r="AX52" i="2"/>
  <c r="BW13" i="2"/>
  <c r="CV16" i="2"/>
  <c r="CJ16" i="2" s="1"/>
  <c r="BU9" i="2"/>
  <c r="BS19" i="2"/>
  <c r="BU17" i="2"/>
  <c r="BS12" i="2"/>
  <c r="DM19" i="2"/>
  <c r="CT18" i="2"/>
  <c r="CT19" i="2"/>
  <c r="BS18" i="2"/>
  <c r="DR14" i="2"/>
  <c r="CU14" i="2"/>
  <c r="CR7" i="2"/>
  <c r="AV17" i="2"/>
  <c r="CP16" i="2"/>
  <c r="DQ6" i="2"/>
  <c r="CR18" i="2"/>
  <c r="CR16" i="2"/>
  <c r="AV13" i="2"/>
  <c r="DO17" i="2"/>
  <c r="AX17" i="2"/>
  <c r="CP7" i="2"/>
  <c r="BS20" i="2"/>
  <c r="DS12" i="2"/>
  <c r="DB12" i="2" s="1"/>
  <c r="AV15" i="2"/>
  <c r="DO19" i="2"/>
  <c r="AX19" i="2"/>
  <c r="CT9" i="2"/>
  <c r="CV7" i="2"/>
  <c r="CJ7" i="2" s="1"/>
  <c r="BS8" i="2"/>
  <c r="BB9" i="2"/>
  <c r="AP9" i="2" s="1"/>
  <c r="AZ9" i="2"/>
  <c r="BS9" i="2"/>
  <c r="DO6" i="2"/>
  <c r="BY7" i="2"/>
  <c r="BR7" i="2" s="1"/>
  <c r="DM7" i="2"/>
  <c r="CT6" i="2"/>
  <c r="BW6" i="2"/>
  <c r="AV6" i="2"/>
  <c r="CP6" i="2"/>
  <c r="DQ5" i="2"/>
  <c r="BY5" i="2"/>
  <c r="BH5" i="2" s="1"/>
  <c r="AX5" i="2"/>
  <c r="DO5" i="2"/>
  <c r="DM5" i="2"/>
  <c r="AZ5" i="2"/>
  <c r="BW5" i="2"/>
  <c r="BW31" i="2"/>
  <c r="AZ33" i="2"/>
  <c r="DM63" i="2"/>
  <c r="AW51" i="2"/>
  <c r="BA51" i="2"/>
  <c r="AZ13" i="2"/>
  <c r="AZ19" i="2"/>
  <c r="CS14" i="2"/>
  <c r="DO36" i="2"/>
  <c r="BW30" i="2"/>
  <c r="BY30" i="2"/>
  <c r="BM30" i="2" s="1"/>
  <c r="AX21" i="2"/>
  <c r="BS38" i="2"/>
  <c r="AV38" i="2"/>
  <c r="DM16" i="2"/>
  <c r="CR48" i="2"/>
  <c r="AZ8" i="2"/>
  <c r="AV48" i="2"/>
  <c r="DM12" i="2"/>
  <c r="DS46" i="2"/>
  <c r="DB46" i="2" s="1"/>
  <c r="CP9" i="2"/>
  <c r="BY25" i="2"/>
  <c r="BH25" i="2" s="1"/>
  <c r="AZ12" i="2"/>
  <c r="AX46" i="2"/>
  <c r="CV22" i="2"/>
  <c r="CE22" i="2" s="1"/>
  <c r="BW66" i="2"/>
  <c r="CR64" i="2"/>
  <c r="BU52" i="2"/>
  <c r="BT14" i="2"/>
  <c r="DS8" i="2"/>
  <c r="DB8" i="2" s="1"/>
  <c r="AZ42" i="2"/>
  <c r="BW34" i="2"/>
  <c r="CP46" i="2"/>
  <c r="DO16" i="2"/>
  <c r="BW55" i="2"/>
  <c r="DQ36" i="2"/>
  <c r="DO33" i="2"/>
  <c r="BY38" i="2"/>
  <c r="BH38" i="2" s="1"/>
  <c r="BB24" i="2"/>
  <c r="DM36" i="2"/>
  <c r="CT30" i="2"/>
  <c r="CP42" i="2"/>
  <c r="CP34" i="2"/>
  <c r="BW39" i="2"/>
  <c r="BY31" i="2"/>
  <c r="BR31" i="2" s="1"/>
  <c r="DQ31" i="2"/>
  <c r="CP31" i="2"/>
  <c r="BW33" i="2"/>
  <c r="CT33" i="2"/>
  <c r="BS58" i="2"/>
  <c r="BS99" i="2" s="1"/>
  <c r="CP20" i="2"/>
  <c r="CP48" i="2"/>
  <c r="CT5" i="2"/>
  <c r="AX68" i="2"/>
  <c r="DM28" i="2"/>
  <c r="AZ41" i="2"/>
  <c r="CP54" i="2"/>
  <c r="BW44" i="2"/>
  <c r="BB45" i="2"/>
  <c r="AV23" i="2"/>
  <c r="BU36" i="2"/>
  <c r="BY48" i="2"/>
  <c r="BM48" i="2" s="1"/>
  <c r="BY46" i="2"/>
  <c r="BH46" i="2" s="1"/>
  <c r="DQ56" i="2"/>
  <c r="AX33" i="2"/>
  <c r="BW49" i="2"/>
  <c r="AX62" i="2"/>
  <c r="DS18" i="2"/>
  <c r="DL18" i="2" s="1"/>
  <c r="DP51" i="2"/>
  <c r="DN51" i="2"/>
  <c r="AV36" i="2"/>
  <c r="DQ42" i="2"/>
  <c r="CR34" i="2"/>
  <c r="BU49" i="2"/>
  <c r="DO48" i="2"/>
  <c r="DM37" i="2"/>
  <c r="DO30" i="2"/>
  <c r="DS16" i="2"/>
  <c r="DB16" i="2" s="1"/>
  <c r="BW16" i="2"/>
  <c r="BB49" i="2"/>
  <c r="AU49" i="2" s="1"/>
  <c r="AX48" i="2"/>
  <c r="AX42" i="2"/>
  <c r="AV55" i="2"/>
  <c r="CP15" i="2"/>
  <c r="AZ15" i="2"/>
  <c r="BS15" i="2"/>
  <c r="DS6" i="2"/>
  <c r="DG6" i="2" s="1"/>
  <c r="DS55" i="2"/>
  <c r="DG55" i="2" s="1"/>
  <c r="DO7" i="2"/>
  <c r="CP67" i="2"/>
  <c r="CV67" i="2"/>
  <c r="CJ67" i="2" s="1"/>
  <c r="BS32" i="2"/>
  <c r="BB44" i="2"/>
  <c r="BW32" i="2"/>
  <c r="BB47" i="2"/>
  <c r="AU47" i="2" s="1"/>
  <c r="DM38" i="2"/>
  <c r="DM30" i="2"/>
  <c r="DO38" i="2"/>
  <c r="BV51" i="2"/>
  <c r="BX51" i="2"/>
  <c r="CP30" i="2"/>
  <c r="BS39" i="2"/>
  <c r="CP39" i="2"/>
  <c r="DQ16" i="2"/>
  <c r="AZ59" i="2"/>
  <c r="CV57" i="2"/>
  <c r="CO57" i="2" s="1"/>
  <c r="CV41" i="2"/>
  <c r="CE41" i="2" s="1"/>
  <c r="BS45" i="2"/>
  <c r="BS36" i="2"/>
  <c r="CT21" i="2"/>
  <c r="CR36" i="2"/>
  <c r="CV30" i="2"/>
  <c r="CJ30" i="2" s="1"/>
  <c r="BS21" i="2"/>
  <c r="CV33" i="2"/>
  <c r="CE33" i="2" s="1"/>
  <c r="AX39" i="2"/>
  <c r="BB42" i="2"/>
  <c r="CR42" i="2"/>
  <c r="AV34" i="2"/>
  <c r="DO34" i="2"/>
  <c r="DM34" i="2"/>
  <c r="AV46" i="2"/>
  <c r="DS48" i="2"/>
  <c r="DB48" i="2" s="1"/>
  <c r="AZ16" i="2"/>
  <c r="DQ48" i="2"/>
  <c r="BU59" i="2"/>
  <c r="DQ12" i="2"/>
  <c r="DS7" i="2"/>
  <c r="DL7" i="2" s="1"/>
  <c r="BS7" i="2"/>
  <c r="CV53" i="2"/>
  <c r="BU66" i="2"/>
  <c r="CT54" i="2"/>
  <c r="AX18" i="2"/>
  <c r="BT51" i="2"/>
  <c r="DO11" i="2"/>
  <c r="BB7" i="2"/>
  <c r="AP7" i="2" s="1"/>
  <c r="BU12" i="2"/>
  <c r="CT46" i="2"/>
  <c r="DM59" i="2"/>
  <c r="AX59" i="2"/>
  <c r="BS6" i="2"/>
  <c r="AZ20" i="2"/>
  <c r="CV6" i="2"/>
  <c r="CE6" i="2" s="1"/>
  <c r="BW9" i="2"/>
  <c r="DM58" i="2"/>
  <c r="DM99" i="2" s="1"/>
  <c r="BS5" i="2"/>
  <c r="DM17" i="2"/>
  <c r="DM62" i="2"/>
  <c r="AZ40" i="2"/>
  <c r="BY68" i="2"/>
  <c r="DM57" i="2"/>
  <c r="BU57" i="2"/>
  <c r="BU45" i="2"/>
  <c r="BY45" i="2"/>
  <c r="BH45" i="2" s="1"/>
  <c r="CR41" i="2"/>
  <c r="CP41" i="2"/>
  <c r="DS66" i="2"/>
  <c r="AZ60" i="2"/>
  <c r="BW54" i="2"/>
  <c r="CP63" i="2"/>
  <c r="BW23" i="2"/>
  <c r="BU35" i="2"/>
  <c r="BU27" i="2"/>
  <c r="AV27" i="2"/>
  <c r="CP11" i="2"/>
  <c r="AV29" i="2"/>
  <c r="BW59" i="2"/>
  <c r="CV46" i="2"/>
  <c r="CR55" i="2"/>
  <c r="AZ6" i="2"/>
  <c r="CV55" i="2"/>
  <c r="CO55" i="2" s="1"/>
  <c r="AV8" i="2"/>
  <c r="AV7" i="2"/>
  <c r="CT56" i="2"/>
  <c r="AZ57" i="2"/>
  <c r="CP57" i="2"/>
  <c r="AV58" i="2"/>
  <c r="AV99" i="2" s="1"/>
  <c r="CR37" i="2"/>
  <c r="BW45" i="2"/>
  <c r="DO28" i="2"/>
  <c r="BU15" i="2"/>
  <c r="BS41" i="2"/>
  <c r="DQ66" i="2"/>
  <c r="AV44" i="2"/>
  <c r="DQ44" i="2"/>
  <c r="DO64" i="2"/>
  <c r="BY32" i="2"/>
  <c r="BM32" i="2" s="1"/>
  <c r="DM32" i="2"/>
  <c r="BW52" i="2"/>
  <c r="AX64" i="2"/>
  <c r="BY18" i="2"/>
  <c r="BM18" i="2" s="1"/>
  <c r="BS23" i="2"/>
  <c r="DS23" i="2"/>
  <c r="DL23" i="2" s="1"/>
  <c r="CV34" i="2"/>
  <c r="CO34" i="2" s="1"/>
  <c r="CV38" i="2"/>
  <c r="CO38" i="2" s="1"/>
  <c r="AZ31" i="2"/>
  <c r="BW22" i="2"/>
  <c r="AV22" i="2"/>
  <c r="BS13" i="2"/>
  <c r="CV48" i="2"/>
  <c r="CJ48" i="2" s="1"/>
  <c r="AX22" i="2"/>
  <c r="DO13" i="2"/>
  <c r="AX12" i="2"/>
  <c r="DS9" i="2"/>
  <c r="DL9" i="2" s="1"/>
  <c r="DS29" i="2"/>
  <c r="BS24" i="2"/>
  <c r="CP37" i="2"/>
  <c r="AX20" i="2"/>
  <c r="BW20" i="2"/>
  <c r="DM6" i="2"/>
  <c r="CR5" i="2"/>
  <c r="AX9" i="2"/>
  <c r="DO12" i="2"/>
  <c r="DM55" i="2"/>
  <c r="DQ8" i="2"/>
  <c r="CP8" i="2"/>
  <c r="DM24" i="2"/>
  <c r="DO46" i="2"/>
  <c r="AV56" i="2"/>
  <c r="CP56" i="2"/>
  <c r="BB40" i="2"/>
  <c r="AU40" i="2" s="1"/>
  <c r="AV37" i="2"/>
  <c r="CT57" i="2"/>
  <c r="DQ62" i="2"/>
  <c r="AV66" i="2"/>
  <c r="DQ28" i="2"/>
  <c r="CR15" i="2"/>
  <c r="DO41" i="2"/>
  <c r="CR58" i="2"/>
  <c r="CR99" i="2" s="1"/>
  <c r="DQ65" i="2"/>
  <c r="AZ67" i="2"/>
  <c r="DM54" i="2"/>
  <c r="AX67" i="2"/>
  <c r="CV37" i="2"/>
  <c r="BU44" i="2"/>
  <c r="AV32" i="2"/>
  <c r="CR44" i="2"/>
  <c r="AX47" i="2"/>
  <c r="AZ32" i="2"/>
  <c r="CV35" i="2"/>
  <c r="BH51" i="2"/>
  <c r="AY51" i="2"/>
  <c r="BY34" i="2"/>
  <c r="BM34" i="2" s="1"/>
  <c r="BS34" i="2"/>
  <c r="AV39" i="2"/>
  <c r="CR38" i="2"/>
  <c r="BS31" i="2"/>
  <c r="BU33" i="2"/>
  <c r="BB33" i="2"/>
  <c r="AP33" i="2" s="1"/>
  <c r="BB22" i="2"/>
  <c r="AK22" i="2" s="1"/>
  <c r="DS27" i="2"/>
  <c r="DB27" i="2" s="1"/>
  <c r="DM27" i="2"/>
  <c r="CT27" i="2"/>
  <c r="CT7" i="2"/>
  <c r="DO45" i="2"/>
  <c r="AV20" i="2"/>
  <c r="DM20" i="2"/>
  <c r="CV25" i="2"/>
  <c r="BB53" i="2"/>
  <c r="AU53" i="2" s="1"/>
  <c r="DM53" i="2"/>
  <c r="DM43" i="2"/>
  <c r="BS29" i="2"/>
  <c r="DS22" i="2"/>
  <c r="AX56" i="2"/>
  <c r="AZ62" i="2"/>
  <c r="CT68" i="2"/>
  <c r="DQ68" i="2"/>
  <c r="CP68" i="2"/>
  <c r="BW68" i="2"/>
  <c r="CP66" i="2"/>
  <c r="DM45" i="2"/>
  <c r="AX28" i="2"/>
  <c r="BY41" i="2"/>
  <c r="BM41" i="2" s="1"/>
  <c r="BW60" i="2"/>
  <c r="AV41" i="2"/>
  <c r="CT41" i="2"/>
  <c r="DO66" i="2"/>
  <c r="DM67" i="2"/>
  <c r="BS67" i="2"/>
  <c r="BB67" i="2"/>
  <c r="AP67" i="2" s="1"/>
  <c r="BU60" i="2"/>
  <c r="DQ64" i="2"/>
  <c r="CT47" i="2"/>
  <c r="BU47" i="2"/>
  <c r="AX40" i="2"/>
  <c r="DQ32" i="2"/>
  <c r="BW64" i="2"/>
  <c r="CJ35" i="2"/>
  <c r="CE14" i="2"/>
  <c r="DQ13" i="2"/>
  <c r="AZ7" i="2"/>
  <c r="DM9" i="2"/>
  <c r="CP29" i="2"/>
  <c r="CR59" i="2"/>
  <c r="DQ15" i="2"/>
  <c r="DO15" i="2"/>
  <c r="BY12" i="2"/>
  <c r="BM12" i="2" s="1"/>
  <c r="BU25" i="2"/>
  <c r="BW58" i="2"/>
  <c r="BW99" i="2" s="1"/>
  <c r="CR8" i="2"/>
  <c r="DM8" i="2"/>
  <c r="CV5" i="2"/>
  <c r="BU5" i="2"/>
  <c r="DM56" i="2"/>
  <c r="AZ56" i="2"/>
  <c r="AZ68" i="2"/>
  <c r="DO37" i="2"/>
  <c r="DM68" i="2"/>
  <c r="CT63" i="2"/>
  <c r="AZ66" i="2"/>
  <c r="AZ28" i="2"/>
  <c r="DS53" i="2"/>
  <c r="DL53" i="2" s="1"/>
  <c r="BS65" i="2"/>
  <c r="DO24" i="2"/>
  <c r="AV19" i="2"/>
  <c r="AZ18" i="2"/>
  <c r="CR32" i="2"/>
  <c r="BU63" i="2"/>
  <c r="DM44" i="2"/>
  <c r="BB63" i="2"/>
  <c r="AU63" i="2" s="1"/>
  <c r="AZ35" i="2"/>
  <c r="CP24" i="2"/>
  <c r="DO23" i="2"/>
  <c r="CT35" i="2"/>
  <c r="DL51" i="2"/>
  <c r="CO6" i="2"/>
  <c r="DS24" i="2"/>
  <c r="CV36" i="2"/>
  <c r="CO36" i="2" s="1"/>
  <c r="AZ39" i="2"/>
  <c r="BB39" i="2"/>
  <c r="AK39" i="2" s="1"/>
  <c r="DO31" i="2"/>
  <c r="CV27" i="2"/>
  <c r="CO27" i="2" s="1"/>
  <c r="CV11" i="2"/>
  <c r="CO11" i="2" s="1"/>
  <c r="BB58" i="2"/>
  <c r="BB99" i="2" s="1"/>
  <c r="AX55" i="2"/>
  <c r="CV62" i="2"/>
  <c r="CO62" i="2" s="1"/>
  <c r="CV31" i="2"/>
  <c r="CJ31" i="2" s="1"/>
  <c r="CR68" i="2"/>
  <c r="BB16" i="2"/>
  <c r="AP16" i="2" s="1"/>
  <c r="BY67" i="2"/>
  <c r="BH67" i="2" s="1"/>
  <c r="CV63" i="2"/>
  <c r="CE63" i="2" s="1"/>
  <c r="BB27" i="2"/>
  <c r="AU27" i="2" s="1"/>
  <c r="AV63" i="2"/>
  <c r="AZ63" i="2"/>
  <c r="BS54" i="2"/>
  <c r="AX60" i="2"/>
  <c r="DS57" i="2"/>
  <c r="DL57" i="2" s="1"/>
  <c r="CR53" i="2"/>
  <c r="BY52" i="2"/>
  <c r="BM52" i="2" s="1"/>
  <c r="BB21" i="2"/>
  <c r="AP21" i="2" s="1"/>
  <c r="CP59" i="2"/>
  <c r="BU20" i="2"/>
  <c r="BW43" i="2"/>
  <c r="AZ43" i="2"/>
  <c r="CR24" i="2"/>
  <c r="AX65" i="2"/>
  <c r="AZ30" i="2"/>
  <c r="BW27" i="2"/>
  <c r="AZ11" i="2"/>
  <c r="DM11" i="2"/>
  <c r="BS37" i="2"/>
  <c r="DO55" i="2"/>
  <c r="CV56" i="2"/>
  <c r="CE56" i="2" s="1"/>
  <c r="CR57" i="2"/>
  <c r="DS63" i="2"/>
  <c r="DL63" i="2" s="1"/>
  <c r="BY53" i="2"/>
  <c r="CT28" i="2"/>
  <c r="BB8" i="2"/>
  <c r="AP8" i="2" s="1"/>
  <c r="BY64" i="2"/>
  <c r="BR64" i="2" s="1"/>
  <c r="DS21" i="2"/>
  <c r="DG21" i="2" s="1"/>
  <c r="DQ34" i="2"/>
  <c r="BS16" i="2"/>
  <c r="BU11" i="2"/>
  <c r="CT25" i="2"/>
  <c r="DM60" i="2"/>
  <c r="BB19" i="2"/>
  <c r="AP19" i="2" s="1"/>
  <c r="CV47" i="2"/>
  <c r="CE47" i="2" s="1"/>
  <c r="BR51" i="2"/>
  <c r="BY9" i="2"/>
  <c r="BM9" i="2" s="1"/>
  <c r="AV9" i="2"/>
  <c r="BB6" i="2"/>
  <c r="AU6" i="2" s="1"/>
  <c r="BY54" i="2"/>
  <c r="BH54" i="2" s="1"/>
  <c r="BY66" i="2"/>
  <c r="BM66" i="2" s="1"/>
  <c r="DQ39" i="2"/>
  <c r="DS49" i="2"/>
  <c r="DB49" i="2" s="1"/>
  <c r="BY13" i="2"/>
  <c r="BH13" i="2" s="1"/>
  <c r="BU8" i="2"/>
  <c r="BW11" i="2"/>
  <c r="AZ17" i="2"/>
  <c r="AV11" i="2"/>
  <c r="CV59" i="2"/>
  <c r="CJ59" i="2" s="1"/>
  <c r="AZ29" i="2"/>
  <c r="BY59" i="2"/>
  <c r="BM59" i="2" s="1"/>
  <c r="BB12" i="2"/>
  <c r="AP12" i="2" s="1"/>
  <c r="AX8" i="2"/>
  <c r="BB29" i="2"/>
  <c r="CR45" i="2"/>
  <c r="AV54" i="2"/>
  <c r="CR66" i="2"/>
  <c r="DO44" i="2"/>
  <c r="AZ44" i="2"/>
  <c r="BW47" i="2"/>
  <c r="BS60" i="2"/>
  <c r="DS37" i="2"/>
  <c r="DL37" i="2" s="1"/>
  <c r="BY17" i="2"/>
  <c r="BH17" i="2" s="1"/>
  <c r="AV59" i="2"/>
  <c r="CV49" i="2"/>
  <c r="BB17" i="2"/>
  <c r="AK17" i="2" s="1"/>
  <c r="DS68" i="2"/>
  <c r="DG68" i="2" s="1"/>
  <c r="BW53" i="2"/>
  <c r="BB57" i="2"/>
  <c r="AU57" i="2" s="1"/>
  <c r="CV64" i="2"/>
  <c r="CE64" i="2" s="1"/>
  <c r="CV39" i="2"/>
  <c r="CE39" i="2" s="1"/>
  <c r="BW63" i="2"/>
  <c r="CT13" i="2"/>
  <c r="CV24" i="2"/>
  <c r="CE24" i="2" s="1"/>
  <c r="BY20" i="2"/>
  <c r="BR20" i="2" s="1"/>
  <c r="DS20" i="2"/>
  <c r="DB20" i="2" s="1"/>
  <c r="CP53" i="2"/>
  <c r="CT53" i="2"/>
  <c r="DS62" i="2"/>
  <c r="DG62" i="2" s="1"/>
  <c r="BB66" i="2"/>
  <c r="CV44" i="2"/>
  <c r="CO44" i="2" s="1"/>
  <c r="BY8" i="2"/>
  <c r="BR8" i="2" s="1"/>
  <c r="DS39" i="2"/>
  <c r="DB39" i="2" s="1"/>
  <c r="DQ33" i="2"/>
  <c r="BW8" i="2"/>
  <c r="DS45" i="2"/>
  <c r="DS31" i="2"/>
  <c r="DL31" i="2" s="1"/>
  <c r="DS43" i="2"/>
  <c r="DB43" i="2" s="1"/>
  <c r="AX6" i="2"/>
  <c r="CT45" i="2"/>
  <c r="CR28" i="2"/>
  <c r="BB28" i="2"/>
  <c r="AP28" i="2" s="1"/>
  <c r="CT65" i="2"/>
  <c r="DS52" i="2"/>
  <c r="DL52" i="2" s="1"/>
  <c r="BY28" i="2"/>
  <c r="BM28" i="2" s="1"/>
  <c r="AZ21" i="2"/>
  <c r="CT38" i="2"/>
  <c r="CV9" i="2"/>
  <c r="CO9" i="2" s="1"/>
  <c r="BB25" i="2"/>
  <c r="CV28" i="2"/>
  <c r="CJ28" i="2" s="1"/>
  <c r="BY43" i="2"/>
  <c r="DS30" i="2"/>
  <c r="DB30" i="2" s="1"/>
  <c r="CT31" i="2"/>
  <c r="BW7" i="2"/>
  <c r="AV57" i="2"/>
  <c r="AZ58" i="2"/>
  <c r="AZ99" i="2" s="1"/>
  <c r="BB36" i="2"/>
  <c r="CV12" i="2"/>
  <c r="CE12" i="2" s="1"/>
  <c r="DS54" i="2"/>
  <c r="DB54" i="2" s="1"/>
  <c r="DL14" i="2"/>
  <c r="DG14" i="2"/>
  <c r="DB14" i="2"/>
  <c r="BS33" i="2"/>
  <c r="CP49" i="2"/>
  <c r="AZ27" i="2"/>
  <c r="CP17" i="2"/>
  <c r="DQ11" i="2"/>
  <c r="DS5" i="2"/>
  <c r="DB5" i="2" s="1"/>
  <c r="CP18" i="2"/>
  <c r="DS58" i="2"/>
  <c r="DS99" i="2" s="1"/>
  <c r="BY36" i="2"/>
  <c r="BB30" i="2"/>
  <c r="AK30" i="2" s="1"/>
  <c r="DS33" i="2"/>
  <c r="DB33" i="2" s="1"/>
  <c r="BY42" i="2"/>
  <c r="DM48" i="2"/>
  <c r="CT22" i="2"/>
  <c r="DS59" i="2"/>
  <c r="DB59" i="2" s="1"/>
  <c r="AX29" i="2"/>
  <c r="BB15" i="2"/>
  <c r="AP15" i="2" s="1"/>
  <c r="DS40" i="2"/>
  <c r="DG40" i="2" s="1"/>
  <c r="BU37" i="2"/>
  <c r="BU54" i="2"/>
  <c r="DO47" i="2"/>
  <c r="DS11" i="2"/>
  <c r="DG11" i="2" s="1"/>
  <c r="BB34" i="2"/>
  <c r="AU34" i="2" s="1"/>
  <c r="BU46" i="2"/>
  <c r="DM22" i="2"/>
  <c r="BU16" i="2"/>
  <c r="BY22" i="2"/>
  <c r="BM22" i="2" s="1"/>
  <c r="BS48" i="2"/>
  <c r="DQ59" i="2"/>
  <c r="BS59" i="2"/>
  <c r="BB43" i="2"/>
  <c r="AP43" i="2" s="1"/>
  <c r="CT20" i="2"/>
  <c r="BW62" i="2"/>
  <c r="CV58" i="2"/>
  <c r="CV99" i="2" s="1"/>
  <c r="BW18" i="2"/>
  <c r="BB37" i="2"/>
  <c r="AP37" i="2" s="1"/>
  <c r="BY47" i="2"/>
  <c r="BS47" i="2"/>
  <c r="BY6" i="2"/>
  <c r="BM6" i="2" s="1"/>
  <c r="CV20" i="2"/>
  <c r="CO20" i="2" s="1"/>
  <c r="BY19" i="2"/>
  <c r="BY16" i="2"/>
  <c r="BM16" i="2" s="1"/>
  <c r="CV32" i="2"/>
  <c r="CJ32" i="2" s="1"/>
  <c r="BW21" i="2"/>
  <c r="CV42" i="2"/>
  <c r="CE42" i="2" s="1"/>
  <c r="CV13" i="2"/>
  <c r="BB11" i="2"/>
  <c r="AK11" i="2" s="1"/>
  <c r="DQ7" i="2"/>
  <c r="AX15" i="2"/>
  <c r="CR9" i="2"/>
  <c r="CP52" i="2"/>
  <c r="CP36" i="2"/>
  <c r="CT34" i="2"/>
  <c r="AZ46" i="2"/>
  <c r="AZ45" i="2"/>
  <c r="AZ37" i="2"/>
  <c r="DO25" i="2"/>
  <c r="DS56" i="2"/>
  <c r="BB5" i="2"/>
  <c r="CV65" i="2"/>
  <c r="CO65" i="2" s="1"/>
  <c r="DO18" i="2"/>
  <c r="CO14" i="2"/>
  <c r="BY39" i="2"/>
  <c r="BR39" i="2" s="1"/>
  <c r="AX31" i="2"/>
  <c r="AV33" i="2"/>
  <c r="CP5" i="2"/>
  <c r="AX7" i="2"/>
  <c r="DM29" i="2"/>
  <c r="BW46" i="2"/>
  <c r="BU55" i="2"/>
  <c r="AZ53" i="2"/>
  <c r="BY58" i="2"/>
  <c r="BW56" i="2"/>
  <c r="DQ57" i="2"/>
  <c r="BW57" i="2"/>
  <c r="BW65" i="2"/>
  <c r="DQ67" i="2"/>
  <c r="BB32" i="2"/>
  <c r="AP32" i="2" s="1"/>
  <c r="BB56" i="2"/>
  <c r="AP56" i="2" s="1"/>
  <c r="CR63" i="2"/>
  <c r="CR19" i="2"/>
  <c r="CT24" i="2"/>
  <c r="AZ52" i="2"/>
  <c r="CR47" i="2"/>
  <c r="BY56" i="2"/>
  <c r="BR56" i="2" s="1"/>
  <c r="CT23" i="2"/>
  <c r="DQ21" i="2"/>
  <c r="CP21" i="2"/>
  <c r="CV21" i="2"/>
  <c r="CE21" i="2" s="1"/>
  <c r="CT42" i="2"/>
  <c r="AZ38" i="2"/>
  <c r="BY33" i="2"/>
  <c r="BH33" i="2" s="1"/>
  <c r="AV16" i="2"/>
  <c r="AV49" i="2"/>
  <c r="AZ22" i="2"/>
  <c r="BB13" i="2"/>
  <c r="DO59" i="2"/>
  <c r="BW15" i="2"/>
  <c r="AX58" i="2"/>
  <c r="AX99" i="2" s="1"/>
  <c r="CP58" i="2"/>
  <c r="CP99" i="2" s="1"/>
  <c r="CV66" i="2"/>
  <c r="BW28" i="2"/>
  <c r="CP19" i="2"/>
  <c r="BW35" i="2"/>
  <c r="CT60" i="2"/>
  <c r="DQ35" i="2"/>
  <c r="DS42" i="2"/>
  <c r="DB42" i="2" s="1"/>
  <c r="CT8" i="2"/>
  <c r="DQ29" i="2"/>
  <c r="CP12" i="2"/>
  <c r="CV54" i="2"/>
  <c r="CJ54" i="2" s="1"/>
  <c r="BY63" i="2"/>
  <c r="BM63" i="2" s="1"/>
  <c r="DM18" i="2"/>
  <c r="CP13" i="2"/>
  <c r="CP27" i="2"/>
  <c r="CR20" i="2"/>
  <c r="BU6" i="2"/>
  <c r="CT62" i="2"/>
  <c r="DQ63" i="2"/>
  <c r="BB54" i="2"/>
  <c r="AK54" i="2" s="1"/>
  <c r="CV23" i="2"/>
  <c r="CJ23" i="2" s="1"/>
  <c r="CV52" i="2"/>
  <c r="CJ52" i="2" s="1"/>
  <c r="DS35" i="2"/>
  <c r="DB35" i="2" s="1"/>
  <c r="AZ47" i="2"/>
  <c r="AX13" i="2"/>
  <c r="CP22" i="2"/>
  <c r="BU7" i="2"/>
  <c r="BW12" i="2"/>
  <c r="CT15" i="2"/>
  <c r="BW17" i="2"/>
  <c r="CR43" i="2"/>
  <c r="AV62" i="2"/>
  <c r="CR62" i="2"/>
  <c r="BB68" i="2"/>
  <c r="AP68" i="2" s="1"/>
  <c r="AV68" i="2"/>
  <c r="BW36" i="2"/>
  <c r="CR39" i="2"/>
  <c r="BW38" i="2"/>
  <c r="DQ46" i="2"/>
  <c r="AX16" i="2"/>
  <c r="DQ49" i="2"/>
  <c r="BW48" i="2"/>
  <c r="DQ27" i="2"/>
  <c r="DQ58" i="2"/>
  <c r="DQ99" i="2" s="1"/>
  <c r="BB59" i="2"/>
  <c r="AK59" i="2" s="1"/>
  <c r="DS15" i="2"/>
  <c r="CR6" i="2"/>
  <c r="BS53" i="2"/>
  <c r="DM40" i="2"/>
  <c r="BS40" i="2"/>
  <c r="BU68" i="2"/>
  <c r="BY57" i="2"/>
  <c r="BU28" i="2"/>
  <c r="BB18" i="2"/>
  <c r="BB65" i="2"/>
  <c r="AK65" i="2" s="1"/>
  <c r="DO67" i="2"/>
  <c r="BU29" i="2"/>
  <c r="AV64" i="2"/>
  <c r="DQ19" i="2"/>
  <c r="DS47" i="2"/>
  <c r="DL47" i="2" s="1"/>
  <c r="AZ64" i="2"/>
  <c r="DS17" i="2"/>
  <c r="DB17" i="2" s="1"/>
  <c r="BU41" i="2"/>
  <c r="DQ23" i="2"/>
  <c r="AZ36" i="2"/>
  <c r="DS34" i="2"/>
  <c r="DM13" i="2"/>
  <c r="AZ55" i="2"/>
  <c r="CP45" i="2"/>
  <c r="CV60" i="2"/>
  <c r="CJ60" i="2" s="1"/>
  <c r="BU39" i="2"/>
  <c r="BS11" i="2"/>
  <c r="DQ20" i="2"/>
  <c r="CR25" i="2"/>
  <c r="BS43" i="2"/>
  <c r="DQ43" i="2"/>
  <c r="DO56" i="2"/>
  <c r="DM52" i="2"/>
  <c r="CP64" i="2"/>
  <c r="DS19" i="2"/>
  <c r="DL19" i="2" s="1"/>
  <c r="AX30" i="2"/>
  <c r="CT16" i="2"/>
  <c r="BS46" i="2"/>
  <c r="BY37" i="2"/>
  <c r="BH37" i="2" s="1"/>
  <c r="BS63" i="2"/>
  <c r="AZ65" i="2"/>
  <c r="DS65" i="2"/>
  <c r="DL65" i="2" s="1"/>
  <c r="BW19" i="2"/>
  <c r="CR30" i="2"/>
  <c r="DM21" i="2"/>
  <c r="DQ38" i="2"/>
  <c r="BY27" i="2"/>
  <c r="BH27" i="2" s="1"/>
  <c r="BS17" i="2"/>
  <c r="DO8" i="2"/>
  <c r="BW29" i="2"/>
  <c r="AZ24" i="2"/>
  <c r="AZ25" i="2"/>
  <c r="CT55" i="2"/>
  <c r="BW40" i="2"/>
  <c r="BS57" i="2"/>
  <c r="AX37" i="2"/>
  <c r="CT44" i="2"/>
  <c r="BY60" i="2"/>
  <c r="BM60" i="2" s="1"/>
  <c r="BY29" i="2"/>
  <c r="BB35" i="2"/>
  <c r="AK35" i="2" s="1"/>
  <c r="AX61" i="2"/>
  <c r="DM50" i="2"/>
  <c r="CV10" i="2"/>
  <c r="CJ10" i="2" s="1"/>
  <c r="DS50" i="2"/>
  <c r="DL50" i="2" s="1"/>
  <c r="DQ26" i="2"/>
  <c r="DO10" i="2"/>
  <c r="CV50" i="2"/>
  <c r="CE50" i="2" s="1"/>
  <c r="DO50" i="2"/>
  <c r="DS26" i="2"/>
  <c r="DL26" i="2" s="1"/>
  <c r="DQ61" i="2"/>
  <c r="DS10" i="2"/>
  <c r="DG10" i="2" s="1"/>
  <c r="CT61" i="2"/>
  <c r="DO26" i="2"/>
  <c r="DS61" i="2"/>
  <c r="DQ50" i="2"/>
  <c r="DM26" i="2"/>
  <c r="DO61" i="2"/>
  <c r="DQ10" i="2"/>
  <c r="DM10" i="2"/>
  <c r="DM61" i="2"/>
  <c r="CP61" i="2"/>
  <c r="BW10" i="2"/>
  <c r="BY61" i="2"/>
  <c r="S19" i="49"/>
  <c r="BY10" i="2"/>
  <c r="CR61" i="2"/>
  <c r="CP10" i="2"/>
  <c r="CR26" i="2"/>
  <c r="BS10" i="2"/>
  <c r="BY26" i="2"/>
  <c r="BR26" i="2" s="1"/>
  <c r="BU61" i="2"/>
  <c r="S19" i="42"/>
  <c r="CT50" i="2"/>
  <c r="CP26" i="2"/>
  <c r="BY50" i="2"/>
  <c r="BR50" i="2" s="1"/>
  <c r="BW61" i="2"/>
  <c r="CV61" i="2"/>
  <c r="BS26" i="2"/>
  <c r="BU50" i="2"/>
  <c r="BU26" i="2"/>
  <c r="S19" i="46"/>
  <c r="CR50" i="2"/>
  <c r="CT10" i="2"/>
  <c r="CT26" i="2"/>
  <c r="BU10" i="2"/>
  <c r="CP50" i="2"/>
  <c r="CV26" i="2"/>
  <c r="CJ26" i="2" s="1"/>
  <c r="BS61" i="2"/>
  <c r="S19" i="20"/>
  <c r="BS50" i="2"/>
  <c r="BW50" i="2"/>
  <c r="BW26" i="2"/>
  <c r="CR10" i="2"/>
  <c r="BB61" i="2"/>
  <c r="AZ61" i="2"/>
  <c r="AV61" i="2"/>
  <c r="AV10" i="2"/>
  <c r="AX26" i="2"/>
  <c r="BB50" i="2"/>
  <c r="AZ50" i="2"/>
  <c r="AZ26" i="2"/>
  <c r="AX50" i="2"/>
  <c r="AV26" i="2"/>
  <c r="AV50" i="2"/>
  <c r="P36" i="47"/>
  <c r="BB26" i="2"/>
  <c r="AK26" i="2" s="1"/>
  <c r="BB10" i="2"/>
  <c r="AK10" i="2" s="1"/>
  <c r="AZ10" i="2"/>
  <c r="AX10" i="2"/>
  <c r="D31" i="47"/>
  <c r="D31" i="49"/>
  <c r="D33" i="20"/>
  <c r="K28" i="46"/>
  <c r="M28" i="49"/>
  <c r="L28" i="46"/>
  <c r="D32" i="46"/>
  <c r="Q19" i="42"/>
  <c r="G40" i="49"/>
  <c r="G40" i="46"/>
  <c r="I5" i="46"/>
  <c r="P12" i="46" s="1"/>
  <c r="D32" i="47"/>
  <c r="I40" i="47"/>
  <c r="G5" i="49"/>
  <c r="D8" i="49" s="1"/>
  <c r="P36" i="49"/>
  <c r="P37" i="46"/>
  <c r="Q19" i="49"/>
  <c r="Q19" i="47"/>
  <c r="Q19" i="20"/>
  <c r="P37" i="20"/>
  <c r="D33" i="47"/>
  <c r="D12" i="20"/>
  <c r="K5" i="20" s="1"/>
  <c r="L28" i="49"/>
  <c r="I40" i="20"/>
  <c r="H40" i="49"/>
  <c r="M28" i="47"/>
  <c r="K28" i="20"/>
  <c r="D32" i="20"/>
  <c r="L28" i="20"/>
  <c r="K28" i="47"/>
  <c r="P36" i="20"/>
  <c r="H40" i="46"/>
  <c r="M28" i="46"/>
  <c r="P35" i="46"/>
  <c r="I5" i="20"/>
  <c r="P12" i="20" s="1"/>
  <c r="P35" i="47"/>
  <c r="P37" i="49"/>
  <c r="I40" i="46"/>
  <c r="G40" i="47"/>
  <c r="D33" i="46"/>
  <c r="M17" i="47"/>
  <c r="P14" i="47" s="1"/>
  <c r="R10" i="54"/>
  <c r="D31" i="46"/>
  <c r="D14" i="47"/>
  <c r="G17" i="47" s="1"/>
  <c r="D38" i="42"/>
  <c r="G41" i="42" s="1"/>
  <c r="P10" i="20"/>
  <c r="I17" i="20" s="1"/>
  <c r="H40" i="47"/>
  <c r="P36" i="46"/>
  <c r="D14" i="42"/>
  <c r="G17" i="42" s="1"/>
  <c r="P10" i="46"/>
  <c r="I17" i="46" s="1"/>
  <c r="D12" i="46"/>
  <c r="K5" i="46" s="1"/>
  <c r="L17" i="46"/>
  <c r="L5" i="46" s="1"/>
  <c r="D32" i="49"/>
  <c r="P8" i="46"/>
  <c r="M5" i="46" s="1"/>
  <c r="P35" i="20"/>
  <c r="L28" i="47"/>
  <c r="P37" i="47"/>
  <c r="H40" i="20"/>
  <c r="L5" i="52"/>
  <c r="P12" i="52"/>
  <c r="P13" i="53"/>
  <c r="K19" i="54"/>
  <c r="K5" i="40"/>
  <c r="P14" i="52"/>
  <c r="G17" i="53"/>
  <c r="BR58" i="2" l="1"/>
  <c r="BY99" i="2"/>
  <c r="AK5" i="2"/>
  <c r="AP5" i="2"/>
  <c r="BH61" i="2"/>
  <c r="CO61" i="2"/>
  <c r="DB61" i="2"/>
  <c r="AP29" i="2"/>
  <c r="CO29" i="2"/>
  <c r="BR29" i="2"/>
  <c r="DG29" i="2"/>
  <c r="BR41" i="2"/>
  <c r="BH65" i="2"/>
  <c r="AU31" i="2"/>
  <c r="BR15" i="2"/>
  <c r="DG60" i="2"/>
  <c r="BA53" i="2"/>
  <c r="CO16" i="2"/>
  <c r="AP20" i="2"/>
  <c r="DG25" i="2"/>
  <c r="DL25" i="2"/>
  <c r="CS29" i="2"/>
  <c r="AP31" i="2"/>
  <c r="CE15" i="2"/>
  <c r="CO17" i="2"/>
  <c r="BH18" i="2"/>
  <c r="CJ17" i="2"/>
  <c r="BM7" i="2"/>
  <c r="CO15" i="2"/>
  <c r="BT24" i="2"/>
  <c r="BH7" i="2"/>
  <c r="DG12" i="2"/>
  <c r="DL12" i="2"/>
  <c r="CU15" i="2"/>
  <c r="AK20" i="2"/>
  <c r="DR9" i="2"/>
  <c r="CO18" i="2"/>
  <c r="BM15" i="2"/>
  <c r="CJ18" i="2"/>
  <c r="BR18" i="2"/>
  <c r="DL16" i="2"/>
  <c r="CE16" i="2"/>
  <c r="AK7" i="2"/>
  <c r="BX18" i="2"/>
  <c r="CJ19" i="2"/>
  <c r="DR7" i="2"/>
  <c r="DB7" i="2"/>
  <c r="AY12" i="2"/>
  <c r="CJ8" i="2"/>
  <c r="CO8" i="2"/>
  <c r="DN9" i="2"/>
  <c r="DB6" i="2"/>
  <c r="AY6" i="2"/>
  <c r="CU16" i="2"/>
  <c r="BX15" i="2"/>
  <c r="AU9" i="2"/>
  <c r="AK9" i="2"/>
  <c r="BV13" i="2"/>
  <c r="DR17" i="2"/>
  <c r="AU55" i="2"/>
  <c r="DP17" i="2"/>
  <c r="DP9" i="2"/>
  <c r="AW17" i="2"/>
  <c r="CO19" i="2"/>
  <c r="DP8" i="2"/>
  <c r="AK52" i="2"/>
  <c r="BR11" i="2"/>
  <c r="CU7" i="2"/>
  <c r="BT13" i="2"/>
  <c r="AU52" i="2"/>
  <c r="BM11" i="2"/>
  <c r="BX13" i="2"/>
  <c r="AU11" i="2"/>
  <c r="AW19" i="2"/>
  <c r="AW11" i="2"/>
  <c r="AK16" i="2"/>
  <c r="AY15" i="2"/>
  <c r="CS17" i="2"/>
  <c r="BX9" i="2"/>
  <c r="AU33" i="2"/>
  <c r="BA45" i="2"/>
  <c r="DN6" i="2"/>
  <c r="DB13" i="2"/>
  <c r="BA13" i="2"/>
  <c r="AU16" i="2"/>
  <c r="BA17" i="2"/>
  <c r="DN17" i="2"/>
  <c r="BR62" i="2"/>
  <c r="DN12" i="2"/>
  <c r="AW65" i="2"/>
  <c r="BM67" i="2"/>
  <c r="CU55" i="2"/>
  <c r="AW15" i="2"/>
  <c r="CE7" i="2"/>
  <c r="DG28" i="2"/>
  <c r="AY18" i="2"/>
  <c r="DL13" i="2"/>
  <c r="BM62" i="2"/>
  <c r="CS13" i="2"/>
  <c r="CO7" i="2"/>
  <c r="BA16" i="2"/>
  <c r="BT15" i="2"/>
  <c r="CS6" i="2"/>
  <c r="BX12" i="2"/>
  <c r="DL28" i="2"/>
  <c r="DP55" i="2"/>
  <c r="BT42" i="2"/>
  <c r="DG67" i="2"/>
  <c r="CE62" i="2"/>
  <c r="BX24" i="2"/>
  <c r="BX42" i="2"/>
  <c r="CJ29" i="2"/>
  <c r="BV42" i="2"/>
  <c r="DR35" i="2"/>
  <c r="DR41" i="2"/>
  <c r="CQ40" i="2"/>
  <c r="DP65" i="2"/>
  <c r="CU40" i="2"/>
  <c r="DB41" i="2"/>
  <c r="DG41" i="2"/>
  <c r="CS40" i="2"/>
  <c r="AK23" i="2"/>
  <c r="DN24" i="2"/>
  <c r="DB37" i="2"/>
  <c r="DP53" i="2"/>
  <c r="CS25" i="2"/>
  <c r="AK49" i="2"/>
  <c r="CU23" i="2"/>
  <c r="BA43" i="2"/>
  <c r="CU31" i="2"/>
  <c r="AK67" i="2"/>
  <c r="CS32" i="2"/>
  <c r="DR49" i="2"/>
  <c r="CJ34" i="2"/>
  <c r="CE40" i="2"/>
  <c r="BR46" i="2"/>
  <c r="BA27" i="2"/>
  <c r="DR28" i="2"/>
  <c r="DR42" i="2"/>
  <c r="AY52" i="2"/>
  <c r="DR36" i="2"/>
  <c r="AY56" i="2"/>
  <c r="DP62" i="2"/>
  <c r="CU41" i="2"/>
  <c r="BM44" i="2"/>
  <c r="CQ41" i="2"/>
  <c r="DR46" i="2"/>
  <c r="BH32" i="2"/>
  <c r="CE55" i="2"/>
  <c r="BM65" i="2"/>
  <c r="AY23" i="2"/>
  <c r="DN68" i="2"/>
  <c r="DR39" i="2"/>
  <c r="AP49" i="2"/>
  <c r="DR62" i="2"/>
  <c r="DG31" i="2"/>
  <c r="CE38" i="2"/>
  <c r="CU34" i="2"/>
  <c r="AU23" i="2"/>
  <c r="AK55" i="2"/>
  <c r="CQ42" i="2"/>
  <c r="DN33" i="2"/>
  <c r="DB36" i="2"/>
  <c r="BM25" i="2"/>
  <c r="AY31" i="2"/>
  <c r="CU65" i="2"/>
  <c r="DB60" i="2"/>
  <c r="DN36" i="2"/>
  <c r="DN54" i="2"/>
  <c r="BR40" i="2"/>
  <c r="BR25" i="2"/>
  <c r="AW40" i="2"/>
  <c r="BH48" i="2"/>
  <c r="CO56" i="2"/>
  <c r="BM21" i="2"/>
  <c r="AP46" i="2"/>
  <c r="DB64" i="2"/>
  <c r="DP54" i="2"/>
  <c r="BR35" i="2"/>
  <c r="BX62" i="2"/>
  <c r="BR48" i="2"/>
  <c r="BA28" i="2"/>
  <c r="BA24" i="2"/>
  <c r="BH35" i="2"/>
  <c r="DP47" i="2"/>
  <c r="AK46" i="2"/>
  <c r="BH21" i="2"/>
  <c r="AW44" i="2"/>
  <c r="CE43" i="2"/>
  <c r="CO43" i="2"/>
  <c r="BT28" i="2"/>
  <c r="DG64" i="2"/>
  <c r="BA42" i="2"/>
  <c r="BT30" i="2"/>
  <c r="DL38" i="2"/>
  <c r="DG38" i="2"/>
  <c r="BV25" i="2"/>
  <c r="BV68" i="2"/>
  <c r="CQ60" i="2"/>
  <c r="DR57" i="2"/>
  <c r="CJ68" i="2"/>
  <c r="AU60" i="2"/>
  <c r="BA44" i="2"/>
  <c r="BH55" i="2"/>
  <c r="BR44" i="2"/>
  <c r="DG44" i="2"/>
  <c r="DR38" i="2"/>
  <c r="DN52" i="2"/>
  <c r="BX56" i="2"/>
  <c r="CU52" i="2"/>
  <c r="AW59" i="2"/>
  <c r="BV58" i="2"/>
  <c r="AW41" i="2"/>
  <c r="BT52" i="2"/>
  <c r="CU44" i="2"/>
  <c r="BV38" i="2"/>
  <c r="AP60" i="2"/>
  <c r="AP40" i="2"/>
  <c r="DL44" i="2"/>
  <c r="BX21" i="2"/>
  <c r="AY42" i="2"/>
  <c r="BR55" i="2"/>
  <c r="AY30" i="2"/>
  <c r="CQ27" i="2"/>
  <c r="AW42" i="2"/>
  <c r="AY32" i="2"/>
  <c r="CS41" i="2"/>
  <c r="CQ54" i="2"/>
  <c r="CO68" i="2"/>
  <c r="AU67" i="2"/>
  <c r="AY66" i="2"/>
  <c r="DP32" i="2"/>
  <c r="AW5" i="2"/>
  <c r="BV23" i="2"/>
  <c r="BT66" i="2"/>
  <c r="AK40" i="2"/>
  <c r="CJ38" i="2"/>
  <c r="CE30" i="2"/>
  <c r="BV27" i="2"/>
  <c r="CE34" i="2"/>
  <c r="DP68" i="2"/>
  <c r="DR5" i="2"/>
  <c r="AY48" i="2"/>
  <c r="CJ56" i="2"/>
  <c r="BV35" i="2"/>
  <c r="CO28" i="2"/>
  <c r="BM45" i="2"/>
  <c r="BR30" i="2"/>
  <c r="AY40" i="2"/>
  <c r="DB63" i="2"/>
  <c r="BV24" i="2"/>
  <c r="CE29" i="2"/>
  <c r="BV32" i="2"/>
  <c r="DN42" i="2"/>
  <c r="CU56" i="2"/>
  <c r="DN41" i="2"/>
  <c r="DL67" i="2"/>
  <c r="DR43" i="2"/>
  <c r="CE54" i="2"/>
  <c r="AW58" i="2"/>
  <c r="BX37" i="2"/>
  <c r="AK62" i="2"/>
  <c r="CS66" i="2"/>
  <c r="BX23" i="2"/>
  <c r="BM23" i="2"/>
  <c r="BA47" i="2"/>
  <c r="DL48" i="2"/>
  <c r="BR45" i="2"/>
  <c r="BA23" i="2"/>
  <c r="BA25" i="2"/>
  <c r="CO48" i="2"/>
  <c r="AP38" i="2"/>
  <c r="BM49" i="2"/>
  <c r="BA67" i="2"/>
  <c r="AP47" i="2"/>
  <c r="CE57" i="2"/>
  <c r="AW23" i="2"/>
  <c r="BR67" i="2"/>
  <c r="CO47" i="2"/>
  <c r="AK38" i="2"/>
  <c r="CE48" i="2"/>
  <c r="BT23" i="2"/>
  <c r="AK29" i="2"/>
  <c r="DN65" i="2"/>
  <c r="DP41" i="2"/>
  <c r="DR66" i="2"/>
  <c r="DR65" i="2"/>
  <c r="BH49" i="2"/>
  <c r="AK41" i="2"/>
  <c r="BT44" i="2"/>
  <c r="AP62" i="2"/>
  <c r="BH22" i="2"/>
  <c r="BH23" i="2"/>
  <c r="DP44" i="2"/>
  <c r="DR64" i="2"/>
  <c r="AW56" i="2"/>
  <c r="DR32" i="2"/>
  <c r="CS27" i="2"/>
  <c r="AY24" i="2"/>
  <c r="AW53" i="2"/>
  <c r="AY22" i="2"/>
  <c r="AY49" i="2"/>
  <c r="CS67" i="2"/>
  <c r="DR60" i="2"/>
  <c r="AY34" i="2"/>
  <c r="CU67" i="2"/>
  <c r="BV30" i="2"/>
  <c r="DP23" i="2"/>
  <c r="BV34" i="2"/>
  <c r="CS56" i="2"/>
  <c r="DR22" i="2"/>
  <c r="DN66" i="2"/>
  <c r="CQ48" i="2"/>
  <c r="AW29" i="2"/>
  <c r="BX60" i="2"/>
  <c r="BA60" i="2"/>
  <c r="BX31" i="2"/>
  <c r="BM39" i="2"/>
  <c r="BX47" i="2"/>
  <c r="DG37" i="2"/>
  <c r="AW66" i="2"/>
  <c r="DN30" i="2"/>
  <c r="AW31" i="2"/>
  <c r="AW28" i="2"/>
  <c r="AW38" i="2"/>
  <c r="CQ68" i="2"/>
  <c r="BA41" i="2"/>
  <c r="BA32" i="2"/>
  <c r="DR24" i="2"/>
  <c r="BR24" i="2"/>
  <c r="BT46" i="2"/>
  <c r="AW24" i="2"/>
  <c r="AY43" i="2"/>
  <c r="BM24" i="2"/>
  <c r="DR54" i="2"/>
  <c r="AK57" i="2"/>
  <c r="CE31" i="2"/>
  <c r="CJ62" i="2"/>
  <c r="CQ37" i="2"/>
  <c r="BV45" i="2"/>
  <c r="CU35" i="2"/>
  <c r="DN53" i="2"/>
  <c r="BA38" i="2"/>
  <c r="CU68" i="2"/>
  <c r="BT41" i="2"/>
  <c r="DL29" i="2"/>
  <c r="DR23" i="2"/>
  <c r="BX38" i="2"/>
  <c r="AK68" i="2"/>
  <c r="DL30" i="2"/>
  <c r="CJ42" i="2"/>
  <c r="BX58" i="2"/>
  <c r="AY29" i="2"/>
  <c r="BR34" i="2"/>
  <c r="CU38" i="2"/>
  <c r="AP41" i="2"/>
  <c r="BH59" i="2"/>
  <c r="AU48" i="2"/>
  <c r="BH66" i="2"/>
  <c r="DN60" i="2"/>
  <c r="CQ28" i="2"/>
  <c r="CO40" i="2"/>
  <c r="BH52" i="2"/>
  <c r="AP39" i="2"/>
  <c r="CO21" i="2"/>
  <c r="AW22" i="2"/>
  <c r="CQ35" i="2"/>
  <c r="AW39" i="2"/>
  <c r="CQ67" i="2"/>
  <c r="DP42" i="2"/>
  <c r="CQ29" i="2"/>
  <c r="CS48" i="2"/>
  <c r="BM46" i="2"/>
  <c r="BA57" i="2"/>
  <c r="AY41" i="2"/>
  <c r="CJ41" i="2"/>
  <c r="DB40" i="2"/>
  <c r="CQ49" i="2"/>
  <c r="CJ33" i="2"/>
  <c r="AP57" i="2"/>
  <c r="CE59" i="2"/>
  <c r="DG48" i="2"/>
  <c r="BT25" i="2"/>
  <c r="AY63" i="2"/>
  <c r="BV56" i="2"/>
  <c r="AU39" i="2"/>
  <c r="BA40" i="2"/>
  <c r="CQ55" i="2"/>
  <c r="BA62" i="2"/>
  <c r="AY67" i="2"/>
  <c r="CE45" i="2"/>
  <c r="BX32" i="2"/>
  <c r="DR56" i="2"/>
  <c r="CS54" i="2"/>
  <c r="DB29" i="2"/>
  <c r="CQ63" i="2"/>
  <c r="DB68" i="2"/>
  <c r="BA55" i="2"/>
  <c r="CO41" i="2"/>
  <c r="BR59" i="2"/>
  <c r="CO33" i="2"/>
  <c r="BX53" i="2"/>
  <c r="BA34" i="2"/>
  <c r="BH40" i="2"/>
  <c r="AK53" i="2"/>
  <c r="CS44" i="2"/>
  <c r="DG27" i="2"/>
  <c r="DR53" i="2"/>
  <c r="BT58" i="2"/>
  <c r="DL36" i="2"/>
  <c r="DR27" i="2"/>
  <c r="AW49" i="2"/>
  <c r="CJ21" i="2"/>
  <c r="BA56" i="2"/>
  <c r="BX25" i="2"/>
  <c r="DR55" i="2"/>
  <c r="AP53" i="2"/>
  <c r="BH34" i="2"/>
  <c r="BA49" i="2"/>
  <c r="DP45" i="2"/>
  <c r="BV31" i="2"/>
  <c r="AW34" i="2"/>
  <c r="DR30" i="2"/>
  <c r="BT32" i="2"/>
  <c r="BV49" i="2"/>
  <c r="CQ33" i="2"/>
  <c r="CS42" i="2"/>
  <c r="AW48" i="2"/>
  <c r="BX30" i="2"/>
  <c r="DL68" i="2"/>
  <c r="B13" i="54"/>
  <c r="DP38" i="2"/>
  <c r="BX57" i="2"/>
  <c r="AK34" i="2"/>
  <c r="DN55" i="2"/>
  <c r="DN47" i="2"/>
  <c r="DL40" i="2"/>
  <c r="BA66" i="2"/>
  <c r="CS37" i="2"/>
  <c r="CJ45" i="2"/>
  <c r="CO67" i="2"/>
  <c r="CE67" i="2"/>
  <c r="CO30" i="2"/>
  <c r="DG32" i="2"/>
  <c r="DB32" i="2"/>
  <c r="AK48" i="2"/>
  <c r="BA33" i="2"/>
  <c r="BX44" i="2"/>
  <c r="BX40" i="2"/>
  <c r="AW68" i="2"/>
  <c r="CJ57" i="2"/>
  <c r="CQ24" i="2"/>
  <c r="BV54" i="2"/>
  <c r="AW54" i="2"/>
  <c r="DP31" i="2"/>
  <c r="DP66" i="2"/>
  <c r="BT39" i="2"/>
  <c r="BT36" i="2"/>
  <c r="AP64" i="2"/>
  <c r="AK64" i="2"/>
  <c r="DP12" i="2"/>
  <c r="BA18" i="2"/>
  <c r="DL8" i="2"/>
  <c r="DR19" i="2"/>
  <c r="BM5" i="2"/>
  <c r="CQ19" i="2"/>
  <c r="BR5" i="2"/>
  <c r="CQ15" i="2"/>
  <c r="DP11" i="2"/>
  <c r="BA20" i="2"/>
  <c r="BA19" i="2"/>
  <c r="CJ9" i="2"/>
  <c r="BX20" i="2"/>
  <c r="DG16" i="2"/>
  <c r="AY17" i="2"/>
  <c r="AW18" i="2"/>
  <c r="DL20" i="2"/>
  <c r="CU13" i="2"/>
  <c r="CS7" i="2"/>
  <c r="AY19" i="2"/>
  <c r="CE9" i="2"/>
  <c r="BT9" i="2"/>
  <c r="DP6" i="2"/>
  <c r="AU7" i="2"/>
  <c r="BA8" i="2"/>
  <c r="AY7" i="2"/>
  <c r="CQ8" i="2"/>
  <c r="DG7" i="2"/>
  <c r="AW8" i="2"/>
  <c r="AP6" i="2"/>
  <c r="DP7" i="2"/>
  <c r="AK6" i="2"/>
  <c r="BH6" i="2"/>
  <c r="DL6" i="2"/>
  <c r="CQ6" i="2"/>
  <c r="DR6" i="2"/>
  <c r="DN5" i="2"/>
  <c r="CU5" i="2"/>
  <c r="BX5" i="2"/>
  <c r="BA5" i="2"/>
  <c r="CQ5" i="2"/>
  <c r="BV5" i="2"/>
  <c r="DL5" i="2"/>
  <c r="DP5" i="2"/>
  <c r="DN48" i="2"/>
  <c r="DP48" i="2"/>
  <c r="CE46" i="2"/>
  <c r="CJ46" i="2"/>
  <c r="DR48" i="2"/>
  <c r="DP37" i="2"/>
  <c r="DR37" i="2"/>
  <c r="DN37" i="2"/>
  <c r="AU24" i="2"/>
  <c r="AK24" i="2"/>
  <c r="DG15" i="2"/>
  <c r="DB15" i="2"/>
  <c r="DL45" i="2"/>
  <c r="DG45" i="2"/>
  <c r="AP22" i="2"/>
  <c r="AU22" i="2"/>
  <c r="CJ37" i="2"/>
  <c r="CO37" i="2"/>
  <c r="CE37" i="2"/>
  <c r="DB9" i="2"/>
  <c r="DG9" i="2"/>
  <c r="DN16" i="2"/>
  <c r="DP16" i="2"/>
  <c r="DR20" i="2"/>
  <c r="DN20" i="2"/>
  <c r="CU46" i="2"/>
  <c r="CS46" i="2"/>
  <c r="CQ46" i="2"/>
  <c r="AU42" i="2"/>
  <c r="AP42" i="2"/>
  <c r="AK42" i="2"/>
  <c r="BT45" i="2"/>
  <c r="BX19" i="2"/>
  <c r="BV19" i="2"/>
  <c r="BT19" i="2"/>
  <c r="CO25" i="2"/>
  <c r="CE25" i="2"/>
  <c r="CJ25" i="2"/>
  <c r="CJ53" i="2"/>
  <c r="CO53" i="2"/>
  <c r="DG34" i="2"/>
  <c r="DB34" i="2"/>
  <c r="CO66" i="2"/>
  <c r="CE66" i="2"/>
  <c r="AP36" i="2"/>
  <c r="AU36" i="2"/>
  <c r="CJ49" i="2"/>
  <c r="CE49" i="2"/>
  <c r="BX39" i="2"/>
  <c r="CU9" i="2"/>
  <c r="CQ9" i="2"/>
  <c r="CO58" i="2"/>
  <c r="CE58" i="2"/>
  <c r="CJ58" i="2"/>
  <c r="BX66" i="2"/>
  <c r="BV66" i="2"/>
  <c r="BR36" i="2"/>
  <c r="BH36" i="2"/>
  <c r="DL39" i="2"/>
  <c r="DG39" i="2"/>
  <c r="BX52" i="2"/>
  <c r="AU58" i="2"/>
  <c r="AK58" i="2"/>
  <c r="AP58" i="2"/>
  <c r="DR15" i="2"/>
  <c r="DP15" i="2"/>
  <c r="DN15" i="2"/>
  <c r="BX67" i="2"/>
  <c r="BV67" i="2"/>
  <c r="BT67" i="2"/>
  <c r="DG22" i="2"/>
  <c r="DB22" i="2"/>
  <c r="DL22" i="2"/>
  <c r="BX45" i="2"/>
  <c r="BR32" i="2"/>
  <c r="AK36" i="2"/>
  <c r="AW57" i="2"/>
  <c r="BX34" i="2"/>
  <c r="BT31" i="2"/>
  <c r="CJ5" i="2"/>
  <c r="CE5" i="2"/>
  <c r="CO5" i="2"/>
  <c r="AW47" i="2"/>
  <c r="AW37" i="2"/>
  <c r="AW20" i="2"/>
  <c r="DN64" i="2"/>
  <c r="AY35" i="2"/>
  <c r="BA35" i="2"/>
  <c r="AW35" i="2"/>
  <c r="BR12" i="2"/>
  <c r="BH12" i="2"/>
  <c r="BV60" i="2"/>
  <c r="DP46" i="2"/>
  <c r="DG18" i="2"/>
  <c r="DB18" i="2"/>
  <c r="I17" i="54"/>
  <c r="H18" i="54" s="1"/>
  <c r="CQ58" i="2"/>
  <c r="CU58" i="2"/>
  <c r="DP28" i="2"/>
  <c r="CQ11" i="2"/>
  <c r="CU11" i="2"/>
  <c r="CS11" i="2"/>
  <c r="CS15" i="2"/>
  <c r="BR38" i="2"/>
  <c r="BM38" i="2"/>
  <c r="CQ12" i="2"/>
  <c r="CS12" i="2"/>
  <c r="CU12" i="2"/>
  <c r="AU32" i="2"/>
  <c r="BX64" i="2"/>
  <c r="BT64" i="2"/>
  <c r="DR45" i="2"/>
  <c r="DN45" i="2"/>
  <c r="CU33" i="2"/>
  <c r="CS33" i="2"/>
  <c r="CS47" i="2"/>
  <c r="CQ47" i="2"/>
  <c r="DR16" i="2"/>
  <c r="CU63" i="2"/>
  <c r="CS58" i="2"/>
  <c r="DR12" i="2"/>
  <c r="AK44" i="2"/>
  <c r="AP44" i="2"/>
  <c r="AU44" i="2"/>
  <c r="DL55" i="2"/>
  <c r="DB55" i="2"/>
  <c r="CO46" i="2"/>
  <c r="AU45" i="2"/>
  <c r="AK45" i="2"/>
  <c r="AP45" i="2"/>
  <c r="BX22" i="2"/>
  <c r="BV22" i="2"/>
  <c r="BT22" i="2"/>
  <c r="CQ30" i="2"/>
  <c r="CO49" i="2"/>
  <c r="DN56" i="2"/>
  <c r="BM68" i="2"/>
  <c r="BH68" i="2"/>
  <c r="BR68" i="2"/>
  <c r="CQ45" i="2"/>
  <c r="BR57" i="2"/>
  <c r="BH57" i="2"/>
  <c r="CE53" i="2"/>
  <c r="BV64" i="2"/>
  <c r="BV47" i="2"/>
  <c r="BT60" i="2"/>
  <c r="BT49" i="2"/>
  <c r="AP24" i="2"/>
  <c r="DL34" i="2"/>
  <c r="BV36" i="2"/>
  <c r="CS8" i="2"/>
  <c r="BA21" i="2"/>
  <c r="BX63" i="2"/>
  <c r="CS57" i="2"/>
  <c r="CS68" i="2"/>
  <c r="DN32" i="2"/>
  <c r="BX49" i="2"/>
  <c r="CS35" i="2"/>
  <c r="DN13" i="2"/>
  <c r="DP43" i="2"/>
  <c r="DR58" i="2"/>
  <c r="AY20" i="2"/>
  <c r="CU8" i="2"/>
  <c r="DG23" i="2"/>
  <c r="BX65" i="2"/>
  <c r="DN29" i="2"/>
  <c r="BX59" i="2"/>
  <c r="BA58" i="2"/>
  <c r="CU37" i="2"/>
  <c r="AK63" i="2"/>
  <c r="BA59" i="2"/>
  <c r="DR33" i="2"/>
  <c r="BT37" i="2"/>
  <c r="CU27" i="2"/>
  <c r="BA63" i="2"/>
  <c r="AY47" i="2"/>
  <c r="BV44" i="2"/>
  <c r="BV9" i="2"/>
  <c r="AU29" i="2"/>
  <c r="CS49" i="2"/>
  <c r="BA6" i="2"/>
  <c r="AY28" i="2"/>
  <c r="CE35" i="2"/>
  <c r="CO35" i="2"/>
  <c r="DP30" i="2"/>
  <c r="DN28" i="2"/>
  <c r="CJ22" i="2"/>
  <c r="CO22" i="2"/>
  <c r="DG46" i="2"/>
  <c r="DL46" i="2"/>
  <c r="CQ32" i="2"/>
  <c r="CS62" i="2"/>
  <c r="DN7" i="2"/>
  <c r="AW45" i="2"/>
  <c r="CS53" i="2"/>
  <c r="BH60" i="2"/>
  <c r="DG66" i="2"/>
  <c r="DB66" i="2"/>
  <c r="Q13" i="52"/>
  <c r="BT43" i="2"/>
  <c r="BV39" i="2"/>
  <c r="BA64" i="2"/>
  <c r="BV29" i="2"/>
  <c r="CQ22" i="2"/>
  <c r="BA22" i="2"/>
  <c r="CU42" i="2"/>
  <c r="BA46" i="2"/>
  <c r="CU32" i="2"/>
  <c r="CU20" i="2"/>
  <c r="CJ20" i="2"/>
  <c r="CQ62" i="2"/>
  <c r="DP19" i="2"/>
  <c r="BH41" i="2"/>
  <c r="AP63" i="2"/>
  <c r="BV8" i="2"/>
  <c r="AY65" i="2"/>
  <c r="AY60" i="2"/>
  <c r="DN49" i="2"/>
  <c r="BH30" i="2"/>
  <c r="DN46" i="2"/>
  <c r="DN62" i="2"/>
  <c r="AW12" i="2"/>
  <c r="BV52" i="2"/>
  <c r="BA12" i="2"/>
  <c r="DG53" i="2"/>
  <c r="BA36" i="2"/>
  <c r="BV15" i="2"/>
  <c r="AY37" i="2"/>
  <c r="DP67" i="2"/>
  <c r="AW67" i="2"/>
  <c r="BR6" i="2"/>
  <c r="BR63" i="2"/>
  <c r="CS63" i="2"/>
  <c r="DP64" i="2"/>
  <c r="CS9" i="2"/>
  <c r="BT48" i="2"/>
  <c r="DL33" i="2"/>
  <c r="CQ7" i="2"/>
  <c r="CQ57" i="2"/>
  <c r="DG20" i="2"/>
  <c r="BV43" i="2"/>
  <c r="CU54" i="2"/>
  <c r="AY8" i="2"/>
  <c r="DG8" i="2"/>
  <c r="BX27" i="2"/>
  <c r="CS24" i="2"/>
  <c r="BV20" i="2"/>
  <c r="BR60" i="2"/>
  <c r="AY44" i="2"/>
  <c r="CU48" i="2"/>
  <c r="DB23" i="2"/>
  <c r="BT34" i="2"/>
  <c r="AW32" i="2"/>
  <c r="DP36" i="2"/>
  <c r="DL27" i="2"/>
  <c r="CU29" i="2"/>
  <c r="BX36" i="2"/>
  <c r="BV11" i="2"/>
  <c r="DN11" i="2"/>
  <c r="Q13" i="53"/>
  <c r="DN21" i="2"/>
  <c r="DP56" i="2"/>
  <c r="BV40" i="2"/>
  <c r="AY16" i="2"/>
  <c r="BX68" i="2"/>
  <c r="BX17" i="2"/>
  <c r="BX28" i="2"/>
  <c r="DP59" i="2"/>
  <c r="AY5" i="2"/>
  <c r="DB53" i="2"/>
  <c r="BT33" i="2"/>
  <c r="CS28" i="2"/>
  <c r="AW6" i="2"/>
  <c r="BM58" i="2"/>
  <c r="DR47" i="2"/>
  <c r="AK33" i="2"/>
  <c r="BH16" i="2"/>
  <c r="CJ47" i="2"/>
  <c r="CQ59" i="2"/>
  <c r="AY45" i="2"/>
  <c r="DR52" i="2"/>
  <c r="BA48" i="2"/>
  <c r="CJ6" i="2"/>
  <c r="AY59" i="2"/>
  <c r="CU6" i="2"/>
  <c r="DP24" i="2"/>
  <c r="DR68" i="2"/>
  <c r="CQ56" i="2"/>
  <c r="BT5" i="2"/>
  <c r="AK47" i="2"/>
  <c r="DL66" i="2"/>
  <c r="BM31" i="2"/>
  <c r="BH31" i="2"/>
  <c r="CJ55" i="2"/>
  <c r="M5" i="54"/>
  <c r="CE60" i="2"/>
  <c r="BX55" i="2"/>
  <c r="BV55" i="2"/>
  <c r="CQ18" i="2"/>
  <c r="CS18" i="2"/>
  <c r="AK66" i="2"/>
  <c r="AP66" i="2"/>
  <c r="BM53" i="2"/>
  <c r="BH53" i="2"/>
  <c r="BR53" i="2"/>
  <c r="H18" i="52"/>
  <c r="DN18" i="2"/>
  <c r="DR18" i="2"/>
  <c r="BX46" i="2"/>
  <c r="DR59" i="2"/>
  <c r="AU66" i="2"/>
  <c r="AU19" i="2"/>
  <c r="AK19" i="2"/>
  <c r="AU21" i="2"/>
  <c r="AP59" i="2"/>
  <c r="DR67" i="2"/>
  <c r="DP18" i="2"/>
  <c r="CS16" i="2"/>
  <c r="AK21" i="2"/>
  <c r="BH64" i="2"/>
  <c r="BT55" i="2"/>
  <c r="AY27" i="2"/>
  <c r="CE27" i="2"/>
  <c r="AK32" i="2"/>
  <c r="CJ27" i="2"/>
  <c r="BR9" i="2"/>
  <c r="B35" i="49"/>
  <c r="CE23" i="2"/>
  <c r="CS30" i="2"/>
  <c r="CU30" i="2"/>
  <c r="AU18" i="2"/>
  <c r="AP18" i="2"/>
  <c r="AP54" i="2"/>
  <c r="AU54" i="2"/>
  <c r="BR43" i="2"/>
  <c r="BH43" i="2"/>
  <c r="DB62" i="2"/>
  <c r="AW7" i="2"/>
  <c r="BR13" i="2"/>
  <c r="BM13" i="2"/>
  <c r="BA30" i="2"/>
  <c r="BT54" i="2"/>
  <c r="AU68" i="2"/>
  <c r="DG63" i="2"/>
  <c r="CO23" i="2"/>
  <c r="BT62" i="2"/>
  <c r="AK18" i="2"/>
  <c r="DR63" i="2"/>
  <c r="DN63" i="2"/>
  <c r="AP34" i="2"/>
  <c r="CQ36" i="2"/>
  <c r="CS36" i="2"/>
  <c r="CO32" i="2"/>
  <c r="CE32" i="2"/>
  <c r="BX7" i="2"/>
  <c r="BV12" i="2"/>
  <c r="BR37" i="2"/>
  <c r="BT16" i="2"/>
  <c r="BX16" i="2"/>
  <c r="CO60" i="2"/>
  <c r="DR31" i="2"/>
  <c r="CU47" i="2"/>
  <c r="CO63" i="2"/>
  <c r="BT53" i="2"/>
  <c r="AW62" i="2"/>
  <c r="AY62" i="2"/>
  <c r="DP63" i="2"/>
  <c r="BM36" i="2"/>
  <c r="DN39" i="2"/>
  <c r="DP29" i="2"/>
  <c r="AP17" i="2"/>
  <c r="AU17" i="2"/>
  <c r="AY25" i="2"/>
  <c r="AK8" i="2"/>
  <c r="AU8" i="2"/>
  <c r="BA11" i="2"/>
  <c r="CS22" i="2"/>
  <c r="AW43" i="2"/>
  <c r="AK27" i="2"/>
  <c r="K19" i="49"/>
  <c r="BX29" i="2"/>
  <c r="BA65" i="2"/>
  <c r="AK28" i="2"/>
  <c r="CS39" i="2"/>
  <c r="CU39" i="2"/>
  <c r="DL62" i="2"/>
  <c r="CU62" i="2"/>
  <c r="BX35" i="2"/>
  <c r="BT35" i="2"/>
  <c r="AP13" i="2"/>
  <c r="AK13" i="2"/>
  <c r="AW33" i="2"/>
  <c r="AY33" i="2"/>
  <c r="DB56" i="2"/>
  <c r="DG56" i="2"/>
  <c r="BT18" i="2"/>
  <c r="CJ66" i="2"/>
  <c r="BV16" i="2"/>
  <c r="DB11" i="2"/>
  <c r="DL11" i="2"/>
  <c r="CU22" i="2"/>
  <c r="DG58" i="2"/>
  <c r="DL58" i="2"/>
  <c r="DL56" i="2"/>
  <c r="AY46" i="2"/>
  <c r="CQ39" i="2"/>
  <c r="AU28" i="2"/>
  <c r="CJ44" i="2"/>
  <c r="CE44" i="2"/>
  <c r="DP52" i="2"/>
  <c r="CO64" i="2"/>
  <c r="BH9" i="2"/>
  <c r="CQ20" i="2"/>
  <c r="DR34" i="2"/>
  <c r="DP34" i="2"/>
  <c r="BX43" i="2"/>
  <c r="AW63" i="2"/>
  <c r="BM43" i="2"/>
  <c r="BV62" i="2"/>
  <c r="BM20" i="2"/>
  <c r="BA68" i="2"/>
  <c r="CQ65" i="2"/>
  <c r="CQ34" i="2"/>
  <c r="DG57" i="2"/>
  <c r="DG33" i="2"/>
  <c r="M5" i="53"/>
  <c r="R9" i="53"/>
  <c r="BT63" i="2"/>
  <c r="DG54" i="2"/>
  <c r="CS43" i="2"/>
  <c r="CU43" i="2"/>
  <c r="BV6" i="2"/>
  <c r="BT6" i="2"/>
  <c r="BX6" i="2"/>
  <c r="AY58" i="2"/>
  <c r="CU24" i="2"/>
  <c r="DP25" i="2"/>
  <c r="DN25" i="2"/>
  <c r="BH19" i="2"/>
  <c r="BR19" i="2"/>
  <c r="AW27" i="2"/>
  <c r="DP27" i="2"/>
  <c r="DP58" i="2"/>
  <c r="DN27" i="2"/>
  <c r="DP39" i="2"/>
  <c r="DB57" i="2"/>
  <c r="DN34" i="2"/>
  <c r="DN23" i="2"/>
  <c r="BA7" i="2"/>
  <c r="DL59" i="2"/>
  <c r="D8" i="54"/>
  <c r="R10" i="42"/>
  <c r="P10" i="42" s="1"/>
  <c r="I17" i="42" s="1"/>
  <c r="CS19" i="2"/>
  <c r="BH58" i="2"/>
  <c r="CQ52" i="2"/>
  <c r="CS52" i="2"/>
  <c r="DR25" i="2"/>
  <c r="CO42" i="2"/>
  <c r="DP13" i="2"/>
  <c r="BH28" i="2"/>
  <c r="BR28" i="2"/>
  <c r="CS31" i="2"/>
  <c r="BV21" i="2"/>
  <c r="CO54" i="2"/>
  <c r="BR66" i="2"/>
  <c r="BX54" i="2"/>
  <c r="BA39" i="2"/>
  <c r="AY39" i="2"/>
  <c r="DL24" i="2"/>
  <c r="DB24" i="2"/>
  <c r="DN43" i="2"/>
  <c r="CQ25" i="2"/>
  <c r="AW46" i="2"/>
  <c r="BV17" i="2"/>
  <c r="B13" i="52"/>
  <c r="K5" i="52"/>
  <c r="P14" i="54"/>
  <c r="B12" i="42"/>
  <c r="D12" i="42" s="1"/>
  <c r="K5" i="42" s="1"/>
  <c r="R33" i="49"/>
  <c r="BT11" i="2"/>
  <c r="AW64" i="2"/>
  <c r="BM57" i="2"/>
  <c r="CE52" i="2"/>
  <c r="DR29" i="2"/>
  <c r="DR21" i="2"/>
  <c r="BH39" i="2"/>
  <c r="BA37" i="2"/>
  <c r="CE20" i="2"/>
  <c r="DN22" i="2"/>
  <c r="DP22" i="2"/>
  <c r="DN44" i="2"/>
  <c r="BT38" i="2"/>
  <c r="CQ44" i="2"/>
  <c r="CO12" i="2"/>
  <c r="DP35" i="2"/>
  <c r="DG30" i="2"/>
  <c r="BV33" i="2"/>
  <c r="CQ43" i="2"/>
  <c r="DB31" i="2"/>
  <c r="DL54" i="2"/>
  <c r="AW60" i="2"/>
  <c r="AY53" i="2"/>
  <c r="CS59" i="2"/>
  <c r="BA29" i="2"/>
  <c r="AY36" i="2"/>
  <c r="DP20" i="2"/>
  <c r="CU25" i="2"/>
  <c r="DG5" i="2"/>
  <c r="AY64" i="2"/>
  <c r="BR16" i="2"/>
  <c r="DB58" i="2"/>
  <c r="CQ31" i="2"/>
  <c r="BT56" i="2"/>
  <c r="CO52" i="2"/>
  <c r="DR8" i="2"/>
  <c r="DG24" i="2"/>
  <c r="AP11" i="2"/>
  <c r="DN57" i="2"/>
  <c r="CU19" i="2"/>
  <c r="CQ38" i="2"/>
  <c r="BA15" i="2"/>
  <c r="DP33" i="2"/>
  <c r="H3" i="52"/>
  <c r="D8" i="52"/>
  <c r="R9" i="52"/>
  <c r="M5" i="52"/>
  <c r="BM37" i="2"/>
  <c r="AK56" i="2"/>
  <c r="AU56" i="2"/>
  <c r="CJ13" i="2"/>
  <c r="CE13" i="2"/>
  <c r="CO13" i="2"/>
  <c r="BH47" i="2"/>
  <c r="BM47" i="2"/>
  <c r="BT59" i="2"/>
  <c r="BV59" i="2"/>
  <c r="BM42" i="2"/>
  <c r="BR42" i="2"/>
  <c r="CQ17" i="2"/>
  <c r="CU17" i="2"/>
  <c r="DB52" i="2"/>
  <c r="DG52" i="2"/>
  <c r="BM17" i="2"/>
  <c r="BR17" i="2"/>
  <c r="DL42" i="2"/>
  <c r="DG42" i="2"/>
  <c r="BM8" i="2"/>
  <c r="BH8" i="2"/>
  <c r="AW9" i="2"/>
  <c r="AY9" i="2"/>
  <c r="BA9" i="2"/>
  <c r="BT20" i="2"/>
  <c r="BV7" i="2"/>
  <c r="BT7" i="2"/>
  <c r="AP25" i="2"/>
  <c r="AU25" i="2"/>
  <c r="BH20" i="2"/>
  <c r="BT68" i="2"/>
  <c r="CJ11" i="2"/>
  <c r="H18" i="53"/>
  <c r="I26" i="49"/>
  <c r="AU35" i="2"/>
  <c r="AP35" i="2"/>
  <c r="BT40" i="2"/>
  <c r="BR33" i="2"/>
  <c r="BM33" i="2"/>
  <c r="AK15" i="2"/>
  <c r="AP30" i="2"/>
  <c r="AU30" i="2"/>
  <c r="CJ12" i="2"/>
  <c r="AK25" i="2"/>
  <c r="CJ39" i="2"/>
  <c r="CO39" i="2"/>
  <c r="BV65" i="2"/>
  <c r="CS45" i="2"/>
  <c r="AK12" i="2"/>
  <c r="AU12" i="2"/>
  <c r="BM54" i="2"/>
  <c r="AU59" i="2"/>
  <c r="AW55" i="2"/>
  <c r="CE36" i="2"/>
  <c r="CJ36" i="2"/>
  <c r="CQ23" i="2"/>
  <c r="CU18" i="2"/>
  <c r="DG47" i="2"/>
  <c r="DB47" i="2"/>
  <c r="DN40" i="2"/>
  <c r="DP40" i="2"/>
  <c r="DR40" i="2"/>
  <c r="AY13" i="2"/>
  <c r="AW13" i="2"/>
  <c r="BH56" i="2"/>
  <c r="BM56" i="2"/>
  <c r="BM27" i="2"/>
  <c r="CO24" i="2"/>
  <c r="CJ24" i="2"/>
  <c r="DP21" i="2"/>
  <c r="CS55" i="2"/>
  <c r="CO59" i="2"/>
  <c r="AY11" i="2"/>
  <c r="D10" i="52"/>
  <c r="L19" i="52"/>
  <c r="BH29" i="2"/>
  <c r="BM29" i="2"/>
  <c r="DB19" i="2"/>
  <c r="DG19" i="2"/>
  <c r="CU60" i="2"/>
  <c r="CS60" i="2"/>
  <c r="CE65" i="2"/>
  <c r="CJ65" i="2"/>
  <c r="BT29" i="2"/>
  <c r="BT65" i="2"/>
  <c r="DB45" i="2"/>
  <c r="BR22" i="2"/>
  <c r="AU15" i="2"/>
  <c r="DG49" i="2"/>
  <c r="DL49" i="2"/>
  <c r="DN67" i="2"/>
  <c r="DP57" i="2"/>
  <c r="AP27" i="2"/>
  <c r="AY68" i="2"/>
  <c r="BR54" i="2"/>
  <c r="CQ64" i="2"/>
  <c r="CU64" i="2"/>
  <c r="CS64" i="2"/>
  <c r="BX48" i="2"/>
  <c r="BH63" i="2"/>
  <c r="BA52" i="2"/>
  <c r="AW52" i="2"/>
  <c r="DP60" i="2"/>
  <c r="AK43" i="2"/>
  <c r="AU43" i="2"/>
  <c r="DG59" i="2"/>
  <c r="BX8" i="2"/>
  <c r="CU53" i="2"/>
  <c r="CJ64" i="2"/>
  <c r="BV48" i="2"/>
  <c r="BV53" i="2"/>
  <c r="CS5" i="2"/>
  <c r="BX33" i="2"/>
  <c r="AW30" i="2"/>
  <c r="DN38" i="2"/>
  <c r="AY38" i="2"/>
  <c r="BV57" i="2"/>
  <c r="D10" i="53"/>
  <c r="L19" i="53"/>
  <c r="D10" i="54"/>
  <c r="BV28" i="2"/>
  <c r="DL35" i="2"/>
  <c r="DG35" i="2"/>
  <c r="BR52" i="2"/>
  <c r="BV37" i="2"/>
  <c r="CS34" i="2"/>
  <c r="AW21" i="2"/>
  <c r="DN31" i="2"/>
  <c r="CQ53" i="2"/>
  <c r="CJ63" i="2"/>
  <c r="AU37" i="2"/>
  <c r="BM19" i="2"/>
  <c r="DN8" i="2"/>
  <c r="BR27" i="2"/>
  <c r="BA54" i="2"/>
  <c r="AY55" i="2"/>
  <c r="DB65" i="2"/>
  <c r="BX41" i="2"/>
  <c r="BV41" i="2"/>
  <c r="CQ66" i="2"/>
  <c r="CS20" i="2"/>
  <c r="CQ21" i="2"/>
  <c r="CS21" i="2"/>
  <c r="CU21" i="2"/>
  <c r="DL15" i="2"/>
  <c r="CS23" i="2"/>
  <c r="CE28" i="2"/>
  <c r="CU45" i="2"/>
  <c r="DR44" i="2"/>
  <c r="BM64" i="2"/>
  <c r="DB21" i="2"/>
  <c r="DL21" i="2"/>
  <c r="BT21" i="2"/>
  <c r="DR13" i="2"/>
  <c r="AW25" i="2"/>
  <c r="DN58" i="2"/>
  <c r="K5" i="53"/>
  <c r="B13" i="53"/>
  <c r="H3" i="53"/>
  <c r="D8" i="53"/>
  <c r="P12" i="54"/>
  <c r="I3" i="20"/>
  <c r="BT57" i="2"/>
  <c r="BT17" i="2"/>
  <c r="DG17" i="2"/>
  <c r="DL17" i="2"/>
  <c r="CQ13" i="2"/>
  <c r="BV18" i="2"/>
  <c r="AW16" i="2"/>
  <c r="BT47" i="2"/>
  <c r="BV46" i="2"/>
  <c r="BV63" i="2"/>
  <c r="BH42" i="2"/>
  <c r="BR47" i="2"/>
  <c r="DR11" i="2"/>
  <c r="AU65" i="2"/>
  <c r="AY57" i="2"/>
  <c r="CO31" i="2"/>
  <c r="DL43" i="2"/>
  <c r="DG43" i="2"/>
  <c r="CU66" i="2"/>
  <c r="AY54" i="2"/>
  <c r="DN19" i="2"/>
  <c r="DP49" i="2"/>
  <c r="CU59" i="2"/>
  <c r="DG65" i="2"/>
  <c r="DN59" i="2"/>
  <c r="BX11" i="2"/>
  <c r="AP65" i="2"/>
  <c r="AK37" i="2"/>
  <c r="CU28" i="2"/>
  <c r="BT12" i="2"/>
  <c r="BA31" i="2"/>
  <c r="AY21" i="2"/>
  <c r="CE11" i="2"/>
  <c r="AU13" i="2"/>
  <c r="CU49" i="2"/>
  <c r="CQ16" i="2"/>
  <c r="CU36" i="2"/>
  <c r="DN35" i="2"/>
  <c r="CU57" i="2"/>
  <c r="CS65" i="2"/>
  <c r="BT8" i="2"/>
  <c r="CS38" i="2"/>
  <c r="BT27" i="2"/>
  <c r="AW36" i="2"/>
  <c r="BR10" i="2"/>
  <c r="BM10" i="2"/>
  <c r="DR61" i="2"/>
  <c r="AK61" i="2"/>
  <c r="BR61" i="2"/>
  <c r="DR50" i="2"/>
  <c r="DP26" i="2"/>
  <c r="AU61" i="2"/>
  <c r="AP61" i="2"/>
  <c r="CJ61" i="2"/>
  <c r="DP61" i="2"/>
  <c r="DN26" i="2"/>
  <c r="BM50" i="2"/>
  <c r="CS61" i="2"/>
  <c r="DN50" i="2"/>
  <c r="DN61" i="2"/>
  <c r="DN10" i="2"/>
  <c r="DR10" i="2"/>
  <c r="DR26" i="2"/>
  <c r="CQ61" i="2"/>
  <c r="BX26" i="2"/>
  <c r="BX61" i="2"/>
  <c r="DP10" i="2"/>
  <c r="DP50" i="2"/>
  <c r="BT26" i="2"/>
  <c r="CQ50" i="2"/>
  <c r="BV10" i="2"/>
  <c r="CU10" i="2"/>
  <c r="BX50" i="2"/>
  <c r="BV26" i="2"/>
  <c r="BX10" i="2"/>
  <c r="CS10" i="2"/>
  <c r="BH50" i="2"/>
  <c r="CQ10" i="2"/>
  <c r="BT50" i="2"/>
  <c r="CS26" i="2"/>
  <c r="BT61" i="2"/>
  <c r="CU50" i="2"/>
  <c r="CU61" i="2"/>
  <c r="BV61" i="2"/>
  <c r="CQ26" i="2"/>
  <c r="BT10" i="2"/>
  <c r="CU26" i="2"/>
  <c r="BV50" i="2"/>
  <c r="CS50" i="2"/>
  <c r="AY61" i="2"/>
  <c r="I40" i="49"/>
  <c r="H41" i="49" s="1"/>
  <c r="BA61" i="2"/>
  <c r="BM61" i="2"/>
  <c r="AW61" i="2"/>
  <c r="CE61" i="2"/>
  <c r="BA26" i="2"/>
  <c r="D12" i="49"/>
  <c r="K5" i="49" s="1"/>
  <c r="L4" i="49" s="1"/>
  <c r="DL61" i="2"/>
  <c r="DG61" i="2"/>
  <c r="BH10" i="2"/>
  <c r="BA10" i="2"/>
  <c r="AY50" i="2"/>
  <c r="DB26" i="2"/>
  <c r="CO10" i="2"/>
  <c r="DG26" i="2"/>
  <c r="AW10" i="2"/>
  <c r="AW26" i="2"/>
  <c r="AW50" i="2"/>
  <c r="BA50" i="2"/>
  <c r="AY10" i="2"/>
  <c r="AY26" i="2"/>
  <c r="R33" i="20"/>
  <c r="CE26" i="2"/>
  <c r="B35" i="20"/>
  <c r="AP26" i="2"/>
  <c r="I5" i="49"/>
  <c r="P12" i="49" s="1"/>
  <c r="Q13" i="49" s="1"/>
  <c r="P14" i="40"/>
  <c r="B12" i="20"/>
  <c r="H26" i="20"/>
  <c r="BM26" i="2"/>
  <c r="BH26" i="2"/>
  <c r="CE10" i="2"/>
  <c r="I3" i="42"/>
  <c r="D33" i="49"/>
  <c r="C32" i="49" s="1"/>
  <c r="DG50" i="2"/>
  <c r="B12" i="49"/>
  <c r="I27" i="42"/>
  <c r="P36" i="42" s="1"/>
  <c r="AU26" i="2"/>
  <c r="I3" i="49"/>
  <c r="DB50" i="2"/>
  <c r="P38" i="42"/>
  <c r="R34" i="42"/>
  <c r="K17" i="49"/>
  <c r="D10" i="49" s="1"/>
  <c r="C9" i="49" s="1"/>
  <c r="P10" i="49"/>
  <c r="I17" i="49" s="1"/>
  <c r="H18" i="49" s="1"/>
  <c r="K19" i="42"/>
  <c r="K17" i="42" s="1"/>
  <c r="D10" i="42" s="1"/>
  <c r="DB10" i="2"/>
  <c r="R32" i="47"/>
  <c r="Q31" i="47" s="1"/>
  <c r="L42" i="47"/>
  <c r="K41" i="47" s="1"/>
  <c r="DL10" i="2"/>
  <c r="K28" i="49"/>
  <c r="L27" i="49" s="1"/>
  <c r="H41" i="47"/>
  <c r="G5" i="20"/>
  <c r="H3" i="20" s="1"/>
  <c r="I4" i="20" s="1"/>
  <c r="B36" i="42"/>
  <c r="L42" i="46"/>
  <c r="L41" i="46" s="1"/>
  <c r="R32" i="46"/>
  <c r="Q33" i="46" s="1"/>
  <c r="AP10" i="2"/>
  <c r="R32" i="20"/>
  <c r="I26" i="20"/>
  <c r="R9" i="20"/>
  <c r="Q8" i="20" s="1"/>
  <c r="Q36" i="47"/>
  <c r="H41" i="46"/>
  <c r="M17" i="42"/>
  <c r="P14" i="42" s="1"/>
  <c r="AP50" i="2"/>
  <c r="Q13" i="47"/>
  <c r="K42" i="20"/>
  <c r="B36" i="47"/>
  <c r="C35" i="47" s="1"/>
  <c r="AU50" i="2"/>
  <c r="C9" i="46"/>
  <c r="Q13" i="46"/>
  <c r="L4" i="46"/>
  <c r="R10" i="49"/>
  <c r="H26" i="46"/>
  <c r="I27" i="46" s="1"/>
  <c r="Q13" i="20"/>
  <c r="L4" i="47"/>
  <c r="H3" i="46"/>
  <c r="G4" i="46" s="1"/>
  <c r="P8" i="42"/>
  <c r="M5" i="42" s="1"/>
  <c r="K43" i="42"/>
  <c r="D14" i="20"/>
  <c r="Q36" i="46"/>
  <c r="R9" i="47"/>
  <c r="Q9" i="47" s="1"/>
  <c r="L4" i="20"/>
  <c r="L19" i="46"/>
  <c r="L18" i="46" s="1"/>
  <c r="G40" i="20"/>
  <c r="H41" i="20" s="1"/>
  <c r="AK50" i="2"/>
  <c r="CO50" i="2"/>
  <c r="H26" i="47"/>
  <c r="G27" i="47" s="1"/>
  <c r="B13" i="46"/>
  <c r="C12" i="46" s="1"/>
  <c r="H18" i="46"/>
  <c r="CJ50" i="2"/>
  <c r="R10" i="20"/>
  <c r="L19" i="47"/>
  <c r="M18" i="47" s="1"/>
  <c r="AU10" i="2"/>
  <c r="CO26" i="2"/>
  <c r="H3" i="47"/>
  <c r="G4" i="47" s="1"/>
  <c r="B13" i="47"/>
  <c r="C12" i="47" s="1"/>
  <c r="B36" i="46"/>
  <c r="C37" i="46" s="1"/>
  <c r="L19" i="20"/>
  <c r="L18" i="20" s="1"/>
  <c r="K42" i="49"/>
  <c r="H18" i="47"/>
  <c r="C9" i="47"/>
  <c r="P35" i="49"/>
  <c r="Q36" i="49" s="1"/>
  <c r="R9" i="46"/>
  <c r="Q9" i="46" s="1"/>
  <c r="Q36" i="20"/>
  <c r="K19" i="43"/>
  <c r="D10" i="43" s="1"/>
  <c r="K19" i="40"/>
  <c r="B12" i="43"/>
  <c r="K5" i="43" s="1"/>
  <c r="B12" i="40"/>
  <c r="H17" i="40"/>
  <c r="R10" i="43"/>
  <c r="R10" i="40"/>
  <c r="D9" i="40"/>
  <c r="P13" i="40"/>
  <c r="I3" i="43"/>
  <c r="I3" i="40"/>
  <c r="M5" i="40"/>
  <c r="M5" i="43"/>
  <c r="D8" i="43"/>
  <c r="G17" i="40"/>
  <c r="D8" i="40"/>
  <c r="L27" i="46"/>
  <c r="G17" i="43"/>
  <c r="C32" i="46"/>
  <c r="L42" i="20"/>
  <c r="L41" i="20" s="1"/>
  <c r="M29" i="42"/>
  <c r="C32" i="47"/>
  <c r="L27" i="47"/>
  <c r="D32" i="42"/>
  <c r="C9" i="53" l="1"/>
  <c r="K5" i="54"/>
  <c r="L4" i="54" s="1"/>
  <c r="C9" i="52"/>
  <c r="H3" i="54"/>
  <c r="I4" i="54" s="1"/>
  <c r="Q13" i="54"/>
  <c r="C9" i="54"/>
  <c r="L4" i="52"/>
  <c r="R9" i="54"/>
  <c r="Q10" i="54" s="1"/>
  <c r="I4" i="52"/>
  <c r="G4" i="52"/>
  <c r="H4" i="52"/>
  <c r="H5" i="42"/>
  <c r="H17" i="42" s="1"/>
  <c r="H18" i="42" s="1"/>
  <c r="Q8" i="53"/>
  <c r="Q9" i="53"/>
  <c r="Q10" i="53"/>
  <c r="G4" i="53"/>
  <c r="H4" i="53"/>
  <c r="I4" i="53"/>
  <c r="L19" i="54"/>
  <c r="C12" i="53"/>
  <c r="C14" i="53"/>
  <c r="C13" i="53"/>
  <c r="L4" i="53"/>
  <c r="C12" i="52"/>
  <c r="C14" i="52"/>
  <c r="C13" i="52"/>
  <c r="M18" i="52"/>
  <c r="L18" i="52"/>
  <c r="K18" i="52"/>
  <c r="M18" i="53"/>
  <c r="L18" i="53"/>
  <c r="K18" i="53"/>
  <c r="C12" i="54"/>
  <c r="C14" i="54"/>
  <c r="C13" i="54"/>
  <c r="P44" i="49"/>
  <c r="Q10" i="52"/>
  <c r="Q8" i="52"/>
  <c r="Q9" i="52"/>
  <c r="P21" i="54"/>
  <c r="B13" i="49"/>
  <c r="C14" i="49" s="1"/>
  <c r="G4" i="20"/>
  <c r="R32" i="49"/>
  <c r="Q33" i="49" s="1"/>
  <c r="C36" i="47"/>
  <c r="H4" i="20"/>
  <c r="H3" i="49"/>
  <c r="G4" i="49" s="1"/>
  <c r="D31" i="20"/>
  <c r="C32" i="20" s="1"/>
  <c r="Q13" i="40"/>
  <c r="M28" i="20"/>
  <c r="L27" i="20" s="1"/>
  <c r="D8" i="20"/>
  <c r="C9" i="20" s="1"/>
  <c r="H41" i="42"/>
  <c r="D13" i="42"/>
  <c r="P13" i="42" s="1"/>
  <c r="Q32" i="47"/>
  <c r="P44" i="20"/>
  <c r="H27" i="47"/>
  <c r="Q33" i="47"/>
  <c r="I5" i="42"/>
  <c r="P12" i="42" s="1"/>
  <c r="C37" i="47"/>
  <c r="I4" i="46"/>
  <c r="I41" i="42"/>
  <c r="L42" i="49"/>
  <c r="M41" i="49" s="1"/>
  <c r="P9" i="42"/>
  <c r="D9" i="42" s="1"/>
  <c r="C9" i="42" s="1"/>
  <c r="L17" i="42"/>
  <c r="L5" i="42" s="1"/>
  <c r="L4" i="42" s="1"/>
  <c r="B36" i="49"/>
  <c r="C37" i="49" s="1"/>
  <c r="D33" i="42"/>
  <c r="K41" i="46"/>
  <c r="M41" i="46"/>
  <c r="L19" i="49"/>
  <c r="L18" i="49" s="1"/>
  <c r="R9" i="49"/>
  <c r="Q8" i="49" s="1"/>
  <c r="P21" i="49"/>
  <c r="M41" i="47"/>
  <c r="P21" i="42"/>
  <c r="Q31" i="46"/>
  <c r="Q32" i="46"/>
  <c r="L41" i="47"/>
  <c r="Q8" i="47"/>
  <c r="D37" i="42"/>
  <c r="P37" i="42" s="1"/>
  <c r="Q37" i="42" s="1"/>
  <c r="P21" i="20"/>
  <c r="Q9" i="20"/>
  <c r="L29" i="42"/>
  <c r="G27" i="46"/>
  <c r="M18" i="46"/>
  <c r="H27" i="46"/>
  <c r="K18" i="46"/>
  <c r="K18" i="20"/>
  <c r="M18" i="20"/>
  <c r="Q10" i="20"/>
  <c r="C36" i="46"/>
  <c r="C35" i="46"/>
  <c r="C14" i="46"/>
  <c r="B36" i="20"/>
  <c r="C36" i="20" s="1"/>
  <c r="I27" i="47"/>
  <c r="L18" i="47"/>
  <c r="P45" i="42"/>
  <c r="Q10" i="47"/>
  <c r="C13" i="46"/>
  <c r="C13" i="47"/>
  <c r="H4" i="47"/>
  <c r="H4" i="46"/>
  <c r="G17" i="20"/>
  <c r="H18" i="20" s="1"/>
  <c r="B13" i="20"/>
  <c r="K18" i="47"/>
  <c r="I4" i="47"/>
  <c r="Q10" i="46"/>
  <c r="H26" i="49"/>
  <c r="G27" i="49" s="1"/>
  <c r="C14" i="47"/>
  <c r="Q8" i="46"/>
  <c r="B13" i="40"/>
  <c r="C13" i="40" s="1"/>
  <c r="H3" i="40"/>
  <c r="G4" i="40" s="1"/>
  <c r="P21" i="40"/>
  <c r="D9" i="43"/>
  <c r="C9" i="43" s="1"/>
  <c r="P13" i="43"/>
  <c r="I17" i="43"/>
  <c r="P21" i="43"/>
  <c r="R9" i="40"/>
  <c r="Q9" i="40" s="1"/>
  <c r="L5" i="43"/>
  <c r="L4" i="43" s="1"/>
  <c r="H17" i="43"/>
  <c r="L5" i="40"/>
  <c r="L4" i="40" s="1"/>
  <c r="L19" i="40"/>
  <c r="C9" i="40"/>
  <c r="P12" i="43"/>
  <c r="H18" i="40"/>
  <c r="K41" i="20"/>
  <c r="M41" i="20"/>
  <c r="Q33" i="20"/>
  <c r="Q32" i="20"/>
  <c r="Q31" i="20"/>
  <c r="I27" i="20"/>
  <c r="H27" i="20"/>
  <c r="G27" i="20"/>
  <c r="K29" i="42"/>
  <c r="H4" i="54" l="1"/>
  <c r="G4" i="54"/>
  <c r="Q8" i="54"/>
  <c r="Q9" i="54"/>
  <c r="M18" i="54"/>
  <c r="K18" i="54"/>
  <c r="L18" i="54"/>
  <c r="Q32" i="49"/>
  <c r="C12" i="49"/>
  <c r="C13" i="49"/>
  <c r="Q31" i="49"/>
  <c r="I4" i="49"/>
  <c r="H4" i="49"/>
  <c r="C36" i="49"/>
  <c r="B13" i="42"/>
  <c r="C12" i="42" s="1"/>
  <c r="C35" i="49"/>
  <c r="H42" i="42"/>
  <c r="H27" i="42"/>
  <c r="G28" i="42" s="1"/>
  <c r="Q13" i="42"/>
  <c r="K18" i="49"/>
  <c r="K41" i="49"/>
  <c r="H3" i="42"/>
  <c r="H4" i="42" s="1"/>
  <c r="R33" i="42"/>
  <c r="Q32" i="42" s="1"/>
  <c r="L43" i="42"/>
  <c r="M42" i="42" s="1"/>
  <c r="L19" i="42"/>
  <c r="L18" i="42" s="1"/>
  <c r="M18" i="49"/>
  <c r="R9" i="42"/>
  <c r="Q9" i="42" s="1"/>
  <c r="Q10" i="49"/>
  <c r="L41" i="49"/>
  <c r="Q9" i="49"/>
  <c r="B37" i="42"/>
  <c r="C37" i="42" s="1"/>
  <c r="L28" i="42"/>
  <c r="C35" i="20"/>
  <c r="C37" i="20"/>
  <c r="D34" i="42"/>
  <c r="C33" i="42" s="1"/>
  <c r="R9" i="43"/>
  <c r="Q10" i="43" s="1"/>
  <c r="C13" i="20"/>
  <c r="C14" i="20"/>
  <c r="C12" i="20"/>
  <c r="H27" i="49"/>
  <c r="I27" i="49"/>
  <c r="Q13" i="43"/>
  <c r="C14" i="40"/>
  <c r="B13" i="43"/>
  <c r="C12" i="43" s="1"/>
  <c r="H18" i="43"/>
  <c r="H4" i="40"/>
  <c r="I4" i="40"/>
  <c r="C12" i="40"/>
  <c r="Q10" i="40"/>
  <c r="Q8" i="40"/>
  <c r="L19" i="43"/>
  <c r="L18" i="43" s="1"/>
  <c r="K18" i="40"/>
  <c r="M18" i="40"/>
  <c r="L18" i="40"/>
  <c r="H3" i="43"/>
  <c r="G4" i="43" s="1"/>
  <c r="C13" i="42" l="1"/>
  <c r="H28" i="42"/>
  <c r="C14" i="42"/>
  <c r="I28" i="42"/>
  <c r="G4" i="42"/>
  <c r="K42" i="42"/>
  <c r="L42" i="42"/>
  <c r="Q34" i="42"/>
  <c r="K18" i="42"/>
  <c r="M18" i="42"/>
  <c r="Q33" i="42"/>
  <c r="I4" i="42"/>
  <c r="Q8" i="42"/>
  <c r="Q10" i="42"/>
  <c r="C38" i="42"/>
  <c r="C36" i="42"/>
  <c r="Q9" i="43"/>
  <c r="Q8" i="43"/>
  <c r="C13" i="43"/>
  <c r="C14" i="43"/>
  <c r="H4" i="43"/>
  <c r="M18" i="43"/>
  <c r="K18" i="43"/>
  <c r="I4" i="43"/>
</calcChain>
</file>

<file path=xl/sharedStrings.xml><?xml version="1.0" encoding="utf-8"?>
<sst xmlns="http://schemas.openxmlformats.org/spreadsheetml/2006/main" count="3503" uniqueCount="273">
  <si>
    <t>臨近路段</t>
  </si>
  <si>
    <t>起始時間</t>
  </si>
  <si>
    <t>結束時間</t>
  </si>
  <si>
    <t>大車A</t>
    <phoneticPr fontId="2" type="noConversion"/>
  </si>
  <si>
    <t>大車B</t>
    <phoneticPr fontId="2" type="noConversion"/>
  </si>
  <si>
    <t>大車C</t>
    <phoneticPr fontId="2" type="noConversion"/>
  </si>
  <si>
    <t>大車D</t>
    <phoneticPr fontId="2" type="noConversion"/>
  </si>
  <si>
    <t>小車A</t>
    <phoneticPr fontId="2" type="noConversion"/>
  </si>
  <si>
    <t>小車B</t>
    <phoneticPr fontId="2" type="noConversion"/>
  </si>
  <si>
    <t>小車C</t>
    <phoneticPr fontId="2" type="noConversion"/>
  </si>
  <si>
    <t>小車D</t>
    <phoneticPr fontId="2" type="noConversion"/>
  </si>
  <si>
    <t>機車兩段A</t>
    <phoneticPr fontId="2" type="noConversion"/>
  </si>
  <si>
    <t>機車A</t>
    <phoneticPr fontId="2" type="noConversion"/>
  </si>
  <si>
    <t>機車兩段B</t>
    <phoneticPr fontId="2" type="noConversion"/>
  </si>
  <si>
    <t>機車B</t>
    <phoneticPr fontId="2" type="noConversion"/>
  </si>
  <si>
    <t>機車兩段C</t>
    <phoneticPr fontId="2" type="noConversion"/>
  </si>
  <si>
    <t>機車C</t>
    <phoneticPr fontId="2" type="noConversion"/>
  </si>
  <si>
    <t>機車兩段D</t>
    <phoneticPr fontId="2" type="noConversion"/>
  </si>
  <si>
    <t>機車D</t>
    <phoneticPr fontId="2" type="noConversion"/>
  </si>
  <si>
    <t>A</t>
  </si>
  <si>
    <t>-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</si>
  <si>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</si>
  <si>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</si>
  <si>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</si>
  <si>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TC編號：</t>
    <phoneticPr fontId="2" type="noConversion"/>
  </si>
  <si>
    <t>路口名稱：</t>
    <phoneticPr fontId="2" type="noConversion"/>
  </si>
  <si>
    <t>D</t>
  </si>
  <si>
    <t>行政區域：</t>
    <phoneticPr fontId="2" type="noConversion"/>
  </si>
  <si>
    <t>日期：</t>
    <phoneticPr fontId="2" type="noConversion"/>
  </si>
  <si>
    <t>A</t>
    <phoneticPr fontId="2" type="noConversion"/>
  </si>
  <si>
    <t>平假日：</t>
    <phoneticPr fontId="2" type="noConversion"/>
  </si>
  <si>
    <t>調查時段：</t>
    <phoneticPr fontId="2" type="noConversion"/>
  </si>
  <si>
    <t>天候：</t>
  </si>
  <si>
    <t>路口類型：</t>
    <phoneticPr fontId="2" type="noConversion"/>
  </si>
  <si>
    <t>正交四叉路口</t>
    <phoneticPr fontId="2" type="noConversion"/>
  </si>
  <si>
    <t>方向：</t>
    <phoneticPr fontId="2" type="noConversion"/>
  </si>
  <si>
    <t>B</t>
  </si>
  <si>
    <t>C</t>
  </si>
  <si>
    <t>路段名：</t>
  </si>
  <si>
    <t>車道數：</t>
  </si>
  <si>
    <t>行車方向：</t>
    <phoneticPr fontId="2" type="noConversion"/>
  </si>
  <si>
    <t>機車兩段式左轉：</t>
    <phoneticPr fontId="2" type="noConversion"/>
  </si>
  <si>
    <t>套用PCE</t>
    <phoneticPr fontId="2" type="noConversion"/>
  </si>
  <si>
    <t xml:space="preserve">※註：
1. 行車方向若無車輛通過，表示為"0"
2. 若該行車方向為禁行方向，或為非調查時段，表示為"-"
3. 機車兩段左轉，不論是否有待轉區，若無機車兩段左轉，皆表示為"0" </t>
    <phoneticPr fontId="2" type="noConversion"/>
  </si>
  <si>
    <t>←A</t>
  </si>
  <si>
    <t>車道數</t>
    <phoneticPr fontId="2" type="noConversion"/>
  </si>
  <si>
    <t>↑B</t>
  </si>
  <si>
    <t>車道數</t>
  </si>
  <si>
    <t>→C</t>
  </si>
  <si>
    <t>↓D</t>
  </si>
  <si>
    <t>調查
開始時間</t>
    <phoneticPr fontId="2" type="noConversion"/>
  </si>
  <si>
    <t>大型車</t>
  </si>
  <si>
    <t>小型車</t>
  </si>
  <si>
    <t>機車</t>
  </si>
  <si>
    <t>左轉B</t>
    <phoneticPr fontId="2" type="noConversion"/>
  </si>
  <si>
    <t>直行C</t>
    <phoneticPr fontId="2" type="noConversion"/>
  </si>
  <si>
    <t>右轉D</t>
    <phoneticPr fontId="2" type="noConversion"/>
  </si>
  <si>
    <t>兩段左轉B</t>
    <phoneticPr fontId="2" type="noConversion"/>
  </si>
  <si>
    <t>左轉C</t>
    <phoneticPr fontId="2" type="noConversion"/>
  </si>
  <si>
    <t>直行D</t>
    <phoneticPr fontId="2" type="noConversion"/>
  </si>
  <si>
    <t>右轉A</t>
    <phoneticPr fontId="2" type="noConversion"/>
  </si>
  <si>
    <t>兩段左轉C</t>
    <phoneticPr fontId="2" type="noConversion"/>
  </si>
  <si>
    <t>左轉D</t>
    <phoneticPr fontId="2" type="noConversion"/>
  </si>
  <si>
    <t>直行A</t>
    <phoneticPr fontId="2" type="noConversion"/>
  </si>
  <si>
    <t>右轉B</t>
    <phoneticPr fontId="2" type="noConversion"/>
  </si>
  <si>
    <t>兩段左轉D</t>
    <phoneticPr fontId="2" type="noConversion"/>
  </si>
  <si>
    <t>左轉A</t>
    <phoneticPr fontId="2" type="noConversion"/>
  </si>
  <si>
    <t>直行B</t>
    <phoneticPr fontId="2" type="noConversion"/>
  </si>
  <si>
    <t>右轉C</t>
    <phoneticPr fontId="2" type="noConversion"/>
  </si>
  <si>
    <t>兩段左轉A</t>
    <phoneticPr fontId="2" type="noConversion"/>
  </si>
  <si>
    <t>合計</t>
  </si>
  <si>
    <t>路口</t>
  </si>
  <si>
    <t>每小時</t>
  </si>
  <si>
    <t>尖峰小時</t>
  </si>
  <si>
    <t>最大15分鐘</t>
  </si>
  <si>
    <t>A尖峰小時</t>
  </si>
  <si>
    <t>B尖峰小時</t>
  </si>
  <si>
    <t>C尖峰小時</t>
  </si>
  <si>
    <t>D尖峰小時</t>
  </si>
  <si>
    <t>尖峰</t>
  </si>
  <si>
    <t>小時</t>
  </si>
  <si>
    <t>轉向</t>
  </si>
  <si>
    <t>車種</t>
  </si>
  <si>
    <t>小計</t>
  </si>
  <si>
    <t>總計</t>
  </si>
  <si>
    <t>交通量</t>
  </si>
  <si>
    <t>係數</t>
  </si>
  <si>
    <t>起</t>
  </si>
  <si>
    <t>迄</t>
  </si>
  <si>
    <t>兩段左轉</t>
  </si>
  <si>
    <t>百分比</t>
  </si>
  <si>
    <t>(PCU)</t>
  </si>
  <si>
    <t>（PCU）</t>
  </si>
  <si>
    <t>（PHF）</t>
  </si>
  <si>
    <t>（輛）</t>
  </si>
  <si>
    <t>（％）</t>
  </si>
  <si>
    <t>晨峰</t>
  </si>
  <si>
    <t>路口</t>
    <phoneticPr fontId="2" type="noConversion"/>
  </si>
  <si>
    <t>小計</t>
    <phoneticPr fontId="2" type="noConversion"/>
  </si>
  <si>
    <t>總計</t>
    <phoneticPr fontId="2" type="noConversion"/>
  </si>
  <si>
    <t>(PCU)</t>
    <phoneticPr fontId="2" type="noConversion"/>
  </si>
  <si>
    <t xml:space="preserve"> </t>
    <phoneticPr fontId="2" type="noConversion"/>
  </si>
  <si>
    <t>D</t>
    <phoneticPr fontId="8" type="noConversion"/>
  </si>
  <si>
    <t xml:space="preserve"> </t>
  </si>
  <si>
    <t>A</t>
    <phoneticPr fontId="8" type="noConversion"/>
  </si>
  <si>
    <t>C</t>
    <phoneticPr fontId="8" type="noConversion"/>
  </si>
  <si>
    <r>
      <rPr>
        <sz val="9"/>
        <rFont val="標楷體"/>
        <family val="4"/>
        <charset val="136"/>
      </rPr>
      <t>單位：</t>
    </r>
    <phoneticPr fontId="2" type="noConversion"/>
  </si>
  <si>
    <t>PCU</t>
    <phoneticPr fontId="2" type="noConversion"/>
  </si>
  <si>
    <r>
      <rPr>
        <sz val="9"/>
        <rFont val="標楷體"/>
        <family val="4"/>
        <charset val="136"/>
      </rPr>
      <t>調查日期：</t>
    </r>
    <phoneticPr fontId="2" type="noConversion"/>
  </si>
  <si>
    <r>
      <rPr>
        <sz val="9"/>
        <rFont val="標楷體"/>
        <family val="4"/>
        <charset val="136"/>
      </rPr>
      <t>時段：</t>
    </r>
    <phoneticPr fontId="2" type="noConversion"/>
  </si>
  <si>
    <r>
      <rPr>
        <sz val="9"/>
        <rFont val="標楷體"/>
        <family val="4"/>
        <charset val="136"/>
      </rPr>
      <t>～</t>
    </r>
    <phoneticPr fontId="2" type="noConversion"/>
  </si>
  <si>
    <t>B</t>
    <phoneticPr fontId="8" type="noConversion"/>
  </si>
  <si>
    <r>
      <rPr>
        <sz val="9"/>
        <rFont val="標楷體"/>
        <family val="4"/>
        <charset val="136"/>
      </rPr>
      <t>註：不含轉向因子</t>
    </r>
    <phoneticPr fontId="2" type="noConversion"/>
  </si>
  <si>
    <r>
      <rPr>
        <sz val="9"/>
        <rFont val="標楷體"/>
        <family val="4"/>
        <charset val="136"/>
      </rPr>
      <t>單位：</t>
    </r>
    <phoneticPr fontId="8" type="noConversion"/>
  </si>
  <si>
    <r>
      <rPr>
        <sz val="9"/>
        <rFont val="標楷體"/>
        <family val="4"/>
        <charset val="136"/>
      </rPr>
      <t>時段：</t>
    </r>
    <phoneticPr fontId="8" type="noConversion"/>
  </si>
  <si>
    <r>
      <rPr>
        <sz val="9"/>
        <rFont val="標楷體"/>
        <family val="4"/>
        <charset val="136"/>
      </rPr>
      <t>～</t>
    </r>
    <phoneticPr fontId="8" type="noConversion"/>
  </si>
  <si>
    <t>單位：</t>
    <phoneticPr fontId="8" type="noConversion"/>
  </si>
  <si>
    <t>TC編號：</t>
    <phoneticPr fontId="8" type="noConversion"/>
  </si>
  <si>
    <r>
      <rPr>
        <sz val="9"/>
        <rFont val="標楷體"/>
        <family val="4"/>
        <charset val="136"/>
      </rPr>
      <t>輛</t>
    </r>
    <phoneticPr fontId="8" type="noConversion"/>
  </si>
  <si>
    <r>
      <rPr>
        <sz val="9"/>
        <rFont val="標楷體"/>
        <family val="4"/>
        <charset val="136"/>
      </rPr>
      <t>調查日期：</t>
    </r>
    <phoneticPr fontId="8" type="noConversion"/>
  </si>
  <si>
    <r>
      <rPr>
        <sz val="9"/>
        <rFont val="標楷體"/>
        <family val="4"/>
        <charset val="136"/>
      </rPr>
      <t>註：不含轉向因子</t>
    </r>
    <phoneticPr fontId="8" type="noConversion"/>
  </si>
  <si>
    <t>業主名稱：</t>
    <phoneticPr fontId="2" type="noConversion"/>
  </si>
  <si>
    <t>簡圖：</t>
    <phoneticPr fontId="2" type="noConversion"/>
  </si>
  <si>
    <t>N</t>
    <phoneticPr fontId="2" type="noConversion"/>
  </si>
  <si>
    <t>專案編號：</t>
    <phoneticPr fontId="2" type="noConversion"/>
  </si>
  <si>
    <t>↑</t>
    <phoneticPr fontId="2" type="noConversion"/>
  </si>
  <si>
    <t>YYYY/MM/DD</t>
    <phoneticPr fontId="2" type="noConversion"/>
  </si>
  <si>
    <t>往西</t>
  </si>
  <si>
    <t>往北</t>
  </si>
  <si>
    <t>往東</t>
  </si>
  <si>
    <t>往南</t>
  </si>
  <si>
    <t>車種設定</t>
    <phoneticPr fontId="2" type="noConversion"/>
  </si>
  <si>
    <t>大型車1</t>
    <phoneticPr fontId="2" type="noConversion"/>
  </si>
  <si>
    <t>小型車1</t>
    <phoneticPr fontId="2" type="noConversion"/>
  </si>
  <si>
    <t>機車1</t>
    <phoneticPr fontId="2" type="noConversion"/>
  </si>
  <si>
    <t>特殊1</t>
    <phoneticPr fontId="2" type="noConversion"/>
  </si>
  <si>
    <t>大型車2</t>
    <phoneticPr fontId="2" type="noConversion"/>
  </si>
  <si>
    <t>小型車2</t>
    <phoneticPr fontId="2" type="noConversion"/>
  </si>
  <si>
    <t>機車2</t>
    <phoneticPr fontId="2" type="noConversion"/>
  </si>
  <si>
    <t>特殊2</t>
    <phoneticPr fontId="2" type="noConversion"/>
  </si>
  <si>
    <t>大型車3</t>
  </si>
  <si>
    <t>小型車3</t>
    <phoneticPr fontId="2" type="noConversion"/>
  </si>
  <si>
    <t>機車3</t>
    <phoneticPr fontId="2" type="noConversion"/>
  </si>
  <si>
    <t>大型車4</t>
  </si>
  <si>
    <t>小型車4</t>
    <phoneticPr fontId="2" type="noConversion"/>
  </si>
  <si>
    <t>大型車5</t>
  </si>
  <si>
    <t>大型車6</t>
  </si>
  <si>
    <t>A</t>
    <phoneticPr fontId="34" type="noConversion"/>
  </si>
  <si>
    <t>24:00</t>
  </si>
  <si>
    <t>0000</t>
  </si>
  <si>
    <t>0015</t>
  </si>
  <si>
    <t>0030</t>
  </si>
  <si>
    <t>0045</t>
  </si>
  <si>
    <t>0100</t>
  </si>
  <si>
    <t>0115</t>
  </si>
  <si>
    <t>0130</t>
  </si>
  <si>
    <t>0145</t>
  </si>
  <si>
    <t>0200</t>
  </si>
  <si>
    <t>0215</t>
  </si>
  <si>
    <t>0230</t>
  </si>
  <si>
    <t>0245</t>
  </si>
  <si>
    <t>0300</t>
  </si>
  <si>
    <t>0315</t>
  </si>
  <si>
    <t>0330</t>
  </si>
  <si>
    <t>0345</t>
  </si>
  <si>
    <t>0400</t>
  </si>
  <si>
    <t>0415</t>
  </si>
  <si>
    <t>0430</t>
  </si>
  <si>
    <t>0445</t>
  </si>
  <si>
    <t>0500</t>
  </si>
  <si>
    <t>0515</t>
  </si>
  <si>
    <t>0530</t>
  </si>
  <si>
    <t>0545</t>
  </si>
  <si>
    <t>0600</t>
  </si>
  <si>
    <t>0615</t>
  </si>
  <si>
    <t>0630</t>
  </si>
  <si>
    <t>0645</t>
  </si>
  <si>
    <t>0700</t>
  </si>
  <si>
    <t>0715</t>
  </si>
  <si>
    <t>0730</t>
  </si>
  <si>
    <t>0745</t>
  </si>
  <si>
    <t>0800</t>
  </si>
  <si>
    <t>0815</t>
  </si>
  <si>
    <t>0830</t>
  </si>
  <si>
    <t>0845</t>
  </si>
  <si>
    <t>0900</t>
  </si>
  <si>
    <t>0915</t>
  </si>
  <si>
    <t>0930</t>
  </si>
  <si>
    <t>0945</t>
  </si>
  <si>
    <t>1000</t>
  </si>
  <si>
    <t>1015</t>
  </si>
  <si>
    <t>1030</t>
  </si>
  <si>
    <t>1045</t>
  </si>
  <si>
    <t>1100</t>
  </si>
  <si>
    <t>1115</t>
  </si>
  <si>
    <t>1130</t>
  </si>
  <si>
    <t>1145</t>
  </si>
  <si>
    <t>1200</t>
  </si>
  <si>
    <t>1215</t>
  </si>
  <si>
    <t>1230</t>
  </si>
  <si>
    <t>1245</t>
  </si>
  <si>
    <t>1300</t>
  </si>
  <si>
    <t>1315</t>
  </si>
  <si>
    <t>1330</t>
  </si>
  <si>
    <t>1345</t>
  </si>
  <si>
    <t>1400</t>
  </si>
  <si>
    <t>1415</t>
  </si>
  <si>
    <t>1430</t>
  </si>
  <si>
    <t>1445</t>
  </si>
  <si>
    <t>1500</t>
  </si>
  <si>
    <t>1515</t>
  </si>
  <si>
    <t>1530</t>
  </si>
  <si>
    <t>1545</t>
  </si>
  <si>
    <t>1600</t>
  </si>
  <si>
    <t>1615</t>
  </si>
  <si>
    <t>1630</t>
  </si>
  <si>
    <t>1645</t>
  </si>
  <si>
    <t>1700</t>
  </si>
  <si>
    <t>1715</t>
  </si>
  <si>
    <t>1730</t>
  </si>
  <si>
    <t>1745</t>
  </si>
  <si>
    <t>1800</t>
  </si>
  <si>
    <t>1815</t>
  </si>
  <si>
    <t>1830</t>
  </si>
  <si>
    <t>1845</t>
  </si>
  <si>
    <t>1900</t>
  </si>
  <si>
    <t>1915</t>
  </si>
  <si>
    <t>1930</t>
  </si>
  <si>
    <t>1945</t>
  </si>
  <si>
    <t>2000</t>
  </si>
  <si>
    <t>2015</t>
  </si>
  <si>
    <t>2030</t>
  </si>
  <si>
    <t>2045</t>
  </si>
  <si>
    <t>2100</t>
  </si>
  <si>
    <t>2115</t>
  </si>
  <si>
    <t>2130</t>
  </si>
  <si>
    <t>2145</t>
  </si>
  <si>
    <t>2200</t>
  </si>
  <si>
    <t>2215</t>
  </si>
  <si>
    <t>2230</t>
  </si>
  <si>
    <t>2245</t>
  </si>
  <si>
    <t>2300</t>
  </si>
  <si>
    <t>2315</t>
  </si>
  <si>
    <t>2330</t>
  </si>
  <si>
    <t>2345</t>
  </si>
  <si>
    <t>E2</t>
  </si>
  <si>
    <t>E2</t>
    <phoneticPr fontId="2" type="noConversion"/>
  </si>
  <si>
    <t>F2</t>
  </si>
  <si>
    <t>F2</t>
    <phoneticPr fontId="2" type="noConversion"/>
  </si>
  <si>
    <t>G2</t>
  </si>
  <si>
    <t>G2</t>
    <phoneticPr fontId="2" type="noConversion"/>
  </si>
  <si>
    <t>I2</t>
  </si>
  <si>
    <t>I2</t>
    <phoneticPr fontId="2" type="noConversion"/>
  </si>
  <si>
    <t>J2</t>
  </si>
  <si>
    <t>J2</t>
    <phoneticPr fontId="2" type="noConversion"/>
  </si>
  <si>
    <t>K2</t>
  </si>
  <si>
    <t>K2</t>
    <phoneticPr fontId="2" type="noConversion"/>
  </si>
  <si>
    <t>N2</t>
  </si>
  <si>
    <t>N2</t>
    <phoneticPr fontId="2" type="noConversion"/>
  </si>
  <si>
    <t>O2</t>
  </si>
  <si>
    <t>O2</t>
    <phoneticPr fontId="2" type="noConversion"/>
  </si>
  <si>
    <t>Q2</t>
  </si>
  <si>
    <t>Q2</t>
    <phoneticPr fontId="2" type="noConversion"/>
  </si>
  <si>
    <t>S2</t>
  </si>
  <si>
    <t>S2</t>
    <phoneticPr fontId="2" type="noConversion"/>
  </si>
  <si>
    <t>左轉</t>
  </si>
  <si>
    <t>左轉</t>
    <phoneticPr fontId="2" type="noConversion"/>
  </si>
  <si>
    <t>直行</t>
  </si>
  <si>
    <t>直行</t>
    <phoneticPr fontId="2" type="noConversion"/>
  </si>
  <si>
    <t>右轉</t>
  </si>
  <si>
    <t>右轉</t>
    <phoneticPr fontId="2" type="noConversion"/>
  </si>
  <si>
    <t>離峰</t>
    <phoneticPr fontId="2" type="noConversion"/>
  </si>
  <si>
    <t>昏峰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</si>
</sst>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_);[Red]\(0\)"/>
    <numFmt numFmtId="177" formatCode="0.0_);[Red]\(0.0\)"/>
    <numFmt numFmtId="178" formatCode="General_)"/>
    <numFmt numFmtId="179" formatCode="0.0%"/>
    <numFmt numFmtId="180" formatCode="0.000_);[Red]\(0.000\)"/>
    <numFmt numFmtId="181" formatCode="[$-404]e"/>
    <numFmt numFmtId="182" formatCode="0;_ "/>
    <numFmt numFmtId="183" formatCode="0;_᠀"/>
    <numFmt numFmtId="184" formatCode="0;_저"/>
    <numFmt numFmtId="185" formatCode="0;_ﰀ"/>
    <numFmt numFmtId="186" formatCode="m/d;@"/>
    <numFmt numFmtId="187" formatCode="0.00_);[Red]\(0.00\)"/>
    <numFmt numFmtId="188" formatCode="0_ "/>
    <numFmt numFmtId="189" formatCode="yyyy/m/d;@"/>
    <numFmt numFmtId="190" formatCode="0_);\(0\)"/>
  </numFmts>
  <fonts count="3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2"/>
      <name val="Courier"/>
      <family val="3"/>
    </font>
    <font>
      <sz val="9"/>
      <name val="細明體"/>
      <family val="3"/>
      <charset val="136"/>
    </font>
    <font>
      <sz val="7"/>
      <name val="Times New Roman"/>
      <family val="1"/>
    </font>
    <font>
      <sz val="10"/>
      <name val="華康中楷體"/>
      <family val="3"/>
      <charset val="136"/>
    </font>
    <font>
      <b/>
      <sz val="16"/>
      <name val="CommercialScript BT"/>
      <family val="2"/>
    </font>
    <font>
      <sz val="8"/>
      <name val="Times New Roman"/>
      <family val="1"/>
    </font>
    <font>
      <sz val="13"/>
      <name val="華康中楷體"/>
      <family val="3"/>
      <charset val="136"/>
    </font>
    <font>
      <sz val="13"/>
      <name val="Times New Roman"/>
      <family val="1"/>
    </font>
    <font>
      <sz val="16"/>
      <name val="華康中楷體"/>
      <family val="3"/>
      <charset val="136"/>
    </font>
    <font>
      <sz val="16"/>
      <name val="新細明體"/>
      <family val="1"/>
      <charset val="136"/>
    </font>
    <font>
      <sz val="9"/>
      <name val="華康中楷體"/>
      <family val="3"/>
      <charset val="136"/>
    </font>
    <font>
      <sz val="9"/>
      <name val="Times New Roman"/>
      <family val="1"/>
    </font>
    <font>
      <sz val="9"/>
      <name val="Courier New"/>
      <family val="3"/>
    </font>
    <font>
      <sz val="12"/>
      <name val="華康中楷體"/>
      <family val="3"/>
      <charset val="136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0"/>
      <color indexed="22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微軟正黑體"/>
      <family val="2"/>
      <charset val="136"/>
    </font>
    <font>
      <sz val="14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Times New Roman"/>
      <family val="1"/>
    </font>
    <font>
      <sz val="9"/>
      <name val="標楷體"/>
      <family val="4"/>
      <charset val="136"/>
    </font>
    <font>
      <sz val="12"/>
      <name val="新細明體"/>
      <family val="1"/>
      <charset val="136"/>
      <scheme val="minor"/>
    </font>
    <font>
      <sz val="10"/>
      <color rgb="FF000000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  <scheme val="major"/>
    </font>
    <font>
      <sz val="12"/>
      <color rgb="FFFF0000"/>
      <name val="新細明體"/>
      <family val="1"/>
      <charset val="136"/>
    </font>
    <font>
      <sz val="8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19" fillId="0" borderId="0"/>
    <xf numFmtId="178" fontId="7" fillId="0" borderId="0"/>
    <xf numFmtId="9" fontId="1" fillId="0" borderId="0" applyFont="0" applyFill="0" applyBorder="0" applyAlignment="0" applyProtection="0"/>
  </cellStyleXfs>
  <cellXfs count="519">
    <xf numFmtId="0" fontId="0" fillId="0" borderId="0" xfId="0"/>
    <xf numFmtId="0" fontId="4" fillId="0" borderId="0" xfId="0" applyFont="1"/>
    <xf numFmtId="176" fontId="4" fillId="0" borderId="0" xfId="0" applyNumberFormat="1" applyFont="1"/>
    <xf numFmtId="0" fontId="3" fillId="0" borderId="0" xfId="0" applyFont="1"/>
    <xf numFmtId="176" fontId="6" fillId="0" borderId="0" xfId="0" applyNumberFormat="1" applyFont="1"/>
    <xf numFmtId="0" fontId="6" fillId="0" borderId="0" xfId="0" applyFont="1"/>
    <xf numFmtId="178" fontId="9" fillId="0" borderId="0" xfId="3" applyFont="1"/>
    <xf numFmtId="178" fontId="13" fillId="0" borderId="0" xfId="3" applyFont="1" applyAlignment="1">
      <alignment horizontal="left" vertical="center"/>
    </xf>
    <xf numFmtId="0" fontId="16" fillId="0" borderId="0" xfId="0" applyFont="1"/>
    <xf numFmtId="0" fontId="4" fillId="0" borderId="0" xfId="0" applyFont="1" applyAlignment="1">
      <alignment horizontal="center"/>
    </xf>
    <xf numFmtId="177" fontId="4" fillId="0" borderId="0" xfId="0" applyNumberFormat="1" applyFont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76" fontId="16" fillId="0" borderId="0" xfId="0" applyNumberFormat="1" applyFont="1"/>
    <xf numFmtId="0" fontId="21" fillId="0" borderId="0" xfId="0" applyFont="1"/>
    <xf numFmtId="176" fontId="5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76" fontId="3" fillId="2" borderId="14" xfId="0" applyNumberFormat="1" applyFont="1" applyFill="1" applyBorder="1"/>
    <xf numFmtId="176" fontId="3" fillId="3" borderId="14" xfId="0" applyNumberFormat="1" applyFont="1" applyFill="1" applyBorder="1"/>
    <xf numFmtId="176" fontId="3" fillId="5" borderId="14" xfId="0" applyNumberFormat="1" applyFont="1" applyFill="1" applyBorder="1"/>
    <xf numFmtId="176" fontId="3" fillId="4" borderId="14" xfId="0" applyNumberFormat="1" applyFont="1" applyFill="1" applyBorder="1"/>
    <xf numFmtId="0" fontId="0" fillId="0" borderId="0" xfId="0" applyAlignment="1">
      <alignment horizontal="center"/>
    </xf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3" fillId="0" borderId="0" xfId="2" applyFont="1" applyAlignment="1">
      <alignment horizontal="right"/>
    </xf>
    <xf numFmtId="0" fontId="23" fillId="0" borderId="0" xfId="2" applyFont="1"/>
    <xf numFmtId="0" fontId="23" fillId="0" borderId="19" xfId="2" applyFont="1" applyBorder="1"/>
    <xf numFmtId="0" fontId="0" fillId="0" borderId="0" xfId="0" applyAlignment="1">
      <alignment vertical="center"/>
    </xf>
    <xf numFmtId="0" fontId="8" fillId="0" borderId="0" xfId="2" applyFont="1"/>
    <xf numFmtId="181" fontId="23" fillId="0" borderId="0" xfId="2" applyNumberFormat="1" applyFont="1"/>
    <xf numFmtId="0" fontId="23" fillId="0" borderId="1" xfId="2" applyFont="1" applyBorder="1" applyAlignment="1">
      <alignment horizontal="center"/>
    </xf>
    <xf numFmtId="0" fontId="22" fillId="0" borderId="0" xfId="1" applyFont="1">
      <alignment vertical="center"/>
    </xf>
    <xf numFmtId="0" fontId="22" fillId="0" borderId="0" xfId="0" applyFont="1" applyAlignment="1">
      <alignment vertical="center"/>
    </xf>
    <xf numFmtId="178" fontId="9" fillId="6" borderId="0" xfId="3" applyFont="1" applyFill="1"/>
    <xf numFmtId="178" fontId="7" fillId="6" borderId="0" xfId="3" applyFill="1"/>
    <xf numFmtId="178" fontId="20" fillId="6" borderId="0" xfId="3" applyFont="1" applyFill="1"/>
    <xf numFmtId="178" fontId="5" fillId="6" borderId="0" xfId="3" applyFont="1" applyFill="1" applyAlignment="1">
      <alignment horizontal="center"/>
    </xf>
    <xf numFmtId="178" fontId="10" fillId="6" borderId="0" xfId="3" applyFont="1" applyFill="1" applyAlignment="1">
      <alignment horizontal="left"/>
    </xf>
    <xf numFmtId="178" fontId="10" fillId="6" borderId="0" xfId="3" applyFont="1" applyFill="1" applyAlignment="1">
      <alignment horizontal="center"/>
    </xf>
    <xf numFmtId="178" fontId="11" fillId="6" borderId="0" xfId="3" applyFont="1" applyFill="1" applyAlignment="1">
      <alignment horizontal="center"/>
    </xf>
    <xf numFmtId="1" fontId="12" fillId="6" borderId="1" xfId="3" applyNumberFormat="1" applyFont="1" applyFill="1" applyBorder="1" applyAlignment="1">
      <alignment horizontal="center" vertical="center"/>
    </xf>
    <xf numFmtId="178" fontId="12" fillId="6" borderId="0" xfId="3" applyFont="1" applyFill="1" applyAlignment="1">
      <alignment horizontal="center" vertical="center"/>
    </xf>
    <xf numFmtId="179" fontId="12" fillId="6" borderId="1" xfId="4" applyNumberFormat="1" applyFont="1" applyFill="1" applyBorder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178" fontId="5" fillId="6" borderId="0" xfId="3" applyFont="1" applyFill="1" applyAlignment="1">
      <alignment horizontal="center" vertical="center"/>
    </xf>
    <xf numFmtId="2" fontId="12" fillId="6" borderId="0" xfId="3" applyNumberFormat="1" applyFont="1" applyFill="1" applyAlignment="1">
      <alignment horizontal="center" vertical="center"/>
    </xf>
    <xf numFmtId="178" fontId="10" fillId="6" borderId="0" xfId="3" quotePrefix="1" applyFont="1" applyFill="1" applyAlignment="1">
      <alignment horizontal="center"/>
    </xf>
    <xf numFmtId="178" fontId="10" fillId="6" borderId="0" xfId="3" applyFont="1" applyFill="1" applyAlignment="1">
      <alignment horizontal="right" vertical="center"/>
    </xf>
    <xf numFmtId="178" fontId="10" fillId="6" borderId="0" xfId="3" applyFont="1" applyFill="1" applyAlignment="1">
      <alignment horizontal="left" vertical="center"/>
    </xf>
    <xf numFmtId="178" fontId="10" fillId="6" borderId="0" xfId="3" applyFont="1" applyFill="1"/>
    <xf numFmtId="178" fontId="18" fillId="6" borderId="0" xfId="3" applyFont="1" applyFill="1" applyAlignment="1">
      <alignment horizontal="center" vertical="center"/>
    </xf>
    <xf numFmtId="1" fontId="5" fillId="6" borderId="0" xfId="3" applyNumberFormat="1" applyFont="1" applyFill="1" applyAlignment="1">
      <alignment horizontal="center" vertical="center"/>
    </xf>
    <xf numFmtId="178" fontId="13" fillId="6" borderId="0" xfId="3" quotePrefix="1" applyFont="1" applyFill="1" applyAlignment="1">
      <alignment horizontal="center" vertical="center"/>
    </xf>
    <xf numFmtId="178" fontId="13" fillId="6" borderId="0" xfId="3" applyFont="1" applyFill="1" applyAlignment="1">
      <alignment horizontal="left" vertical="center"/>
    </xf>
    <xf numFmtId="178" fontId="14" fillId="6" borderId="0" xfId="3" applyFont="1" applyFill="1" applyAlignment="1">
      <alignment horizontal="left" vertical="center"/>
    </xf>
    <xf numFmtId="178" fontId="10" fillId="6" borderId="0" xfId="3" quotePrefix="1" applyFont="1" applyFill="1" applyAlignment="1">
      <alignment horizontal="right"/>
    </xf>
    <xf numFmtId="187" fontId="26" fillId="0" borderId="0" xfId="0" applyNumberFormat="1" applyFont="1"/>
    <xf numFmtId="0" fontId="28" fillId="7" borderId="1" xfId="0" applyFont="1" applyFill="1" applyBorder="1" applyAlignment="1">
      <alignment horizontal="center" vertical="center"/>
    </xf>
    <xf numFmtId="0" fontId="23" fillId="0" borderId="0" xfId="2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23" fillId="0" borderId="0" xfId="2" applyFont="1" applyAlignment="1">
      <alignment horizontal="left"/>
    </xf>
    <xf numFmtId="178" fontId="18" fillId="6" borderId="0" xfId="3" applyFont="1" applyFill="1"/>
    <xf numFmtId="178" fontId="18" fillId="6" borderId="0" xfId="3" applyFont="1" applyFill="1" applyAlignment="1">
      <alignment horizontal="left"/>
    </xf>
    <xf numFmtId="178" fontId="18" fillId="6" borderId="0" xfId="3" quotePrefix="1" applyFont="1" applyFill="1" applyAlignment="1">
      <alignment horizontal="left"/>
    </xf>
    <xf numFmtId="178" fontId="31" fillId="6" borderId="0" xfId="3" applyFont="1" applyFill="1" applyAlignment="1">
      <alignment horizontal="left"/>
    </xf>
    <xf numFmtId="178" fontId="12" fillId="6" borderId="8" xfId="3" applyFont="1" applyFill="1" applyBorder="1" applyAlignment="1">
      <alignment horizontal="center" vertical="center"/>
    </xf>
    <xf numFmtId="178" fontId="9" fillId="6" borderId="6" xfId="3" applyFont="1" applyFill="1" applyBorder="1"/>
    <xf numFmtId="178" fontId="12" fillId="6" borderId="6" xfId="3" applyFont="1" applyFill="1" applyBorder="1" applyAlignment="1">
      <alignment horizontal="center" vertical="center"/>
    </xf>
    <xf numFmtId="178" fontId="12" fillId="6" borderId="7" xfId="3" applyFont="1" applyFill="1" applyBorder="1" applyAlignment="1">
      <alignment horizontal="center" vertical="center"/>
    </xf>
    <xf numFmtId="178" fontId="9" fillId="6" borderId="4" xfId="3" applyFont="1" applyFill="1" applyBorder="1"/>
    <xf numFmtId="178" fontId="12" fillId="6" borderId="4" xfId="3" applyFont="1" applyFill="1" applyBorder="1" applyAlignment="1">
      <alignment horizontal="center" vertical="center"/>
    </xf>
    <xf numFmtId="178" fontId="12" fillId="6" borderId="9" xfId="3" applyFont="1" applyFill="1" applyBorder="1" applyAlignment="1">
      <alignment horizontal="center" vertical="center"/>
    </xf>
    <xf numFmtId="178" fontId="12" fillId="6" borderId="10" xfId="3" applyFont="1" applyFill="1" applyBorder="1" applyAlignment="1">
      <alignment horizontal="center" vertical="center"/>
    </xf>
    <xf numFmtId="178" fontId="12" fillId="6" borderId="3" xfId="3" applyFont="1" applyFill="1" applyBorder="1" applyAlignment="1">
      <alignment horizontal="center" vertical="center"/>
    </xf>
    <xf numFmtId="178" fontId="12" fillId="6" borderId="5" xfId="3" applyFont="1" applyFill="1" applyBorder="1" applyAlignment="1">
      <alignment horizontal="center" vertical="center"/>
    </xf>
    <xf numFmtId="178" fontId="18" fillId="6" borderId="10" xfId="3" applyFont="1" applyFill="1" applyBorder="1" applyAlignment="1">
      <alignment horizontal="center" vertical="center"/>
    </xf>
    <xf numFmtId="178" fontId="18" fillId="6" borderId="10" xfId="3" quotePrefix="1" applyFont="1" applyFill="1" applyBorder="1" applyAlignment="1">
      <alignment horizontal="left"/>
    </xf>
    <xf numFmtId="178" fontId="31" fillId="6" borderId="0" xfId="3" quotePrefix="1" applyFont="1" applyFill="1" applyAlignment="1">
      <alignment horizontal="left"/>
    </xf>
    <xf numFmtId="176" fontId="0" fillId="2" borderId="15" xfId="0" applyNumberFormat="1" applyFill="1" applyBorder="1" applyAlignment="1">
      <alignment horizontal="center"/>
    </xf>
    <xf numFmtId="176" fontId="0" fillId="4" borderId="15" xfId="0" applyNumberFormat="1" applyFill="1" applyBorder="1" applyAlignment="1">
      <alignment horizontal="center"/>
    </xf>
    <xf numFmtId="176" fontId="0" fillId="5" borderId="2" xfId="0" applyNumberFormat="1" applyFill="1" applyBorder="1"/>
    <xf numFmtId="176" fontId="0" fillId="5" borderId="14" xfId="0" applyNumberFormat="1" applyFill="1" applyBorder="1"/>
    <xf numFmtId="176" fontId="0" fillId="4" borderId="14" xfId="0" applyNumberFormat="1" applyFill="1" applyBorder="1"/>
    <xf numFmtId="176" fontId="0" fillId="4" borderId="2" xfId="0" applyNumberFormat="1" applyFill="1" applyBorder="1"/>
    <xf numFmtId="176" fontId="0" fillId="3" borderId="14" xfId="0" applyNumberFormat="1" applyFill="1" applyBorder="1"/>
    <xf numFmtId="176" fontId="0" fillId="3" borderId="2" xfId="0" applyNumberFormat="1" applyFill="1" applyBorder="1"/>
    <xf numFmtId="176" fontId="0" fillId="2" borderId="2" xfId="0" applyNumberFormat="1" applyFill="1" applyBorder="1"/>
    <xf numFmtId="178" fontId="18" fillId="6" borderId="0" xfId="3" quotePrefix="1" applyFont="1" applyFill="1" applyAlignment="1">
      <alignment horizontal="center"/>
    </xf>
    <xf numFmtId="178" fontId="18" fillId="6" borderId="0" xfId="3" applyFont="1" applyFill="1" applyAlignment="1">
      <alignment horizontal="center"/>
    </xf>
    <xf numFmtId="186" fontId="18" fillId="6" borderId="0" xfId="3" applyNumberFormat="1" applyFont="1" applyFill="1" applyAlignment="1">
      <alignment horizontal="center"/>
    </xf>
    <xf numFmtId="178" fontId="18" fillId="6" borderId="10" xfId="3" applyFont="1" applyFill="1" applyBorder="1" applyAlignment="1">
      <alignment horizontal="center"/>
    </xf>
    <xf numFmtId="178" fontId="31" fillId="8" borderId="10" xfId="3" applyFont="1" applyFill="1" applyBorder="1" applyAlignment="1">
      <alignment horizontal="left"/>
    </xf>
    <xf numFmtId="176" fontId="32" fillId="2" borderId="13" xfId="0" applyNumberFormat="1" applyFont="1" applyFill="1" applyBorder="1" applyAlignment="1">
      <alignment horizontal="center"/>
    </xf>
    <xf numFmtId="176" fontId="0" fillId="0" borderId="0" xfId="0" applyNumberFormat="1"/>
    <xf numFmtId="176" fontId="32" fillId="2" borderId="0" xfId="0" applyNumberFormat="1" applyFont="1" applyFill="1" applyAlignment="1">
      <alignment horizontal="center"/>
    </xf>
    <xf numFmtId="188" fontId="3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10" xfId="0" applyNumberFormat="1" applyFont="1" applyBorder="1"/>
    <xf numFmtId="0" fontId="1" fillId="0" borderId="5" xfId="0" applyFont="1" applyBorder="1" applyAlignment="1">
      <alignment horizontal="center"/>
    </xf>
    <xf numFmtId="176" fontId="1" fillId="2" borderId="14" xfId="0" applyNumberFormat="1" applyFont="1" applyFill="1" applyBorder="1"/>
    <xf numFmtId="177" fontId="1" fillId="2" borderId="14" xfId="0" applyNumberFormat="1" applyFont="1" applyFill="1" applyBorder="1"/>
    <xf numFmtId="0" fontId="1" fillId="2" borderId="14" xfId="0" applyFont="1" applyFill="1" applyBorder="1"/>
    <xf numFmtId="176" fontId="1" fillId="3" borderId="14" xfId="0" applyNumberFormat="1" applyFont="1" applyFill="1" applyBorder="1"/>
    <xf numFmtId="177" fontId="1" fillId="3" borderId="14" xfId="0" applyNumberFormat="1" applyFont="1" applyFill="1" applyBorder="1"/>
    <xf numFmtId="176" fontId="1" fillId="4" borderId="14" xfId="0" applyNumberFormat="1" applyFont="1" applyFill="1" applyBorder="1"/>
    <xf numFmtId="177" fontId="1" fillId="4" borderId="14" xfId="0" applyNumberFormat="1" applyFont="1" applyFill="1" applyBorder="1"/>
    <xf numFmtId="176" fontId="1" fillId="5" borderId="14" xfId="0" applyNumberFormat="1" applyFont="1" applyFill="1" applyBorder="1"/>
    <xf numFmtId="177" fontId="1" fillId="5" borderId="14" xfId="0" applyNumberFormat="1" applyFont="1" applyFill="1" applyBorder="1"/>
    <xf numFmtId="0" fontId="1" fillId="5" borderId="14" xfId="0" applyFont="1" applyFill="1" applyBorder="1"/>
    <xf numFmtId="0" fontId="1" fillId="0" borderId="6" xfId="0" applyFont="1" applyBorder="1" applyAlignment="1">
      <alignment horizontal="center"/>
    </xf>
    <xf numFmtId="176" fontId="1" fillId="2" borderId="13" xfId="0" applyNumberFormat="1" applyFont="1" applyFill="1" applyBorder="1" applyAlignment="1">
      <alignment horizontal="center"/>
    </xf>
    <xf numFmtId="176" fontId="1" fillId="3" borderId="0" xfId="0" applyNumberFormat="1" applyFont="1" applyFill="1" applyAlignment="1">
      <alignment horizontal="center"/>
    </xf>
    <xf numFmtId="176" fontId="1" fillId="4" borderId="13" xfId="0" applyNumberFormat="1" applyFont="1" applyFill="1" applyBorder="1" applyAlignment="1">
      <alignment horizontal="center"/>
    </xf>
    <xf numFmtId="176" fontId="1" fillId="5" borderId="0" xfId="0" applyNumberFormat="1" applyFont="1" applyFill="1" applyAlignment="1">
      <alignment horizontal="center"/>
    </xf>
    <xf numFmtId="176" fontId="1" fillId="2" borderId="13" xfId="0" applyNumberFormat="1" applyFont="1" applyFill="1" applyBorder="1"/>
    <xf numFmtId="176" fontId="1" fillId="3" borderId="13" xfId="0" applyNumberFormat="1" applyFont="1" applyFill="1" applyBorder="1"/>
    <xf numFmtId="176" fontId="1" fillId="4" borderId="13" xfId="0" applyNumberFormat="1" applyFont="1" applyFill="1" applyBorder="1"/>
    <xf numFmtId="176" fontId="1" fillId="5" borderId="13" xfId="0" applyNumberFormat="1" applyFont="1" applyFill="1" applyBorder="1"/>
    <xf numFmtId="176" fontId="1" fillId="2" borderId="0" xfId="0" applyNumberFormat="1" applyFont="1" applyFill="1" applyAlignment="1">
      <alignment horizontal="center"/>
    </xf>
    <xf numFmtId="176" fontId="1" fillId="2" borderId="15" xfId="0" applyNumberFormat="1" applyFont="1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176" fontId="1" fillId="4" borderId="15" xfId="0" applyNumberFormat="1" applyFont="1" applyFill="1" applyBorder="1" applyAlignment="1">
      <alignment horizontal="center"/>
    </xf>
    <xf numFmtId="176" fontId="1" fillId="6" borderId="0" xfId="0" applyNumberFormat="1" applyFont="1" applyFill="1"/>
    <xf numFmtId="176" fontId="1" fillId="0" borderId="3" xfId="0" applyNumberFormat="1" applyFont="1" applyBorder="1"/>
    <xf numFmtId="176" fontId="1" fillId="0" borderId="4" xfId="0" applyNumberFormat="1" applyFont="1" applyBorder="1"/>
    <xf numFmtId="178" fontId="9" fillId="9" borderId="0" xfId="3" applyFont="1" applyFill="1"/>
    <xf numFmtId="178" fontId="7" fillId="9" borderId="0" xfId="3" applyFill="1"/>
    <xf numFmtId="178" fontId="20" fillId="9" borderId="0" xfId="3" applyFont="1" applyFill="1"/>
    <xf numFmtId="178" fontId="5" fillId="9" borderId="0" xfId="3" applyFont="1" applyFill="1" applyAlignment="1">
      <alignment horizontal="center"/>
    </xf>
    <xf numFmtId="178" fontId="9" fillId="9" borderId="4" xfId="3" applyFont="1" applyFill="1" applyBorder="1"/>
    <xf numFmtId="178" fontId="10" fillId="9" borderId="0" xfId="3" applyFont="1" applyFill="1" applyAlignment="1">
      <alignment horizontal="left"/>
    </xf>
    <xf numFmtId="178" fontId="10" fillId="9" borderId="0" xfId="3" applyFont="1" applyFill="1" applyAlignment="1">
      <alignment horizontal="center"/>
    </xf>
    <xf numFmtId="178" fontId="9" fillId="9" borderId="6" xfId="3" applyFont="1" applyFill="1" applyBorder="1"/>
    <xf numFmtId="178" fontId="11" fillId="9" borderId="0" xfId="3" applyFont="1" applyFill="1" applyAlignment="1">
      <alignment horizontal="center"/>
    </xf>
    <xf numFmtId="1" fontId="12" fillId="9" borderId="1" xfId="3" applyNumberFormat="1" applyFont="1" applyFill="1" applyBorder="1" applyAlignment="1">
      <alignment horizontal="center" vertical="center"/>
    </xf>
    <xf numFmtId="37" fontId="12" fillId="9" borderId="0" xfId="3" applyNumberFormat="1" applyFont="1" applyFill="1" applyAlignment="1">
      <alignment horizontal="center" vertical="center"/>
    </xf>
    <xf numFmtId="178" fontId="12" fillId="9" borderId="0" xfId="3" applyFont="1" applyFill="1" applyAlignment="1">
      <alignment horizontal="center" vertical="center"/>
    </xf>
    <xf numFmtId="178" fontId="12" fillId="9" borderId="4" xfId="3" applyFont="1" applyFill="1" applyBorder="1" applyAlignment="1">
      <alignment horizontal="center" vertical="center"/>
    </xf>
    <xf numFmtId="179" fontId="12" fillId="9" borderId="1" xfId="4" applyNumberFormat="1" applyFont="1" applyFill="1" applyBorder="1" applyAlignment="1">
      <alignment horizontal="center" vertical="center"/>
    </xf>
    <xf numFmtId="178" fontId="10" fillId="9" borderId="0" xfId="3" applyFont="1" applyFill="1" applyAlignment="1">
      <alignment horizontal="center" vertical="center"/>
    </xf>
    <xf numFmtId="178" fontId="12" fillId="9" borderId="6" xfId="3" applyFont="1" applyFill="1" applyBorder="1" applyAlignment="1">
      <alignment horizontal="center" vertical="center"/>
    </xf>
    <xf numFmtId="178" fontId="12" fillId="9" borderId="8" xfId="3" applyFont="1" applyFill="1" applyBorder="1" applyAlignment="1">
      <alignment horizontal="center" vertical="center"/>
    </xf>
    <xf numFmtId="178" fontId="12" fillId="9" borderId="9" xfId="3" applyFont="1" applyFill="1" applyBorder="1" applyAlignment="1">
      <alignment horizontal="center" vertical="center"/>
    </xf>
    <xf numFmtId="178" fontId="12" fillId="9" borderId="7" xfId="3" applyFont="1" applyFill="1" applyBorder="1" applyAlignment="1">
      <alignment horizontal="center" vertical="center"/>
    </xf>
    <xf numFmtId="178" fontId="5" fillId="9" borderId="0" xfId="3" applyFont="1" applyFill="1" applyAlignment="1">
      <alignment horizontal="center" vertical="center"/>
    </xf>
    <xf numFmtId="2" fontId="12" fillId="9" borderId="0" xfId="3" applyNumberFormat="1" applyFont="1" applyFill="1" applyAlignment="1">
      <alignment horizontal="center" vertical="center"/>
    </xf>
    <xf numFmtId="178" fontId="10" fillId="9" borderId="0" xfId="3" quotePrefix="1" applyFont="1" applyFill="1" applyAlignment="1">
      <alignment horizontal="center"/>
    </xf>
    <xf numFmtId="178" fontId="10" fillId="9" borderId="0" xfId="3" applyFont="1" applyFill="1" applyAlignment="1">
      <alignment horizontal="right" vertical="center"/>
    </xf>
    <xf numFmtId="178" fontId="10" fillId="9" borderId="0" xfId="3" applyFont="1" applyFill="1" applyAlignment="1">
      <alignment horizontal="left" vertical="center"/>
    </xf>
    <xf numFmtId="178" fontId="10" fillId="9" borderId="0" xfId="3" applyFont="1" applyFill="1"/>
    <xf numFmtId="178" fontId="12" fillId="9" borderId="10" xfId="3" applyFont="1" applyFill="1" applyBorder="1" applyAlignment="1">
      <alignment horizontal="center" vertical="center"/>
    </xf>
    <xf numFmtId="178" fontId="12" fillId="9" borderId="3" xfId="3" applyFont="1" applyFill="1" applyBorder="1" applyAlignment="1">
      <alignment horizontal="center" vertical="center"/>
    </xf>
    <xf numFmtId="178" fontId="12" fillId="9" borderId="5" xfId="3" applyFont="1" applyFill="1" applyBorder="1" applyAlignment="1">
      <alignment horizontal="center" vertical="center"/>
    </xf>
    <xf numFmtId="178" fontId="31" fillId="10" borderId="10" xfId="3" applyFont="1" applyFill="1" applyBorder="1" applyAlignment="1">
      <alignment horizontal="left"/>
    </xf>
    <xf numFmtId="178" fontId="18" fillId="9" borderId="10" xfId="3" applyFont="1" applyFill="1" applyBorder="1" applyAlignment="1">
      <alignment horizontal="center" vertical="center"/>
    </xf>
    <xf numFmtId="178" fontId="18" fillId="9" borderId="0" xfId="3" applyFont="1" applyFill="1" applyAlignment="1">
      <alignment horizontal="left"/>
    </xf>
    <xf numFmtId="178" fontId="18" fillId="9" borderId="0" xfId="3" applyFont="1" applyFill="1" applyAlignment="1">
      <alignment horizontal="center"/>
    </xf>
    <xf numFmtId="178" fontId="18" fillId="9" borderId="0" xfId="3" applyFont="1" applyFill="1"/>
    <xf numFmtId="178" fontId="18" fillId="9" borderId="0" xfId="3" quotePrefix="1" applyFont="1" applyFill="1" applyAlignment="1">
      <alignment horizontal="left"/>
    </xf>
    <xf numFmtId="178" fontId="18" fillId="9" borderId="0" xfId="3" applyFont="1" applyFill="1" applyAlignment="1">
      <alignment horizontal="center" vertical="center"/>
    </xf>
    <xf numFmtId="1" fontId="5" fillId="9" borderId="0" xfId="3" applyNumberFormat="1" applyFont="1" applyFill="1" applyAlignment="1">
      <alignment horizontal="center" vertical="center"/>
    </xf>
    <xf numFmtId="178" fontId="31" fillId="9" borderId="0" xfId="3" quotePrefix="1" applyFont="1" applyFill="1" applyAlignment="1">
      <alignment horizontal="left"/>
    </xf>
    <xf numFmtId="178" fontId="13" fillId="9" borderId="0" xfId="3" quotePrefix="1" applyFont="1" applyFill="1" applyAlignment="1">
      <alignment horizontal="center" vertical="center"/>
    </xf>
    <xf numFmtId="178" fontId="13" fillId="9" borderId="0" xfId="3" applyFont="1" applyFill="1" applyAlignment="1">
      <alignment horizontal="left" vertical="center"/>
    </xf>
    <xf numFmtId="178" fontId="14" fillId="9" borderId="0" xfId="3" applyFont="1" applyFill="1" applyAlignment="1">
      <alignment horizontal="left" vertical="center"/>
    </xf>
    <xf numFmtId="178" fontId="10" fillId="9" borderId="0" xfId="3" quotePrefix="1" applyFont="1" applyFill="1" applyAlignment="1">
      <alignment horizontal="right"/>
    </xf>
    <xf numFmtId="178" fontId="31" fillId="9" borderId="10" xfId="3" quotePrefix="1" applyFont="1" applyFill="1" applyBorder="1" applyAlignment="1">
      <alignment horizontal="left"/>
    </xf>
    <xf numFmtId="178" fontId="18" fillId="9" borderId="10" xfId="3" quotePrefix="1" applyFont="1" applyFill="1" applyBorder="1" applyAlignment="1">
      <alignment horizontal="center"/>
    </xf>
    <xf numFmtId="178" fontId="18" fillId="9" borderId="0" xfId="3" quotePrefix="1" applyFont="1" applyFill="1" applyAlignment="1">
      <alignment horizontal="center"/>
    </xf>
    <xf numFmtId="178" fontId="30" fillId="9" borderId="0" xfId="3" applyFont="1" applyFill="1" applyAlignment="1">
      <alignment horizontal="center"/>
    </xf>
    <xf numFmtId="178" fontId="17" fillId="9" borderId="0" xfId="3" applyFont="1" applyFill="1" applyAlignment="1">
      <alignment vertical="center"/>
    </xf>
    <xf numFmtId="0" fontId="23" fillId="9" borderId="0" xfId="2" applyFont="1" applyFill="1" applyAlignment="1">
      <alignment horizontal="right"/>
    </xf>
    <xf numFmtId="0" fontId="23" fillId="9" borderId="0" xfId="2" applyFont="1" applyFill="1"/>
    <xf numFmtId="0" fontId="23" fillId="9" borderId="0" xfId="2" applyFont="1" applyFill="1" applyAlignment="1">
      <alignment horizontal="center"/>
    </xf>
    <xf numFmtId="0" fontId="8" fillId="9" borderId="0" xfId="2" applyFont="1" applyFill="1" applyAlignment="1">
      <alignment horizontal="center"/>
    </xf>
    <xf numFmtId="0" fontId="23" fillId="9" borderId="23" xfId="2" applyFont="1" applyFill="1" applyBorder="1" applyAlignment="1">
      <alignment horizontal="center"/>
    </xf>
    <xf numFmtId="0" fontId="8" fillId="9" borderId="0" xfId="2" applyFont="1" applyFill="1"/>
    <xf numFmtId="0" fontId="23" fillId="9" borderId="24" xfId="2" applyFont="1" applyFill="1" applyBorder="1" applyAlignment="1">
      <alignment horizontal="center"/>
    </xf>
    <xf numFmtId="0" fontId="23" fillId="9" borderId="2" xfId="2" applyFont="1" applyFill="1" applyBorder="1"/>
    <xf numFmtId="0" fontId="23" fillId="9" borderId="16" xfId="2" applyFont="1" applyFill="1" applyBorder="1"/>
    <xf numFmtId="176" fontId="23" fillId="12" borderId="0" xfId="2" applyNumberFormat="1" applyFont="1" applyFill="1" applyAlignment="1">
      <alignment horizontal="left"/>
    </xf>
    <xf numFmtId="0" fontId="23" fillId="9" borderId="13" xfId="2" applyFont="1" applyFill="1" applyBorder="1" applyAlignment="1">
      <alignment horizontal="center"/>
    </xf>
    <xf numFmtId="0" fontId="24" fillId="9" borderId="0" xfId="2" applyFont="1" applyFill="1" applyAlignment="1">
      <alignment horizontal="center"/>
    </xf>
    <xf numFmtId="0" fontId="23" fillId="9" borderId="15" xfId="2" applyFont="1" applyFill="1" applyBorder="1" applyAlignment="1">
      <alignment horizontal="center"/>
    </xf>
    <xf numFmtId="0" fontId="23" fillId="9" borderId="25" xfId="2" applyFont="1" applyFill="1" applyBorder="1"/>
    <xf numFmtId="0" fontId="23" fillId="9" borderId="26" xfId="2" applyFont="1" applyFill="1" applyBorder="1"/>
    <xf numFmtId="0" fontId="8" fillId="9" borderId="0" xfId="2" applyFont="1" applyFill="1" applyAlignment="1">
      <alignment horizontal="right"/>
    </xf>
    <xf numFmtId="189" fontId="23" fillId="12" borderId="0" xfId="2" applyNumberFormat="1" applyFont="1" applyFill="1" applyAlignment="1">
      <alignment horizontal="left"/>
    </xf>
    <xf numFmtId="0" fontId="23" fillId="9" borderId="27" xfId="2" applyFont="1" applyFill="1" applyBorder="1" applyAlignment="1">
      <alignment horizontal="center"/>
    </xf>
    <xf numFmtId="0" fontId="23" fillId="12" borderId="1" xfId="2" applyFont="1" applyFill="1" applyBorder="1" applyAlignment="1">
      <alignment horizontal="center"/>
    </xf>
    <xf numFmtId="0" fontId="23" fillId="13" borderId="1" xfId="2" applyFont="1" applyFill="1" applyBorder="1" applyAlignment="1">
      <alignment horizontal="center"/>
    </xf>
    <xf numFmtId="0" fontId="23" fillId="0" borderId="0" xfId="0" applyFont="1" applyAlignment="1">
      <alignment horizontal="right" vertical="center"/>
    </xf>
    <xf numFmtId="0" fontId="23" fillId="13" borderId="0" xfId="0" applyFont="1" applyFill="1" applyAlignment="1">
      <alignment vertical="center"/>
    </xf>
    <xf numFmtId="0" fontId="23" fillId="13" borderId="0" xfId="2" applyFont="1" applyFill="1"/>
    <xf numFmtId="0" fontId="23" fillId="0" borderId="0" xfId="0" applyFont="1" applyAlignment="1">
      <alignment vertical="center"/>
    </xf>
    <xf numFmtId="188" fontId="33" fillId="0" borderId="0" xfId="0" applyNumberFormat="1" applyFont="1" applyAlignment="1">
      <alignment horizontal="center"/>
    </xf>
    <xf numFmtId="0" fontId="28" fillId="7" borderId="23" xfId="0" applyFont="1" applyFill="1" applyBorder="1" applyAlignment="1">
      <alignment horizontal="center" vertical="center"/>
    </xf>
    <xf numFmtId="0" fontId="28" fillId="7" borderId="33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28" fillId="7" borderId="35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20" fontId="29" fillId="15" borderId="1" xfId="0" applyNumberFormat="1" applyFont="1" applyFill="1" applyBorder="1" applyAlignment="1">
      <alignment horizontal="center" vertical="center"/>
    </xf>
    <xf numFmtId="20" fontId="29" fillId="15" borderId="39" xfId="0" applyNumberFormat="1" applyFont="1" applyFill="1" applyBorder="1" applyAlignment="1">
      <alignment horizontal="center" vertical="center"/>
    </xf>
    <xf numFmtId="0" fontId="29" fillId="16" borderId="27" xfId="0" applyFont="1" applyFill="1" applyBorder="1" applyAlignment="1">
      <alignment horizontal="center" vertical="center"/>
    </xf>
    <xf numFmtId="20" fontId="29" fillId="16" borderId="27" xfId="0" applyNumberFormat="1" applyFont="1" applyFill="1" applyBorder="1" applyAlignment="1">
      <alignment horizontal="center" vertical="center"/>
    </xf>
    <xf numFmtId="20" fontId="29" fillId="16" borderId="25" xfId="0" applyNumberFormat="1" applyFont="1" applyFill="1" applyBorder="1" applyAlignment="1">
      <alignment horizontal="center" vertical="center"/>
    </xf>
    <xf numFmtId="188" fontId="29" fillId="16" borderId="44" xfId="0" applyNumberFormat="1" applyFont="1" applyFill="1" applyBorder="1" applyAlignment="1">
      <alignment horizontal="center" vertical="center"/>
    </xf>
    <xf numFmtId="188" fontId="29" fillId="16" borderId="27" xfId="0" applyNumberFormat="1" applyFont="1" applyFill="1" applyBorder="1" applyAlignment="1">
      <alignment horizontal="center" vertical="center"/>
    </xf>
    <xf numFmtId="188" fontId="29" fillId="16" borderId="45" xfId="0" applyNumberFormat="1" applyFont="1" applyFill="1" applyBorder="1" applyAlignment="1">
      <alignment horizontal="center" vertical="center"/>
    </xf>
    <xf numFmtId="0" fontId="29" fillId="16" borderId="44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20" fontId="29" fillId="16" borderId="1" xfId="0" applyNumberFormat="1" applyFont="1" applyFill="1" applyBorder="1" applyAlignment="1">
      <alignment horizontal="center" vertical="center"/>
    </xf>
    <xf numFmtId="20" fontId="29" fillId="16" borderId="39" xfId="0" applyNumberFormat="1" applyFont="1" applyFill="1" applyBorder="1" applyAlignment="1">
      <alignment horizontal="center" vertical="center"/>
    </xf>
    <xf numFmtId="188" fontId="29" fillId="16" borderId="1" xfId="0" applyNumberFormat="1" applyFont="1" applyFill="1" applyBorder="1" applyAlignment="1">
      <alignment horizontal="center" vertical="center"/>
    </xf>
    <xf numFmtId="0" fontId="29" fillId="16" borderId="40" xfId="0" applyFont="1" applyFill="1" applyBorder="1" applyAlignment="1">
      <alignment horizontal="center" vertical="center"/>
    </xf>
    <xf numFmtId="20" fontId="29" fillId="16" borderId="40" xfId="0" applyNumberFormat="1" applyFont="1" applyFill="1" applyBorder="1" applyAlignment="1">
      <alignment horizontal="center" vertical="center"/>
    </xf>
    <xf numFmtId="20" fontId="29" fillId="16" borderId="41" xfId="0" applyNumberFormat="1" applyFont="1" applyFill="1" applyBorder="1" applyAlignment="1">
      <alignment horizontal="center" vertical="center"/>
    </xf>
    <xf numFmtId="188" fontId="29" fillId="16" borderId="46" xfId="0" applyNumberFormat="1" applyFont="1" applyFill="1" applyBorder="1" applyAlignment="1">
      <alignment horizontal="center" vertical="center"/>
    </xf>
    <xf numFmtId="0" fontId="29" fillId="16" borderId="47" xfId="0" applyFont="1" applyFill="1" applyBorder="1" applyAlignment="1">
      <alignment horizontal="center" vertical="center"/>
    </xf>
    <xf numFmtId="188" fontId="29" fillId="16" borderId="47" xfId="0" applyNumberFormat="1" applyFont="1" applyFill="1" applyBorder="1" applyAlignment="1">
      <alignment horizontal="center" vertical="center"/>
    </xf>
    <xf numFmtId="188" fontId="29" fillId="16" borderId="29" xfId="0" applyNumberFormat="1" applyFont="1" applyFill="1" applyBorder="1" applyAlignment="1">
      <alignment horizontal="center" vertical="center"/>
    </xf>
    <xf numFmtId="0" fontId="29" fillId="16" borderId="46" xfId="0" applyFont="1" applyFill="1" applyBorder="1" applyAlignment="1">
      <alignment horizontal="center" vertical="center"/>
    </xf>
    <xf numFmtId="0" fontId="29" fillId="14" borderId="27" xfId="0" applyFont="1" applyFill="1" applyBorder="1" applyAlignment="1">
      <alignment horizontal="center" vertical="center"/>
    </xf>
    <xf numFmtId="20" fontId="29" fillId="14" borderId="27" xfId="0" applyNumberFormat="1" applyFont="1" applyFill="1" applyBorder="1" applyAlignment="1">
      <alignment horizontal="center" vertical="center"/>
    </xf>
    <xf numFmtId="20" fontId="29" fillId="14" borderId="25" xfId="0" applyNumberFormat="1" applyFont="1" applyFill="1" applyBorder="1" applyAlignment="1">
      <alignment horizontal="center" vertical="center"/>
    </xf>
    <xf numFmtId="188" fontId="29" fillId="14" borderId="27" xfId="0" applyNumberFormat="1" applyFont="1" applyFill="1" applyBorder="1" applyAlignment="1">
      <alignment horizontal="center" vertical="center"/>
    </xf>
    <xf numFmtId="188" fontId="29" fillId="14" borderId="26" xfId="0" applyNumberFormat="1" applyFont="1" applyFill="1" applyBorder="1" applyAlignment="1">
      <alignment horizontal="center" vertical="center"/>
    </xf>
    <xf numFmtId="0" fontId="29" fillId="14" borderId="26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20" fontId="29" fillId="14" borderId="1" xfId="0" applyNumberFormat="1" applyFont="1" applyFill="1" applyBorder="1" applyAlignment="1">
      <alignment horizontal="center" vertical="center"/>
    </xf>
    <xf numFmtId="20" fontId="29" fillId="14" borderId="39" xfId="0" applyNumberFormat="1" applyFont="1" applyFill="1" applyBorder="1" applyAlignment="1">
      <alignment horizontal="center" vertical="center"/>
    </xf>
    <xf numFmtId="188" fontId="29" fillId="16" borderId="37" xfId="0" applyNumberFormat="1" applyFont="1" applyFill="1" applyBorder="1" applyAlignment="1">
      <alignment horizontal="center" vertical="center"/>
    </xf>
    <xf numFmtId="188" fontId="29" fillId="16" borderId="38" xfId="0" applyNumberFormat="1" applyFont="1" applyFill="1" applyBorder="1" applyAlignment="1">
      <alignment horizontal="center" vertical="center"/>
    </xf>
    <xf numFmtId="0" fontId="29" fillId="16" borderId="37" xfId="0" applyFont="1" applyFill="1" applyBorder="1" applyAlignment="1">
      <alignment horizontal="center" vertical="center"/>
    </xf>
    <xf numFmtId="188" fontId="29" fillId="16" borderId="40" xfId="0" applyNumberFormat="1" applyFont="1" applyFill="1" applyBorder="1" applyAlignment="1">
      <alignment horizontal="center" vertical="center"/>
    </xf>
    <xf numFmtId="187" fontId="26" fillId="14" borderId="5" xfId="0" applyNumberFormat="1" applyFont="1" applyFill="1" applyBorder="1" applyAlignment="1">
      <alignment horizontal="center"/>
    </xf>
    <xf numFmtId="0" fontId="3" fillId="17" borderId="0" xfId="0" applyFont="1" applyFill="1"/>
    <xf numFmtId="0" fontId="3" fillId="17" borderId="0" xfId="0" applyFont="1" applyFill="1" applyAlignment="1">
      <alignment horizontal="center"/>
    </xf>
    <xf numFmtId="0" fontId="3" fillId="17" borderId="15" xfId="0" applyFont="1" applyFill="1" applyBorder="1"/>
    <xf numFmtId="0" fontId="3" fillId="16" borderId="0" xfId="0" applyFont="1" applyFill="1"/>
    <xf numFmtId="0" fontId="3" fillId="16" borderId="15" xfId="0" applyFont="1" applyFill="1" applyBorder="1"/>
    <xf numFmtId="0" fontId="3" fillId="16" borderId="0" xfId="0" applyFont="1" applyFill="1" applyAlignment="1">
      <alignment horizontal="center"/>
    </xf>
    <xf numFmtId="0" fontId="3" fillId="14" borderId="0" xfId="0" applyFont="1" applyFill="1"/>
    <xf numFmtId="0" fontId="3" fillId="14" borderId="15" xfId="0" applyFont="1" applyFill="1" applyBorder="1"/>
    <xf numFmtId="0" fontId="3" fillId="14" borderId="0" xfId="0" applyFont="1" applyFill="1" applyAlignment="1">
      <alignment horizontal="center"/>
    </xf>
    <xf numFmtId="0" fontId="3" fillId="15" borderId="0" xfId="0" applyFont="1" applyFill="1"/>
    <xf numFmtId="0" fontId="3" fillId="15" borderId="15" xfId="0" applyFont="1" applyFill="1" applyBorder="1"/>
    <xf numFmtId="0" fontId="3" fillId="15" borderId="0" xfId="0" applyFont="1" applyFill="1" applyAlignment="1">
      <alignment horizontal="center"/>
    </xf>
    <xf numFmtId="0" fontId="3" fillId="15" borderId="4" xfId="0" applyFont="1" applyFill="1" applyBorder="1"/>
    <xf numFmtId="0" fontId="1" fillId="18" borderId="5" xfId="0" applyFont="1" applyFill="1" applyBorder="1" applyAlignment="1">
      <alignment horizontal="center"/>
    </xf>
    <xf numFmtId="0" fontId="1" fillId="18" borderId="10" xfId="0" applyFont="1" applyFill="1" applyBorder="1" applyAlignment="1">
      <alignment horizontal="center"/>
    </xf>
    <xf numFmtId="0" fontId="1" fillId="18" borderId="11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20" xfId="0" applyFill="1" applyBorder="1" applyAlignment="1">
      <alignment horizontal="center"/>
    </xf>
    <xf numFmtId="0" fontId="0" fillId="18" borderId="21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1" fillId="19" borderId="10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1" fillId="19" borderId="21" xfId="0" applyFont="1" applyFill="1" applyBorder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1" fillId="19" borderId="20" xfId="0" applyFont="1" applyFill="1" applyBorder="1" applyAlignment="1">
      <alignment horizontal="center"/>
    </xf>
    <xf numFmtId="0" fontId="0" fillId="19" borderId="22" xfId="0" applyFill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0" xfId="0" applyFont="1" applyFill="1" applyBorder="1" applyAlignment="1">
      <alignment horizontal="center"/>
    </xf>
    <xf numFmtId="0" fontId="1" fillId="20" borderId="11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1" fillId="20" borderId="21" xfId="0" applyFont="1" applyFill="1" applyBorder="1" applyAlignment="1">
      <alignment horizontal="center"/>
    </xf>
    <xf numFmtId="0" fontId="1" fillId="20" borderId="8" xfId="0" applyFont="1" applyFill="1" applyBorder="1" applyAlignment="1">
      <alignment horizontal="center"/>
    </xf>
    <xf numFmtId="0" fontId="1" fillId="20" borderId="20" xfId="0" applyFont="1" applyFill="1" applyBorder="1" applyAlignment="1">
      <alignment horizontal="center"/>
    </xf>
    <xf numFmtId="0" fontId="0" fillId="20" borderId="22" xfId="0" applyFill="1" applyBorder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1" fillId="21" borderId="5" xfId="0" applyFont="1" applyFill="1" applyBorder="1" applyAlignment="1">
      <alignment horizontal="center"/>
    </xf>
    <xf numFmtId="0" fontId="1" fillId="21" borderId="10" xfId="0" applyFont="1" applyFill="1" applyBorder="1" applyAlignment="1">
      <alignment horizontal="center"/>
    </xf>
    <xf numFmtId="0" fontId="1" fillId="21" borderId="11" xfId="0" applyFont="1" applyFill="1" applyBorder="1" applyAlignment="1">
      <alignment horizontal="center"/>
    </xf>
    <xf numFmtId="0" fontId="1" fillId="21" borderId="1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1" fillId="21" borderId="21" xfId="0" applyFont="1" applyFill="1" applyBorder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21" borderId="20" xfId="0" applyFont="1" applyFill="1" applyBorder="1" applyAlignment="1">
      <alignment horizontal="center"/>
    </xf>
    <xf numFmtId="0" fontId="0" fillId="21" borderId="22" xfId="0" applyFill="1" applyBorder="1" applyAlignment="1">
      <alignment horizontal="center"/>
    </xf>
    <xf numFmtId="0" fontId="1" fillId="21" borderId="9" xfId="0" applyFont="1" applyFill="1" applyBorder="1" applyAlignment="1">
      <alignment horizontal="center"/>
    </xf>
    <xf numFmtId="176" fontId="1" fillId="0" borderId="13" xfId="0" applyNumberFormat="1" applyFont="1" applyBorder="1"/>
    <xf numFmtId="176" fontId="0" fillId="2" borderId="0" xfId="0" applyNumberFormat="1" applyFill="1" applyAlignment="1">
      <alignment horizontal="center"/>
    </xf>
    <xf numFmtId="176" fontId="0" fillId="3" borderId="0" xfId="0" applyNumberFormat="1" applyFill="1" applyAlignment="1">
      <alignment horizontal="center"/>
    </xf>
    <xf numFmtId="176" fontId="0" fillId="4" borderId="0" xfId="0" applyNumberFormat="1" applyFill="1" applyAlignment="1">
      <alignment horizontal="center"/>
    </xf>
    <xf numFmtId="176" fontId="0" fillId="5" borderId="0" xfId="0" applyNumberFormat="1" applyFill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176" fontId="1" fillId="2" borderId="2" xfId="0" applyNumberFormat="1" applyFont="1" applyFill="1" applyBorder="1" applyAlignment="1">
      <alignment horizontal="center"/>
    </xf>
    <xf numFmtId="176" fontId="1" fillId="0" borderId="15" xfId="0" applyNumberFormat="1" applyFont="1" applyBorder="1"/>
    <xf numFmtId="176" fontId="1" fillId="3" borderId="2" xfId="0" applyNumberFormat="1" applyFont="1" applyFill="1" applyBorder="1" applyAlignment="1">
      <alignment horizontal="center"/>
    </xf>
    <xf numFmtId="176" fontId="3" fillId="3" borderId="14" xfId="0" applyNumberFormat="1" applyFont="1" applyFill="1" applyBorder="1" applyAlignment="1">
      <alignment horizontal="center"/>
    </xf>
    <xf numFmtId="176" fontId="1" fillId="3" borderId="14" xfId="0" applyNumberFormat="1" applyFont="1" applyFill="1" applyBorder="1" applyAlignment="1">
      <alignment horizontal="center"/>
    </xf>
    <xf numFmtId="176" fontId="1" fillId="3" borderId="16" xfId="0" applyNumberFormat="1" applyFont="1" applyFill="1" applyBorder="1" applyAlignment="1">
      <alignment horizontal="center"/>
    </xf>
    <xf numFmtId="176" fontId="1" fillId="3" borderId="13" xfId="0" applyNumberFormat="1" applyFont="1" applyFill="1" applyBorder="1" applyAlignment="1">
      <alignment horizontal="center"/>
    </xf>
    <xf numFmtId="176" fontId="0" fillId="3" borderId="15" xfId="0" applyNumberFormat="1" applyFill="1" applyBorder="1" applyAlignment="1">
      <alignment horizontal="center"/>
    </xf>
    <xf numFmtId="176" fontId="1" fillId="3" borderId="15" xfId="0" applyNumberFormat="1" applyFont="1" applyFill="1" applyBorder="1" applyAlignment="1">
      <alignment horizontal="center"/>
    </xf>
    <xf numFmtId="176" fontId="1" fillId="4" borderId="2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176" fontId="1" fillId="4" borderId="14" xfId="0" applyNumberFormat="1" applyFont="1" applyFill="1" applyBorder="1" applyAlignment="1">
      <alignment horizontal="center"/>
    </xf>
    <xf numFmtId="176" fontId="1" fillId="4" borderId="16" xfId="0" applyNumberFormat="1" applyFont="1" applyFill="1" applyBorder="1" applyAlignment="1">
      <alignment horizontal="center"/>
    </xf>
    <xf numFmtId="176" fontId="1" fillId="5" borderId="2" xfId="0" applyNumberFormat="1" applyFont="1" applyFill="1" applyBorder="1" applyAlignment="1">
      <alignment horizontal="center"/>
    </xf>
    <xf numFmtId="176" fontId="3" fillId="5" borderId="14" xfId="0" applyNumberFormat="1" applyFont="1" applyFill="1" applyBorder="1" applyAlignment="1">
      <alignment horizontal="center"/>
    </xf>
    <xf numFmtId="176" fontId="1" fillId="5" borderId="14" xfId="0" applyNumberFormat="1" applyFont="1" applyFill="1" applyBorder="1" applyAlignment="1">
      <alignment horizontal="center"/>
    </xf>
    <xf numFmtId="176" fontId="1" fillId="5" borderId="16" xfId="0" applyNumberFormat="1" applyFont="1" applyFill="1" applyBorder="1" applyAlignment="1">
      <alignment horizontal="center"/>
    </xf>
    <xf numFmtId="176" fontId="1" fillId="5" borderId="13" xfId="0" applyNumberFormat="1" applyFont="1" applyFill="1" applyBorder="1" applyAlignment="1">
      <alignment horizontal="center"/>
    </xf>
    <xf numFmtId="176" fontId="0" fillId="5" borderId="15" xfId="0" applyNumberFormat="1" applyFill="1" applyBorder="1" applyAlignment="1">
      <alignment horizontal="center"/>
    </xf>
    <xf numFmtId="176" fontId="1" fillId="5" borderId="15" xfId="0" applyNumberFormat="1" applyFont="1" applyFill="1" applyBorder="1" applyAlignment="1">
      <alignment horizontal="center"/>
    </xf>
    <xf numFmtId="187" fontId="26" fillId="17" borderId="39" xfId="0" applyNumberFormat="1" applyFont="1" applyFill="1" applyBorder="1" applyAlignment="1">
      <alignment horizontal="center" wrapText="1"/>
    </xf>
    <xf numFmtId="187" fontId="26" fillId="17" borderId="50" xfId="0" applyNumberFormat="1" applyFont="1" applyFill="1" applyBorder="1" applyAlignment="1">
      <alignment horizontal="center"/>
    </xf>
    <xf numFmtId="187" fontId="26" fillId="17" borderId="49" xfId="0" applyNumberFormat="1" applyFont="1" applyFill="1" applyBorder="1" applyAlignment="1">
      <alignment horizontal="center"/>
    </xf>
    <xf numFmtId="187" fontId="26" fillId="16" borderId="39" xfId="0" applyNumberFormat="1" applyFont="1" applyFill="1" applyBorder="1" applyAlignment="1">
      <alignment horizontal="center"/>
    </xf>
    <xf numFmtId="187" fontId="26" fillId="16" borderId="50" xfId="0" applyNumberFormat="1" applyFont="1" applyFill="1" applyBorder="1" applyAlignment="1">
      <alignment horizontal="center"/>
    </xf>
    <xf numFmtId="187" fontId="26" fillId="16" borderId="49" xfId="0" applyNumberFormat="1" applyFont="1" applyFill="1" applyBorder="1" applyAlignment="1">
      <alignment horizontal="center"/>
    </xf>
    <xf numFmtId="187" fontId="26" fillId="14" borderId="39" xfId="0" applyNumberFormat="1" applyFont="1" applyFill="1" applyBorder="1" applyAlignment="1">
      <alignment horizontal="center"/>
    </xf>
    <xf numFmtId="187" fontId="26" fillId="14" borderId="50" xfId="0" applyNumberFormat="1" applyFont="1" applyFill="1" applyBorder="1" applyAlignment="1">
      <alignment horizontal="center"/>
    </xf>
    <xf numFmtId="187" fontId="26" fillId="14" borderId="49" xfId="0" applyNumberFormat="1" applyFont="1" applyFill="1" applyBorder="1" applyAlignment="1">
      <alignment horizontal="center"/>
    </xf>
    <xf numFmtId="187" fontId="26" fillId="15" borderId="39" xfId="0" applyNumberFormat="1" applyFont="1" applyFill="1" applyBorder="1" applyAlignment="1">
      <alignment horizontal="center"/>
    </xf>
    <xf numFmtId="187" fontId="26" fillId="15" borderId="50" xfId="0" applyNumberFormat="1" applyFont="1" applyFill="1" applyBorder="1" applyAlignment="1">
      <alignment horizontal="center"/>
    </xf>
    <xf numFmtId="187" fontId="26" fillId="15" borderId="49" xfId="0" applyNumberFormat="1" applyFont="1" applyFill="1" applyBorder="1" applyAlignment="1">
      <alignment horizontal="center"/>
    </xf>
    <xf numFmtId="176" fontId="35" fillId="2" borderId="14" xfId="0" applyNumberFormat="1" applyFont="1" applyFill="1" applyBorder="1" applyAlignment="1">
      <alignment horizontal="center"/>
    </xf>
    <xf numFmtId="176" fontId="35" fillId="2" borderId="16" xfId="0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176" fontId="1" fillId="0" borderId="17" xfId="0" applyNumberFormat="1" applyFont="1" applyBorder="1" applyAlignment="1">
      <alignment horizontal="center"/>
    </xf>
    <xf numFmtId="176" fontId="1" fillId="2" borderId="0" xfId="0" applyNumberFormat="1" applyFont="1" applyFill="1"/>
    <xf numFmtId="177" fontId="1" fillId="2" borderId="0" xfId="0" applyNumberFormat="1" applyFont="1" applyFill="1"/>
    <xf numFmtId="0" fontId="1" fillId="2" borderId="0" xfId="0" applyFont="1" applyFill="1"/>
    <xf numFmtId="176" fontId="1" fillId="3" borderId="0" xfId="0" applyNumberFormat="1" applyFont="1" applyFill="1"/>
    <xf numFmtId="177" fontId="1" fillId="3" borderId="0" xfId="0" applyNumberFormat="1" applyFont="1" applyFill="1"/>
    <xf numFmtId="176" fontId="1" fillId="4" borderId="0" xfId="0" applyNumberFormat="1" applyFont="1" applyFill="1"/>
    <xf numFmtId="177" fontId="1" fillId="4" borderId="0" xfId="0" applyNumberFormat="1" applyFont="1" applyFill="1"/>
    <xf numFmtId="176" fontId="1" fillId="5" borderId="0" xfId="0" applyNumberFormat="1" applyFont="1" applyFill="1"/>
    <xf numFmtId="177" fontId="1" fillId="5" borderId="0" xfId="0" applyNumberFormat="1" applyFont="1" applyFill="1"/>
    <xf numFmtId="0" fontId="1" fillId="5" borderId="0" xfId="0" applyFont="1" applyFill="1"/>
    <xf numFmtId="176" fontId="0" fillId="0" borderId="2" xfId="0" applyNumberFormat="1" applyBorder="1"/>
    <xf numFmtId="0" fontId="0" fillId="0" borderId="14" xfId="0" applyBorder="1"/>
    <xf numFmtId="176" fontId="1" fillId="0" borderId="14" xfId="0" applyNumberFormat="1" applyFont="1" applyBorder="1"/>
    <xf numFmtId="0" fontId="1" fillId="0" borderId="14" xfId="0" applyFont="1" applyBorder="1"/>
    <xf numFmtId="176" fontId="1" fillId="5" borderId="16" xfId="0" applyNumberFormat="1" applyFont="1" applyFill="1" applyBorder="1"/>
    <xf numFmtId="176" fontId="0" fillId="0" borderId="13" xfId="0" applyNumberFormat="1" applyBorder="1"/>
    <xf numFmtId="176" fontId="1" fillId="5" borderId="15" xfId="0" applyNumberFormat="1" applyFont="1" applyFill="1" applyBorder="1"/>
    <xf numFmtId="176" fontId="1" fillId="4" borderId="16" xfId="0" applyNumberFormat="1" applyFont="1" applyFill="1" applyBorder="1"/>
    <xf numFmtId="176" fontId="1" fillId="4" borderId="15" xfId="0" applyNumberFormat="1" applyFont="1" applyFill="1" applyBorder="1"/>
    <xf numFmtId="176" fontId="1" fillId="3" borderId="16" xfId="0" applyNumberFormat="1" applyFont="1" applyFill="1" applyBorder="1"/>
    <xf numFmtId="176" fontId="1" fillId="3" borderId="15" xfId="0" applyNumberFormat="1" applyFont="1" applyFill="1" applyBorder="1"/>
    <xf numFmtId="176" fontId="1" fillId="2" borderId="16" xfId="0" applyNumberFormat="1" applyFont="1" applyFill="1" applyBorder="1"/>
    <xf numFmtId="176" fontId="1" fillId="2" borderId="15" xfId="0" applyNumberFormat="1" applyFont="1" applyFill="1" applyBorder="1"/>
    <xf numFmtId="0" fontId="3" fillId="0" borderId="14" xfId="0" applyFont="1" applyBorder="1"/>
    <xf numFmtId="0" fontId="1" fillId="0" borderId="16" xfId="0" applyFont="1" applyBorder="1"/>
    <xf numFmtId="0" fontId="1" fillId="0" borderId="15" xfId="0" applyFont="1" applyBorder="1"/>
    <xf numFmtId="176" fontId="0" fillId="2" borderId="14" xfId="0" applyNumberFormat="1" applyFill="1" applyBorder="1"/>
    <xf numFmtId="176" fontId="0" fillId="14" borderId="13" xfId="0" applyNumberFormat="1" applyFill="1" applyBorder="1"/>
    <xf numFmtId="180" fontId="1" fillId="0" borderId="0" xfId="0" applyNumberFormat="1" applyFont="1"/>
    <xf numFmtId="176" fontId="36" fillId="0" borderId="0" xfId="0" applyNumberFormat="1" applyFont="1"/>
    <xf numFmtId="176" fontId="25" fillId="0" borderId="0" xfId="0" applyNumberFormat="1" applyFont="1"/>
    <xf numFmtId="0" fontId="25" fillId="0" borderId="0" xfId="0" applyFont="1"/>
    <xf numFmtId="177" fontId="1" fillId="0" borderId="0" xfId="0" applyNumberFormat="1" applyFont="1"/>
    <xf numFmtId="176" fontId="0" fillId="14" borderId="0" xfId="0" applyNumberFormat="1" applyFill="1"/>
    <xf numFmtId="176" fontId="1" fillId="14" borderId="0" xfId="0" applyNumberFormat="1" applyFont="1" applyFill="1"/>
    <xf numFmtId="176" fontId="25" fillId="14" borderId="0" xfId="0" applyNumberFormat="1" applyFont="1" applyFill="1"/>
    <xf numFmtId="0" fontId="25" fillId="14" borderId="0" xfId="0" applyFont="1" applyFill="1"/>
    <xf numFmtId="176" fontId="0" fillId="0" borderId="25" xfId="0" applyNumberFormat="1" applyBorder="1"/>
    <xf numFmtId="176" fontId="0" fillId="0" borderId="28" xfId="0" applyNumberFormat="1" applyBorder="1"/>
    <xf numFmtId="176" fontId="1" fillId="0" borderId="28" xfId="0" applyNumberFormat="1" applyFont="1" applyBorder="1"/>
    <xf numFmtId="176" fontId="4" fillId="0" borderId="28" xfId="0" applyNumberFormat="1" applyFont="1" applyBorder="1"/>
    <xf numFmtId="180" fontId="1" fillId="0" borderId="28" xfId="0" applyNumberFormat="1" applyFont="1" applyBorder="1"/>
    <xf numFmtId="180" fontId="1" fillId="0" borderId="13" xfId="0" applyNumberFormat="1" applyFont="1" applyBorder="1"/>
    <xf numFmtId="180" fontId="1" fillId="0" borderId="25" xfId="0" applyNumberFormat="1" applyFont="1" applyBorder="1"/>
    <xf numFmtId="0" fontId="0" fillId="5" borderId="28" xfId="0" applyFill="1" applyBorder="1"/>
    <xf numFmtId="176" fontId="0" fillId="5" borderId="28" xfId="0" applyNumberFormat="1" applyFill="1" applyBorder="1"/>
    <xf numFmtId="176" fontId="0" fillId="15" borderId="13" xfId="0" applyNumberFormat="1" applyFill="1" applyBorder="1"/>
    <xf numFmtId="176" fontId="0" fillId="15" borderId="0" xfId="0" applyNumberFormat="1" applyFill="1"/>
    <xf numFmtId="176" fontId="1" fillId="15" borderId="0" xfId="0" applyNumberFormat="1" applyFont="1" applyFill="1"/>
    <xf numFmtId="176" fontId="25" fillId="15" borderId="0" xfId="0" applyNumberFormat="1" applyFont="1" applyFill="1"/>
    <xf numFmtId="0" fontId="1" fillId="15" borderId="0" xfId="0" applyFont="1" applyFill="1"/>
    <xf numFmtId="176" fontId="0" fillId="16" borderId="13" xfId="0" applyNumberFormat="1" applyFill="1" applyBorder="1"/>
    <xf numFmtId="176" fontId="0" fillId="16" borderId="0" xfId="0" applyNumberFormat="1" applyFill="1"/>
    <xf numFmtId="176" fontId="1" fillId="16" borderId="0" xfId="0" applyNumberFormat="1" applyFont="1" applyFill="1"/>
    <xf numFmtId="176" fontId="4" fillId="16" borderId="0" xfId="0" applyNumberFormat="1" applyFont="1" applyFill="1"/>
    <xf numFmtId="176" fontId="25" fillId="16" borderId="0" xfId="0" applyNumberFormat="1" applyFont="1" applyFill="1"/>
    <xf numFmtId="176" fontId="4" fillId="15" borderId="0" xfId="0" applyNumberFormat="1" applyFont="1" applyFill="1"/>
    <xf numFmtId="180" fontId="1" fillId="14" borderId="0" xfId="0" applyNumberFormat="1" applyFont="1" applyFill="1"/>
    <xf numFmtId="176" fontId="1" fillId="14" borderId="15" xfId="0" applyNumberFormat="1" applyFont="1" applyFill="1" applyBorder="1"/>
    <xf numFmtId="0" fontId="1" fillId="14" borderId="0" xfId="0" applyFont="1" applyFill="1"/>
    <xf numFmtId="180" fontId="1" fillId="15" borderId="0" xfId="0" applyNumberFormat="1" applyFont="1" applyFill="1"/>
    <xf numFmtId="0" fontId="25" fillId="15" borderId="0" xfId="0" applyFont="1" applyFill="1"/>
    <xf numFmtId="176" fontId="1" fillId="15" borderId="15" xfId="0" applyNumberFormat="1" applyFont="1" applyFill="1" applyBorder="1"/>
    <xf numFmtId="0" fontId="4" fillId="15" borderId="0" xfId="0" applyFont="1" applyFill="1"/>
    <xf numFmtId="180" fontId="1" fillId="16" borderId="0" xfId="0" applyNumberFormat="1" applyFont="1" applyFill="1"/>
    <xf numFmtId="0" fontId="25" fillId="16" borderId="0" xfId="0" applyFont="1" applyFill="1"/>
    <xf numFmtId="176" fontId="1" fillId="16" borderId="15" xfId="0" applyNumberFormat="1" applyFont="1" applyFill="1" applyBorder="1"/>
    <xf numFmtId="0" fontId="4" fillId="16" borderId="0" xfId="0" applyFont="1" applyFill="1"/>
    <xf numFmtId="176" fontId="0" fillId="0" borderId="16" xfId="0" applyNumberFormat="1" applyBorder="1"/>
    <xf numFmtId="176" fontId="0" fillId="0" borderId="15" xfId="0" applyNumberFormat="1" applyBorder="1"/>
    <xf numFmtId="176" fontId="0" fillId="0" borderId="26" xfId="0" applyNumberFormat="1" applyBorder="1"/>
    <xf numFmtId="176" fontId="0" fillId="0" borderId="14" xfId="0" applyNumberFormat="1" applyBorder="1"/>
    <xf numFmtId="0" fontId="3" fillId="0" borderId="6" xfId="0" applyFont="1" applyBorder="1" applyAlignment="1">
      <alignment horizontal="center"/>
    </xf>
    <xf numFmtId="0" fontId="0" fillId="18" borderId="54" xfId="0" applyFill="1" applyBorder="1" applyAlignment="1">
      <alignment horizontal="center"/>
    </xf>
    <xf numFmtId="188" fontId="29" fillId="14" borderId="44" xfId="0" applyNumberFormat="1" applyFont="1" applyFill="1" applyBorder="1" applyAlignment="1">
      <alignment horizontal="center" vertical="center"/>
    </xf>
    <xf numFmtId="188" fontId="29" fillId="14" borderId="45" xfId="0" applyNumberFormat="1" applyFont="1" applyFill="1" applyBorder="1" applyAlignment="1">
      <alignment horizontal="center" vertical="center"/>
    </xf>
    <xf numFmtId="0" fontId="29" fillId="14" borderId="44" xfId="0" applyFont="1" applyFill="1" applyBorder="1" applyAlignment="1">
      <alignment horizontal="center" vertical="center"/>
    </xf>
    <xf numFmtId="188" fontId="29" fillId="14" borderId="28" xfId="0" applyNumberFormat="1" applyFont="1" applyFill="1" applyBorder="1" applyAlignment="1">
      <alignment horizontal="center" vertical="center"/>
    </xf>
    <xf numFmtId="188" fontId="29" fillId="14" borderId="48" xfId="0" applyNumberFormat="1" applyFont="1" applyFill="1" applyBorder="1" applyAlignment="1">
      <alignment horizontal="center" vertical="center"/>
    </xf>
    <xf numFmtId="188" fontId="29" fillId="14" borderId="37" xfId="0" applyNumberFormat="1" applyFont="1" applyFill="1" applyBorder="1" applyAlignment="1">
      <alignment horizontal="center" vertical="center"/>
    </xf>
    <xf numFmtId="188" fontId="29" fillId="14" borderId="1" xfId="0" applyNumberFormat="1" applyFont="1" applyFill="1" applyBorder="1" applyAlignment="1">
      <alignment horizontal="center" vertical="center"/>
    </xf>
    <xf numFmtId="188" fontId="29" fillId="14" borderId="38" xfId="0" applyNumberFormat="1" applyFont="1" applyFill="1" applyBorder="1" applyAlignment="1">
      <alignment horizontal="center" vertical="center"/>
    </xf>
    <xf numFmtId="0" fontId="29" fillId="14" borderId="37" xfId="0" applyFont="1" applyFill="1" applyBorder="1" applyAlignment="1">
      <alignment horizontal="center" vertical="center"/>
    </xf>
    <xf numFmtId="188" fontId="29" fillId="14" borderId="49" xfId="0" applyNumberFormat="1" applyFont="1" applyFill="1" applyBorder="1" applyAlignment="1">
      <alignment horizontal="center" vertical="center"/>
    </xf>
    <xf numFmtId="188" fontId="29" fillId="14" borderId="50" xfId="0" applyNumberFormat="1" applyFont="1" applyFill="1" applyBorder="1" applyAlignment="1">
      <alignment horizontal="center" vertical="center"/>
    </xf>
    <xf numFmtId="0" fontId="29" fillId="14" borderId="49" xfId="0" applyFont="1" applyFill="1" applyBorder="1" applyAlignment="1">
      <alignment horizontal="center" vertical="center"/>
    </xf>
    <xf numFmtId="0" fontId="29" fillId="14" borderId="40" xfId="0" applyFont="1" applyFill="1" applyBorder="1" applyAlignment="1">
      <alignment horizontal="center" vertical="center"/>
    </xf>
    <xf numFmtId="20" fontId="29" fillId="14" borderId="40" xfId="0" applyNumberFormat="1" applyFont="1" applyFill="1" applyBorder="1" applyAlignment="1">
      <alignment horizontal="center" vertical="center"/>
    </xf>
    <xf numFmtId="20" fontId="29" fillId="14" borderId="41" xfId="0" applyNumberFormat="1" applyFont="1" applyFill="1" applyBorder="1" applyAlignment="1">
      <alignment horizontal="center" vertical="center"/>
    </xf>
    <xf numFmtId="188" fontId="29" fillId="14" borderId="42" xfId="0" applyNumberFormat="1" applyFont="1" applyFill="1" applyBorder="1" applyAlignment="1">
      <alignment horizontal="center" vertical="center"/>
    </xf>
    <xf numFmtId="188" fontId="29" fillId="14" borderId="40" xfId="0" applyNumberFormat="1" applyFont="1" applyFill="1" applyBorder="1" applyAlignment="1">
      <alignment horizontal="center" vertical="center"/>
    </xf>
    <xf numFmtId="188" fontId="29" fillId="14" borderId="43" xfId="0" applyNumberFormat="1" applyFont="1" applyFill="1" applyBorder="1" applyAlignment="1">
      <alignment horizontal="center" vertical="center"/>
    </xf>
    <xf numFmtId="0" fontId="29" fillId="14" borderId="42" xfId="0" applyFont="1" applyFill="1" applyBorder="1" applyAlignment="1">
      <alignment horizontal="center" vertical="center"/>
    </xf>
    <xf numFmtId="188" fontId="29" fillId="14" borderId="51" xfId="0" applyNumberFormat="1" applyFont="1" applyFill="1" applyBorder="1" applyAlignment="1">
      <alignment horizontal="center" vertical="center"/>
    </xf>
    <xf numFmtId="188" fontId="29" fillId="14" borderId="52" xfId="0" applyNumberFormat="1" applyFont="1" applyFill="1" applyBorder="1" applyAlignment="1">
      <alignment horizontal="center" vertical="center"/>
    </xf>
    <xf numFmtId="0" fontId="29" fillId="14" borderId="51" xfId="0" applyFont="1" applyFill="1" applyBorder="1" applyAlignment="1">
      <alignment horizontal="center" vertical="center"/>
    </xf>
    <xf numFmtId="188" fontId="29" fillId="14" borderId="47" xfId="0" applyNumberFormat="1" applyFont="1" applyFill="1" applyBorder="1" applyAlignment="1">
      <alignment horizontal="center" vertical="center"/>
    </xf>
    <xf numFmtId="188" fontId="29" fillId="14" borderId="30" xfId="0" applyNumberFormat="1" applyFont="1" applyFill="1" applyBorder="1" applyAlignment="1">
      <alignment horizontal="center" vertical="center"/>
    </xf>
    <xf numFmtId="0" fontId="29" fillId="15" borderId="27" xfId="0" applyFont="1" applyFill="1" applyBorder="1" applyAlignment="1">
      <alignment horizontal="center" vertical="center"/>
    </xf>
    <xf numFmtId="20" fontId="29" fillId="15" borderId="27" xfId="0" applyNumberFormat="1" applyFont="1" applyFill="1" applyBorder="1" applyAlignment="1">
      <alignment horizontal="center" vertical="center"/>
    </xf>
    <xf numFmtId="20" fontId="29" fillId="15" borderId="25" xfId="0" applyNumberFormat="1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/>
    </xf>
    <xf numFmtId="188" fontId="29" fillId="15" borderId="27" xfId="0" applyNumberFormat="1" applyFont="1" applyFill="1" applyBorder="1" applyAlignment="1">
      <alignment horizontal="center" vertical="center"/>
    </xf>
    <xf numFmtId="0" fontId="29" fillId="15" borderId="53" xfId="0" applyFont="1" applyFill="1" applyBorder="1" applyAlignment="1">
      <alignment horizontal="center" vertical="center"/>
    </xf>
    <xf numFmtId="188" fontId="29" fillId="15" borderId="26" xfId="0" applyNumberFormat="1" applyFont="1" applyFill="1" applyBorder="1" applyAlignment="1">
      <alignment horizontal="center" vertical="center"/>
    </xf>
    <xf numFmtId="0" fontId="29" fillId="15" borderId="26" xfId="0" applyFont="1" applyFill="1" applyBorder="1" applyAlignment="1">
      <alignment horizontal="center" vertical="center"/>
    </xf>
    <xf numFmtId="0" fontId="29" fillId="15" borderId="45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20" fontId="29" fillId="17" borderId="1" xfId="0" applyNumberFormat="1" applyFont="1" applyFill="1" applyBorder="1" applyAlignment="1">
      <alignment horizontal="center" vertical="center"/>
    </xf>
    <xf numFmtId="20" fontId="29" fillId="17" borderId="39" xfId="0" applyNumberFormat="1" applyFont="1" applyFill="1" applyBorder="1" applyAlignment="1">
      <alignment horizontal="center" vertical="center"/>
    </xf>
    <xf numFmtId="0" fontId="29" fillId="17" borderId="37" xfId="0" applyFont="1" applyFill="1" applyBorder="1" applyAlignment="1">
      <alignment horizontal="center" vertical="center"/>
    </xf>
    <xf numFmtId="188" fontId="29" fillId="17" borderId="1" xfId="0" applyNumberFormat="1" applyFont="1" applyFill="1" applyBorder="1" applyAlignment="1">
      <alignment horizontal="center" vertical="center"/>
    </xf>
    <xf numFmtId="188" fontId="29" fillId="17" borderId="38" xfId="0" applyNumberFormat="1" applyFont="1" applyFill="1" applyBorder="1" applyAlignment="1">
      <alignment horizontal="center" vertical="center"/>
    </xf>
    <xf numFmtId="188" fontId="29" fillId="17" borderId="1" xfId="0" quotePrefix="1" applyNumberFormat="1" applyFont="1" applyFill="1" applyBorder="1" applyAlignment="1">
      <alignment horizontal="center" vertical="center"/>
    </xf>
    <xf numFmtId="0" fontId="29" fillId="17" borderId="40" xfId="0" applyFont="1" applyFill="1" applyBorder="1" applyAlignment="1">
      <alignment horizontal="center" vertical="center"/>
    </xf>
    <xf numFmtId="20" fontId="29" fillId="17" borderId="40" xfId="0" applyNumberFormat="1" applyFont="1" applyFill="1" applyBorder="1" applyAlignment="1">
      <alignment horizontal="center" vertical="center"/>
    </xf>
    <xf numFmtId="20" fontId="29" fillId="17" borderId="41" xfId="0" applyNumberFormat="1" applyFont="1" applyFill="1" applyBorder="1" applyAlignment="1">
      <alignment horizontal="center" vertical="center"/>
    </xf>
    <xf numFmtId="0" fontId="29" fillId="17" borderId="42" xfId="0" applyFont="1" applyFill="1" applyBorder="1" applyAlignment="1">
      <alignment horizontal="center" vertical="center"/>
    </xf>
    <xf numFmtId="188" fontId="29" fillId="17" borderId="40" xfId="0" applyNumberFormat="1" applyFont="1" applyFill="1" applyBorder="1" applyAlignment="1">
      <alignment horizontal="center" vertical="center"/>
    </xf>
    <xf numFmtId="188" fontId="29" fillId="17" borderId="43" xfId="0" applyNumberFormat="1" applyFont="1" applyFill="1" applyBorder="1" applyAlignment="1">
      <alignment horizontal="center" vertical="center"/>
    </xf>
    <xf numFmtId="188" fontId="29" fillId="17" borderId="40" xfId="0" quotePrefix="1" applyNumberFormat="1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/>
    </xf>
    <xf numFmtId="176" fontId="1" fillId="16" borderId="13" xfId="0" applyNumberFormat="1" applyFont="1" applyFill="1" applyBorder="1"/>
    <xf numFmtId="176" fontId="1" fillId="16" borderId="4" xfId="0" applyNumberFormat="1" applyFont="1" applyFill="1" applyBorder="1"/>
    <xf numFmtId="0" fontId="1" fillId="15" borderId="6" xfId="0" applyFont="1" applyFill="1" applyBorder="1" applyAlignment="1">
      <alignment horizontal="center"/>
    </xf>
    <xf numFmtId="176" fontId="1" fillId="15" borderId="13" xfId="0" applyNumberFormat="1" applyFont="1" applyFill="1" applyBorder="1"/>
    <xf numFmtId="176" fontId="1" fillId="15" borderId="4" xfId="0" applyNumberFormat="1" applyFont="1" applyFill="1" applyBorder="1"/>
    <xf numFmtId="176" fontId="1" fillId="14" borderId="4" xfId="0" applyNumberFormat="1" applyFont="1" applyFill="1" applyBorder="1"/>
    <xf numFmtId="0" fontId="1" fillId="14" borderId="6" xfId="0" applyFont="1" applyFill="1" applyBorder="1" applyAlignment="1">
      <alignment horizontal="center"/>
    </xf>
    <xf numFmtId="176" fontId="1" fillId="14" borderId="13" xfId="0" applyNumberFormat="1" applyFont="1" applyFill="1" applyBorder="1"/>
    <xf numFmtId="0" fontId="1" fillId="0" borderId="7" xfId="0" applyFont="1" applyBorder="1" applyAlignment="1">
      <alignment horizontal="center"/>
    </xf>
    <xf numFmtId="176" fontId="1" fillId="0" borderId="21" xfId="0" applyNumberFormat="1" applyFont="1" applyBorder="1"/>
    <xf numFmtId="176" fontId="1" fillId="0" borderId="8" xfId="0" applyNumberFormat="1" applyFont="1" applyBorder="1"/>
    <xf numFmtId="176" fontId="1" fillId="0" borderId="20" xfId="0" applyNumberFormat="1" applyFont="1" applyBorder="1"/>
    <xf numFmtId="176" fontId="1" fillId="0" borderId="9" xfId="0" applyNumberFormat="1" applyFont="1" applyBorder="1"/>
    <xf numFmtId="176" fontId="4" fillId="14" borderId="0" xfId="0" applyNumberFormat="1" applyFont="1" applyFill="1"/>
    <xf numFmtId="0" fontId="1" fillId="0" borderId="15" xfId="0" applyFont="1" applyBorder="1" applyAlignment="1">
      <alignment horizontal="center"/>
    </xf>
    <xf numFmtId="0" fontId="4" fillId="14" borderId="0" xfId="0" applyFont="1" applyFill="1"/>
    <xf numFmtId="0" fontId="0" fillId="5" borderId="0" xfId="0" applyFill="1"/>
    <xf numFmtId="176" fontId="0" fillId="5" borderId="0" xfId="0" applyNumberFormat="1" applyFill="1"/>
    <xf numFmtId="0" fontId="4" fillId="0" borderId="28" xfId="0" applyFont="1" applyBorder="1"/>
    <xf numFmtId="176" fontId="1" fillId="0" borderId="26" xfId="0" applyNumberFormat="1" applyFont="1" applyBorder="1"/>
    <xf numFmtId="0" fontId="22" fillId="0" borderId="0" xfId="0" applyFont="1" applyAlignment="1">
      <alignment horizontal="left" vertical="center"/>
    </xf>
    <xf numFmtId="189" fontId="23" fillId="13" borderId="0" xfId="2" applyNumberFormat="1" applyFont="1" applyFill="1" applyAlignment="1">
      <alignment horizontal="left"/>
    </xf>
    <xf numFmtId="0" fontId="23" fillId="11" borderId="0" xfId="0" applyFont="1" applyFill="1" applyAlignment="1">
      <alignment horizontal="left" vertical="center"/>
    </xf>
    <xf numFmtId="176" fontId="7" fillId="9" borderId="0" xfId="3" applyNumberFormat="1" applyFill="1"/>
    <xf numFmtId="176" fontId="9" fillId="9" borderId="0" xfId="3" applyNumberFormat="1" applyFont="1" applyFill="1"/>
    <xf numFmtId="176" fontId="12" fillId="9" borderId="0" xfId="3" applyNumberFormat="1" applyFont="1" applyFill="1" applyAlignment="1">
      <alignment horizontal="center" vertical="center"/>
    </xf>
    <xf numFmtId="190" fontId="12" fillId="6" borderId="0" xfId="3" applyNumberFormat="1" applyFont="1" applyFill="1" applyAlignment="1">
      <alignment horizontal="center" vertical="center"/>
    </xf>
    <xf numFmtId="190" fontId="37" fillId="6" borderId="0" xfId="3" applyNumberFormat="1" applyFont="1" applyFill="1" applyAlignment="1">
      <alignment horizontal="center" vertical="center"/>
    </xf>
    <xf numFmtId="190" fontId="37" fillId="9" borderId="0" xfId="3" applyNumberFormat="1" applyFont="1" applyFill="1" applyAlignment="1">
      <alignment horizontal="center" vertical="center"/>
    </xf>
    <xf numFmtId="190" fontId="12" fillId="9" borderId="0" xfId="3" applyNumberFormat="1" applyFont="1" applyFill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7" fillId="0" borderId="8" xfId="0" applyFont="1" applyBorder="1"/>
    <xf numFmtId="0" fontId="1" fillId="0" borderId="31" xfId="0" applyFont="1" applyBorder="1" applyAlignment="1">
      <alignment horizontal="center" wrapText="1"/>
    </xf>
    <xf numFmtId="0" fontId="1" fillId="0" borderId="32" xfId="0" applyFont="1" applyBorder="1" applyAlignment="1">
      <alignment horizontal="center"/>
    </xf>
    <xf numFmtId="178" fontId="15" fillId="6" borderId="0" xfId="3" applyFont="1" applyFill="1" applyAlignment="1">
      <alignment horizontal="center" vertical="center"/>
    </xf>
    <xf numFmtId="178" fontId="31" fillId="6" borderId="0" xfId="3" quotePrefix="1" applyFont="1" applyFill="1" applyAlignment="1">
      <alignment horizontal="left" vertical="center" wrapText="1"/>
    </xf>
    <xf numFmtId="178" fontId="15" fillId="9" borderId="0" xfId="3" applyFont="1" applyFill="1" applyAlignment="1">
      <alignment horizontal="center" vertical="center"/>
    </xf>
    <xf numFmtId="178" fontId="31" fillId="9" borderId="0" xfId="3" quotePrefix="1" applyFont="1" applyFill="1" applyAlignment="1">
      <alignment horizontal="left" vertical="center" wrapText="1"/>
    </xf>
  </cellXfs>
  <cellStyles count="5">
    <cellStyle name="一般" xfId="0" builtinId="0"/>
    <cellStyle name="一般_96桃園E化調查路口方位配置圖" xfId="1" xr:uid="{00000000-0005-0000-0000-000001000000}"/>
    <cellStyle name="一般_中興路" xfId="2" xr:uid="{00000000-0005-0000-0000-000002000000}"/>
    <cellStyle name="一般_路口轉向圖及服務水準計算" xfId="3" xr:uid="{00000000-0005-0000-0000-000003000000}"/>
    <cellStyle name="百分比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0往西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8-4367-BE43-E51D0AE780A6}"/>
            </c:ext>
          </c:extLst>
        </c:ser>
        <c:ser>
          <c:idx val="3"/>
          <c:order val="1"/>
          <c:tx>
            <c:strRef>
              <c:f>流量分布圖!$D$2</c:f>
              <c:strCache>
                <c:ptCount val="1"/>
                <c:pt idx="0">
                  <c:v>0往東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8-4367-BE43-E51D0AE780A6}"/>
            </c:ext>
          </c:extLst>
        </c:ser>
        <c:ser>
          <c:idx val="0"/>
          <c:order val="2"/>
          <c:tx>
            <c:strRef>
              <c:f>流量分布圖!$C$2</c:f>
              <c:strCache>
                <c:ptCount val="1"/>
                <c:pt idx="0">
                  <c:v>0往北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8-4367-BE43-E51D0AE780A6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0往南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8-4367-BE43-E51D0AE78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433275264"/>
        <c:axId val="1"/>
      </c:lineChart>
      <c:catAx>
        <c:axId val="4332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3327526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989388766894872"/>
          <c:y val="3.7416278232779432E-2"/>
          <c:w val="8.0715611741194307E-2"/>
          <c:h val="0.28856502586299521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0往西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A-48B0-AE21-08DC58B9F63D}"/>
            </c:ext>
          </c:extLst>
        </c:ser>
        <c:ser>
          <c:idx val="3"/>
          <c:order val="1"/>
          <c:tx>
            <c:strRef>
              <c:f>流量分布圖!$D$2</c:f>
              <c:strCache>
                <c:ptCount val="1"/>
                <c:pt idx="0">
                  <c:v>0往東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A-48B0-AE21-08DC58B9F63D}"/>
            </c:ext>
          </c:extLst>
        </c:ser>
        <c:ser>
          <c:idx val="0"/>
          <c:order val="2"/>
          <c:tx>
            <c:strRef>
              <c:f>流量分布圖!$C$2</c:f>
              <c:strCache>
                <c:ptCount val="1"/>
                <c:pt idx="0">
                  <c:v>0往北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A-48B0-AE21-08DC58B9F63D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0往南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A-48B0-AE21-08DC58B9F63D}"/>
            </c:ext>
          </c:extLst>
        </c:ser>
        <c:ser>
          <c:idx val="4"/>
          <c:order val="4"/>
          <c:tx>
            <c:v>路口總計</c:v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A-48B0-AE21-08DC58B9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799216944"/>
        <c:axId val="1"/>
      </c:lineChart>
      <c:catAx>
        <c:axId val="79921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79921694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140764819835503"/>
          <c:y val="3.4014738542297591E-2"/>
          <c:w val="9.8779812107181314E-2"/>
          <c:h val="0.27832288507796177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2</xdr:row>
      <xdr:rowOff>30480</xdr:rowOff>
    </xdr:from>
    <xdr:to>
      <xdr:col>23</xdr:col>
      <xdr:colOff>9525</xdr:colOff>
      <xdr:row>23</xdr:row>
      <xdr:rowOff>190500</xdr:rowOff>
    </xdr:to>
    <xdr:graphicFrame macro="">
      <xdr:nvGraphicFramePr>
        <xdr:cNvPr id="10452" name="Chart 1">
          <a:extLst>
            <a:ext uri="{FF2B5EF4-FFF2-40B4-BE49-F238E27FC236}">
              <a16:creationId xmlns:a16="http://schemas.microsoft.com/office/drawing/2014/main" id="{38297005-9047-46A4-DB13-45E89D38C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723899</xdr:colOff>
      <xdr:row>28</xdr:row>
      <xdr:rowOff>0</xdr:rowOff>
    </xdr:from>
    <xdr:to>
      <xdr:col>23</xdr:col>
      <xdr:colOff>9524</xdr:colOff>
      <xdr:row>49</xdr:row>
      <xdr:rowOff>160020</xdr:rowOff>
    </xdr:to>
    <xdr:graphicFrame macro="">
      <xdr:nvGraphicFramePr>
        <xdr:cNvPr id="10453" name="Chart 1">
          <a:extLst>
            <a:ext uri="{FF2B5EF4-FFF2-40B4-BE49-F238E27FC236}">
              <a16:creationId xmlns:a16="http://schemas.microsoft.com/office/drawing/2014/main" id="{079E18F0-34E6-B686-F7BB-980718F0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314960</xdr:colOff>
      <xdr:row>1</xdr:row>
      <xdr:rowOff>161290</xdr:rowOff>
    </xdr:from>
    <xdr:to>
      <xdr:col>17</xdr:col>
      <xdr:colOff>13174</xdr:colOff>
      <xdr:row>44</xdr:row>
      <xdr:rowOff>256625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5110" y="370840"/>
          <a:ext cx="4355939" cy="9515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292100</xdr:colOff>
      <xdr:row>1</xdr:row>
      <xdr:rowOff>152400</xdr:rowOff>
    </xdr:from>
    <xdr:to>
      <xdr:col>17</xdr:col>
      <xdr:colOff>30573</xdr:colOff>
      <xdr:row>46</xdr:row>
      <xdr:rowOff>254632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250" y="361950"/>
          <a:ext cx="4386673" cy="99510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292100</xdr:colOff>
      <xdr:row>1</xdr:row>
      <xdr:rowOff>171450</xdr:rowOff>
    </xdr:from>
    <xdr:to>
      <xdr:col>17</xdr:col>
      <xdr:colOff>30319</xdr:colOff>
      <xdr:row>44</xdr:row>
      <xdr:rowOff>266278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250" y="381000"/>
          <a:ext cx="4395944" cy="95245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1</xdr:row>
      <xdr:rowOff>168275</xdr:rowOff>
    </xdr:from>
    <xdr:to>
      <xdr:col>17</xdr:col>
      <xdr:colOff>36669</xdr:colOff>
      <xdr:row>44</xdr:row>
      <xdr:rowOff>263103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600" y="377825"/>
          <a:ext cx="4395944" cy="95245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282575</xdr:colOff>
      <xdr:row>1</xdr:row>
      <xdr:rowOff>174625</xdr:rowOff>
    </xdr:from>
    <xdr:to>
      <xdr:col>17</xdr:col>
      <xdr:colOff>20794</xdr:colOff>
      <xdr:row>45</xdr:row>
      <xdr:rowOff>2753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25" y="384175"/>
          <a:ext cx="4395944" cy="95245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1</xdr:row>
      <xdr:rowOff>168275</xdr:rowOff>
    </xdr:from>
    <xdr:to>
      <xdr:col>17</xdr:col>
      <xdr:colOff>36669</xdr:colOff>
      <xdr:row>44</xdr:row>
      <xdr:rowOff>263103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600" y="377825"/>
          <a:ext cx="4395944" cy="95245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1</xdr:row>
      <xdr:rowOff>190500</xdr:rowOff>
    </xdr:from>
    <xdr:to>
      <xdr:col>17</xdr:col>
      <xdr:colOff>55719</xdr:colOff>
      <xdr:row>47</xdr:row>
      <xdr:rowOff>19682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650" y="400050"/>
          <a:ext cx="4395944" cy="994473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</xdr:row>
      <xdr:rowOff>168275</xdr:rowOff>
    </xdr:from>
    <xdr:to>
      <xdr:col>17</xdr:col>
      <xdr:colOff>52544</xdr:colOff>
      <xdr:row>44</xdr:row>
      <xdr:rowOff>263103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" y="377825"/>
          <a:ext cx="4395944" cy="95245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1</xdr:row>
      <xdr:rowOff>184150</xdr:rowOff>
    </xdr:from>
    <xdr:to>
      <xdr:col>17</xdr:col>
      <xdr:colOff>36669</xdr:colOff>
      <xdr:row>45</xdr:row>
      <xdr:rowOff>12278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600" y="393700"/>
          <a:ext cx="4395944" cy="952457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1</xdr:row>
      <xdr:rowOff>177800</xdr:rowOff>
    </xdr:from>
    <xdr:to>
      <xdr:col>17</xdr:col>
      <xdr:colOff>23969</xdr:colOff>
      <xdr:row>45</xdr:row>
      <xdr:rowOff>5928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650" y="387350"/>
          <a:ext cx="4364194" cy="95245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120\&#36681;&#21521;&#37327;\&#27665;&#26063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_24H(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5"/>
  <sheetViews>
    <sheetView zoomScaleNormal="100" workbookViewId="0">
      <pane ySplit="1" topLeftCell="A2" activePane="bottomLeft" state="frozen"/>
      <selection pane="bottomLeft" activeCell="E12" sqref="E12"/>
    </sheetView>
  </sheetViews>
  <sheetFormatPr defaultRowHeight="16.5"/>
  <cols>
    <col min="12" max="12" width="14.125" customWidth="1"/>
    <col min="14" max="14" width="14.125" bestFit="1" customWidth="1"/>
    <col min="16" max="16" width="14.125" customWidth="1"/>
    <col min="18" max="18" width="14.125" customWidth="1"/>
  </cols>
  <sheetData>
    <row r="1" spans="1:19">
      <c r="A1" s="205" t="s">
        <v>0</v>
      </c>
      <c r="B1" s="205" t="s">
        <v>1</v>
      </c>
      <c r="C1" s="206" t="s">
        <v>2</v>
      </c>
      <c r="D1" s="207" t="s">
        <v>3</v>
      </c>
      <c r="E1" s="208" t="s">
        <v>4</v>
      </c>
      <c r="F1" s="208" t="s">
        <v>5</v>
      </c>
      <c r="G1" s="209" t="s">
        <v>6</v>
      </c>
      <c r="H1" s="210" t="s">
        <v>7</v>
      </c>
      <c r="I1" s="64" t="s">
        <v>8</v>
      </c>
      <c r="J1" s="64" t="s">
        <v>9</v>
      </c>
      <c r="K1" s="211" t="s">
        <v>10</v>
      </c>
      <c r="L1" s="210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211" t="s">
        <v>18</v>
      </c>
    </row>
    <row r="2" spans="1:19">
      <c r="A2" s="458" t="s">
        <v>147</v>
      </c>
      <c r="B2" s="459">
        <v>0</v>
      </c>
      <c r="C2" s="460">
        <v>1.0416666666666666E-2</v>
      </c>
      <c r="D2" s="461" t="s">
        <v>20</v>
      </c>
      <c r="E2" s="462"/>
      <c r="F2" s="462"/>
      <c r="G2" s="463"/>
      <c r="H2" s="461" t="s">
        <v>20</v>
      </c>
      <c r="I2" s="464"/>
      <c r="J2" s="462"/>
      <c r="K2" s="463"/>
      <c r="L2" s="461" t="s">
        <v>20</v>
      </c>
      <c r="M2" s="458" t="s">
        <v>20</v>
      </c>
      <c r="N2" s="462"/>
      <c r="O2" s="462"/>
      <c r="P2" s="458" t="s">
        <v>20</v>
      </c>
      <c r="Q2" s="462"/>
      <c r="R2" s="458" t="s">
        <v>20</v>
      </c>
      <c r="S2" s="463"/>
    </row>
    <row r="3" spans="1:19">
      <c r="A3" s="458" t="s">
        <v>147</v>
      </c>
      <c r="B3" s="459">
        <v>1.0416666666666666E-2</v>
      </c>
      <c r="C3" s="460">
        <v>2.0833333333333332E-2</v>
      </c>
      <c r="D3" s="461" t="s">
        <v>20</v>
      </c>
      <c r="E3" s="462"/>
      <c r="F3" s="462"/>
      <c r="G3" s="463"/>
      <c r="H3" s="461" t="s">
        <v>20</v>
      </c>
      <c r="I3" s="464"/>
      <c r="J3" s="462"/>
      <c r="K3" s="463"/>
      <c r="L3" s="461" t="s">
        <v>20</v>
      </c>
      <c r="M3" s="458" t="s">
        <v>20</v>
      </c>
      <c r="N3" s="462"/>
      <c r="O3" s="462"/>
      <c r="P3" s="458" t="s">
        <v>20</v>
      </c>
      <c r="Q3" s="462"/>
      <c r="R3" s="458" t="s">
        <v>20</v>
      </c>
      <c r="S3" s="463"/>
    </row>
    <row r="4" spans="1:19">
      <c r="A4" s="458" t="s">
        <v>147</v>
      </c>
      <c r="B4" s="459">
        <v>2.0833333333333332E-2</v>
      </c>
      <c r="C4" s="460">
        <v>3.125E-2</v>
      </c>
      <c r="D4" s="461" t="s">
        <v>20</v>
      </c>
      <c r="E4" s="462"/>
      <c r="F4" s="462"/>
      <c r="G4" s="463"/>
      <c r="H4" s="461" t="s">
        <v>20</v>
      </c>
      <c r="I4" s="464"/>
      <c r="J4" s="462"/>
      <c r="K4" s="463"/>
      <c r="L4" s="461" t="s">
        <v>20</v>
      </c>
      <c r="M4" s="458" t="s">
        <v>20</v>
      </c>
      <c r="N4" s="462"/>
      <c r="O4" s="462"/>
      <c r="P4" s="458" t="s">
        <v>20</v>
      </c>
      <c r="Q4" s="462"/>
      <c r="R4" s="458" t="s">
        <v>20</v>
      </c>
      <c r="S4" s="463"/>
    </row>
    <row r="5" spans="1:19">
      <c r="A5" s="458" t="s">
        <v>147</v>
      </c>
      <c r="B5" s="459">
        <v>3.125E-2</v>
      </c>
      <c r="C5" s="460">
        <v>4.1666666666666664E-2</v>
      </c>
      <c r="D5" s="461" t="s">
        <v>20</v>
      </c>
      <c r="E5" s="462"/>
      <c r="F5" s="462"/>
      <c r="G5" s="463"/>
      <c r="H5" s="461" t="s">
        <v>20</v>
      </c>
      <c r="I5" s="464"/>
      <c r="J5" s="462"/>
      <c r="K5" s="463"/>
      <c r="L5" s="461" t="s">
        <v>20</v>
      </c>
      <c r="M5" s="458" t="s">
        <v>20</v>
      </c>
      <c r="N5" s="462"/>
      <c r="O5" s="462"/>
      <c r="P5" s="458" t="s">
        <v>20</v>
      </c>
      <c r="Q5" s="462"/>
      <c r="R5" s="458" t="s">
        <v>20</v>
      </c>
      <c r="S5" s="463"/>
    </row>
    <row r="6" spans="1:19">
      <c r="A6" s="458" t="s">
        <v>147</v>
      </c>
      <c r="B6" s="459">
        <v>4.1666666666666664E-2</v>
      </c>
      <c r="C6" s="460">
        <v>5.2083333333333329E-2</v>
      </c>
      <c r="D6" s="461" t="s">
        <v>20</v>
      </c>
      <c r="E6" s="462"/>
      <c r="F6" s="462"/>
      <c r="G6" s="463"/>
      <c r="H6" s="461" t="s">
        <v>20</v>
      </c>
      <c r="I6" s="464"/>
      <c r="J6" s="462"/>
      <c r="K6" s="463"/>
      <c r="L6" s="461" t="s">
        <v>20</v>
      </c>
      <c r="M6" s="458" t="s">
        <v>20</v>
      </c>
      <c r="N6" s="462"/>
      <c r="O6" s="462"/>
      <c r="P6" s="458" t="s">
        <v>20</v>
      </c>
      <c r="Q6" s="462"/>
      <c r="R6" s="458" t="s">
        <v>20</v>
      </c>
      <c r="S6" s="463"/>
    </row>
    <row r="7" spans="1:19">
      <c r="A7" s="458" t="s">
        <v>147</v>
      </c>
      <c r="B7" s="459">
        <v>5.2083333333333329E-2</v>
      </c>
      <c r="C7" s="460">
        <v>6.25E-2</v>
      </c>
      <c r="D7" s="461" t="s">
        <v>20</v>
      </c>
      <c r="E7" s="462"/>
      <c r="F7" s="462"/>
      <c r="G7" s="463"/>
      <c r="H7" s="461" t="s">
        <v>20</v>
      </c>
      <c r="I7" s="464"/>
      <c r="J7" s="462"/>
      <c r="K7" s="463"/>
      <c r="L7" s="461" t="s">
        <v>20</v>
      </c>
      <c r="M7" s="458" t="s">
        <v>20</v>
      </c>
      <c r="N7" s="462"/>
      <c r="O7" s="462"/>
      <c r="P7" s="458" t="s">
        <v>20</v>
      </c>
      <c r="Q7" s="462"/>
      <c r="R7" s="458" t="s">
        <v>20</v>
      </c>
      <c r="S7" s="463"/>
    </row>
    <row r="8" spans="1:19">
      <c r="A8" s="458" t="s">
        <v>147</v>
      </c>
      <c r="B8" s="459">
        <v>6.25E-2</v>
      </c>
      <c r="C8" s="460">
        <v>7.2916666666666657E-2</v>
      </c>
      <c r="D8" s="461" t="s">
        <v>20</v>
      </c>
      <c r="E8" s="462"/>
      <c r="F8" s="462"/>
      <c r="G8" s="463"/>
      <c r="H8" s="461" t="s">
        <v>20</v>
      </c>
      <c r="I8" s="464"/>
      <c r="J8" s="462"/>
      <c r="K8" s="463"/>
      <c r="L8" s="461" t="s">
        <v>20</v>
      </c>
      <c r="M8" s="458" t="s">
        <v>20</v>
      </c>
      <c r="N8" s="462"/>
      <c r="O8" s="462"/>
      <c r="P8" s="458" t="s">
        <v>20</v>
      </c>
      <c r="Q8" s="462"/>
      <c r="R8" s="458" t="s">
        <v>20</v>
      </c>
      <c r="S8" s="463"/>
    </row>
    <row r="9" spans="1:19">
      <c r="A9" s="458" t="s">
        <v>147</v>
      </c>
      <c r="B9" s="459">
        <v>7.2916666666666657E-2</v>
      </c>
      <c r="C9" s="460">
        <v>8.3333333333333329E-2</v>
      </c>
      <c r="D9" s="461" t="s">
        <v>20</v>
      </c>
      <c r="E9" s="462"/>
      <c r="F9" s="462"/>
      <c r="G9" s="463"/>
      <c r="H9" s="461" t="s">
        <v>20</v>
      </c>
      <c r="I9" s="464"/>
      <c r="J9" s="462"/>
      <c r="K9" s="463"/>
      <c r="L9" s="461" t="s">
        <v>20</v>
      </c>
      <c r="M9" s="458" t="s">
        <v>20</v>
      </c>
      <c r="N9" s="462"/>
      <c r="O9" s="462"/>
      <c r="P9" s="458" t="s">
        <v>20</v>
      </c>
      <c r="Q9" s="462"/>
      <c r="R9" s="458" t="s">
        <v>20</v>
      </c>
      <c r="S9" s="463"/>
    </row>
    <row r="10" spans="1:19">
      <c r="A10" s="458" t="s">
        <v>147</v>
      </c>
      <c r="B10" s="459">
        <v>8.3333333333333329E-2</v>
      </c>
      <c r="C10" s="460">
        <v>9.375E-2</v>
      </c>
      <c r="D10" s="461" t="s">
        <v>20</v>
      </c>
      <c r="E10" s="462"/>
      <c r="F10" s="462"/>
      <c r="G10" s="463"/>
      <c r="H10" s="461" t="s">
        <v>20</v>
      </c>
      <c r="I10" s="464"/>
      <c r="J10" s="462"/>
      <c r="K10" s="463"/>
      <c r="L10" s="461" t="s">
        <v>20</v>
      </c>
      <c r="M10" s="458" t="s">
        <v>20</v>
      </c>
      <c r="N10" s="462"/>
      <c r="O10" s="462"/>
      <c r="P10" s="458" t="s">
        <v>20</v>
      </c>
      <c r="Q10" s="462"/>
      <c r="R10" s="458" t="s">
        <v>20</v>
      </c>
      <c r="S10" s="463"/>
    </row>
    <row r="11" spans="1:19">
      <c r="A11" s="458" t="s">
        <v>147</v>
      </c>
      <c r="B11" s="459">
        <v>9.375E-2</v>
      </c>
      <c r="C11" s="460">
        <v>0.10416666666666667</v>
      </c>
      <c r="D11" s="461" t="s">
        <v>20</v>
      </c>
      <c r="E11" s="462"/>
      <c r="F11" s="462"/>
      <c r="G11" s="463"/>
      <c r="H11" s="461" t="s">
        <v>20</v>
      </c>
      <c r="I11" s="464"/>
      <c r="J11" s="462"/>
      <c r="K11" s="463"/>
      <c r="L11" s="461" t="s">
        <v>20</v>
      </c>
      <c r="M11" s="458" t="s">
        <v>20</v>
      </c>
      <c r="N11" s="462"/>
      <c r="O11" s="462"/>
      <c r="P11" s="458" t="s">
        <v>20</v>
      </c>
      <c r="Q11" s="462"/>
      <c r="R11" s="458" t="s">
        <v>20</v>
      </c>
      <c r="S11" s="463"/>
    </row>
    <row r="12" spans="1:19">
      <c r="A12" s="458" t="s">
        <v>147</v>
      </c>
      <c r="B12" s="459">
        <v>0.10416666666666667</v>
      </c>
      <c r="C12" s="460">
        <v>0.11458333333333334</v>
      </c>
      <c r="D12" s="461" t="s">
        <v>20</v>
      </c>
      <c r="E12" s="462"/>
      <c r="F12" s="462"/>
      <c r="G12" s="463"/>
      <c r="H12" s="461" t="s">
        <v>20</v>
      </c>
      <c r="I12" s="464"/>
      <c r="J12" s="462"/>
      <c r="K12" s="463"/>
      <c r="L12" s="461" t="s">
        <v>20</v>
      </c>
      <c r="M12" s="458" t="s">
        <v>20</v>
      </c>
      <c r="N12" s="462"/>
      <c r="O12" s="462"/>
      <c r="P12" s="458" t="s">
        <v>20</v>
      </c>
      <c r="Q12" s="462"/>
      <c r="R12" s="458" t="s">
        <v>20</v>
      </c>
      <c r="S12" s="463"/>
    </row>
    <row r="13" spans="1:19">
      <c r="A13" s="458" t="s">
        <v>147</v>
      </c>
      <c r="B13" s="459">
        <v>0.11458333333333334</v>
      </c>
      <c r="C13" s="460">
        <v>0.125</v>
      </c>
      <c r="D13" s="461" t="s">
        <v>20</v>
      </c>
      <c r="E13" s="462"/>
      <c r="F13" s="462"/>
      <c r="G13" s="463"/>
      <c r="H13" s="461" t="s">
        <v>20</v>
      </c>
      <c r="I13" s="464"/>
      <c r="J13" s="462"/>
      <c r="K13" s="463"/>
      <c r="L13" s="461" t="s">
        <v>20</v>
      </c>
      <c r="M13" s="458" t="s">
        <v>20</v>
      </c>
      <c r="N13" s="462"/>
      <c r="O13" s="462"/>
      <c r="P13" s="458" t="s">
        <v>20</v>
      </c>
      <c r="Q13" s="462"/>
      <c r="R13" s="458" t="s">
        <v>20</v>
      </c>
      <c r="S13" s="463"/>
    </row>
    <row r="14" spans="1:19">
      <c r="A14" s="458" t="s">
        <v>147</v>
      </c>
      <c r="B14" s="459">
        <v>0.125</v>
      </c>
      <c r="C14" s="460">
        <v>0.13541666666666666</v>
      </c>
      <c r="D14" s="461" t="s">
        <v>20</v>
      </c>
      <c r="E14" s="462"/>
      <c r="F14" s="462"/>
      <c r="G14" s="463"/>
      <c r="H14" s="461" t="s">
        <v>20</v>
      </c>
      <c r="I14" s="464"/>
      <c r="J14" s="462"/>
      <c r="K14" s="463"/>
      <c r="L14" s="461" t="s">
        <v>20</v>
      </c>
      <c r="M14" s="458" t="s">
        <v>20</v>
      </c>
      <c r="N14" s="462"/>
      <c r="O14" s="462"/>
      <c r="P14" s="458" t="s">
        <v>20</v>
      </c>
      <c r="Q14" s="462"/>
      <c r="R14" s="458" t="s">
        <v>20</v>
      </c>
      <c r="S14" s="463"/>
    </row>
    <row r="15" spans="1:19">
      <c r="A15" s="458" t="s">
        <v>147</v>
      </c>
      <c r="B15" s="459">
        <v>0.13541666666666666</v>
      </c>
      <c r="C15" s="460">
        <v>0.14583333333333331</v>
      </c>
      <c r="D15" s="461" t="s">
        <v>20</v>
      </c>
      <c r="E15" s="462"/>
      <c r="F15" s="462"/>
      <c r="G15" s="463"/>
      <c r="H15" s="461" t="s">
        <v>20</v>
      </c>
      <c r="I15" s="464"/>
      <c r="J15" s="462"/>
      <c r="K15" s="463"/>
      <c r="L15" s="461" t="s">
        <v>20</v>
      </c>
      <c r="M15" s="458" t="s">
        <v>20</v>
      </c>
      <c r="N15" s="462"/>
      <c r="O15" s="462"/>
      <c r="P15" s="458" t="s">
        <v>20</v>
      </c>
      <c r="Q15" s="462"/>
      <c r="R15" s="458" t="s">
        <v>20</v>
      </c>
      <c r="S15" s="463"/>
    </row>
    <row r="16" spans="1:19">
      <c r="A16" s="458" t="s">
        <v>147</v>
      </c>
      <c r="B16" s="459">
        <v>0.14583333333333331</v>
      </c>
      <c r="C16" s="460">
        <v>0.15625</v>
      </c>
      <c r="D16" s="461" t="s">
        <v>20</v>
      </c>
      <c r="E16" s="462"/>
      <c r="F16" s="462"/>
      <c r="G16" s="463"/>
      <c r="H16" s="461" t="s">
        <v>20</v>
      </c>
      <c r="I16" s="464"/>
      <c r="J16" s="462"/>
      <c r="K16" s="463"/>
      <c r="L16" s="461" t="s">
        <v>20</v>
      </c>
      <c r="M16" s="458" t="s">
        <v>20</v>
      </c>
      <c r="N16" s="462"/>
      <c r="O16" s="462"/>
      <c r="P16" s="458" t="s">
        <v>20</v>
      </c>
      <c r="Q16" s="462"/>
      <c r="R16" s="458" t="s">
        <v>20</v>
      </c>
      <c r="S16" s="463"/>
    </row>
    <row r="17" spans="1:19">
      <c r="A17" s="458" t="s">
        <v>147</v>
      </c>
      <c r="B17" s="459">
        <v>0.15625</v>
      </c>
      <c r="C17" s="460">
        <v>0.16666666666666663</v>
      </c>
      <c r="D17" s="461" t="s">
        <v>20</v>
      </c>
      <c r="E17" s="462"/>
      <c r="F17" s="462"/>
      <c r="G17" s="463"/>
      <c r="H17" s="461" t="s">
        <v>20</v>
      </c>
      <c r="I17" s="464"/>
      <c r="J17" s="462"/>
      <c r="K17" s="463"/>
      <c r="L17" s="461" t="s">
        <v>20</v>
      </c>
      <c r="M17" s="458" t="s">
        <v>20</v>
      </c>
      <c r="N17" s="462"/>
      <c r="O17" s="462"/>
      <c r="P17" s="458" t="s">
        <v>20</v>
      </c>
      <c r="Q17" s="462"/>
      <c r="R17" s="458" t="s">
        <v>20</v>
      </c>
      <c r="S17" s="463"/>
    </row>
    <row r="18" spans="1:19">
      <c r="A18" s="458" t="s">
        <v>147</v>
      </c>
      <c r="B18" s="459">
        <v>0.16666666666666666</v>
      </c>
      <c r="C18" s="460">
        <v>0.17708333333333329</v>
      </c>
      <c r="D18" s="461" t="s">
        <v>20</v>
      </c>
      <c r="E18" s="462"/>
      <c r="F18" s="462"/>
      <c r="G18" s="463"/>
      <c r="H18" s="461" t="s">
        <v>20</v>
      </c>
      <c r="I18" s="464"/>
      <c r="J18" s="462"/>
      <c r="K18" s="463"/>
      <c r="L18" s="461" t="s">
        <v>20</v>
      </c>
      <c r="M18" s="458" t="s">
        <v>20</v>
      </c>
      <c r="N18" s="462"/>
      <c r="O18" s="462"/>
      <c r="P18" s="458" t="s">
        <v>20</v>
      </c>
      <c r="Q18" s="462"/>
      <c r="R18" s="458" t="s">
        <v>20</v>
      </c>
      <c r="S18" s="463"/>
    </row>
    <row r="19" spans="1:19">
      <c r="A19" s="458" t="s">
        <v>147</v>
      </c>
      <c r="B19" s="459">
        <v>0.17708333333333334</v>
      </c>
      <c r="C19" s="460">
        <v>0.1875</v>
      </c>
      <c r="D19" s="461" t="s">
        <v>20</v>
      </c>
      <c r="E19" s="462"/>
      <c r="F19" s="462"/>
      <c r="G19" s="463"/>
      <c r="H19" s="461" t="s">
        <v>20</v>
      </c>
      <c r="I19" s="464"/>
      <c r="J19" s="462"/>
      <c r="K19" s="463"/>
      <c r="L19" s="461" t="s">
        <v>20</v>
      </c>
      <c r="M19" s="458" t="s">
        <v>20</v>
      </c>
      <c r="N19" s="462"/>
      <c r="O19" s="462"/>
      <c r="P19" s="458" t="s">
        <v>20</v>
      </c>
      <c r="Q19" s="462"/>
      <c r="R19" s="458" t="s">
        <v>20</v>
      </c>
      <c r="S19" s="463"/>
    </row>
    <row r="20" spans="1:19">
      <c r="A20" s="458" t="s">
        <v>147</v>
      </c>
      <c r="B20" s="459">
        <v>0.1875</v>
      </c>
      <c r="C20" s="460">
        <v>0.1979166666666666</v>
      </c>
      <c r="D20" s="461" t="s">
        <v>20</v>
      </c>
      <c r="E20" s="462"/>
      <c r="F20" s="462"/>
      <c r="G20" s="463"/>
      <c r="H20" s="461" t="s">
        <v>20</v>
      </c>
      <c r="I20" s="464"/>
      <c r="J20" s="462"/>
      <c r="K20" s="463"/>
      <c r="L20" s="461" t="s">
        <v>20</v>
      </c>
      <c r="M20" s="458" t="s">
        <v>20</v>
      </c>
      <c r="N20" s="462"/>
      <c r="O20" s="462"/>
      <c r="P20" s="458" t="s">
        <v>20</v>
      </c>
      <c r="Q20" s="462"/>
      <c r="R20" s="458" t="s">
        <v>20</v>
      </c>
      <c r="S20" s="463"/>
    </row>
    <row r="21" spans="1:19">
      <c r="A21" s="458" t="s">
        <v>147</v>
      </c>
      <c r="B21" s="459">
        <v>0.19791666666666666</v>
      </c>
      <c r="C21" s="460">
        <v>0.20833333333333326</v>
      </c>
      <c r="D21" s="461" t="s">
        <v>20</v>
      </c>
      <c r="E21" s="462"/>
      <c r="F21" s="462"/>
      <c r="G21" s="463"/>
      <c r="H21" s="461" t="s">
        <v>20</v>
      </c>
      <c r="I21" s="464"/>
      <c r="J21" s="462"/>
      <c r="K21" s="463"/>
      <c r="L21" s="461" t="s">
        <v>20</v>
      </c>
      <c r="M21" s="458" t="s">
        <v>20</v>
      </c>
      <c r="N21" s="462"/>
      <c r="O21" s="462"/>
      <c r="P21" s="458" t="s">
        <v>20</v>
      </c>
      <c r="Q21" s="462"/>
      <c r="R21" s="458" t="s">
        <v>20</v>
      </c>
      <c r="S21" s="463"/>
    </row>
    <row r="22" spans="1:19">
      <c r="A22" s="458" t="s">
        <v>147</v>
      </c>
      <c r="B22" s="459">
        <v>0.20833333333333334</v>
      </c>
      <c r="C22" s="460">
        <v>0.21875</v>
      </c>
      <c r="D22" s="461" t="s">
        <v>20</v>
      </c>
      <c r="E22" s="462"/>
      <c r="F22" s="462"/>
      <c r="G22" s="463"/>
      <c r="H22" s="461" t="s">
        <v>20</v>
      </c>
      <c r="I22" s="464"/>
      <c r="J22" s="462"/>
      <c r="K22" s="463"/>
      <c r="L22" s="461" t="s">
        <v>20</v>
      </c>
      <c r="M22" s="458" t="s">
        <v>20</v>
      </c>
      <c r="N22" s="462"/>
      <c r="O22" s="462"/>
      <c r="P22" s="458" t="s">
        <v>20</v>
      </c>
      <c r="Q22" s="462"/>
      <c r="R22" s="458" t="s">
        <v>20</v>
      </c>
      <c r="S22" s="463"/>
    </row>
    <row r="23" spans="1:19">
      <c r="A23" s="458" t="s">
        <v>147</v>
      </c>
      <c r="B23" s="459">
        <v>0.21875</v>
      </c>
      <c r="C23" s="460">
        <v>0.22916666666666657</v>
      </c>
      <c r="D23" s="461" t="s">
        <v>20</v>
      </c>
      <c r="E23" s="462"/>
      <c r="F23" s="462"/>
      <c r="G23" s="463"/>
      <c r="H23" s="461" t="s">
        <v>20</v>
      </c>
      <c r="I23" s="464"/>
      <c r="J23" s="462"/>
      <c r="K23" s="463"/>
      <c r="L23" s="461" t="s">
        <v>20</v>
      </c>
      <c r="M23" s="458" t="s">
        <v>20</v>
      </c>
      <c r="N23" s="462"/>
      <c r="O23" s="462"/>
      <c r="P23" s="458" t="s">
        <v>20</v>
      </c>
      <c r="Q23" s="462"/>
      <c r="R23" s="458" t="s">
        <v>20</v>
      </c>
      <c r="S23" s="463"/>
    </row>
    <row r="24" spans="1:19">
      <c r="A24" s="458" t="s">
        <v>147</v>
      </c>
      <c r="B24" s="459">
        <v>0.22916666666666666</v>
      </c>
      <c r="C24" s="460">
        <v>0.23958333333333323</v>
      </c>
      <c r="D24" s="461" t="s">
        <v>20</v>
      </c>
      <c r="E24" s="462"/>
      <c r="F24" s="462"/>
      <c r="G24" s="463"/>
      <c r="H24" s="461" t="s">
        <v>20</v>
      </c>
      <c r="I24" s="464"/>
      <c r="J24" s="462"/>
      <c r="K24" s="463"/>
      <c r="L24" s="461" t="s">
        <v>20</v>
      </c>
      <c r="M24" s="458" t="s">
        <v>20</v>
      </c>
      <c r="N24" s="462"/>
      <c r="O24" s="462"/>
      <c r="P24" s="458" t="s">
        <v>20</v>
      </c>
      <c r="Q24" s="462"/>
      <c r="R24" s="458" t="s">
        <v>20</v>
      </c>
      <c r="S24" s="463"/>
    </row>
    <row r="25" spans="1:19">
      <c r="A25" s="458" t="s">
        <v>147</v>
      </c>
      <c r="B25" s="459">
        <v>0.23958333333333334</v>
      </c>
      <c r="C25" s="460">
        <v>0.25</v>
      </c>
      <c r="D25" s="461" t="s">
        <v>20</v>
      </c>
      <c r="E25" s="462"/>
      <c r="F25" s="462"/>
      <c r="G25" s="463"/>
      <c r="H25" s="461" t="s">
        <v>20</v>
      </c>
      <c r="I25" s="464"/>
      <c r="J25" s="462"/>
      <c r="K25" s="463"/>
      <c r="L25" s="461" t="s">
        <v>20</v>
      </c>
      <c r="M25" s="458" t="s">
        <v>20</v>
      </c>
      <c r="N25" s="462"/>
      <c r="O25" s="462"/>
      <c r="P25" s="458" t="s">
        <v>20</v>
      </c>
      <c r="Q25" s="462"/>
      <c r="R25" s="458" t="s">
        <v>20</v>
      </c>
      <c r="S25" s="463"/>
    </row>
    <row r="26" spans="1:19">
      <c r="A26" s="458" t="s">
        <v>147</v>
      </c>
      <c r="B26" s="459">
        <v>0.25</v>
      </c>
      <c r="C26" s="460">
        <v>0.26041666666666657</v>
      </c>
      <c r="D26" s="461" t="s">
        <v>20</v>
      </c>
      <c r="E26" s="462"/>
      <c r="F26" s="462"/>
      <c r="G26" s="463"/>
      <c r="H26" s="461" t="s">
        <v>20</v>
      </c>
      <c r="I26" s="464"/>
      <c r="J26" s="462"/>
      <c r="K26" s="463"/>
      <c r="L26" s="461" t="s">
        <v>20</v>
      </c>
      <c r="M26" s="458" t="s">
        <v>20</v>
      </c>
      <c r="N26" s="462"/>
      <c r="O26" s="462"/>
      <c r="P26" s="458" t="s">
        <v>20</v>
      </c>
      <c r="Q26" s="462"/>
      <c r="R26" s="458" t="s">
        <v>20</v>
      </c>
      <c r="S26" s="463"/>
    </row>
    <row r="27" spans="1:19">
      <c r="A27" s="458" t="s">
        <v>147</v>
      </c>
      <c r="B27" s="459">
        <v>0.26041666666666669</v>
      </c>
      <c r="C27" s="460">
        <v>0.27083333333333326</v>
      </c>
      <c r="D27" s="461" t="s">
        <v>20</v>
      </c>
      <c r="E27" s="462"/>
      <c r="F27" s="462"/>
      <c r="G27" s="463"/>
      <c r="H27" s="461" t="s">
        <v>20</v>
      </c>
      <c r="I27" s="464"/>
      <c r="J27" s="462"/>
      <c r="K27" s="463"/>
      <c r="L27" s="461" t="s">
        <v>20</v>
      </c>
      <c r="M27" s="458" t="s">
        <v>20</v>
      </c>
      <c r="N27" s="462"/>
      <c r="O27" s="462"/>
      <c r="P27" s="458" t="s">
        <v>20</v>
      </c>
      <c r="Q27" s="462"/>
      <c r="R27" s="458" t="s">
        <v>20</v>
      </c>
      <c r="S27" s="463"/>
    </row>
    <row r="28" spans="1:19">
      <c r="A28" s="458" t="s">
        <v>147</v>
      </c>
      <c r="B28" s="459">
        <v>0.27083333333333331</v>
      </c>
      <c r="C28" s="460">
        <v>0.28125</v>
      </c>
      <c r="D28" s="461" t="s">
        <v>20</v>
      </c>
      <c r="E28" s="462"/>
      <c r="F28" s="462"/>
      <c r="G28" s="463"/>
      <c r="H28" s="461" t="s">
        <v>20</v>
      </c>
      <c r="I28" s="464"/>
      <c r="J28" s="462"/>
      <c r="K28" s="463"/>
      <c r="L28" s="461" t="s">
        <v>20</v>
      </c>
      <c r="M28" s="458" t="s">
        <v>20</v>
      </c>
      <c r="N28" s="462"/>
      <c r="O28" s="462"/>
      <c r="P28" s="458" t="s">
        <v>20</v>
      </c>
      <c r="Q28" s="462"/>
      <c r="R28" s="458" t="s">
        <v>20</v>
      </c>
      <c r="S28" s="463"/>
    </row>
    <row r="29" spans="1:19">
      <c r="A29" s="458" t="s">
        <v>147</v>
      </c>
      <c r="B29" s="459">
        <v>0.28125</v>
      </c>
      <c r="C29" s="460">
        <v>0.29166666666666663</v>
      </c>
      <c r="D29" s="461" t="s">
        <v>20</v>
      </c>
      <c r="E29" s="462"/>
      <c r="F29" s="462"/>
      <c r="G29" s="463"/>
      <c r="H29" s="461" t="s">
        <v>20</v>
      </c>
      <c r="I29" s="464"/>
      <c r="J29" s="462"/>
      <c r="K29" s="463"/>
      <c r="L29" s="461" t="s">
        <v>20</v>
      </c>
      <c r="M29" s="458" t="s">
        <v>20</v>
      </c>
      <c r="N29" s="462"/>
      <c r="O29" s="462"/>
      <c r="P29" s="458" t="s">
        <v>20</v>
      </c>
      <c r="Q29" s="462"/>
      <c r="R29" s="458" t="s">
        <v>20</v>
      </c>
      <c r="S29" s="463"/>
    </row>
    <row r="30" spans="1:19">
      <c r="A30" s="458" t="s">
        <v>147</v>
      </c>
      <c r="B30" s="459">
        <v>0.29166666666666669</v>
      </c>
      <c r="C30" s="460">
        <v>0.30208333333333331</v>
      </c>
      <c r="D30" s="461" t="s">
        <v>20</v>
      </c>
      <c r="E30" s="462"/>
      <c r="F30" s="462"/>
      <c r="G30" s="463"/>
      <c r="H30" s="461" t="s">
        <v>20</v>
      </c>
      <c r="I30" s="464"/>
      <c r="J30" s="462"/>
      <c r="K30" s="463"/>
      <c r="L30" s="461" t="s">
        <v>20</v>
      </c>
      <c r="M30" s="458" t="s">
        <v>20</v>
      </c>
      <c r="N30" s="462"/>
      <c r="O30" s="462"/>
      <c r="P30" s="458" t="s">
        <v>20</v>
      </c>
      <c r="Q30" s="462"/>
      <c r="R30" s="458" t="s">
        <v>20</v>
      </c>
      <c r="S30" s="463"/>
    </row>
    <row r="31" spans="1:19">
      <c r="A31" s="458" t="s">
        <v>147</v>
      </c>
      <c r="B31" s="459">
        <v>0.30208333333333331</v>
      </c>
      <c r="C31" s="460">
        <v>0.3125</v>
      </c>
      <c r="D31" s="461" t="s">
        <v>20</v>
      </c>
      <c r="E31" s="462"/>
      <c r="F31" s="462"/>
      <c r="G31" s="463"/>
      <c r="H31" s="461" t="s">
        <v>20</v>
      </c>
      <c r="I31" s="464"/>
      <c r="J31" s="462"/>
      <c r="K31" s="463"/>
      <c r="L31" s="461" t="s">
        <v>20</v>
      </c>
      <c r="M31" s="458" t="s">
        <v>20</v>
      </c>
      <c r="N31" s="462"/>
      <c r="O31" s="462"/>
      <c r="P31" s="458" t="s">
        <v>20</v>
      </c>
      <c r="Q31" s="462"/>
      <c r="R31" s="458" t="s">
        <v>20</v>
      </c>
      <c r="S31" s="463"/>
    </row>
    <row r="32" spans="1:19">
      <c r="A32" s="458" t="s">
        <v>147</v>
      </c>
      <c r="B32" s="459">
        <v>0.3125</v>
      </c>
      <c r="C32" s="460">
        <v>0.32291666666666669</v>
      </c>
      <c r="D32" s="461" t="s">
        <v>20</v>
      </c>
      <c r="E32" s="462"/>
      <c r="F32" s="462"/>
      <c r="G32" s="463"/>
      <c r="H32" s="461" t="s">
        <v>20</v>
      </c>
      <c r="I32" s="464"/>
      <c r="J32" s="462"/>
      <c r="K32" s="463"/>
      <c r="L32" s="461" t="s">
        <v>20</v>
      </c>
      <c r="M32" s="458" t="s">
        <v>20</v>
      </c>
      <c r="N32" s="462"/>
      <c r="O32" s="462"/>
      <c r="P32" s="458" t="s">
        <v>20</v>
      </c>
      <c r="Q32" s="462"/>
      <c r="R32" s="458" t="s">
        <v>20</v>
      </c>
      <c r="S32" s="463"/>
    </row>
    <row r="33" spans="1:19">
      <c r="A33" s="458" t="s">
        <v>147</v>
      </c>
      <c r="B33" s="459">
        <v>0.32291666666666669</v>
      </c>
      <c r="C33" s="460">
        <v>0.33333333333333337</v>
      </c>
      <c r="D33" s="461" t="s">
        <v>20</v>
      </c>
      <c r="E33" s="462"/>
      <c r="F33" s="462"/>
      <c r="G33" s="463"/>
      <c r="H33" s="461" t="s">
        <v>20</v>
      </c>
      <c r="I33" s="464"/>
      <c r="J33" s="462"/>
      <c r="K33" s="463"/>
      <c r="L33" s="461" t="s">
        <v>20</v>
      </c>
      <c r="M33" s="458" t="s">
        <v>20</v>
      </c>
      <c r="N33" s="462"/>
      <c r="O33" s="462"/>
      <c r="P33" s="458" t="s">
        <v>20</v>
      </c>
      <c r="Q33" s="462"/>
      <c r="R33" s="458" t="s">
        <v>20</v>
      </c>
      <c r="S33" s="463"/>
    </row>
    <row r="34" spans="1:19">
      <c r="A34" s="458" t="s">
        <v>147</v>
      </c>
      <c r="B34" s="459">
        <v>0.33333333333333337</v>
      </c>
      <c r="C34" s="460">
        <v>0.34375</v>
      </c>
      <c r="D34" s="461" t="s">
        <v>20</v>
      </c>
      <c r="E34" s="462"/>
      <c r="F34" s="462"/>
      <c r="G34" s="463"/>
      <c r="H34" s="461" t="s">
        <v>20</v>
      </c>
      <c r="I34" s="464"/>
      <c r="J34" s="462"/>
      <c r="K34" s="463"/>
      <c r="L34" s="461" t="s">
        <v>20</v>
      </c>
      <c r="M34" s="458" t="s">
        <v>20</v>
      </c>
      <c r="N34" s="462"/>
      <c r="O34" s="462"/>
      <c r="P34" s="458" t="s">
        <v>20</v>
      </c>
      <c r="Q34" s="462"/>
      <c r="R34" s="458" t="s">
        <v>20</v>
      </c>
      <c r="S34" s="463"/>
    </row>
    <row r="35" spans="1:19">
      <c r="A35" s="458" t="s">
        <v>147</v>
      </c>
      <c r="B35" s="459">
        <v>0.34375</v>
      </c>
      <c r="C35" s="460">
        <v>0.35416666666666674</v>
      </c>
      <c r="D35" s="461" t="s">
        <v>20</v>
      </c>
      <c r="E35" s="462"/>
      <c r="F35" s="462"/>
      <c r="G35" s="463"/>
      <c r="H35" s="461" t="s">
        <v>20</v>
      </c>
      <c r="I35" s="464"/>
      <c r="J35" s="462"/>
      <c r="K35" s="463"/>
      <c r="L35" s="461" t="s">
        <v>20</v>
      </c>
      <c r="M35" s="458" t="s">
        <v>20</v>
      </c>
      <c r="N35" s="462"/>
      <c r="O35" s="462"/>
      <c r="P35" s="458" t="s">
        <v>20</v>
      </c>
      <c r="Q35" s="462"/>
      <c r="R35" s="458" t="s">
        <v>20</v>
      </c>
      <c r="S35" s="463"/>
    </row>
    <row r="36" spans="1:19">
      <c r="A36" s="458" t="s">
        <v>147</v>
      </c>
      <c r="B36" s="459">
        <v>0.35416666666666674</v>
      </c>
      <c r="C36" s="460">
        <v>0.36458333333333343</v>
      </c>
      <c r="D36" s="461" t="s">
        <v>20</v>
      </c>
      <c r="E36" s="462"/>
      <c r="F36" s="462"/>
      <c r="G36" s="463"/>
      <c r="H36" s="461" t="s">
        <v>20</v>
      </c>
      <c r="I36" s="464"/>
      <c r="J36" s="462"/>
      <c r="K36" s="463"/>
      <c r="L36" s="461" t="s">
        <v>20</v>
      </c>
      <c r="M36" s="458" t="s">
        <v>20</v>
      </c>
      <c r="N36" s="462"/>
      <c r="O36" s="462"/>
      <c r="P36" s="458" t="s">
        <v>20</v>
      </c>
      <c r="Q36" s="462"/>
      <c r="R36" s="458" t="s">
        <v>20</v>
      </c>
      <c r="S36" s="463"/>
    </row>
    <row r="37" spans="1:19">
      <c r="A37" s="458" t="s">
        <v>147</v>
      </c>
      <c r="B37" s="459">
        <v>0.36458333333333343</v>
      </c>
      <c r="C37" s="460">
        <v>0.375</v>
      </c>
      <c r="D37" s="461" t="s">
        <v>20</v>
      </c>
      <c r="E37" s="462"/>
      <c r="F37" s="462"/>
      <c r="G37" s="463"/>
      <c r="H37" s="461" t="s">
        <v>20</v>
      </c>
      <c r="I37" s="464"/>
      <c r="J37" s="462"/>
      <c r="K37" s="463"/>
      <c r="L37" s="461" t="s">
        <v>20</v>
      </c>
      <c r="M37" s="458" t="s">
        <v>20</v>
      </c>
      <c r="N37" s="462"/>
      <c r="O37" s="462"/>
      <c r="P37" s="458" t="s">
        <v>20</v>
      </c>
      <c r="Q37" s="462"/>
      <c r="R37" s="458" t="s">
        <v>20</v>
      </c>
      <c r="S37" s="463"/>
    </row>
    <row r="38" spans="1:19">
      <c r="A38" s="458" t="s">
        <v>147</v>
      </c>
      <c r="B38" s="459">
        <v>0.375</v>
      </c>
      <c r="C38" s="460">
        <v>0.3854166666666668</v>
      </c>
      <c r="D38" s="461" t="s">
        <v>20</v>
      </c>
      <c r="E38" s="462"/>
      <c r="F38" s="462"/>
      <c r="G38" s="463"/>
      <c r="H38" s="461" t="s">
        <v>20</v>
      </c>
      <c r="I38" s="464"/>
      <c r="J38" s="462"/>
      <c r="K38" s="463"/>
      <c r="L38" s="461" t="s">
        <v>20</v>
      </c>
      <c r="M38" s="458" t="s">
        <v>20</v>
      </c>
      <c r="N38" s="462"/>
      <c r="O38" s="462"/>
      <c r="P38" s="458" t="s">
        <v>20</v>
      </c>
      <c r="Q38" s="462"/>
      <c r="R38" s="458" t="s">
        <v>20</v>
      </c>
      <c r="S38" s="463"/>
    </row>
    <row r="39" spans="1:19">
      <c r="A39" s="458" t="s">
        <v>147</v>
      </c>
      <c r="B39" s="459">
        <v>0.3854166666666668</v>
      </c>
      <c r="C39" s="460">
        <v>0.39583333333333348</v>
      </c>
      <c r="D39" s="461" t="s">
        <v>20</v>
      </c>
      <c r="E39" s="462"/>
      <c r="F39" s="462"/>
      <c r="G39" s="463"/>
      <c r="H39" s="461" t="s">
        <v>20</v>
      </c>
      <c r="I39" s="464"/>
      <c r="J39" s="462"/>
      <c r="K39" s="463"/>
      <c r="L39" s="461" t="s">
        <v>20</v>
      </c>
      <c r="M39" s="458" t="s">
        <v>20</v>
      </c>
      <c r="N39" s="462"/>
      <c r="O39" s="462"/>
      <c r="P39" s="458" t="s">
        <v>20</v>
      </c>
      <c r="Q39" s="462"/>
      <c r="R39" s="458" t="s">
        <v>20</v>
      </c>
      <c r="S39" s="463"/>
    </row>
    <row r="40" spans="1:19">
      <c r="A40" s="458" t="s">
        <v>147</v>
      </c>
      <c r="B40" s="459">
        <v>0.39583333333333348</v>
      </c>
      <c r="C40" s="460">
        <v>0.40625</v>
      </c>
      <c r="D40" s="461" t="s">
        <v>20</v>
      </c>
      <c r="E40" s="462"/>
      <c r="F40" s="462"/>
      <c r="G40" s="463"/>
      <c r="H40" s="461" t="s">
        <v>20</v>
      </c>
      <c r="I40" s="464"/>
      <c r="J40" s="462"/>
      <c r="K40" s="463"/>
      <c r="L40" s="461" t="s">
        <v>20</v>
      </c>
      <c r="M40" s="458" t="s">
        <v>20</v>
      </c>
      <c r="N40" s="462"/>
      <c r="O40" s="462"/>
      <c r="P40" s="458" t="s">
        <v>20</v>
      </c>
      <c r="Q40" s="462"/>
      <c r="R40" s="458" t="s">
        <v>20</v>
      </c>
      <c r="S40" s="463"/>
    </row>
    <row r="41" spans="1:19">
      <c r="A41" s="458" t="s">
        <v>147</v>
      </c>
      <c r="B41" s="459">
        <v>0.40625</v>
      </c>
      <c r="C41" s="460">
        <v>0.41666666666666685</v>
      </c>
      <c r="D41" s="461" t="s">
        <v>20</v>
      </c>
      <c r="E41" s="462"/>
      <c r="F41" s="462"/>
      <c r="G41" s="463"/>
      <c r="H41" s="461" t="s">
        <v>20</v>
      </c>
      <c r="I41" s="464"/>
      <c r="J41" s="462"/>
      <c r="K41" s="463"/>
      <c r="L41" s="461" t="s">
        <v>20</v>
      </c>
      <c r="M41" s="458" t="s">
        <v>20</v>
      </c>
      <c r="N41" s="462"/>
      <c r="O41" s="462"/>
      <c r="P41" s="458" t="s">
        <v>20</v>
      </c>
      <c r="Q41" s="462"/>
      <c r="R41" s="458" t="s">
        <v>20</v>
      </c>
      <c r="S41" s="463"/>
    </row>
    <row r="42" spans="1:19">
      <c r="A42" s="458" t="s">
        <v>147</v>
      </c>
      <c r="B42" s="459">
        <v>0.41666666666666685</v>
      </c>
      <c r="C42" s="460">
        <v>0.42708333333333354</v>
      </c>
      <c r="D42" s="461" t="s">
        <v>20</v>
      </c>
      <c r="E42" s="462"/>
      <c r="F42" s="462"/>
      <c r="G42" s="463"/>
      <c r="H42" s="461" t="s">
        <v>20</v>
      </c>
      <c r="I42" s="464"/>
      <c r="J42" s="462"/>
      <c r="K42" s="463"/>
      <c r="L42" s="461" t="s">
        <v>20</v>
      </c>
      <c r="M42" s="458" t="s">
        <v>20</v>
      </c>
      <c r="N42" s="462"/>
      <c r="O42" s="462"/>
      <c r="P42" s="458" t="s">
        <v>20</v>
      </c>
      <c r="Q42" s="462"/>
      <c r="R42" s="458" t="s">
        <v>20</v>
      </c>
      <c r="S42" s="463"/>
    </row>
    <row r="43" spans="1:19">
      <c r="A43" s="458" t="s">
        <v>147</v>
      </c>
      <c r="B43" s="459">
        <v>0.42708333333333354</v>
      </c>
      <c r="C43" s="460">
        <v>0.4375</v>
      </c>
      <c r="D43" s="461" t="s">
        <v>20</v>
      </c>
      <c r="E43" s="462"/>
      <c r="F43" s="462"/>
      <c r="G43" s="463"/>
      <c r="H43" s="461" t="s">
        <v>20</v>
      </c>
      <c r="I43" s="464"/>
      <c r="J43" s="462"/>
      <c r="K43" s="463"/>
      <c r="L43" s="461" t="s">
        <v>20</v>
      </c>
      <c r="M43" s="458" t="s">
        <v>20</v>
      </c>
      <c r="N43" s="462"/>
      <c r="O43" s="462"/>
      <c r="P43" s="458" t="s">
        <v>20</v>
      </c>
      <c r="Q43" s="462"/>
      <c r="R43" s="458" t="s">
        <v>20</v>
      </c>
      <c r="S43" s="463"/>
    </row>
    <row r="44" spans="1:19">
      <c r="A44" s="458" t="s">
        <v>147</v>
      </c>
      <c r="B44" s="459">
        <v>0.4375</v>
      </c>
      <c r="C44" s="460">
        <v>0.44791666666666691</v>
      </c>
      <c r="D44" s="461" t="s">
        <v>20</v>
      </c>
      <c r="E44" s="462"/>
      <c r="F44" s="462"/>
      <c r="G44" s="463"/>
      <c r="H44" s="461" t="s">
        <v>20</v>
      </c>
      <c r="I44" s="464"/>
      <c r="J44" s="462"/>
      <c r="K44" s="463"/>
      <c r="L44" s="461" t="s">
        <v>20</v>
      </c>
      <c r="M44" s="458" t="s">
        <v>20</v>
      </c>
      <c r="N44" s="462"/>
      <c r="O44" s="462"/>
      <c r="P44" s="458" t="s">
        <v>20</v>
      </c>
      <c r="Q44" s="462"/>
      <c r="R44" s="458" t="s">
        <v>20</v>
      </c>
      <c r="S44" s="463"/>
    </row>
    <row r="45" spans="1:19">
      <c r="A45" s="458" t="s">
        <v>147</v>
      </c>
      <c r="B45" s="459">
        <v>0.44791666666666691</v>
      </c>
      <c r="C45" s="460">
        <v>0.45833333333333359</v>
      </c>
      <c r="D45" s="461" t="s">
        <v>20</v>
      </c>
      <c r="E45" s="462"/>
      <c r="F45" s="462"/>
      <c r="G45" s="463"/>
      <c r="H45" s="461" t="s">
        <v>20</v>
      </c>
      <c r="I45" s="464"/>
      <c r="J45" s="462"/>
      <c r="K45" s="463"/>
      <c r="L45" s="461" t="s">
        <v>20</v>
      </c>
      <c r="M45" s="458" t="s">
        <v>20</v>
      </c>
      <c r="N45" s="462"/>
      <c r="O45" s="462"/>
      <c r="P45" s="458" t="s">
        <v>20</v>
      </c>
      <c r="Q45" s="462"/>
      <c r="R45" s="458" t="s">
        <v>20</v>
      </c>
      <c r="S45" s="463"/>
    </row>
    <row r="46" spans="1:19">
      <c r="A46" s="458" t="s">
        <v>147</v>
      </c>
      <c r="B46" s="459">
        <v>0.45833333333333359</v>
      </c>
      <c r="C46" s="460">
        <v>0.46875</v>
      </c>
      <c r="D46" s="461" t="s">
        <v>20</v>
      </c>
      <c r="E46" s="462"/>
      <c r="F46" s="462"/>
      <c r="G46" s="463"/>
      <c r="H46" s="461" t="s">
        <v>20</v>
      </c>
      <c r="I46" s="464"/>
      <c r="J46" s="462"/>
      <c r="K46" s="463"/>
      <c r="L46" s="461" t="s">
        <v>20</v>
      </c>
      <c r="M46" s="458" t="s">
        <v>20</v>
      </c>
      <c r="N46" s="462"/>
      <c r="O46" s="462"/>
      <c r="P46" s="458" t="s">
        <v>20</v>
      </c>
      <c r="Q46" s="462"/>
      <c r="R46" s="458" t="s">
        <v>20</v>
      </c>
      <c r="S46" s="463"/>
    </row>
    <row r="47" spans="1:19">
      <c r="A47" s="458" t="s">
        <v>147</v>
      </c>
      <c r="B47" s="459">
        <v>0.46875</v>
      </c>
      <c r="C47" s="460">
        <v>0.47916666666666696</v>
      </c>
      <c r="D47" s="461" t="s">
        <v>20</v>
      </c>
      <c r="E47" s="462"/>
      <c r="F47" s="462"/>
      <c r="G47" s="463"/>
      <c r="H47" s="461" t="s">
        <v>20</v>
      </c>
      <c r="I47" s="464"/>
      <c r="J47" s="462"/>
      <c r="K47" s="463"/>
      <c r="L47" s="461" t="s">
        <v>20</v>
      </c>
      <c r="M47" s="458" t="s">
        <v>20</v>
      </c>
      <c r="N47" s="462"/>
      <c r="O47" s="462"/>
      <c r="P47" s="458" t="s">
        <v>20</v>
      </c>
      <c r="Q47" s="462"/>
      <c r="R47" s="458" t="s">
        <v>20</v>
      </c>
      <c r="S47" s="463"/>
    </row>
    <row r="48" spans="1:19">
      <c r="A48" s="458" t="s">
        <v>147</v>
      </c>
      <c r="B48" s="459">
        <v>0.47916666666666696</v>
      </c>
      <c r="C48" s="460">
        <v>0.48958333333333365</v>
      </c>
      <c r="D48" s="461" t="s">
        <v>20</v>
      </c>
      <c r="E48" s="462"/>
      <c r="F48" s="462"/>
      <c r="G48" s="463"/>
      <c r="H48" s="461" t="s">
        <v>20</v>
      </c>
      <c r="I48" s="464"/>
      <c r="J48" s="462"/>
      <c r="K48" s="463"/>
      <c r="L48" s="461" t="s">
        <v>20</v>
      </c>
      <c r="M48" s="458" t="s">
        <v>20</v>
      </c>
      <c r="N48" s="462"/>
      <c r="O48" s="462"/>
      <c r="P48" s="458" t="s">
        <v>20</v>
      </c>
      <c r="Q48" s="462"/>
      <c r="R48" s="458" t="s">
        <v>20</v>
      </c>
      <c r="S48" s="463"/>
    </row>
    <row r="49" spans="1:19">
      <c r="A49" s="458" t="s">
        <v>147</v>
      </c>
      <c r="B49" s="459">
        <v>0.48958333333333365</v>
      </c>
      <c r="C49" s="460">
        <v>0.5</v>
      </c>
      <c r="D49" s="461" t="s">
        <v>20</v>
      </c>
      <c r="E49" s="462"/>
      <c r="F49" s="462"/>
      <c r="G49" s="463"/>
      <c r="H49" s="461" t="s">
        <v>20</v>
      </c>
      <c r="I49" s="464"/>
      <c r="J49" s="462"/>
      <c r="K49" s="463"/>
      <c r="L49" s="461" t="s">
        <v>20</v>
      </c>
      <c r="M49" s="458" t="s">
        <v>20</v>
      </c>
      <c r="N49" s="462"/>
      <c r="O49" s="462"/>
      <c r="P49" s="458" t="s">
        <v>20</v>
      </c>
      <c r="Q49" s="462"/>
      <c r="R49" s="458" t="s">
        <v>20</v>
      </c>
      <c r="S49" s="463"/>
    </row>
    <row r="50" spans="1:19">
      <c r="A50" s="458" t="s">
        <v>147</v>
      </c>
      <c r="B50" s="459">
        <v>0.5</v>
      </c>
      <c r="C50" s="460">
        <v>0.51041666666666696</v>
      </c>
      <c r="D50" s="461" t="s">
        <v>20</v>
      </c>
      <c r="E50" s="462"/>
      <c r="F50" s="462"/>
      <c r="G50" s="463"/>
      <c r="H50" s="461" t="s">
        <v>20</v>
      </c>
      <c r="I50" s="464"/>
      <c r="J50" s="462"/>
      <c r="K50" s="463"/>
      <c r="L50" s="461" t="s">
        <v>20</v>
      </c>
      <c r="M50" s="458" t="s">
        <v>20</v>
      </c>
      <c r="N50" s="462"/>
      <c r="O50" s="462"/>
      <c r="P50" s="458" t="s">
        <v>20</v>
      </c>
      <c r="Q50" s="462"/>
      <c r="R50" s="458" t="s">
        <v>20</v>
      </c>
      <c r="S50" s="463"/>
    </row>
    <row r="51" spans="1:19">
      <c r="A51" s="458" t="s">
        <v>147</v>
      </c>
      <c r="B51" s="459">
        <v>0.51041666666666696</v>
      </c>
      <c r="C51" s="460">
        <v>0.52083333333333359</v>
      </c>
      <c r="D51" s="461" t="s">
        <v>20</v>
      </c>
      <c r="E51" s="462"/>
      <c r="F51" s="462"/>
      <c r="G51" s="463"/>
      <c r="H51" s="461" t="s">
        <v>20</v>
      </c>
      <c r="I51" s="464"/>
      <c r="J51" s="462"/>
      <c r="K51" s="463"/>
      <c r="L51" s="461" t="s">
        <v>20</v>
      </c>
      <c r="M51" s="458" t="s">
        <v>20</v>
      </c>
      <c r="N51" s="462"/>
      <c r="O51" s="462"/>
      <c r="P51" s="458" t="s">
        <v>20</v>
      </c>
      <c r="Q51" s="462"/>
      <c r="R51" s="458" t="s">
        <v>20</v>
      </c>
      <c r="S51" s="463"/>
    </row>
    <row r="52" spans="1:19">
      <c r="A52" s="458" t="s">
        <v>147</v>
      </c>
      <c r="B52" s="459">
        <v>0.52083333333333359</v>
      </c>
      <c r="C52" s="460">
        <v>0.53125</v>
      </c>
      <c r="D52" s="461" t="s">
        <v>20</v>
      </c>
      <c r="E52" s="462"/>
      <c r="F52" s="462"/>
      <c r="G52" s="463"/>
      <c r="H52" s="461" t="s">
        <v>20</v>
      </c>
      <c r="I52" s="464"/>
      <c r="J52" s="462"/>
      <c r="K52" s="463"/>
      <c r="L52" s="461" t="s">
        <v>20</v>
      </c>
      <c r="M52" s="458" t="s">
        <v>20</v>
      </c>
      <c r="N52" s="462"/>
      <c r="O52" s="462"/>
      <c r="P52" s="458" t="s">
        <v>20</v>
      </c>
      <c r="Q52" s="462"/>
      <c r="R52" s="458" t="s">
        <v>20</v>
      </c>
      <c r="S52" s="463"/>
    </row>
    <row r="53" spans="1:19">
      <c r="A53" s="458" t="s">
        <v>147</v>
      </c>
      <c r="B53" s="459">
        <v>0.53125</v>
      </c>
      <c r="C53" s="460">
        <v>0.54166666666666685</v>
      </c>
      <c r="D53" s="461" t="s">
        <v>20</v>
      </c>
      <c r="E53" s="462"/>
      <c r="F53" s="462"/>
      <c r="G53" s="463"/>
      <c r="H53" s="461" t="s">
        <v>20</v>
      </c>
      <c r="I53" s="464"/>
      <c r="J53" s="462"/>
      <c r="K53" s="463"/>
      <c r="L53" s="461" t="s">
        <v>20</v>
      </c>
      <c r="M53" s="458" t="s">
        <v>20</v>
      </c>
      <c r="N53" s="462"/>
      <c r="O53" s="462"/>
      <c r="P53" s="458" t="s">
        <v>20</v>
      </c>
      <c r="Q53" s="462"/>
      <c r="R53" s="458" t="s">
        <v>20</v>
      </c>
      <c r="S53" s="463"/>
    </row>
    <row r="54" spans="1:19">
      <c r="A54" s="458" t="s">
        <v>147</v>
      </c>
      <c r="B54" s="459">
        <v>0.54166666666666685</v>
      </c>
      <c r="C54" s="460">
        <v>0.55208333333333348</v>
      </c>
      <c r="D54" s="461" t="s">
        <v>20</v>
      </c>
      <c r="E54" s="462"/>
      <c r="F54" s="462"/>
      <c r="G54" s="463"/>
      <c r="H54" s="461" t="s">
        <v>20</v>
      </c>
      <c r="I54" s="464"/>
      <c r="J54" s="462"/>
      <c r="K54" s="463"/>
      <c r="L54" s="461" t="s">
        <v>20</v>
      </c>
      <c r="M54" s="458" t="s">
        <v>20</v>
      </c>
      <c r="N54" s="462"/>
      <c r="O54" s="462"/>
      <c r="P54" s="458" t="s">
        <v>20</v>
      </c>
      <c r="Q54" s="462"/>
      <c r="R54" s="458" t="s">
        <v>20</v>
      </c>
      <c r="S54" s="463"/>
    </row>
    <row r="55" spans="1:19">
      <c r="A55" s="458" t="s">
        <v>147</v>
      </c>
      <c r="B55" s="459">
        <v>0.55208333333333348</v>
      </c>
      <c r="C55" s="460">
        <v>0.5625</v>
      </c>
      <c r="D55" s="461" t="s">
        <v>20</v>
      </c>
      <c r="E55" s="462"/>
      <c r="F55" s="462"/>
      <c r="G55" s="463"/>
      <c r="H55" s="461" t="s">
        <v>20</v>
      </c>
      <c r="I55" s="464"/>
      <c r="J55" s="462"/>
      <c r="K55" s="463"/>
      <c r="L55" s="461" t="s">
        <v>20</v>
      </c>
      <c r="M55" s="458" t="s">
        <v>20</v>
      </c>
      <c r="N55" s="462"/>
      <c r="O55" s="462"/>
      <c r="P55" s="458" t="s">
        <v>20</v>
      </c>
      <c r="Q55" s="462"/>
      <c r="R55" s="458" t="s">
        <v>20</v>
      </c>
      <c r="S55" s="463"/>
    </row>
    <row r="56" spans="1:19">
      <c r="A56" s="458" t="s">
        <v>147</v>
      </c>
      <c r="B56" s="459">
        <v>0.5625</v>
      </c>
      <c r="C56" s="460">
        <v>0.57291666666666674</v>
      </c>
      <c r="D56" s="461" t="s">
        <v>20</v>
      </c>
      <c r="E56" s="462"/>
      <c r="F56" s="462"/>
      <c r="G56" s="463"/>
      <c r="H56" s="461" t="s">
        <v>20</v>
      </c>
      <c r="I56" s="464"/>
      <c r="J56" s="462"/>
      <c r="K56" s="463"/>
      <c r="L56" s="461" t="s">
        <v>20</v>
      </c>
      <c r="M56" s="458" t="s">
        <v>20</v>
      </c>
      <c r="N56" s="462"/>
      <c r="O56" s="462"/>
      <c r="P56" s="458" t="s">
        <v>20</v>
      </c>
      <c r="Q56" s="462"/>
      <c r="R56" s="458" t="s">
        <v>20</v>
      </c>
      <c r="S56" s="463"/>
    </row>
    <row r="57" spans="1:19">
      <c r="A57" s="458" t="s">
        <v>147</v>
      </c>
      <c r="B57" s="459">
        <v>0.57291666666666674</v>
      </c>
      <c r="C57" s="460">
        <v>0.58333333333333337</v>
      </c>
      <c r="D57" s="461" t="s">
        <v>20</v>
      </c>
      <c r="E57" s="462"/>
      <c r="F57" s="462"/>
      <c r="G57" s="463"/>
      <c r="H57" s="461" t="s">
        <v>20</v>
      </c>
      <c r="I57" s="464"/>
      <c r="J57" s="462"/>
      <c r="K57" s="463"/>
      <c r="L57" s="461" t="s">
        <v>20</v>
      </c>
      <c r="M57" s="458" t="s">
        <v>20</v>
      </c>
      <c r="N57" s="462"/>
      <c r="O57" s="462"/>
      <c r="P57" s="458" t="s">
        <v>20</v>
      </c>
      <c r="Q57" s="462"/>
      <c r="R57" s="458" t="s">
        <v>20</v>
      </c>
      <c r="S57" s="463"/>
    </row>
    <row r="58" spans="1:19">
      <c r="A58" s="458" t="s">
        <v>147</v>
      </c>
      <c r="B58" s="459">
        <v>0.58333333333333337</v>
      </c>
      <c r="C58" s="460">
        <v>0.59375</v>
      </c>
      <c r="D58" s="461" t="s">
        <v>20</v>
      </c>
      <c r="E58" s="462"/>
      <c r="F58" s="462"/>
      <c r="G58" s="463"/>
      <c r="H58" s="461" t="s">
        <v>20</v>
      </c>
      <c r="I58" s="464"/>
      <c r="J58" s="462"/>
      <c r="K58" s="463"/>
      <c r="L58" s="461" t="s">
        <v>20</v>
      </c>
      <c r="M58" s="458" t="s">
        <v>20</v>
      </c>
      <c r="N58" s="462"/>
      <c r="O58" s="462"/>
      <c r="P58" s="458" t="s">
        <v>20</v>
      </c>
      <c r="Q58" s="462"/>
      <c r="R58" s="458" t="s">
        <v>20</v>
      </c>
      <c r="S58" s="463"/>
    </row>
    <row r="59" spans="1:19">
      <c r="A59" s="458" t="s">
        <v>147</v>
      </c>
      <c r="B59" s="459">
        <v>0.59375</v>
      </c>
      <c r="C59" s="460">
        <v>0.60416666666666663</v>
      </c>
      <c r="D59" s="461" t="s">
        <v>20</v>
      </c>
      <c r="E59" s="462"/>
      <c r="F59" s="462"/>
      <c r="G59" s="463"/>
      <c r="H59" s="461" t="s">
        <v>20</v>
      </c>
      <c r="I59" s="464"/>
      <c r="J59" s="462"/>
      <c r="K59" s="463"/>
      <c r="L59" s="461" t="s">
        <v>20</v>
      </c>
      <c r="M59" s="458" t="s">
        <v>20</v>
      </c>
      <c r="N59" s="462"/>
      <c r="O59" s="462"/>
      <c r="P59" s="458" t="s">
        <v>20</v>
      </c>
      <c r="Q59" s="462"/>
      <c r="R59" s="458" t="s">
        <v>20</v>
      </c>
      <c r="S59" s="463"/>
    </row>
    <row r="60" spans="1:19">
      <c r="A60" s="458" t="s">
        <v>147</v>
      </c>
      <c r="B60" s="459">
        <v>0.60416666666666663</v>
      </c>
      <c r="C60" s="460">
        <v>0.61458333333333326</v>
      </c>
      <c r="D60" s="461" t="s">
        <v>20</v>
      </c>
      <c r="E60" s="462"/>
      <c r="F60" s="462"/>
      <c r="G60" s="463"/>
      <c r="H60" s="461" t="s">
        <v>20</v>
      </c>
      <c r="I60" s="464"/>
      <c r="J60" s="462"/>
      <c r="K60" s="463"/>
      <c r="L60" s="461" t="s">
        <v>20</v>
      </c>
      <c r="M60" s="458" t="s">
        <v>20</v>
      </c>
      <c r="N60" s="462"/>
      <c r="O60" s="462"/>
      <c r="P60" s="458" t="s">
        <v>20</v>
      </c>
      <c r="Q60" s="462"/>
      <c r="R60" s="458" t="s">
        <v>20</v>
      </c>
      <c r="S60" s="463"/>
    </row>
    <row r="61" spans="1:19">
      <c r="A61" s="458" t="s">
        <v>147</v>
      </c>
      <c r="B61" s="459">
        <v>0.61458333333333337</v>
      </c>
      <c r="C61" s="460">
        <v>0.625</v>
      </c>
      <c r="D61" s="461" t="s">
        <v>20</v>
      </c>
      <c r="E61" s="462"/>
      <c r="F61" s="462"/>
      <c r="G61" s="463"/>
      <c r="H61" s="461" t="s">
        <v>20</v>
      </c>
      <c r="I61" s="464"/>
      <c r="J61" s="462"/>
      <c r="K61" s="463"/>
      <c r="L61" s="461" t="s">
        <v>20</v>
      </c>
      <c r="M61" s="458" t="s">
        <v>20</v>
      </c>
      <c r="N61" s="462"/>
      <c r="O61" s="462"/>
      <c r="P61" s="458" t="s">
        <v>20</v>
      </c>
      <c r="Q61" s="462"/>
      <c r="R61" s="458" t="s">
        <v>20</v>
      </c>
      <c r="S61" s="463"/>
    </row>
    <row r="62" spans="1:19">
      <c r="A62" s="458" t="s">
        <v>147</v>
      </c>
      <c r="B62" s="459">
        <v>0.625</v>
      </c>
      <c r="C62" s="460">
        <v>0.63541666666666652</v>
      </c>
      <c r="D62" s="461" t="s">
        <v>20</v>
      </c>
      <c r="E62" s="462"/>
      <c r="F62" s="462"/>
      <c r="G62" s="463"/>
      <c r="H62" s="461" t="s">
        <v>20</v>
      </c>
      <c r="I62" s="464"/>
      <c r="J62" s="462"/>
      <c r="K62" s="463"/>
      <c r="L62" s="461" t="s">
        <v>20</v>
      </c>
      <c r="M62" s="458" t="s">
        <v>20</v>
      </c>
      <c r="N62" s="462"/>
      <c r="O62" s="462"/>
      <c r="P62" s="458" t="s">
        <v>20</v>
      </c>
      <c r="Q62" s="462"/>
      <c r="R62" s="458" t="s">
        <v>20</v>
      </c>
      <c r="S62" s="463"/>
    </row>
    <row r="63" spans="1:19">
      <c r="A63" s="458" t="s">
        <v>147</v>
      </c>
      <c r="B63" s="459">
        <v>0.63541666666666663</v>
      </c>
      <c r="C63" s="460">
        <v>0.64583333333333315</v>
      </c>
      <c r="D63" s="461" t="s">
        <v>20</v>
      </c>
      <c r="E63" s="462"/>
      <c r="F63" s="462"/>
      <c r="G63" s="463"/>
      <c r="H63" s="461" t="s">
        <v>20</v>
      </c>
      <c r="I63" s="464"/>
      <c r="J63" s="462"/>
      <c r="K63" s="463"/>
      <c r="L63" s="461" t="s">
        <v>20</v>
      </c>
      <c r="M63" s="458" t="s">
        <v>20</v>
      </c>
      <c r="N63" s="462"/>
      <c r="O63" s="462"/>
      <c r="P63" s="458" t="s">
        <v>20</v>
      </c>
      <c r="Q63" s="462"/>
      <c r="R63" s="458" t="s">
        <v>20</v>
      </c>
      <c r="S63" s="463"/>
    </row>
    <row r="64" spans="1:19">
      <c r="A64" s="458" t="s">
        <v>147</v>
      </c>
      <c r="B64" s="459">
        <v>0.64583333333333337</v>
      </c>
      <c r="C64" s="460">
        <v>0.65625</v>
      </c>
      <c r="D64" s="461" t="s">
        <v>20</v>
      </c>
      <c r="E64" s="462"/>
      <c r="F64" s="462"/>
      <c r="G64" s="463"/>
      <c r="H64" s="461" t="s">
        <v>20</v>
      </c>
      <c r="I64" s="464"/>
      <c r="J64" s="462"/>
      <c r="K64" s="463"/>
      <c r="L64" s="461" t="s">
        <v>20</v>
      </c>
      <c r="M64" s="458" t="s">
        <v>20</v>
      </c>
      <c r="N64" s="462"/>
      <c r="O64" s="462"/>
      <c r="P64" s="458" t="s">
        <v>20</v>
      </c>
      <c r="Q64" s="462"/>
      <c r="R64" s="458" t="s">
        <v>20</v>
      </c>
      <c r="S64" s="463"/>
    </row>
    <row r="65" spans="1:19">
      <c r="A65" s="458" t="s">
        <v>147</v>
      </c>
      <c r="B65" s="459">
        <v>0.65625</v>
      </c>
      <c r="C65" s="460">
        <v>0.66666666666666641</v>
      </c>
      <c r="D65" s="461" t="s">
        <v>20</v>
      </c>
      <c r="E65" s="462"/>
      <c r="F65" s="462"/>
      <c r="G65" s="463"/>
      <c r="H65" s="461" t="s">
        <v>20</v>
      </c>
      <c r="I65" s="464"/>
      <c r="J65" s="462"/>
      <c r="K65" s="463"/>
      <c r="L65" s="461" t="s">
        <v>20</v>
      </c>
      <c r="M65" s="458" t="s">
        <v>20</v>
      </c>
      <c r="N65" s="462"/>
      <c r="O65" s="462"/>
      <c r="P65" s="458" t="s">
        <v>20</v>
      </c>
      <c r="Q65" s="462"/>
      <c r="R65" s="458" t="s">
        <v>20</v>
      </c>
      <c r="S65" s="463"/>
    </row>
    <row r="66" spans="1:19">
      <c r="A66" s="458" t="s">
        <v>147</v>
      </c>
      <c r="B66" s="459">
        <v>0.66666666666666663</v>
      </c>
      <c r="C66" s="460">
        <v>0.67708333333333304</v>
      </c>
      <c r="D66" s="461" t="s">
        <v>20</v>
      </c>
      <c r="E66" s="462"/>
      <c r="F66" s="462"/>
      <c r="G66" s="463"/>
      <c r="H66" s="461" t="s">
        <v>20</v>
      </c>
      <c r="I66" s="464"/>
      <c r="J66" s="462"/>
      <c r="K66" s="463"/>
      <c r="L66" s="461" t="s">
        <v>20</v>
      </c>
      <c r="M66" s="458" t="s">
        <v>20</v>
      </c>
      <c r="N66" s="462"/>
      <c r="O66" s="462"/>
      <c r="P66" s="458" t="s">
        <v>20</v>
      </c>
      <c r="Q66" s="462"/>
      <c r="R66" s="458" t="s">
        <v>20</v>
      </c>
      <c r="S66" s="463"/>
    </row>
    <row r="67" spans="1:19">
      <c r="A67" s="458" t="s">
        <v>147</v>
      </c>
      <c r="B67" s="459">
        <v>0.67708333333333337</v>
      </c>
      <c r="C67" s="460">
        <v>0.6875</v>
      </c>
      <c r="D67" s="461" t="s">
        <v>20</v>
      </c>
      <c r="E67" s="462"/>
      <c r="F67" s="462"/>
      <c r="G67" s="463"/>
      <c r="H67" s="461" t="s">
        <v>20</v>
      </c>
      <c r="I67" s="464"/>
      <c r="J67" s="462"/>
      <c r="K67" s="463"/>
      <c r="L67" s="461" t="s">
        <v>20</v>
      </c>
      <c r="M67" s="458" t="s">
        <v>20</v>
      </c>
      <c r="N67" s="462"/>
      <c r="O67" s="462"/>
      <c r="P67" s="458" t="s">
        <v>20</v>
      </c>
      <c r="Q67" s="462"/>
      <c r="R67" s="458" t="s">
        <v>20</v>
      </c>
      <c r="S67" s="463"/>
    </row>
    <row r="68" spans="1:19">
      <c r="A68" s="458" t="s">
        <v>147</v>
      </c>
      <c r="B68" s="459">
        <v>0.6875</v>
      </c>
      <c r="C68" s="460">
        <v>0.6979166666666663</v>
      </c>
      <c r="D68" s="461" t="s">
        <v>20</v>
      </c>
      <c r="E68" s="462"/>
      <c r="F68" s="462"/>
      <c r="G68" s="463"/>
      <c r="H68" s="461" t="s">
        <v>20</v>
      </c>
      <c r="I68" s="464"/>
      <c r="J68" s="462"/>
      <c r="K68" s="463"/>
      <c r="L68" s="461" t="s">
        <v>20</v>
      </c>
      <c r="M68" s="458" t="s">
        <v>20</v>
      </c>
      <c r="N68" s="462"/>
      <c r="O68" s="462"/>
      <c r="P68" s="458" t="s">
        <v>20</v>
      </c>
      <c r="Q68" s="462"/>
      <c r="R68" s="458" t="s">
        <v>20</v>
      </c>
      <c r="S68" s="463"/>
    </row>
    <row r="69" spans="1:19">
      <c r="A69" s="458" t="s">
        <v>147</v>
      </c>
      <c r="B69" s="459">
        <v>0.69791666666666663</v>
      </c>
      <c r="C69" s="460">
        <v>0.70833333333333293</v>
      </c>
      <c r="D69" s="461" t="s">
        <v>20</v>
      </c>
      <c r="E69" s="462"/>
      <c r="F69" s="462"/>
      <c r="G69" s="463"/>
      <c r="H69" s="461" t="s">
        <v>20</v>
      </c>
      <c r="I69" s="464"/>
      <c r="J69" s="462"/>
      <c r="K69" s="463"/>
      <c r="L69" s="461" t="s">
        <v>20</v>
      </c>
      <c r="M69" s="458" t="s">
        <v>20</v>
      </c>
      <c r="N69" s="462"/>
      <c r="O69" s="462"/>
      <c r="P69" s="458" t="s">
        <v>20</v>
      </c>
      <c r="Q69" s="462"/>
      <c r="R69" s="458" t="s">
        <v>20</v>
      </c>
      <c r="S69" s="463"/>
    </row>
    <row r="70" spans="1:19">
      <c r="A70" s="458" t="s">
        <v>147</v>
      </c>
      <c r="B70" s="459">
        <v>0.70833333333333337</v>
      </c>
      <c r="C70" s="460">
        <v>0.71875</v>
      </c>
      <c r="D70" s="461" t="s">
        <v>20</v>
      </c>
      <c r="E70" s="462"/>
      <c r="F70" s="462"/>
      <c r="G70" s="463"/>
      <c r="H70" s="461" t="s">
        <v>20</v>
      </c>
      <c r="I70" s="464"/>
      <c r="J70" s="462"/>
      <c r="K70" s="463"/>
      <c r="L70" s="461" t="s">
        <v>20</v>
      </c>
      <c r="M70" s="458" t="s">
        <v>20</v>
      </c>
      <c r="N70" s="462"/>
      <c r="O70" s="462"/>
      <c r="P70" s="458" t="s">
        <v>20</v>
      </c>
      <c r="Q70" s="462"/>
      <c r="R70" s="458" t="s">
        <v>20</v>
      </c>
      <c r="S70" s="463"/>
    </row>
    <row r="71" spans="1:19">
      <c r="A71" s="458" t="s">
        <v>147</v>
      </c>
      <c r="B71" s="459">
        <v>0.71875</v>
      </c>
      <c r="C71" s="460">
        <v>0.72916666666666619</v>
      </c>
      <c r="D71" s="461" t="s">
        <v>20</v>
      </c>
      <c r="E71" s="462"/>
      <c r="F71" s="462"/>
      <c r="G71" s="463"/>
      <c r="H71" s="461" t="s">
        <v>20</v>
      </c>
      <c r="I71" s="464"/>
      <c r="J71" s="462"/>
      <c r="K71" s="463"/>
      <c r="L71" s="461" t="s">
        <v>20</v>
      </c>
      <c r="M71" s="458" t="s">
        <v>20</v>
      </c>
      <c r="N71" s="462"/>
      <c r="O71" s="462"/>
      <c r="P71" s="458" t="s">
        <v>20</v>
      </c>
      <c r="Q71" s="462"/>
      <c r="R71" s="458" t="s">
        <v>20</v>
      </c>
      <c r="S71" s="463"/>
    </row>
    <row r="72" spans="1:19">
      <c r="A72" s="458" t="s">
        <v>147</v>
      </c>
      <c r="B72" s="459">
        <v>0.72916666666666663</v>
      </c>
      <c r="C72" s="460">
        <v>0.73958333333333282</v>
      </c>
      <c r="D72" s="461" t="s">
        <v>20</v>
      </c>
      <c r="E72" s="462"/>
      <c r="F72" s="462"/>
      <c r="G72" s="463"/>
      <c r="H72" s="461" t="s">
        <v>20</v>
      </c>
      <c r="I72" s="464"/>
      <c r="J72" s="462"/>
      <c r="K72" s="463"/>
      <c r="L72" s="461" t="s">
        <v>20</v>
      </c>
      <c r="M72" s="458" t="s">
        <v>20</v>
      </c>
      <c r="N72" s="462"/>
      <c r="O72" s="462"/>
      <c r="P72" s="458" t="s">
        <v>20</v>
      </c>
      <c r="Q72" s="462"/>
      <c r="R72" s="458" t="s">
        <v>20</v>
      </c>
      <c r="S72" s="463"/>
    </row>
    <row r="73" spans="1:19">
      <c r="A73" s="458" t="s">
        <v>147</v>
      </c>
      <c r="B73" s="459">
        <v>0.73958333333333337</v>
      </c>
      <c r="C73" s="460">
        <v>0.74999999999999944</v>
      </c>
      <c r="D73" s="461" t="s">
        <v>20</v>
      </c>
      <c r="E73" s="462"/>
      <c r="F73" s="462"/>
      <c r="G73" s="463"/>
      <c r="H73" s="461" t="s">
        <v>20</v>
      </c>
      <c r="I73" s="464"/>
      <c r="J73" s="462"/>
      <c r="K73" s="463"/>
      <c r="L73" s="461" t="s">
        <v>20</v>
      </c>
      <c r="M73" s="458" t="s">
        <v>20</v>
      </c>
      <c r="N73" s="462"/>
      <c r="O73" s="462"/>
      <c r="P73" s="458" t="s">
        <v>20</v>
      </c>
      <c r="Q73" s="462"/>
      <c r="R73" s="458" t="s">
        <v>20</v>
      </c>
      <c r="S73" s="463"/>
    </row>
    <row r="74" spans="1:19">
      <c r="A74" s="458" t="s">
        <v>147</v>
      </c>
      <c r="B74" s="459">
        <v>0.75</v>
      </c>
      <c r="C74" s="460">
        <v>0.76041666666666607</v>
      </c>
      <c r="D74" s="461" t="s">
        <v>20</v>
      </c>
      <c r="E74" s="462"/>
      <c r="F74" s="462"/>
      <c r="G74" s="463"/>
      <c r="H74" s="461" t="s">
        <v>20</v>
      </c>
      <c r="I74" s="464"/>
      <c r="J74" s="462"/>
      <c r="K74" s="463"/>
      <c r="L74" s="461" t="s">
        <v>20</v>
      </c>
      <c r="M74" s="458" t="s">
        <v>20</v>
      </c>
      <c r="N74" s="462"/>
      <c r="O74" s="462"/>
      <c r="P74" s="458" t="s">
        <v>20</v>
      </c>
      <c r="Q74" s="462"/>
      <c r="R74" s="458" t="s">
        <v>20</v>
      </c>
      <c r="S74" s="463"/>
    </row>
    <row r="75" spans="1:19">
      <c r="A75" s="458" t="s">
        <v>147</v>
      </c>
      <c r="B75" s="459">
        <v>0.76041666666666663</v>
      </c>
      <c r="C75" s="460">
        <v>0.7708333333333327</v>
      </c>
      <c r="D75" s="461" t="s">
        <v>20</v>
      </c>
      <c r="E75" s="462"/>
      <c r="F75" s="462"/>
      <c r="G75" s="463"/>
      <c r="H75" s="461" t="s">
        <v>20</v>
      </c>
      <c r="I75" s="464"/>
      <c r="J75" s="462"/>
      <c r="K75" s="463"/>
      <c r="L75" s="461" t="s">
        <v>20</v>
      </c>
      <c r="M75" s="458" t="s">
        <v>20</v>
      </c>
      <c r="N75" s="462"/>
      <c r="O75" s="462"/>
      <c r="P75" s="458" t="s">
        <v>20</v>
      </c>
      <c r="Q75" s="462"/>
      <c r="R75" s="458" t="s">
        <v>20</v>
      </c>
      <c r="S75" s="463"/>
    </row>
    <row r="76" spans="1:19">
      <c r="A76" s="458" t="s">
        <v>147</v>
      </c>
      <c r="B76" s="459">
        <v>0.77083333333333337</v>
      </c>
      <c r="C76" s="460">
        <v>0.78124999999999933</v>
      </c>
      <c r="D76" s="461" t="s">
        <v>20</v>
      </c>
      <c r="E76" s="462"/>
      <c r="F76" s="462"/>
      <c r="G76" s="463"/>
      <c r="H76" s="461" t="s">
        <v>20</v>
      </c>
      <c r="I76" s="464"/>
      <c r="J76" s="462"/>
      <c r="K76" s="463"/>
      <c r="L76" s="461" t="s">
        <v>20</v>
      </c>
      <c r="M76" s="458" t="s">
        <v>20</v>
      </c>
      <c r="N76" s="462"/>
      <c r="O76" s="462"/>
      <c r="P76" s="458" t="s">
        <v>20</v>
      </c>
      <c r="Q76" s="462"/>
      <c r="R76" s="458" t="s">
        <v>20</v>
      </c>
      <c r="S76" s="463"/>
    </row>
    <row r="77" spans="1:19">
      <c r="A77" s="458" t="s">
        <v>147</v>
      </c>
      <c r="B77" s="459">
        <v>0.78125</v>
      </c>
      <c r="C77" s="460">
        <v>0.79166666666666596</v>
      </c>
      <c r="D77" s="461" t="s">
        <v>20</v>
      </c>
      <c r="E77" s="462"/>
      <c r="F77" s="462"/>
      <c r="G77" s="463"/>
      <c r="H77" s="461" t="s">
        <v>20</v>
      </c>
      <c r="I77" s="464"/>
      <c r="J77" s="462"/>
      <c r="K77" s="463"/>
      <c r="L77" s="461" t="s">
        <v>20</v>
      </c>
      <c r="M77" s="458" t="s">
        <v>20</v>
      </c>
      <c r="N77" s="462"/>
      <c r="O77" s="462"/>
      <c r="P77" s="458" t="s">
        <v>20</v>
      </c>
      <c r="Q77" s="462"/>
      <c r="R77" s="458" t="s">
        <v>20</v>
      </c>
      <c r="S77" s="463"/>
    </row>
    <row r="78" spans="1:19">
      <c r="A78" s="458" t="s">
        <v>147</v>
      </c>
      <c r="B78" s="459">
        <v>0.79166666666666663</v>
      </c>
      <c r="C78" s="460">
        <v>0.80208333333333259</v>
      </c>
      <c r="D78" s="461" t="s">
        <v>20</v>
      </c>
      <c r="E78" s="462"/>
      <c r="F78" s="462"/>
      <c r="G78" s="463"/>
      <c r="H78" s="461" t="s">
        <v>20</v>
      </c>
      <c r="I78" s="464"/>
      <c r="J78" s="462"/>
      <c r="K78" s="463"/>
      <c r="L78" s="461" t="s">
        <v>20</v>
      </c>
      <c r="M78" s="458" t="s">
        <v>20</v>
      </c>
      <c r="N78" s="462"/>
      <c r="O78" s="462"/>
      <c r="P78" s="458" t="s">
        <v>20</v>
      </c>
      <c r="Q78" s="462"/>
      <c r="R78" s="458" t="s">
        <v>20</v>
      </c>
      <c r="S78" s="463"/>
    </row>
    <row r="79" spans="1:19">
      <c r="A79" s="458" t="s">
        <v>147</v>
      </c>
      <c r="B79" s="459">
        <v>0.80208333333333337</v>
      </c>
      <c r="C79" s="460">
        <v>0.81249999999999922</v>
      </c>
      <c r="D79" s="461" t="s">
        <v>20</v>
      </c>
      <c r="E79" s="462"/>
      <c r="F79" s="462"/>
      <c r="G79" s="463"/>
      <c r="H79" s="461" t="s">
        <v>20</v>
      </c>
      <c r="I79" s="464"/>
      <c r="J79" s="462"/>
      <c r="K79" s="463"/>
      <c r="L79" s="461" t="s">
        <v>20</v>
      </c>
      <c r="M79" s="458" t="s">
        <v>20</v>
      </c>
      <c r="N79" s="462"/>
      <c r="O79" s="462"/>
      <c r="P79" s="458" t="s">
        <v>20</v>
      </c>
      <c r="Q79" s="462"/>
      <c r="R79" s="458" t="s">
        <v>20</v>
      </c>
      <c r="S79" s="463"/>
    </row>
    <row r="80" spans="1:19">
      <c r="A80" s="458" t="s">
        <v>147</v>
      </c>
      <c r="B80" s="459">
        <v>0.8125</v>
      </c>
      <c r="C80" s="460">
        <v>0.82291666666666585</v>
      </c>
      <c r="D80" s="461" t="s">
        <v>20</v>
      </c>
      <c r="E80" s="462"/>
      <c r="F80" s="462"/>
      <c r="G80" s="463"/>
      <c r="H80" s="461" t="s">
        <v>20</v>
      </c>
      <c r="I80" s="464"/>
      <c r="J80" s="462"/>
      <c r="K80" s="463"/>
      <c r="L80" s="461" t="s">
        <v>20</v>
      </c>
      <c r="M80" s="458" t="s">
        <v>20</v>
      </c>
      <c r="N80" s="462"/>
      <c r="O80" s="462"/>
      <c r="P80" s="458" t="s">
        <v>20</v>
      </c>
      <c r="Q80" s="462"/>
      <c r="R80" s="458" t="s">
        <v>20</v>
      </c>
      <c r="S80" s="463"/>
    </row>
    <row r="81" spans="1:19">
      <c r="A81" s="458" t="s">
        <v>147</v>
      </c>
      <c r="B81" s="459">
        <v>0.82291666666666663</v>
      </c>
      <c r="C81" s="460">
        <v>0.83333333333333248</v>
      </c>
      <c r="D81" s="461" t="s">
        <v>20</v>
      </c>
      <c r="E81" s="462"/>
      <c r="F81" s="462"/>
      <c r="G81" s="463"/>
      <c r="H81" s="461" t="s">
        <v>20</v>
      </c>
      <c r="I81" s="464"/>
      <c r="J81" s="462"/>
      <c r="K81" s="463"/>
      <c r="L81" s="461" t="s">
        <v>20</v>
      </c>
      <c r="M81" s="458" t="s">
        <v>20</v>
      </c>
      <c r="N81" s="462"/>
      <c r="O81" s="462"/>
      <c r="P81" s="458" t="s">
        <v>20</v>
      </c>
      <c r="Q81" s="462"/>
      <c r="R81" s="458" t="s">
        <v>20</v>
      </c>
      <c r="S81" s="463"/>
    </row>
    <row r="82" spans="1:19">
      <c r="A82" s="458" t="s">
        <v>147</v>
      </c>
      <c r="B82" s="459">
        <v>0.83333333333333337</v>
      </c>
      <c r="C82" s="460">
        <v>0.84374999999999911</v>
      </c>
      <c r="D82" s="461" t="s">
        <v>20</v>
      </c>
      <c r="E82" s="462"/>
      <c r="F82" s="462"/>
      <c r="G82" s="463"/>
      <c r="H82" s="461" t="s">
        <v>20</v>
      </c>
      <c r="I82" s="464"/>
      <c r="J82" s="462"/>
      <c r="K82" s="463"/>
      <c r="L82" s="461" t="s">
        <v>20</v>
      </c>
      <c r="M82" s="458" t="s">
        <v>20</v>
      </c>
      <c r="N82" s="462"/>
      <c r="O82" s="462"/>
      <c r="P82" s="458" t="s">
        <v>20</v>
      </c>
      <c r="Q82" s="462"/>
      <c r="R82" s="458" t="s">
        <v>20</v>
      </c>
      <c r="S82" s="463"/>
    </row>
    <row r="83" spans="1:19">
      <c r="A83" s="458" t="s">
        <v>147</v>
      </c>
      <c r="B83" s="459">
        <v>0.84375</v>
      </c>
      <c r="C83" s="460">
        <v>0.85416666666666574</v>
      </c>
      <c r="D83" s="461" t="s">
        <v>20</v>
      </c>
      <c r="E83" s="462"/>
      <c r="F83" s="462"/>
      <c r="G83" s="463"/>
      <c r="H83" s="461" t="s">
        <v>20</v>
      </c>
      <c r="I83" s="464"/>
      <c r="J83" s="462"/>
      <c r="K83" s="463"/>
      <c r="L83" s="461" t="s">
        <v>20</v>
      </c>
      <c r="M83" s="458" t="s">
        <v>20</v>
      </c>
      <c r="N83" s="462"/>
      <c r="O83" s="462"/>
      <c r="P83" s="458" t="s">
        <v>20</v>
      </c>
      <c r="Q83" s="462"/>
      <c r="R83" s="458" t="s">
        <v>20</v>
      </c>
      <c r="S83" s="463"/>
    </row>
    <row r="84" spans="1:19">
      <c r="A84" s="458" t="s">
        <v>147</v>
      </c>
      <c r="B84" s="459">
        <v>0.85416666666666663</v>
      </c>
      <c r="C84" s="460">
        <v>0.86458333333333237</v>
      </c>
      <c r="D84" s="461" t="s">
        <v>20</v>
      </c>
      <c r="E84" s="462"/>
      <c r="F84" s="462"/>
      <c r="G84" s="463"/>
      <c r="H84" s="461" t="s">
        <v>20</v>
      </c>
      <c r="I84" s="464"/>
      <c r="J84" s="462"/>
      <c r="K84" s="463"/>
      <c r="L84" s="461" t="s">
        <v>20</v>
      </c>
      <c r="M84" s="458" t="s">
        <v>20</v>
      </c>
      <c r="N84" s="462"/>
      <c r="O84" s="462"/>
      <c r="P84" s="458" t="s">
        <v>20</v>
      </c>
      <c r="Q84" s="462"/>
      <c r="R84" s="458" t="s">
        <v>20</v>
      </c>
      <c r="S84" s="463"/>
    </row>
    <row r="85" spans="1:19">
      <c r="A85" s="458" t="s">
        <v>147</v>
      </c>
      <c r="B85" s="459">
        <v>0.86458333333333337</v>
      </c>
      <c r="C85" s="460">
        <v>0.874999999999999</v>
      </c>
      <c r="D85" s="461" t="s">
        <v>20</v>
      </c>
      <c r="E85" s="462"/>
      <c r="F85" s="462"/>
      <c r="G85" s="463"/>
      <c r="H85" s="461" t="s">
        <v>20</v>
      </c>
      <c r="I85" s="464"/>
      <c r="J85" s="462"/>
      <c r="K85" s="463"/>
      <c r="L85" s="461" t="s">
        <v>20</v>
      </c>
      <c r="M85" s="458" t="s">
        <v>20</v>
      </c>
      <c r="N85" s="462"/>
      <c r="O85" s="462"/>
      <c r="P85" s="458" t="s">
        <v>20</v>
      </c>
      <c r="Q85" s="462"/>
      <c r="R85" s="458" t="s">
        <v>20</v>
      </c>
      <c r="S85" s="463"/>
    </row>
    <row r="86" spans="1:19">
      <c r="A86" s="458" t="s">
        <v>147</v>
      </c>
      <c r="B86" s="459">
        <v>0.875</v>
      </c>
      <c r="C86" s="460">
        <v>0.88541666666666563</v>
      </c>
      <c r="D86" s="461" t="s">
        <v>20</v>
      </c>
      <c r="E86" s="462"/>
      <c r="F86" s="462"/>
      <c r="G86" s="463"/>
      <c r="H86" s="461" t="s">
        <v>20</v>
      </c>
      <c r="I86" s="464"/>
      <c r="J86" s="462"/>
      <c r="K86" s="463"/>
      <c r="L86" s="461" t="s">
        <v>20</v>
      </c>
      <c r="M86" s="458" t="s">
        <v>20</v>
      </c>
      <c r="N86" s="462"/>
      <c r="O86" s="462"/>
      <c r="P86" s="458" t="s">
        <v>20</v>
      </c>
      <c r="Q86" s="462"/>
      <c r="R86" s="458" t="s">
        <v>20</v>
      </c>
      <c r="S86" s="463"/>
    </row>
    <row r="87" spans="1:19">
      <c r="A87" s="458" t="s">
        <v>147</v>
      </c>
      <c r="B87" s="459">
        <v>0.88541666666666663</v>
      </c>
      <c r="C87" s="460">
        <v>0.89583333333333226</v>
      </c>
      <c r="D87" s="461" t="s">
        <v>20</v>
      </c>
      <c r="E87" s="462"/>
      <c r="F87" s="462"/>
      <c r="G87" s="463"/>
      <c r="H87" s="461" t="s">
        <v>20</v>
      </c>
      <c r="I87" s="464"/>
      <c r="J87" s="462"/>
      <c r="K87" s="463"/>
      <c r="L87" s="461" t="s">
        <v>20</v>
      </c>
      <c r="M87" s="458" t="s">
        <v>20</v>
      </c>
      <c r="N87" s="462"/>
      <c r="O87" s="462"/>
      <c r="P87" s="458" t="s">
        <v>20</v>
      </c>
      <c r="Q87" s="462"/>
      <c r="R87" s="458" t="s">
        <v>20</v>
      </c>
      <c r="S87" s="463"/>
    </row>
    <row r="88" spans="1:19">
      <c r="A88" s="458" t="s">
        <v>147</v>
      </c>
      <c r="B88" s="459">
        <v>0.89583333333333337</v>
      </c>
      <c r="C88" s="460">
        <v>0.90624999999999889</v>
      </c>
      <c r="D88" s="461" t="s">
        <v>20</v>
      </c>
      <c r="E88" s="462"/>
      <c r="F88" s="462"/>
      <c r="G88" s="463"/>
      <c r="H88" s="461" t="s">
        <v>20</v>
      </c>
      <c r="I88" s="464"/>
      <c r="J88" s="462"/>
      <c r="K88" s="463"/>
      <c r="L88" s="461" t="s">
        <v>20</v>
      </c>
      <c r="M88" s="458" t="s">
        <v>20</v>
      </c>
      <c r="N88" s="462"/>
      <c r="O88" s="462"/>
      <c r="P88" s="458" t="s">
        <v>20</v>
      </c>
      <c r="Q88" s="462"/>
      <c r="R88" s="458" t="s">
        <v>20</v>
      </c>
      <c r="S88" s="463"/>
    </row>
    <row r="89" spans="1:19">
      <c r="A89" s="458" t="s">
        <v>147</v>
      </c>
      <c r="B89" s="459">
        <v>0.90625</v>
      </c>
      <c r="C89" s="460">
        <v>0.91666666666666552</v>
      </c>
      <c r="D89" s="461" t="s">
        <v>20</v>
      </c>
      <c r="E89" s="462"/>
      <c r="F89" s="462"/>
      <c r="G89" s="463"/>
      <c r="H89" s="461" t="s">
        <v>20</v>
      </c>
      <c r="I89" s="464"/>
      <c r="J89" s="462"/>
      <c r="K89" s="463"/>
      <c r="L89" s="461" t="s">
        <v>20</v>
      </c>
      <c r="M89" s="458" t="s">
        <v>20</v>
      </c>
      <c r="N89" s="462"/>
      <c r="O89" s="462"/>
      <c r="P89" s="458" t="s">
        <v>20</v>
      </c>
      <c r="Q89" s="462"/>
      <c r="R89" s="458" t="s">
        <v>20</v>
      </c>
      <c r="S89" s="463"/>
    </row>
    <row r="90" spans="1:19">
      <c r="A90" s="458" t="s">
        <v>147</v>
      </c>
      <c r="B90" s="459">
        <v>0.91666666666666663</v>
      </c>
      <c r="C90" s="460">
        <v>0.92708333333333215</v>
      </c>
      <c r="D90" s="461" t="s">
        <v>20</v>
      </c>
      <c r="E90" s="462"/>
      <c r="F90" s="462"/>
      <c r="G90" s="463"/>
      <c r="H90" s="461" t="s">
        <v>20</v>
      </c>
      <c r="I90" s="464"/>
      <c r="J90" s="462"/>
      <c r="K90" s="463"/>
      <c r="L90" s="461" t="s">
        <v>20</v>
      </c>
      <c r="M90" s="458" t="s">
        <v>20</v>
      </c>
      <c r="N90" s="462"/>
      <c r="O90" s="462"/>
      <c r="P90" s="458" t="s">
        <v>20</v>
      </c>
      <c r="Q90" s="462"/>
      <c r="R90" s="458" t="s">
        <v>20</v>
      </c>
      <c r="S90" s="463"/>
    </row>
    <row r="91" spans="1:19">
      <c r="A91" s="458" t="s">
        <v>147</v>
      </c>
      <c r="B91" s="459">
        <v>0.92708333333333337</v>
      </c>
      <c r="C91" s="460">
        <v>0.93749999999999878</v>
      </c>
      <c r="D91" s="461" t="s">
        <v>20</v>
      </c>
      <c r="E91" s="462"/>
      <c r="F91" s="462"/>
      <c r="G91" s="463"/>
      <c r="H91" s="461" t="s">
        <v>20</v>
      </c>
      <c r="I91" s="464"/>
      <c r="J91" s="462"/>
      <c r="K91" s="463"/>
      <c r="L91" s="461" t="s">
        <v>20</v>
      </c>
      <c r="M91" s="458" t="s">
        <v>20</v>
      </c>
      <c r="N91" s="462"/>
      <c r="O91" s="462"/>
      <c r="P91" s="458" t="s">
        <v>20</v>
      </c>
      <c r="Q91" s="462"/>
      <c r="R91" s="458" t="s">
        <v>20</v>
      </c>
      <c r="S91" s="463"/>
    </row>
    <row r="92" spans="1:19">
      <c r="A92" s="458" t="s">
        <v>147</v>
      </c>
      <c r="B92" s="459">
        <v>0.9375</v>
      </c>
      <c r="C92" s="460">
        <v>0.94791666666666541</v>
      </c>
      <c r="D92" s="461" t="s">
        <v>20</v>
      </c>
      <c r="E92" s="462"/>
      <c r="F92" s="462"/>
      <c r="G92" s="463"/>
      <c r="H92" s="461" t="s">
        <v>20</v>
      </c>
      <c r="I92" s="464"/>
      <c r="J92" s="462"/>
      <c r="K92" s="463"/>
      <c r="L92" s="461" t="s">
        <v>20</v>
      </c>
      <c r="M92" s="458" t="s">
        <v>20</v>
      </c>
      <c r="N92" s="462"/>
      <c r="O92" s="462"/>
      <c r="P92" s="458" t="s">
        <v>20</v>
      </c>
      <c r="Q92" s="462"/>
      <c r="R92" s="458" t="s">
        <v>20</v>
      </c>
      <c r="S92" s="463"/>
    </row>
    <row r="93" spans="1:19">
      <c r="A93" s="458" t="s">
        <v>147</v>
      </c>
      <c r="B93" s="459">
        <v>0.94791666666666663</v>
      </c>
      <c r="C93" s="460">
        <v>0.95833333333333204</v>
      </c>
      <c r="D93" s="461" t="s">
        <v>20</v>
      </c>
      <c r="E93" s="462"/>
      <c r="F93" s="462"/>
      <c r="G93" s="463"/>
      <c r="H93" s="461" t="s">
        <v>20</v>
      </c>
      <c r="I93" s="464"/>
      <c r="J93" s="462"/>
      <c r="K93" s="463"/>
      <c r="L93" s="461" t="s">
        <v>20</v>
      </c>
      <c r="M93" s="458" t="s">
        <v>20</v>
      </c>
      <c r="N93" s="462"/>
      <c r="O93" s="462"/>
      <c r="P93" s="458" t="s">
        <v>20</v>
      </c>
      <c r="Q93" s="462"/>
      <c r="R93" s="458" t="s">
        <v>20</v>
      </c>
      <c r="S93" s="463"/>
    </row>
    <row r="94" spans="1:19">
      <c r="A94" s="458" t="s">
        <v>147</v>
      </c>
      <c r="B94" s="459">
        <v>0.95833333333333337</v>
      </c>
      <c r="C94" s="460">
        <v>0.96874999999999867</v>
      </c>
      <c r="D94" s="461" t="s">
        <v>20</v>
      </c>
      <c r="E94" s="462"/>
      <c r="F94" s="462"/>
      <c r="G94" s="463"/>
      <c r="H94" s="461" t="s">
        <v>20</v>
      </c>
      <c r="I94" s="464"/>
      <c r="J94" s="462"/>
      <c r="K94" s="463"/>
      <c r="L94" s="461" t="s">
        <v>20</v>
      </c>
      <c r="M94" s="458" t="s">
        <v>20</v>
      </c>
      <c r="N94" s="462"/>
      <c r="O94" s="462"/>
      <c r="P94" s="458" t="s">
        <v>20</v>
      </c>
      <c r="Q94" s="462"/>
      <c r="R94" s="458" t="s">
        <v>20</v>
      </c>
      <c r="S94" s="463"/>
    </row>
    <row r="95" spans="1:19">
      <c r="A95" s="458" t="s">
        <v>147</v>
      </c>
      <c r="B95" s="459">
        <v>0.96875</v>
      </c>
      <c r="C95" s="460">
        <v>0.9791666666666653</v>
      </c>
      <c r="D95" s="461" t="s">
        <v>20</v>
      </c>
      <c r="E95" s="462"/>
      <c r="F95" s="462"/>
      <c r="G95" s="463"/>
      <c r="H95" s="461" t="s">
        <v>20</v>
      </c>
      <c r="I95" s="464"/>
      <c r="J95" s="462"/>
      <c r="K95" s="463"/>
      <c r="L95" s="461" t="s">
        <v>20</v>
      </c>
      <c r="M95" s="458" t="s">
        <v>20</v>
      </c>
      <c r="N95" s="462"/>
      <c r="O95" s="462"/>
      <c r="P95" s="458" t="s">
        <v>20</v>
      </c>
      <c r="Q95" s="462"/>
      <c r="R95" s="458" t="s">
        <v>20</v>
      </c>
      <c r="S95" s="463"/>
    </row>
    <row r="96" spans="1:19">
      <c r="A96" s="458" t="s">
        <v>147</v>
      </c>
      <c r="B96" s="459">
        <v>0.97916666666666663</v>
      </c>
      <c r="C96" s="460">
        <v>0.98958333333333193</v>
      </c>
      <c r="D96" s="461" t="s">
        <v>20</v>
      </c>
      <c r="E96" s="462"/>
      <c r="F96" s="462"/>
      <c r="G96" s="463"/>
      <c r="H96" s="461" t="s">
        <v>20</v>
      </c>
      <c r="I96" s="464"/>
      <c r="J96" s="462"/>
      <c r="K96" s="463"/>
      <c r="L96" s="461" t="s">
        <v>20</v>
      </c>
      <c r="M96" s="458" t="s">
        <v>20</v>
      </c>
      <c r="N96" s="462"/>
      <c r="O96" s="462"/>
      <c r="P96" s="458" t="s">
        <v>20</v>
      </c>
      <c r="Q96" s="462"/>
      <c r="R96" s="458" t="s">
        <v>20</v>
      </c>
      <c r="S96" s="463"/>
    </row>
    <row r="97" spans="1:19" ht="17.25" thickBot="1">
      <c r="A97" s="465" t="s">
        <v>147</v>
      </c>
      <c r="B97" s="466">
        <v>0.98958333333333337</v>
      </c>
      <c r="C97" s="467" t="s">
        <v>148</v>
      </c>
      <c r="D97" s="468" t="s">
        <v>20</v>
      </c>
      <c r="E97" s="469"/>
      <c r="F97" s="469"/>
      <c r="G97" s="470"/>
      <c r="H97" s="468" t="s">
        <v>20</v>
      </c>
      <c r="I97" s="471"/>
      <c r="J97" s="469"/>
      <c r="K97" s="470"/>
      <c r="L97" s="468" t="s">
        <v>20</v>
      </c>
      <c r="M97" s="465" t="s">
        <v>20</v>
      </c>
      <c r="N97" s="469"/>
      <c r="O97" s="469"/>
      <c r="P97" s="465" t="s">
        <v>20</v>
      </c>
      <c r="Q97" s="469"/>
      <c r="R97" s="465" t="s">
        <v>20</v>
      </c>
      <c r="S97" s="470"/>
    </row>
    <row r="98" spans="1:19" ht="17.25" thickTop="1">
      <c r="A98" s="215" t="s">
        <v>21</v>
      </c>
      <c r="B98" s="216">
        <v>0</v>
      </c>
      <c r="C98" s="217">
        <v>1.0416666666666666E-2</v>
      </c>
      <c r="D98" s="218"/>
      <c r="E98" s="215" t="s">
        <v>20</v>
      </c>
      <c r="F98" s="219"/>
      <c r="G98" s="220"/>
      <c r="H98" s="218"/>
      <c r="I98" s="215" t="s">
        <v>20</v>
      </c>
      <c r="J98" s="218"/>
      <c r="K98" s="220"/>
      <c r="L98" s="221" t="s">
        <v>20</v>
      </c>
      <c r="M98" s="219"/>
      <c r="N98" s="215" t="s">
        <v>20</v>
      </c>
      <c r="O98" s="215" t="s">
        <v>20</v>
      </c>
      <c r="P98" s="219"/>
      <c r="Q98" s="219"/>
      <c r="R98" s="215" t="s">
        <v>20</v>
      </c>
      <c r="S98" s="220"/>
    </row>
    <row r="99" spans="1:19">
      <c r="A99" s="222" t="s">
        <v>21</v>
      </c>
      <c r="B99" s="223">
        <v>1.0416666666666666E-2</v>
      </c>
      <c r="C99" s="224">
        <v>2.0833333333333332E-2</v>
      </c>
      <c r="D99" s="218"/>
      <c r="E99" s="215" t="s">
        <v>20</v>
      </c>
      <c r="F99" s="219"/>
      <c r="G99" s="220"/>
      <c r="H99" s="218"/>
      <c r="I99" s="215" t="s">
        <v>20</v>
      </c>
      <c r="J99" s="218"/>
      <c r="K99" s="220"/>
      <c r="L99" s="221" t="s">
        <v>20</v>
      </c>
      <c r="M99" s="219"/>
      <c r="N99" s="215" t="s">
        <v>20</v>
      </c>
      <c r="O99" s="215" t="s">
        <v>20</v>
      </c>
      <c r="P99" s="219"/>
      <c r="Q99" s="225"/>
      <c r="R99" s="215" t="s">
        <v>20</v>
      </c>
      <c r="S99" s="220"/>
    </row>
    <row r="100" spans="1:19">
      <c r="A100" s="222" t="s">
        <v>21</v>
      </c>
      <c r="B100" s="223">
        <v>2.0833333333333332E-2</v>
      </c>
      <c r="C100" s="224">
        <v>3.125E-2</v>
      </c>
      <c r="D100" s="218"/>
      <c r="E100" s="215" t="s">
        <v>20</v>
      </c>
      <c r="F100" s="219"/>
      <c r="G100" s="220"/>
      <c r="H100" s="218"/>
      <c r="I100" s="215" t="s">
        <v>20</v>
      </c>
      <c r="J100" s="218"/>
      <c r="K100" s="220"/>
      <c r="L100" s="221" t="s">
        <v>20</v>
      </c>
      <c r="M100" s="219"/>
      <c r="N100" s="215" t="s">
        <v>20</v>
      </c>
      <c r="O100" s="215" t="s">
        <v>20</v>
      </c>
      <c r="P100" s="219"/>
      <c r="Q100" s="225"/>
      <c r="R100" s="215" t="s">
        <v>20</v>
      </c>
      <c r="S100" s="220"/>
    </row>
    <row r="101" spans="1:19">
      <c r="A101" s="222" t="s">
        <v>21</v>
      </c>
      <c r="B101" s="223">
        <v>3.125E-2</v>
      </c>
      <c r="C101" s="224">
        <v>4.1666666666666664E-2</v>
      </c>
      <c r="D101" s="218"/>
      <c r="E101" s="215" t="s">
        <v>20</v>
      </c>
      <c r="F101" s="219"/>
      <c r="G101" s="220"/>
      <c r="H101" s="218"/>
      <c r="I101" s="215" t="s">
        <v>20</v>
      </c>
      <c r="J101" s="218"/>
      <c r="K101" s="220"/>
      <c r="L101" s="221" t="s">
        <v>20</v>
      </c>
      <c r="M101" s="219"/>
      <c r="N101" s="215" t="s">
        <v>20</v>
      </c>
      <c r="O101" s="215" t="s">
        <v>20</v>
      </c>
      <c r="P101" s="219"/>
      <c r="Q101" s="225"/>
      <c r="R101" s="215" t="s">
        <v>20</v>
      </c>
      <c r="S101" s="220"/>
    </row>
    <row r="102" spans="1:19">
      <c r="A102" s="222" t="s">
        <v>21</v>
      </c>
      <c r="B102" s="223">
        <v>4.1666666666666664E-2</v>
      </c>
      <c r="C102" s="224">
        <v>5.2083333333333329E-2</v>
      </c>
      <c r="D102" s="218"/>
      <c r="E102" s="215" t="s">
        <v>20</v>
      </c>
      <c r="F102" s="219"/>
      <c r="G102" s="220"/>
      <c r="H102" s="218"/>
      <c r="I102" s="215" t="s">
        <v>20</v>
      </c>
      <c r="J102" s="218"/>
      <c r="K102" s="220"/>
      <c r="L102" s="221" t="s">
        <v>20</v>
      </c>
      <c r="M102" s="219"/>
      <c r="N102" s="215" t="s">
        <v>20</v>
      </c>
      <c r="O102" s="215" t="s">
        <v>20</v>
      </c>
      <c r="P102" s="219"/>
      <c r="Q102" s="225"/>
      <c r="R102" s="215" t="s">
        <v>20</v>
      </c>
      <c r="S102" s="220"/>
    </row>
    <row r="103" spans="1:19">
      <c r="A103" s="222" t="s">
        <v>21</v>
      </c>
      <c r="B103" s="223">
        <v>5.2083333333333329E-2</v>
      </c>
      <c r="C103" s="224">
        <v>6.25E-2</v>
      </c>
      <c r="D103" s="218"/>
      <c r="E103" s="215" t="s">
        <v>20</v>
      </c>
      <c r="F103" s="219"/>
      <c r="G103" s="220"/>
      <c r="H103" s="218"/>
      <c r="I103" s="215" t="s">
        <v>20</v>
      </c>
      <c r="J103" s="218"/>
      <c r="K103" s="220"/>
      <c r="L103" s="221" t="s">
        <v>20</v>
      </c>
      <c r="M103" s="219"/>
      <c r="N103" s="215" t="s">
        <v>20</v>
      </c>
      <c r="O103" s="215" t="s">
        <v>20</v>
      </c>
      <c r="P103" s="219"/>
      <c r="Q103" s="225"/>
      <c r="R103" s="215" t="s">
        <v>20</v>
      </c>
      <c r="S103" s="220"/>
    </row>
    <row r="104" spans="1:19">
      <c r="A104" s="222" t="s">
        <v>21</v>
      </c>
      <c r="B104" s="223">
        <v>6.25E-2</v>
      </c>
      <c r="C104" s="224">
        <v>7.2916666666666657E-2</v>
      </c>
      <c r="D104" s="218"/>
      <c r="E104" s="215" t="s">
        <v>20</v>
      </c>
      <c r="F104" s="219"/>
      <c r="G104" s="220"/>
      <c r="H104" s="218"/>
      <c r="I104" s="215" t="s">
        <v>20</v>
      </c>
      <c r="J104" s="218"/>
      <c r="K104" s="220"/>
      <c r="L104" s="221" t="s">
        <v>20</v>
      </c>
      <c r="M104" s="219"/>
      <c r="N104" s="215" t="s">
        <v>20</v>
      </c>
      <c r="O104" s="215" t="s">
        <v>20</v>
      </c>
      <c r="P104" s="219"/>
      <c r="Q104" s="225"/>
      <c r="R104" s="215" t="s">
        <v>20</v>
      </c>
      <c r="S104" s="220"/>
    </row>
    <row r="105" spans="1:19">
      <c r="A105" s="222" t="s">
        <v>21</v>
      </c>
      <c r="B105" s="223">
        <v>7.2916666666666657E-2</v>
      </c>
      <c r="C105" s="224">
        <v>8.3333333333333329E-2</v>
      </c>
      <c r="D105" s="218"/>
      <c r="E105" s="215" t="s">
        <v>20</v>
      </c>
      <c r="F105" s="219"/>
      <c r="G105" s="220"/>
      <c r="H105" s="218"/>
      <c r="I105" s="215" t="s">
        <v>20</v>
      </c>
      <c r="J105" s="218"/>
      <c r="K105" s="220"/>
      <c r="L105" s="221" t="s">
        <v>20</v>
      </c>
      <c r="M105" s="219"/>
      <c r="N105" s="215" t="s">
        <v>20</v>
      </c>
      <c r="O105" s="215" t="s">
        <v>20</v>
      </c>
      <c r="P105" s="219"/>
      <c r="Q105" s="225"/>
      <c r="R105" s="215" t="s">
        <v>20</v>
      </c>
      <c r="S105" s="220"/>
    </row>
    <row r="106" spans="1:19">
      <c r="A106" s="222" t="s">
        <v>21</v>
      </c>
      <c r="B106" s="223">
        <v>8.3333333333333329E-2</v>
      </c>
      <c r="C106" s="224">
        <v>9.375E-2</v>
      </c>
      <c r="D106" s="218"/>
      <c r="E106" s="215" t="s">
        <v>20</v>
      </c>
      <c r="F106" s="219"/>
      <c r="G106" s="220"/>
      <c r="H106" s="218"/>
      <c r="I106" s="215" t="s">
        <v>20</v>
      </c>
      <c r="J106" s="218"/>
      <c r="K106" s="220"/>
      <c r="L106" s="221" t="s">
        <v>20</v>
      </c>
      <c r="M106" s="219"/>
      <c r="N106" s="215" t="s">
        <v>20</v>
      </c>
      <c r="O106" s="215" t="s">
        <v>20</v>
      </c>
      <c r="P106" s="219"/>
      <c r="Q106" s="225"/>
      <c r="R106" s="215" t="s">
        <v>20</v>
      </c>
      <c r="S106" s="220"/>
    </row>
    <row r="107" spans="1:19">
      <c r="A107" s="222" t="s">
        <v>21</v>
      </c>
      <c r="B107" s="223">
        <v>9.375E-2</v>
      </c>
      <c r="C107" s="224">
        <v>0.10416666666666667</v>
      </c>
      <c r="D107" s="218"/>
      <c r="E107" s="215" t="s">
        <v>20</v>
      </c>
      <c r="F107" s="219"/>
      <c r="G107" s="220"/>
      <c r="H107" s="218"/>
      <c r="I107" s="215" t="s">
        <v>20</v>
      </c>
      <c r="J107" s="218"/>
      <c r="K107" s="220"/>
      <c r="L107" s="221" t="s">
        <v>20</v>
      </c>
      <c r="M107" s="219"/>
      <c r="N107" s="215" t="s">
        <v>20</v>
      </c>
      <c r="O107" s="215" t="s">
        <v>20</v>
      </c>
      <c r="P107" s="219"/>
      <c r="Q107" s="225"/>
      <c r="R107" s="215" t="s">
        <v>20</v>
      </c>
      <c r="S107" s="220"/>
    </row>
    <row r="108" spans="1:19">
      <c r="A108" s="222" t="s">
        <v>21</v>
      </c>
      <c r="B108" s="223">
        <v>0.10416666666666667</v>
      </c>
      <c r="C108" s="224">
        <v>0.11458333333333334</v>
      </c>
      <c r="D108" s="218"/>
      <c r="E108" s="215" t="s">
        <v>20</v>
      </c>
      <c r="F108" s="219"/>
      <c r="G108" s="220"/>
      <c r="H108" s="218"/>
      <c r="I108" s="215" t="s">
        <v>20</v>
      </c>
      <c r="J108" s="218"/>
      <c r="K108" s="220"/>
      <c r="L108" s="221" t="s">
        <v>20</v>
      </c>
      <c r="M108" s="219"/>
      <c r="N108" s="215" t="s">
        <v>20</v>
      </c>
      <c r="O108" s="215" t="s">
        <v>20</v>
      </c>
      <c r="P108" s="219"/>
      <c r="Q108" s="225"/>
      <c r="R108" s="215" t="s">
        <v>20</v>
      </c>
      <c r="S108" s="220"/>
    </row>
    <row r="109" spans="1:19">
      <c r="A109" s="222" t="s">
        <v>21</v>
      </c>
      <c r="B109" s="223">
        <v>0.11458333333333334</v>
      </c>
      <c r="C109" s="224">
        <v>0.125</v>
      </c>
      <c r="D109" s="218"/>
      <c r="E109" s="215" t="s">
        <v>20</v>
      </c>
      <c r="F109" s="219"/>
      <c r="G109" s="220"/>
      <c r="H109" s="218"/>
      <c r="I109" s="215" t="s">
        <v>20</v>
      </c>
      <c r="J109" s="218"/>
      <c r="K109" s="220"/>
      <c r="L109" s="221" t="s">
        <v>20</v>
      </c>
      <c r="M109" s="219"/>
      <c r="N109" s="215" t="s">
        <v>20</v>
      </c>
      <c r="O109" s="215" t="s">
        <v>20</v>
      </c>
      <c r="P109" s="219"/>
      <c r="Q109" s="225"/>
      <c r="R109" s="215" t="s">
        <v>20</v>
      </c>
      <c r="S109" s="220"/>
    </row>
    <row r="110" spans="1:19">
      <c r="A110" s="222" t="s">
        <v>21</v>
      </c>
      <c r="B110" s="223">
        <v>0.125</v>
      </c>
      <c r="C110" s="224">
        <v>0.13541666666666666</v>
      </c>
      <c r="D110" s="218"/>
      <c r="E110" s="215" t="s">
        <v>20</v>
      </c>
      <c r="F110" s="219"/>
      <c r="G110" s="220"/>
      <c r="H110" s="218"/>
      <c r="I110" s="215" t="s">
        <v>20</v>
      </c>
      <c r="J110" s="218"/>
      <c r="K110" s="220"/>
      <c r="L110" s="221" t="s">
        <v>20</v>
      </c>
      <c r="M110" s="219"/>
      <c r="N110" s="215" t="s">
        <v>20</v>
      </c>
      <c r="O110" s="215" t="s">
        <v>20</v>
      </c>
      <c r="P110" s="219"/>
      <c r="Q110" s="225"/>
      <c r="R110" s="215" t="s">
        <v>20</v>
      </c>
      <c r="S110" s="220"/>
    </row>
    <row r="111" spans="1:19">
      <c r="A111" s="222" t="s">
        <v>21</v>
      </c>
      <c r="B111" s="223">
        <v>0.13541666666666666</v>
      </c>
      <c r="C111" s="224">
        <v>0.14583333333333331</v>
      </c>
      <c r="D111" s="218"/>
      <c r="E111" s="215" t="s">
        <v>20</v>
      </c>
      <c r="F111" s="219"/>
      <c r="G111" s="220"/>
      <c r="H111" s="218"/>
      <c r="I111" s="215" t="s">
        <v>20</v>
      </c>
      <c r="J111" s="218"/>
      <c r="K111" s="220"/>
      <c r="L111" s="221" t="s">
        <v>20</v>
      </c>
      <c r="M111" s="219"/>
      <c r="N111" s="215" t="s">
        <v>20</v>
      </c>
      <c r="O111" s="215" t="s">
        <v>20</v>
      </c>
      <c r="P111" s="219"/>
      <c r="Q111" s="225"/>
      <c r="R111" s="215" t="s">
        <v>20</v>
      </c>
      <c r="S111" s="220"/>
    </row>
    <row r="112" spans="1:19">
      <c r="A112" s="222" t="s">
        <v>21</v>
      </c>
      <c r="B112" s="223">
        <v>0.14583333333333331</v>
      </c>
      <c r="C112" s="224">
        <v>0.15625</v>
      </c>
      <c r="D112" s="218"/>
      <c r="E112" s="215" t="s">
        <v>20</v>
      </c>
      <c r="F112" s="219"/>
      <c r="G112" s="220"/>
      <c r="H112" s="218"/>
      <c r="I112" s="215" t="s">
        <v>20</v>
      </c>
      <c r="J112" s="218"/>
      <c r="K112" s="220"/>
      <c r="L112" s="221" t="s">
        <v>20</v>
      </c>
      <c r="M112" s="219"/>
      <c r="N112" s="215" t="s">
        <v>20</v>
      </c>
      <c r="O112" s="215" t="s">
        <v>20</v>
      </c>
      <c r="P112" s="219"/>
      <c r="Q112" s="225"/>
      <c r="R112" s="215" t="s">
        <v>20</v>
      </c>
      <c r="S112" s="220"/>
    </row>
    <row r="113" spans="1:19">
      <c r="A113" s="222" t="s">
        <v>21</v>
      </c>
      <c r="B113" s="223">
        <v>0.15625</v>
      </c>
      <c r="C113" s="224">
        <v>0.16666666666666663</v>
      </c>
      <c r="D113" s="218"/>
      <c r="E113" s="215" t="s">
        <v>20</v>
      </c>
      <c r="F113" s="219"/>
      <c r="G113" s="220"/>
      <c r="H113" s="218"/>
      <c r="I113" s="215" t="s">
        <v>20</v>
      </c>
      <c r="J113" s="218"/>
      <c r="K113" s="220"/>
      <c r="L113" s="221" t="s">
        <v>20</v>
      </c>
      <c r="M113" s="219"/>
      <c r="N113" s="215" t="s">
        <v>20</v>
      </c>
      <c r="O113" s="215" t="s">
        <v>20</v>
      </c>
      <c r="P113" s="219"/>
      <c r="Q113" s="225"/>
      <c r="R113" s="215" t="s">
        <v>20</v>
      </c>
      <c r="S113" s="220"/>
    </row>
    <row r="114" spans="1:19">
      <c r="A114" s="222" t="s">
        <v>21</v>
      </c>
      <c r="B114" s="223">
        <v>0.16666666666666666</v>
      </c>
      <c r="C114" s="224">
        <v>0.17708333333333329</v>
      </c>
      <c r="D114" s="218"/>
      <c r="E114" s="215" t="s">
        <v>20</v>
      </c>
      <c r="F114" s="219"/>
      <c r="G114" s="220"/>
      <c r="H114" s="218"/>
      <c r="I114" s="215" t="s">
        <v>20</v>
      </c>
      <c r="J114" s="218"/>
      <c r="K114" s="220"/>
      <c r="L114" s="221" t="s">
        <v>20</v>
      </c>
      <c r="M114" s="219"/>
      <c r="N114" s="215" t="s">
        <v>20</v>
      </c>
      <c r="O114" s="215" t="s">
        <v>20</v>
      </c>
      <c r="P114" s="219"/>
      <c r="Q114" s="225"/>
      <c r="R114" s="215" t="s">
        <v>20</v>
      </c>
      <c r="S114" s="220"/>
    </row>
    <row r="115" spans="1:19">
      <c r="A115" s="222" t="s">
        <v>21</v>
      </c>
      <c r="B115" s="223">
        <v>0.17708333333333334</v>
      </c>
      <c r="C115" s="224">
        <v>0.1875</v>
      </c>
      <c r="D115" s="218"/>
      <c r="E115" s="215" t="s">
        <v>20</v>
      </c>
      <c r="F115" s="219"/>
      <c r="G115" s="220"/>
      <c r="H115" s="218"/>
      <c r="I115" s="215" t="s">
        <v>20</v>
      </c>
      <c r="J115" s="218"/>
      <c r="K115" s="220"/>
      <c r="L115" s="221" t="s">
        <v>20</v>
      </c>
      <c r="M115" s="219"/>
      <c r="N115" s="215" t="s">
        <v>20</v>
      </c>
      <c r="O115" s="215" t="s">
        <v>20</v>
      </c>
      <c r="P115" s="219"/>
      <c r="Q115" s="225"/>
      <c r="R115" s="215" t="s">
        <v>20</v>
      </c>
      <c r="S115" s="220"/>
    </row>
    <row r="116" spans="1:19">
      <c r="A116" s="222" t="s">
        <v>21</v>
      </c>
      <c r="B116" s="223">
        <v>0.1875</v>
      </c>
      <c r="C116" s="224">
        <v>0.1979166666666666</v>
      </c>
      <c r="D116" s="218"/>
      <c r="E116" s="215" t="s">
        <v>20</v>
      </c>
      <c r="F116" s="219"/>
      <c r="G116" s="220"/>
      <c r="H116" s="218"/>
      <c r="I116" s="215" t="s">
        <v>20</v>
      </c>
      <c r="J116" s="218"/>
      <c r="K116" s="220"/>
      <c r="L116" s="221" t="s">
        <v>20</v>
      </c>
      <c r="M116" s="219"/>
      <c r="N116" s="215" t="s">
        <v>20</v>
      </c>
      <c r="O116" s="215" t="s">
        <v>20</v>
      </c>
      <c r="P116" s="219"/>
      <c r="Q116" s="225"/>
      <c r="R116" s="215" t="s">
        <v>20</v>
      </c>
      <c r="S116" s="220"/>
    </row>
    <row r="117" spans="1:19">
      <c r="A117" s="222" t="s">
        <v>21</v>
      </c>
      <c r="B117" s="223">
        <v>0.19791666666666666</v>
      </c>
      <c r="C117" s="224">
        <v>0.20833333333333326</v>
      </c>
      <c r="D117" s="218"/>
      <c r="E117" s="215" t="s">
        <v>20</v>
      </c>
      <c r="F117" s="219"/>
      <c r="G117" s="220"/>
      <c r="H117" s="218"/>
      <c r="I117" s="215" t="s">
        <v>20</v>
      </c>
      <c r="J117" s="218"/>
      <c r="K117" s="220"/>
      <c r="L117" s="221" t="s">
        <v>20</v>
      </c>
      <c r="M117" s="219"/>
      <c r="N117" s="215" t="s">
        <v>20</v>
      </c>
      <c r="O117" s="215" t="s">
        <v>20</v>
      </c>
      <c r="P117" s="219"/>
      <c r="Q117" s="225"/>
      <c r="R117" s="215" t="s">
        <v>20</v>
      </c>
      <c r="S117" s="220"/>
    </row>
    <row r="118" spans="1:19">
      <c r="A118" s="222" t="s">
        <v>21</v>
      </c>
      <c r="B118" s="223">
        <v>0.20833333333333334</v>
      </c>
      <c r="C118" s="224">
        <v>0.21875</v>
      </c>
      <c r="D118" s="218"/>
      <c r="E118" s="215" t="s">
        <v>20</v>
      </c>
      <c r="F118" s="219"/>
      <c r="G118" s="220"/>
      <c r="H118" s="218"/>
      <c r="I118" s="215" t="s">
        <v>20</v>
      </c>
      <c r="J118" s="218"/>
      <c r="K118" s="220"/>
      <c r="L118" s="221" t="s">
        <v>20</v>
      </c>
      <c r="M118" s="219"/>
      <c r="N118" s="215" t="s">
        <v>20</v>
      </c>
      <c r="O118" s="215" t="s">
        <v>20</v>
      </c>
      <c r="P118" s="219"/>
      <c r="Q118" s="225"/>
      <c r="R118" s="215" t="s">
        <v>20</v>
      </c>
      <c r="S118" s="220"/>
    </row>
    <row r="119" spans="1:19">
      <c r="A119" s="222" t="s">
        <v>21</v>
      </c>
      <c r="B119" s="223">
        <v>0.21875</v>
      </c>
      <c r="C119" s="224">
        <v>0.22916666666666657</v>
      </c>
      <c r="D119" s="218"/>
      <c r="E119" s="215" t="s">
        <v>20</v>
      </c>
      <c r="F119" s="219"/>
      <c r="G119" s="220"/>
      <c r="H119" s="218"/>
      <c r="I119" s="215" t="s">
        <v>20</v>
      </c>
      <c r="J119" s="218"/>
      <c r="K119" s="220"/>
      <c r="L119" s="221" t="s">
        <v>20</v>
      </c>
      <c r="M119" s="219"/>
      <c r="N119" s="215" t="s">
        <v>20</v>
      </c>
      <c r="O119" s="215" t="s">
        <v>20</v>
      </c>
      <c r="P119" s="219"/>
      <c r="Q119" s="225"/>
      <c r="R119" s="215" t="s">
        <v>20</v>
      </c>
      <c r="S119" s="220"/>
    </row>
    <row r="120" spans="1:19">
      <c r="A120" s="222" t="s">
        <v>21</v>
      </c>
      <c r="B120" s="223">
        <v>0.22916666666666666</v>
      </c>
      <c r="C120" s="224">
        <v>0.23958333333333323</v>
      </c>
      <c r="D120" s="218"/>
      <c r="E120" s="215" t="s">
        <v>20</v>
      </c>
      <c r="F120" s="219"/>
      <c r="G120" s="220"/>
      <c r="H120" s="218"/>
      <c r="I120" s="215" t="s">
        <v>20</v>
      </c>
      <c r="J120" s="218"/>
      <c r="K120" s="220"/>
      <c r="L120" s="221" t="s">
        <v>20</v>
      </c>
      <c r="M120" s="219"/>
      <c r="N120" s="215" t="s">
        <v>20</v>
      </c>
      <c r="O120" s="215" t="s">
        <v>20</v>
      </c>
      <c r="P120" s="219"/>
      <c r="Q120" s="225"/>
      <c r="R120" s="215" t="s">
        <v>20</v>
      </c>
      <c r="S120" s="220"/>
    </row>
    <row r="121" spans="1:19">
      <c r="A121" s="222" t="s">
        <v>21</v>
      </c>
      <c r="B121" s="223">
        <v>0.23958333333333334</v>
      </c>
      <c r="C121" s="224">
        <v>0.25</v>
      </c>
      <c r="D121" s="218"/>
      <c r="E121" s="215" t="s">
        <v>20</v>
      </c>
      <c r="F121" s="219"/>
      <c r="G121" s="220"/>
      <c r="H121" s="218"/>
      <c r="I121" s="215" t="s">
        <v>20</v>
      </c>
      <c r="J121" s="218"/>
      <c r="K121" s="220"/>
      <c r="L121" s="221" t="s">
        <v>20</v>
      </c>
      <c r="M121" s="219"/>
      <c r="N121" s="215" t="s">
        <v>20</v>
      </c>
      <c r="O121" s="215" t="s">
        <v>20</v>
      </c>
      <c r="P121" s="219"/>
      <c r="Q121" s="225"/>
      <c r="R121" s="215" t="s">
        <v>20</v>
      </c>
      <c r="S121" s="220"/>
    </row>
    <row r="122" spans="1:19">
      <c r="A122" s="222" t="s">
        <v>21</v>
      </c>
      <c r="B122" s="223">
        <v>0.25</v>
      </c>
      <c r="C122" s="224">
        <v>0.26041666666666657</v>
      </c>
      <c r="D122" s="218"/>
      <c r="E122" s="215" t="s">
        <v>20</v>
      </c>
      <c r="F122" s="219"/>
      <c r="G122" s="220"/>
      <c r="H122" s="218"/>
      <c r="I122" s="215" t="s">
        <v>20</v>
      </c>
      <c r="J122" s="218"/>
      <c r="K122" s="220"/>
      <c r="L122" s="221" t="s">
        <v>20</v>
      </c>
      <c r="M122" s="219"/>
      <c r="N122" s="215" t="s">
        <v>20</v>
      </c>
      <c r="O122" s="215" t="s">
        <v>20</v>
      </c>
      <c r="P122" s="219"/>
      <c r="Q122" s="225"/>
      <c r="R122" s="215" t="s">
        <v>20</v>
      </c>
      <c r="S122" s="220"/>
    </row>
    <row r="123" spans="1:19">
      <c r="A123" s="222" t="s">
        <v>21</v>
      </c>
      <c r="B123" s="223">
        <v>0.26041666666666669</v>
      </c>
      <c r="C123" s="224">
        <v>0.27083333333333326</v>
      </c>
      <c r="D123" s="218"/>
      <c r="E123" s="215" t="s">
        <v>20</v>
      </c>
      <c r="F123" s="219"/>
      <c r="G123" s="220"/>
      <c r="H123" s="218"/>
      <c r="I123" s="215" t="s">
        <v>20</v>
      </c>
      <c r="J123" s="218"/>
      <c r="K123" s="220"/>
      <c r="L123" s="221" t="s">
        <v>20</v>
      </c>
      <c r="M123" s="219"/>
      <c r="N123" s="215" t="s">
        <v>20</v>
      </c>
      <c r="O123" s="215" t="s">
        <v>20</v>
      </c>
      <c r="P123" s="219"/>
      <c r="Q123" s="225"/>
      <c r="R123" s="215" t="s">
        <v>20</v>
      </c>
      <c r="S123" s="220"/>
    </row>
    <row r="124" spans="1:19">
      <c r="A124" s="222" t="s">
        <v>21</v>
      </c>
      <c r="B124" s="223">
        <v>0.27083333333333331</v>
      </c>
      <c r="C124" s="224">
        <v>0.28125</v>
      </c>
      <c r="D124" s="218"/>
      <c r="E124" s="215" t="s">
        <v>20</v>
      </c>
      <c r="F124" s="219"/>
      <c r="G124" s="220"/>
      <c r="H124" s="218"/>
      <c r="I124" s="215" t="s">
        <v>20</v>
      </c>
      <c r="J124" s="218"/>
      <c r="K124" s="220"/>
      <c r="L124" s="221" t="s">
        <v>20</v>
      </c>
      <c r="M124" s="219"/>
      <c r="N124" s="215" t="s">
        <v>20</v>
      </c>
      <c r="O124" s="215" t="s">
        <v>20</v>
      </c>
      <c r="P124" s="219"/>
      <c r="Q124" s="225"/>
      <c r="R124" s="215" t="s">
        <v>20</v>
      </c>
      <c r="S124" s="220"/>
    </row>
    <row r="125" spans="1:19">
      <c r="A125" s="222" t="s">
        <v>21</v>
      </c>
      <c r="B125" s="223">
        <v>0.28125</v>
      </c>
      <c r="C125" s="224">
        <v>0.29166666666666663</v>
      </c>
      <c r="D125" s="218"/>
      <c r="E125" s="215" t="s">
        <v>20</v>
      </c>
      <c r="F125" s="219"/>
      <c r="G125" s="220"/>
      <c r="H125" s="218"/>
      <c r="I125" s="215" t="s">
        <v>20</v>
      </c>
      <c r="J125" s="218"/>
      <c r="K125" s="220"/>
      <c r="L125" s="221" t="s">
        <v>20</v>
      </c>
      <c r="M125" s="219"/>
      <c r="N125" s="215" t="s">
        <v>20</v>
      </c>
      <c r="O125" s="215" t="s">
        <v>20</v>
      </c>
      <c r="P125" s="219"/>
      <c r="Q125" s="225"/>
      <c r="R125" s="215" t="s">
        <v>20</v>
      </c>
      <c r="S125" s="220"/>
    </row>
    <row r="126" spans="1:19">
      <c r="A126" s="222" t="s">
        <v>21</v>
      </c>
      <c r="B126" s="223">
        <v>0.29166666666666669</v>
      </c>
      <c r="C126" s="224">
        <v>0.30208333333333331</v>
      </c>
      <c r="D126" s="218"/>
      <c r="E126" s="215" t="s">
        <v>20</v>
      </c>
      <c r="F126" s="219"/>
      <c r="G126" s="220"/>
      <c r="H126" s="218"/>
      <c r="I126" s="215" t="s">
        <v>20</v>
      </c>
      <c r="J126" s="218"/>
      <c r="K126" s="220"/>
      <c r="L126" s="221" t="s">
        <v>20</v>
      </c>
      <c r="M126" s="219"/>
      <c r="N126" s="215" t="s">
        <v>20</v>
      </c>
      <c r="O126" s="215" t="s">
        <v>20</v>
      </c>
      <c r="P126" s="219"/>
      <c r="Q126" s="225"/>
      <c r="R126" s="215" t="s">
        <v>20</v>
      </c>
      <c r="S126" s="220"/>
    </row>
    <row r="127" spans="1:19">
      <c r="A127" s="222" t="s">
        <v>21</v>
      </c>
      <c r="B127" s="223">
        <v>0.30208333333333331</v>
      </c>
      <c r="C127" s="224">
        <v>0.3125</v>
      </c>
      <c r="D127" s="218"/>
      <c r="E127" s="215" t="s">
        <v>20</v>
      </c>
      <c r="F127" s="219"/>
      <c r="G127" s="220"/>
      <c r="H127" s="218"/>
      <c r="I127" s="215" t="s">
        <v>20</v>
      </c>
      <c r="J127" s="218"/>
      <c r="K127" s="220"/>
      <c r="L127" s="221" t="s">
        <v>20</v>
      </c>
      <c r="M127" s="219"/>
      <c r="N127" s="215" t="s">
        <v>20</v>
      </c>
      <c r="O127" s="215" t="s">
        <v>20</v>
      </c>
      <c r="P127" s="219"/>
      <c r="Q127" s="225"/>
      <c r="R127" s="215" t="s">
        <v>20</v>
      </c>
      <c r="S127" s="220"/>
    </row>
    <row r="128" spans="1:19">
      <c r="A128" s="222" t="s">
        <v>21</v>
      </c>
      <c r="B128" s="223">
        <v>0.3125</v>
      </c>
      <c r="C128" s="224">
        <v>0.32291666666666669</v>
      </c>
      <c r="D128" s="218"/>
      <c r="E128" s="215" t="s">
        <v>20</v>
      </c>
      <c r="F128" s="219"/>
      <c r="G128" s="220"/>
      <c r="H128" s="218"/>
      <c r="I128" s="215" t="s">
        <v>20</v>
      </c>
      <c r="J128" s="218"/>
      <c r="K128" s="220"/>
      <c r="L128" s="221" t="s">
        <v>20</v>
      </c>
      <c r="M128" s="219"/>
      <c r="N128" s="215" t="s">
        <v>20</v>
      </c>
      <c r="O128" s="215" t="s">
        <v>20</v>
      </c>
      <c r="P128" s="219"/>
      <c r="Q128" s="225"/>
      <c r="R128" s="215" t="s">
        <v>20</v>
      </c>
      <c r="S128" s="220"/>
    </row>
    <row r="129" spans="1:19">
      <c r="A129" s="222" t="s">
        <v>21</v>
      </c>
      <c r="B129" s="223">
        <v>0.32291666666666669</v>
      </c>
      <c r="C129" s="224">
        <v>0.33333333333333337</v>
      </c>
      <c r="D129" s="218"/>
      <c r="E129" s="215" t="s">
        <v>20</v>
      </c>
      <c r="F129" s="219"/>
      <c r="G129" s="220"/>
      <c r="H129" s="218"/>
      <c r="I129" s="215" t="s">
        <v>20</v>
      </c>
      <c r="J129" s="218"/>
      <c r="K129" s="220"/>
      <c r="L129" s="221" t="s">
        <v>20</v>
      </c>
      <c r="M129" s="219"/>
      <c r="N129" s="215" t="s">
        <v>20</v>
      </c>
      <c r="O129" s="215" t="s">
        <v>20</v>
      </c>
      <c r="P129" s="219"/>
      <c r="Q129" s="225"/>
      <c r="R129" s="215" t="s">
        <v>20</v>
      </c>
      <c r="S129" s="220"/>
    </row>
    <row r="130" spans="1:19">
      <c r="A130" s="222" t="s">
        <v>21</v>
      </c>
      <c r="B130" s="223">
        <v>0.33333333333333337</v>
      </c>
      <c r="C130" s="224">
        <v>0.34375</v>
      </c>
      <c r="D130" s="218"/>
      <c r="E130" s="215" t="s">
        <v>20</v>
      </c>
      <c r="F130" s="219"/>
      <c r="G130" s="220"/>
      <c r="H130" s="218"/>
      <c r="I130" s="215" t="s">
        <v>20</v>
      </c>
      <c r="J130" s="218"/>
      <c r="K130" s="220"/>
      <c r="L130" s="221" t="s">
        <v>20</v>
      </c>
      <c r="M130" s="219"/>
      <c r="N130" s="215" t="s">
        <v>20</v>
      </c>
      <c r="O130" s="215" t="s">
        <v>20</v>
      </c>
      <c r="P130" s="219"/>
      <c r="Q130" s="225"/>
      <c r="R130" s="215" t="s">
        <v>20</v>
      </c>
      <c r="S130" s="220"/>
    </row>
    <row r="131" spans="1:19">
      <c r="A131" s="222" t="s">
        <v>21</v>
      </c>
      <c r="B131" s="223">
        <v>0.34375</v>
      </c>
      <c r="C131" s="224">
        <v>0.35416666666666674</v>
      </c>
      <c r="D131" s="218"/>
      <c r="E131" s="215" t="s">
        <v>20</v>
      </c>
      <c r="F131" s="219"/>
      <c r="G131" s="220"/>
      <c r="H131" s="218"/>
      <c r="I131" s="215" t="s">
        <v>20</v>
      </c>
      <c r="J131" s="218"/>
      <c r="K131" s="220"/>
      <c r="L131" s="221" t="s">
        <v>20</v>
      </c>
      <c r="M131" s="219"/>
      <c r="N131" s="215" t="s">
        <v>20</v>
      </c>
      <c r="O131" s="215" t="s">
        <v>20</v>
      </c>
      <c r="P131" s="219"/>
      <c r="Q131" s="225"/>
      <c r="R131" s="215" t="s">
        <v>20</v>
      </c>
      <c r="S131" s="220"/>
    </row>
    <row r="132" spans="1:19">
      <c r="A132" s="222" t="s">
        <v>21</v>
      </c>
      <c r="B132" s="223">
        <v>0.35416666666666674</v>
      </c>
      <c r="C132" s="224">
        <v>0.36458333333333343</v>
      </c>
      <c r="D132" s="218"/>
      <c r="E132" s="215" t="s">
        <v>20</v>
      </c>
      <c r="F132" s="219"/>
      <c r="G132" s="220"/>
      <c r="H132" s="218"/>
      <c r="I132" s="215" t="s">
        <v>20</v>
      </c>
      <c r="J132" s="218"/>
      <c r="K132" s="220"/>
      <c r="L132" s="221" t="s">
        <v>20</v>
      </c>
      <c r="M132" s="219"/>
      <c r="N132" s="215" t="s">
        <v>20</v>
      </c>
      <c r="O132" s="215" t="s">
        <v>20</v>
      </c>
      <c r="P132" s="219"/>
      <c r="Q132" s="225"/>
      <c r="R132" s="215" t="s">
        <v>20</v>
      </c>
      <c r="S132" s="220"/>
    </row>
    <row r="133" spans="1:19">
      <c r="A133" s="222" t="s">
        <v>21</v>
      </c>
      <c r="B133" s="223">
        <v>0.36458333333333343</v>
      </c>
      <c r="C133" s="224">
        <v>0.375</v>
      </c>
      <c r="D133" s="218"/>
      <c r="E133" s="215" t="s">
        <v>20</v>
      </c>
      <c r="F133" s="219"/>
      <c r="G133" s="220"/>
      <c r="H133" s="218"/>
      <c r="I133" s="215" t="s">
        <v>20</v>
      </c>
      <c r="J133" s="218"/>
      <c r="K133" s="220"/>
      <c r="L133" s="221" t="s">
        <v>20</v>
      </c>
      <c r="M133" s="219"/>
      <c r="N133" s="215" t="s">
        <v>20</v>
      </c>
      <c r="O133" s="215" t="s">
        <v>20</v>
      </c>
      <c r="P133" s="219"/>
      <c r="Q133" s="225"/>
      <c r="R133" s="215" t="s">
        <v>20</v>
      </c>
      <c r="S133" s="220"/>
    </row>
    <row r="134" spans="1:19">
      <c r="A134" s="222" t="s">
        <v>21</v>
      </c>
      <c r="B134" s="223">
        <v>0.375</v>
      </c>
      <c r="C134" s="224">
        <v>0.3854166666666668</v>
      </c>
      <c r="D134" s="218"/>
      <c r="E134" s="215" t="s">
        <v>20</v>
      </c>
      <c r="F134" s="219"/>
      <c r="G134" s="220"/>
      <c r="H134" s="218"/>
      <c r="I134" s="215" t="s">
        <v>20</v>
      </c>
      <c r="J134" s="218"/>
      <c r="K134" s="220"/>
      <c r="L134" s="221" t="s">
        <v>20</v>
      </c>
      <c r="M134" s="219"/>
      <c r="N134" s="215" t="s">
        <v>20</v>
      </c>
      <c r="O134" s="215" t="s">
        <v>20</v>
      </c>
      <c r="P134" s="219"/>
      <c r="Q134" s="225"/>
      <c r="R134" s="215" t="s">
        <v>20</v>
      </c>
      <c r="S134" s="220"/>
    </row>
    <row r="135" spans="1:19">
      <c r="A135" s="222" t="s">
        <v>21</v>
      </c>
      <c r="B135" s="223">
        <v>0.3854166666666668</v>
      </c>
      <c r="C135" s="224">
        <v>0.39583333333333348</v>
      </c>
      <c r="D135" s="218"/>
      <c r="E135" s="215" t="s">
        <v>20</v>
      </c>
      <c r="F135" s="219"/>
      <c r="G135" s="220"/>
      <c r="H135" s="218"/>
      <c r="I135" s="215" t="s">
        <v>20</v>
      </c>
      <c r="J135" s="218"/>
      <c r="K135" s="220"/>
      <c r="L135" s="221" t="s">
        <v>20</v>
      </c>
      <c r="M135" s="219"/>
      <c r="N135" s="215" t="s">
        <v>20</v>
      </c>
      <c r="O135" s="215" t="s">
        <v>20</v>
      </c>
      <c r="P135" s="219"/>
      <c r="Q135" s="225"/>
      <c r="R135" s="215" t="s">
        <v>20</v>
      </c>
      <c r="S135" s="220"/>
    </row>
    <row r="136" spans="1:19">
      <c r="A136" s="222" t="s">
        <v>21</v>
      </c>
      <c r="B136" s="223">
        <v>0.39583333333333348</v>
      </c>
      <c r="C136" s="224">
        <v>0.40625</v>
      </c>
      <c r="D136" s="218"/>
      <c r="E136" s="215" t="s">
        <v>20</v>
      </c>
      <c r="F136" s="219"/>
      <c r="G136" s="220"/>
      <c r="H136" s="218"/>
      <c r="I136" s="215" t="s">
        <v>20</v>
      </c>
      <c r="J136" s="218"/>
      <c r="K136" s="220"/>
      <c r="L136" s="221" t="s">
        <v>20</v>
      </c>
      <c r="M136" s="219"/>
      <c r="N136" s="215" t="s">
        <v>20</v>
      </c>
      <c r="O136" s="215" t="s">
        <v>20</v>
      </c>
      <c r="P136" s="219"/>
      <c r="Q136" s="225"/>
      <c r="R136" s="215" t="s">
        <v>20</v>
      </c>
      <c r="S136" s="220"/>
    </row>
    <row r="137" spans="1:19">
      <c r="A137" s="222" t="s">
        <v>21</v>
      </c>
      <c r="B137" s="223">
        <v>0.40625</v>
      </c>
      <c r="C137" s="224">
        <v>0.41666666666666685</v>
      </c>
      <c r="D137" s="218"/>
      <c r="E137" s="215" t="s">
        <v>20</v>
      </c>
      <c r="F137" s="219"/>
      <c r="G137" s="220"/>
      <c r="H137" s="218"/>
      <c r="I137" s="215" t="s">
        <v>20</v>
      </c>
      <c r="J137" s="218"/>
      <c r="K137" s="220"/>
      <c r="L137" s="221" t="s">
        <v>20</v>
      </c>
      <c r="M137" s="219"/>
      <c r="N137" s="215" t="s">
        <v>20</v>
      </c>
      <c r="O137" s="215" t="s">
        <v>20</v>
      </c>
      <c r="P137" s="219"/>
      <c r="Q137" s="225"/>
      <c r="R137" s="215" t="s">
        <v>20</v>
      </c>
      <c r="S137" s="220"/>
    </row>
    <row r="138" spans="1:19">
      <c r="A138" s="222" t="s">
        <v>21</v>
      </c>
      <c r="B138" s="223">
        <v>0.41666666666666685</v>
      </c>
      <c r="C138" s="224">
        <v>0.42708333333333354</v>
      </c>
      <c r="D138" s="218"/>
      <c r="E138" s="215" t="s">
        <v>20</v>
      </c>
      <c r="F138" s="219"/>
      <c r="G138" s="220"/>
      <c r="H138" s="218"/>
      <c r="I138" s="215" t="s">
        <v>20</v>
      </c>
      <c r="J138" s="218"/>
      <c r="K138" s="220"/>
      <c r="L138" s="221" t="s">
        <v>20</v>
      </c>
      <c r="M138" s="219"/>
      <c r="N138" s="215" t="s">
        <v>20</v>
      </c>
      <c r="O138" s="215" t="s">
        <v>20</v>
      </c>
      <c r="P138" s="219"/>
      <c r="Q138" s="225"/>
      <c r="R138" s="215" t="s">
        <v>20</v>
      </c>
      <c r="S138" s="220"/>
    </row>
    <row r="139" spans="1:19">
      <c r="A139" s="222" t="s">
        <v>21</v>
      </c>
      <c r="B139" s="223">
        <v>0.42708333333333354</v>
      </c>
      <c r="C139" s="224">
        <v>0.4375</v>
      </c>
      <c r="D139" s="218"/>
      <c r="E139" s="215" t="s">
        <v>20</v>
      </c>
      <c r="F139" s="219"/>
      <c r="G139" s="220"/>
      <c r="H139" s="218"/>
      <c r="I139" s="215" t="s">
        <v>20</v>
      </c>
      <c r="J139" s="218"/>
      <c r="K139" s="220"/>
      <c r="L139" s="221" t="s">
        <v>20</v>
      </c>
      <c r="M139" s="219"/>
      <c r="N139" s="215" t="s">
        <v>20</v>
      </c>
      <c r="O139" s="215" t="s">
        <v>20</v>
      </c>
      <c r="P139" s="219"/>
      <c r="Q139" s="225"/>
      <c r="R139" s="215" t="s">
        <v>20</v>
      </c>
      <c r="S139" s="220"/>
    </row>
    <row r="140" spans="1:19">
      <c r="A140" s="222" t="s">
        <v>21</v>
      </c>
      <c r="B140" s="223">
        <v>0.4375</v>
      </c>
      <c r="C140" s="224">
        <v>0.44791666666666691</v>
      </c>
      <c r="D140" s="218"/>
      <c r="E140" s="215" t="s">
        <v>20</v>
      </c>
      <c r="F140" s="219"/>
      <c r="G140" s="220"/>
      <c r="H140" s="218"/>
      <c r="I140" s="215" t="s">
        <v>20</v>
      </c>
      <c r="J140" s="218"/>
      <c r="K140" s="220"/>
      <c r="L140" s="221" t="s">
        <v>20</v>
      </c>
      <c r="M140" s="219"/>
      <c r="N140" s="215" t="s">
        <v>20</v>
      </c>
      <c r="O140" s="215" t="s">
        <v>20</v>
      </c>
      <c r="P140" s="219"/>
      <c r="Q140" s="225"/>
      <c r="R140" s="215" t="s">
        <v>20</v>
      </c>
      <c r="S140" s="220"/>
    </row>
    <row r="141" spans="1:19">
      <c r="A141" s="222" t="s">
        <v>21</v>
      </c>
      <c r="B141" s="223">
        <v>0.44791666666666691</v>
      </c>
      <c r="C141" s="224">
        <v>0.45833333333333359</v>
      </c>
      <c r="D141" s="218"/>
      <c r="E141" s="215" t="s">
        <v>20</v>
      </c>
      <c r="F141" s="219"/>
      <c r="G141" s="220"/>
      <c r="H141" s="218"/>
      <c r="I141" s="215" t="s">
        <v>20</v>
      </c>
      <c r="J141" s="218"/>
      <c r="K141" s="220"/>
      <c r="L141" s="221" t="s">
        <v>20</v>
      </c>
      <c r="M141" s="219"/>
      <c r="N141" s="215" t="s">
        <v>20</v>
      </c>
      <c r="O141" s="215" t="s">
        <v>20</v>
      </c>
      <c r="P141" s="219"/>
      <c r="Q141" s="225"/>
      <c r="R141" s="215" t="s">
        <v>20</v>
      </c>
      <c r="S141" s="220"/>
    </row>
    <row r="142" spans="1:19">
      <c r="A142" s="222" t="s">
        <v>21</v>
      </c>
      <c r="B142" s="223">
        <v>0.45833333333333359</v>
      </c>
      <c r="C142" s="224">
        <v>0.46875</v>
      </c>
      <c r="D142" s="218"/>
      <c r="E142" s="215" t="s">
        <v>20</v>
      </c>
      <c r="F142" s="219"/>
      <c r="G142" s="220"/>
      <c r="H142" s="218"/>
      <c r="I142" s="215" t="s">
        <v>20</v>
      </c>
      <c r="J142" s="218"/>
      <c r="K142" s="220"/>
      <c r="L142" s="221" t="s">
        <v>20</v>
      </c>
      <c r="M142" s="219"/>
      <c r="N142" s="215" t="s">
        <v>20</v>
      </c>
      <c r="O142" s="215" t="s">
        <v>20</v>
      </c>
      <c r="P142" s="219"/>
      <c r="Q142" s="225"/>
      <c r="R142" s="215" t="s">
        <v>20</v>
      </c>
      <c r="S142" s="220"/>
    </row>
    <row r="143" spans="1:19">
      <c r="A143" s="222" t="s">
        <v>21</v>
      </c>
      <c r="B143" s="223">
        <v>0.46875</v>
      </c>
      <c r="C143" s="224">
        <v>0.47916666666666696</v>
      </c>
      <c r="D143" s="218"/>
      <c r="E143" s="215" t="s">
        <v>20</v>
      </c>
      <c r="F143" s="219"/>
      <c r="G143" s="220"/>
      <c r="H143" s="218"/>
      <c r="I143" s="215" t="s">
        <v>20</v>
      </c>
      <c r="J143" s="218"/>
      <c r="K143" s="220"/>
      <c r="L143" s="221" t="s">
        <v>20</v>
      </c>
      <c r="M143" s="219"/>
      <c r="N143" s="215" t="s">
        <v>20</v>
      </c>
      <c r="O143" s="215" t="s">
        <v>20</v>
      </c>
      <c r="P143" s="219"/>
      <c r="Q143" s="225"/>
      <c r="R143" s="215" t="s">
        <v>20</v>
      </c>
      <c r="S143" s="220"/>
    </row>
    <row r="144" spans="1:19">
      <c r="A144" s="222" t="s">
        <v>21</v>
      </c>
      <c r="B144" s="223">
        <v>0.47916666666666696</v>
      </c>
      <c r="C144" s="224">
        <v>0.48958333333333365</v>
      </c>
      <c r="D144" s="218"/>
      <c r="E144" s="215" t="s">
        <v>20</v>
      </c>
      <c r="F144" s="219"/>
      <c r="G144" s="220"/>
      <c r="H144" s="218"/>
      <c r="I144" s="215" t="s">
        <v>20</v>
      </c>
      <c r="J144" s="218"/>
      <c r="K144" s="220"/>
      <c r="L144" s="221" t="s">
        <v>20</v>
      </c>
      <c r="M144" s="219"/>
      <c r="N144" s="215" t="s">
        <v>20</v>
      </c>
      <c r="O144" s="215" t="s">
        <v>20</v>
      </c>
      <c r="P144" s="219"/>
      <c r="Q144" s="225"/>
      <c r="R144" s="215" t="s">
        <v>20</v>
      </c>
      <c r="S144" s="220"/>
    </row>
    <row r="145" spans="1:19">
      <c r="A145" s="222" t="s">
        <v>21</v>
      </c>
      <c r="B145" s="223">
        <v>0.48958333333333365</v>
      </c>
      <c r="C145" s="224">
        <v>0.5</v>
      </c>
      <c r="D145" s="218"/>
      <c r="E145" s="215" t="s">
        <v>20</v>
      </c>
      <c r="F145" s="219"/>
      <c r="G145" s="220"/>
      <c r="H145" s="218"/>
      <c r="I145" s="215" t="s">
        <v>20</v>
      </c>
      <c r="J145" s="218"/>
      <c r="K145" s="220"/>
      <c r="L145" s="221" t="s">
        <v>20</v>
      </c>
      <c r="M145" s="219"/>
      <c r="N145" s="215" t="s">
        <v>20</v>
      </c>
      <c r="O145" s="215" t="s">
        <v>20</v>
      </c>
      <c r="P145" s="219"/>
      <c r="Q145" s="225"/>
      <c r="R145" s="215" t="s">
        <v>20</v>
      </c>
      <c r="S145" s="220"/>
    </row>
    <row r="146" spans="1:19">
      <c r="A146" s="222" t="s">
        <v>21</v>
      </c>
      <c r="B146" s="223">
        <v>0.5</v>
      </c>
      <c r="C146" s="224">
        <v>0.51041666666666696</v>
      </c>
      <c r="D146" s="218"/>
      <c r="E146" s="215" t="s">
        <v>20</v>
      </c>
      <c r="F146" s="219"/>
      <c r="G146" s="220"/>
      <c r="H146" s="218"/>
      <c r="I146" s="215" t="s">
        <v>20</v>
      </c>
      <c r="J146" s="218"/>
      <c r="K146" s="220"/>
      <c r="L146" s="221" t="s">
        <v>20</v>
      </c>
      <c r="M146" s="219"/>
      <c r="N146" s="215" t="s">
        <v>20</v>
      </c>
      <c r="O146" s="215" t="s">
        <v>20</v>
      </c>
      <c r="P146" s="219"/>
      <c r="Q146" s="225"/>
      <c r="R146" s="215" t="s">
        <v>20</v>
      </c>
      <c r="S146" s="220"/>
    </row>
    <row r="147" spans="1:19">
      <c r="A147" s="222" t="s">
        <v>21</v>
      </c>
      <c r="B147" s="223">
        <v>0.51041666666666696</v>
      </c>
      <c r="C147" s="224">
        <v>0.52083333333333359</v>
      </c>
      <c r="D147" s="218"/>
      <c r="E147" s="215" t="s">
        <v>20</v>
      </c>
      <c r="F147" s="219"/>
      <c r="G147" s="220"/>
      <c r="H147" s="218"/>
      <c r="I147" s="215" t="s">
        <v>20</v>
      </c>
      <c r="J147" s="218"/>
      <c r="K147" s="220"/>
      <c r="L147" s="221" t="s">
        <v>20</v>
      </c>
      <c r="M147" s="219"/>
      <c r="N147" s="215" t="s">
        <v>20</v>
      </c>
      <c r="O147" s="215" t="s">
        <v>20</v>
      </c>
      <c r="P147" s="219"/>
      <c r="Q147" s="225"/>
      <c r="R147" s="215" t="s">
        <v>20</v>
      </c>
      <c r="S147" s="220"/>
    </row>
    <row r="148" spans="1:19">
      <c r="A148" s="222" t="s">
        <v>21</v>
      </c>
      <c r="B148" s="223">
        <v>0.52083333333333359</v>
      </c>
      <c r="C148" s="224">
        <v>0.53125</v>
      </c>
      <c r="D148" s="218"/>
      <c r="E148" s="215" t="s">
        <v>20</v>
      </c>
      <c r="F148" s="219"/>
      <c r="G148" s="220"/>
      <c r="H148" s="218"/>
      <c r="I148" s="215" t="s">
        <v>20</v>
      </c>
      <c r="J148" s="218"/>
      <c r="K148" s="220"/>
      <c r="L148" s="221" t="s">
        <v>20</v>
      </c>
      <c r="M148" s="219"/>
      <c r="N148" s="215" t="s">
        <v>20</v>
      </c>
      <c r="O148" s="215" t="s">
        <v>20</v>
      </c>
      <c r="P148" s="219"/>
      <c r="Q148" s="225"/>
      <c r="R148" s="215" t="s">
        <v>20</v>
      </c>
      <c r="S148" s="220"/>
    </row>
    <row r="149" spans="1:19">
      <c r="A149" s="222" t="s">
        <v>21</v>
      </c>
      <c r="B149" s="223">
        <v>0.53125</v>
      </c>
      <c r="C149" s="224">
        <v>0.54166666666666685</v>
      </c>
      <c r="D149" s="218"/>
      <c r="E149" s="215" t="s">
        <v>20</v>
      </c>
      <c r="F149" s="219"/>
      <c r="G149" s="220"/>
      <c r="H149" s="218"/>
      <c r="I149" s="215" t="s">
        <v>20</v>
      </c>
      <c r="J149" s="218"/>
      <c r="K149" s="220"/>
      <c r="L149" s="221" t="s">
        <v>20</v>
      </c>
      <c r="M149" s="219"/>
      <c r="N149" s="215" t="s">
        <v>20</v>
      </c>
      <c r="O149" s="215" t="s">
        <v>20</v>
      </c>
      <c r="P149" s="219"/>
      <c r="Q149" s="225"/>
      <c r="R149" s="215" t="s">
        <v>20</v>
      </c>
      <c r="S149" s="220"/>
    </row>
    <row r="150" spans="1:19">
      <c r="A150" s="222" t="s">
        <v>21</v>
      </c>
      <c r="B150" s="223">
        <v>0.54166666666666685</v>
      </c>
      <c r="C150" s="224">
        <v>0.55208333333333348</v>
      </c>
      <c r="D150" s="218"/>
      <c r="E150" s="215" t="s">
        <v>20</v>
      </c>
      <c r="F150" s="219"/>
      <c r="G150" s="220"/>
      <c r="H150" s="218"/>
      <c r="I150" s="215" t="s">
        <v>20</v>
      </c>
      <c r="J150" s="218"/>
      <c r="K150" s="220"/>
      <c r="L150" s="221" t="s">
        <v>20</v>
      </c>
      <c r="M150" s="219"/>
      <c r="N150" s="215" t="s">
        <v>20</v>
      </c>
      <c r="O150" s="215" t="s">
        <v>20</v>
      </c>
      <c r="P150" s="219"/>
      <c r="Q150" s="225"/>
      <c r="R150" s="215" t="s">
        <v>20</v>
      </c>
      <c r="S150" s="220"/>
    </row>
    <row r="151" spans="1:19">
      <c r="A151" s="222" t="s">
        <v>21</v>
      </c>
      <c r="B151" s="223">
        <v>0.55208333333333348</v>
      </c>
      <c r="C151" s="224">
        <v>0.5625</v>
      </c>
      <c r="D151" s="218"/>
      <c r="E151" s="215" t="s">
        <v>20</v>
      </c>
      <c r="F151" s="219"/>
      <c r="G151" s="220"/>
      <c r="H151" s="218"/>
      <c r="I151" s="215" t="s">
        <v>20</v>
      </c>
      <c r="J151" s="218"/>
      <c r="K151" s="220"/>
      <c r="L151" s="221" t="s">
        <v>20</v>
      </c>
      <c r="M151" s="219"/>
      <c r="N151" s="215" t="s">
        <v>20</v>
      </c>
      <c r="O151" s="215" t="s">
        <v>20</v>
      </c>
      <c r="P151" s="219"/>
      <c r="Q151" s="225"/>
      <c r="R151" s="215" t="s">
        <v>20</v>
      </c>
      <c r="S151" s="220"/>
    </row>
    <row r="152" spans="1:19">
      <c r="A152" s="222" t="s">
        <v>21</v>
      </c>
      <c r="B152" s="223">
        <v>0.5625</v>
      </c>
      <c r="C152" s="224">
        <v>0.57291666666666674</v>
      </c>
      <c r="D152" s="218"/>
      <c r="E152" s="215" t="s">
        <v>20</v>
      </c>
      <c r="F152" s="219"/>
      <c r="G152" s="220"/>
      <c r="H152" s="218"/>
      <c r="I152" s="215" t="s">
        <v>20</v>
      </c>
      <c r="J152" s="218"/>
      <c r="K152" s="220"/>
      <c r="L152" s="221" t="s">
        <v>20</v>
      </c>
      <c r="M152" s="219"/>
      <c r="N152" s="215" t="s">
        <v>20</v>
      </c>
      <c r="O152" s="215" t="s">
        <v>20</v>
      </c>
      <c r="P152" s="219"/>
      <c r="Q152" s="225"/>
      <c r="R152" s="215" t="s">
        <v>20</v>
      </c>
      <c r="S152" s="220"/>
    </row>
    <row r="153" spans="1:19">
      <c r="A153" s="222" t="s">
        <v>21</v>
      </c>
      <c r="B153" s="223">
        <v>0.57291666666666674</v>
      </c>
      <c r="C153" s="224">
        <v>0.58333333333333337</v>
      </c>
      <c r="D153" s="218"/>
      <c r="E153" s="215" t="s">
        <v>20</v>
      </c>
      <c r="F153" s="219"/>
      <c r="G153" s="220"/>
      <c r="H153" s="218"/>
      <c r="I153" s="215" t="s">
        <v>20</v>
      </c>
      <c r="J153" s="218"/>
      <c r="K153" s="220"/>
      <c r="L153" s="221" t="s">
        <v>20</v>
      </c>
      <c r="M153" s="219"/>
      <c r="N153" s="215" t="s">
        <v>20</v>
      </c>
      <c r="O153" s="215" t="s">
        <v>20</v>
      </c>
      <c r="P153" s="219"/>
      <c r="Q153" s="225"/>
      <c r="R153" s="215" t="s">
        <v>20</v>
      </c>
      <c r="S153" s="220"/>
    </row>
    <row r="154" spans="1:19">
      <c r="A154" s="222" t="s">
        <v>21</v>
      </c>
      <c r="B154" s="223">
        <v>0.58333333333333337</v>
      </c>
      <c r="C154" s="224">
        <v>0.59375</v>
      </c>
      <c r="D154" s="218"/>
      <c r="E154" s="215" t="s">
        <v>20</v>
      </c>
      <c r="F154" s="219"/>
      <c r="G154" s="220"/>
      <c r="H154" s="218"/>
      <c r="I154" s="215" t="s">
        <v>20</v>
      </c>
      <c r="J154" s="218"/>
      <c r="K154" s="220"/>
      <c r="L154" s="221" t="s">
        <v>20</v>
      </c>
      <c r="M154" s="219"/>
      <c r="N154" s="215" t="s">
        <v>20</v>
      </c>
      <c r="O154" s="215" t="s">
        <v>20</v>
      </c>
      <c r="P154" s="219"/>
      <c r="Q154" s="225"/>
      <c r="R154" s="215" t="s">
        <v>20</v>
      </c>
      <c r="S154" s="220"/>
    </row>
    <row r="155" spans="1:19">
      <c r="A155" s="222" t="s">
        <v>21</v>
      </c>
      <c r="B155" s="223">
        <v>0.59375</v>
      </c>
      <c r="C155" s="224">
        <v>0.60416666666666663</v>
      </c>
      <c r="D155" s="218"/>
      <c r="E155" s="215" t="s">
        <v>20</v>
      </c>
      <c r="F155" s="219"/>
      <c r="G155" s="220"/>
      <c r="H155" s="218"/>
      <c r="I155" s="215" t="s">
        <v>20</v>
      </c>
      <c r="J155" s="218"/>
      <c r="K155" s="220"/>
      <c r="L155" s="221" t="s">
        <v>20</v>
      </c>
      <c r="M155" s="219"/>
      <c r="N155" s="215" t="s">
        <v>20</v>
      </c>
      <c r="O155" s="215" t="s">
        <v>20</v>
      </c>
      <c r="P155" s="219"/>
      <c r="Q155" s="225"/>
      <c r="R155" s="215" t="s">
        <v>20</v>
      </c>
      <c r="S155" s="220"/>
    </row>
    <row r="156" spans="1:19">
      <c r="A156" s="222" t="s">
        <v>21</v>
      </c>
      <c r="B156" s="223">
        <v>0.60416666666666663</v>
      </c>
      <c r="C156" s="224">
        <v>0.61458333333333326</v>
      </c>
      <c r="D156" s="218"/>
      <c r="E156" s="215" t="s">
        <v>20</v>
      </c>
      <c r="F156" s="219"/>
      <c r="G156" s="220"/>
      <c r="H156" s="218"/>
      <c r="I156" s="215" t="s">
        <v>20</v>
      </c>
      <c r="J156" s="218"/>
      <c r="K156" s="220"/>
      <c r="L156" s="221" t="s">
        <v>20</v>
      </c>
      <c r="M156" s="219"/>
      <c r="N156" s="215" t="s">
        <v>20</v>
      </c>
      <c r="O156" s="215" t="s">
        <v>20</v>
      </c>
      <c r="P156" s="219"/>
      <c r="Q156" s="225"/>
      <c r="R156" s="215" t="s">
        <v>20</v>
      </c>
      <c r="S156" s="220"/>
    </row>
    <row r="157" spans="1:19">
      <c r="A157" s="222" t="s">
        <v>21</v>
      </c>
      <c r="B157" s="223">
        <v>0.61458333333333337</v>
      </c>
      <c r="C157" s="224">
        <v>0.625</v>
      </c>
      <c r="D157" s="218"/>
      <c r="E157" s="215" t="s">
        <v>20</v>
      </c>
      <c r="F157" s="219"/>
      <c r="G157" s="220"/>
      <c r="H157" s="218"/>
      <c r="I157" s="215" t="s">
        <v>20</v>
      </c>
      <c r="J157" s="218"/>
      <c r="K157" s="220"/>
      <c r="L157" s="221" t="s">
        <v>20</v>
      </c>
      <c r="M157" s="219"/>
      <c r="N157" s="215" t="s">
        <v>20</v>
      </c>
      <c r="O157" s="215" t="s">
        <v>20</v>
      </c>
      <c r="P157" s="219"/>
      <c r="Q157" s="225"/>
      <c r="R157" s="215" t="s">
        <v>20</v>
      </c>
      <c r="S157" s="220"/>
    </row>
    <row r="158" spans="1:19">
      <c r="A158" s="222" t="s">
        <v>21</v>
      </c>
      <c r="B158" s="223">
        <v>0.625</v>
      </c>
      <c r="C158" s="224">
        <v>0.63541666666666652</v>
      </c>
      <c r="D158" s="218"/>
      <c r="E158" s="215" t="s">
        <v>20</v>
      </c>
      <c r="F158" s="219"/>
      <c r="G158" s="220"/>
      <c r="H158" s="218"/>
      <c r="I158" s="215" t="s">
        <v>20</v>
      </c>
      <c r="J158" s="218"/>
      <c r="K158" s="220"/>
      <c r="L158" s="221" t="s">
        <v>20</v>
      </c>
      <c r="M158" s="219"/>
      <c r="N158" s="215" t="s">
        <v>20</v>
      </c>
      <c r="O158" s="215" t="s">
        <v>20</v>
      </c>
      <c r="P158" s="219"/>
      <c r="Q158" s="225"/>
      <c r="R158" s="215" t="s">
        <v>20</v>
      </c>
      <c r="S158" s="220"/>
    </row>
    <row r="159" spans="1:19">
      <c r="A159" s="222" t="s">
        <v>21</v>
      </c>
      <c r="B159" s="223">
        <v>0.63541666666666663</v>
      </c>
      <c r="C159" s="224">
        <v>0.64583333333333315</v>
      </c>
      <c r="D159" s="218"/>
      <c r="E159" s="215" t="s">
        <v>20</v>
      </c>
      <c r="F159" s="219"/>
      <c r="G159" s="220"/>
      <c r="H159" s="218"/>
      <c r="I159" s="215" t="s">
        <v>20</v>
      </c>
      <c r="J159" s="218"/>
      <c r="K159" s="220"/>
      <c r="L159" s="221" t="s">
        <v>20</v>
      </c>
      <c r="M159" s="219"/>
      <c r="N159" s="215" t="s">
        <v>20</v>
      </c>
      <c r="O159" s="215" t="s">
        <v>20</v>
      </c>
      <c r="P159" s="219"/>
      <c r="Q159" s="225"/>
      <c r="R159" s="215" t="s">
        <v>20</v>
      </c>
      <c r="S159" s="220"/>
    </row>
    <row r="160" spans="1:19">
      <c r="A160" s="222" t="s">
        <v>21</v>
      </c>
      <c r="B160" s="223">
        <v>0.64583333333333337</v>
      </c>
      <c r="C160" s="224">
        <v>0.65625</v>
      </c>
      <c r="D160" s="218"/>
      <c r="E160" s="215" t="s">
        <v>20</v>
      </c>
      <c r="F160" s="219"/>
      <c r="G160" s="220"/>
      <c r="H160" s="218"/>
      <c r="I160" s="215" t="s">
        <v>20</v>
      </c>
      <c r="J160" s="218"/>
      <c r="K160" s="220"/>
      <c r="L160" s="221" t="s">
        <v>20</v>
      </c>
      <c r="M160" s="219"/>
      <c r="N160" s="215" t="s">
        <v>20</v>
      </c>
      <c r="O160" s="215" t="s">
        <v>20</v>
      </c>
      <c r="P160" s="219"/>
      <c r="Q160" s="225"/>
      <c r="R160" s="215" t="s">
        <v>20</v>
      </c>
      <c r="S160" s="220"/>
    </row>
    <row r="161" spans="1:19">
      <c r="A161" s="222" t="s">
        <v>21</v>
      </c>
      <c r="B161" s="223">
        <v>0.65625</v>
      </c>
      <c r="C161" s="224">
        <v>0.66666666666666641</v>
      </c>
      <c r="D161" s="218"/>
      <c r="E161" s="215" t="s">
        <v>20</v>
      </c>
      <c r="F161" s="219"/>
      <c r="G161" s="220"/>
      <c r="H161" s="218"/>
      <c r="I161" s="215" t="s">
        <v>20</v>
      </c>
      <c r="J161" s="218"/>
      <c r="K161" s="220"/>
      <c r="L161" s="221" t="s">
        <v>20</v>
      </c>
      <c r="M161" s="219"/>
      <c r="N161" s="215" t="s">
        <v>20</v>
      </c>
      <c r="O161" s="215" t="s">
        <v>20</v>
      </c>
      <c r="P161" s="219"/>
      <c r="Q161" s="225"/>
      <c r="R161" s="215" t="s">
        <v>20</v>
      </c>
      <c r="S161" s="220"/>
    </row>
    <row r="162" spans="1:19">
      <c r="A162" s="222" t="s">
        <v>21</v>
      </c>
      <c r="B162" s="223">
        <v>0.66666666666666663</v>
      </c>
      <c r="C162" s="224">
        <v>0.67708333333333304</v>
      </c>
      <c r="D162" s="218"/>
      <c r="E162" s="215" t="s">
        <v>20</v>
      </c>
      <c r="F162" s="219"/>
      <c r="G162" s="220"/>
      <c r="H162" s="218"/>
      <c r="I162" s="215" t="s">
        <v>20</v>
      </c>
      <c r="J162" s="218"/>
      <c r="K162" s="220"/>
      <c r="L162" s="221" t="s">
        <v>20</v>
      </c>
      <c r="M162" s="219"/>
      <c r="N162" s="215" t="s">
        <v>20</v>
      </c>
      <c r="O162" s="215" t="s">
        <v>20</v>
      </c>
      <c r="P162" s="219"/>
      <c r="Q162" s="225"/>
      <c r="R162" s="215" t="s">
        <v>20</v>
      </c>
      <c r="S162" s="220"/>
    </row>
    <row r="163" spans="1:19">
      <c r="A163" s="222" t="s">
        <v>21</v>
      </c>
      <c r="B163" s="223">
        <v>0.67708333333333337</v>
      </c>
      <c r="C163" s="224">
        <v>0.6875</v>
      </c>
      <c r="D163" s="218"/>
      <c r="E163" s="215" t="s">
        <v>20</v>
      </c>
      <c r="F163" s="219"/>
      <c r="G163" s="220"/>
      <c r="H163" s="218"/>
      <c r="I163" s="215" t="s">
        <v>20</v>
      </c>
      <c r="J163" s="218"/>
      <c r="K163" s="220"/>
      <c r="L163" s="221" t="s">
        <v>20</v>
      </c>
      <c r="M163" s="219"/>
      <c r="N163" s="215" t="s">
        <v>20</v>
      </c>
      <c r="O163" s="215" t="s">
        <v>20</v>
      </c>
      <c r="P163" s="219"/>
      <c r="Q163" s="225"/>
      <c r="R163" s="215" t="s">
        <v>20</v>
      </c>
      <c r="S163" s="220"/>
    </row>
    <row r="164" spans="1:19">
      <c r="A164" s="222" t="s">
        <v>21</v>
      </c>
      <c r="B164" s="223">
        <v>0.6875</v>
      </c>
      <c r="C164" s="224">
        <v>0.6979166666666663</v>
      </c>
      <c r="D164" s="218"/>
      <c r="E164" s="215" t="s">
        <v>20</v>
      </c>
      <c r="F164" s="219"/>
      <c r="G164" s="220"/>
      <c r="H164" s="218"/>
      <c r="I164" s="215" t="s">
        <v>20</v>
      </c>
      <c r="J164" s="218"/>
      <c r="K164" s="220"/>
      <c r="L164" s="221" t="s">
        <v>20</v>
      </c>
      <c r="M164" s="219"/>
      <c r="N164" s="215" t="s">
        <v>20</v>
      </c>
      <c r="O164" s="215" t="s">
        <v>20</v>
      </c>
      <c r="P164" s="219"/>
      <c r="Q164" s="225"/>
      <c r="R164" s="215" t="s">
        <v>20</v>
      </c>
      <c r="S164" s="220"/>
    </row>
    <row r="165" spans="1:19">
      <c r="A165" s="222" t="s">
        <v>21</v>
      </c>
      <c r="B165" s="223">
        <v>0.69791666666666663</v>
      </c>
      <c r="C165" s="224">
        <v>0.70833333333333293</v>
      </c>
      <c r="D165" s="218"/>
      <c r="E165" s="215" t="s">
        <v>20</v>
      </c>
      <c r="F165" s="219"/>
      <c r="G165" s="220"/>
      <c r="H165" s="218"/>
      <c r="I165" s="215" t="s">
        <v>20</v>
      </c>
      <c r="J165" s="218"/>
      <c r="K165" s="220"/>
      <c r="L165" s="221" t="s">
        <v>20</v>
      </c>
      <c r="M165" s="219"/>
      <c r="N165" s="215" t="s">
        <v>20</v>
      </c>
      <c r="O165" s="215" t="s">
        <v>20</v>
      </c>
      <c r="P165" s="219"/>
      <c r="Q165" s="225"/>
      <c r="R165" s="215" t="s">
        <v>20</v>
      </c>
      <c r="S165" s="220"/>
    </row>
    <row r="166" spans="1:19">
      <c r="A166" s="222" t="s">
        <v>21</v>
      </c>
      <c r="B166" s="223">
        <v>0.70833333333333337</v>
      </c>
      <c r="C166" s="224">
        <v>0.71875</v>
      </c>
      <c r="D166" s="218"/>
      <c r="E166" s="215" t="s">
        <v>20</v>
      </c>
      <c r="F166" s="219"/>
      <c r="G166" s="220"/>
      <c r="H166" s="218"/>
      <c r="I166" s="215" t="s">
        <v>20</v>
      </c>
      <c r="J166" s="218"/>
      <c r="K166" s="220"/>
      <c r="L166" s="221" t="s">
        <v>20</v>
      </c>
      <c r="M166" s="219"/>
      <c r="N166" s="215" t="s">
        <v>20</v>
      </c>
      <c r="O166" s="215" t="s">
        <v>20</v>
      </c>
      <c r="P166" s="219"/>
      <c r="Q166" s="225"/>
      <c r="R166" s="215" t="s">
        <v>20</v>
      </c>
      <c r="S166" s="220"/>
    </row>
    <row r="167" spans="1:19">
      <c r="A167" s="222" t="s">
        <v>21</v>
      </c>
      <c r="B167" s="223">
        <v>0.71875</v>
      </c>
      <c r="C167" s="224">
        <v>0.72916666666666619</v>
      </c>
      <c r="D167" s="218"/>
      <c r="E167" s="215" t="s">
        <v>20</v>
      </c>
      <c r="F167" s="219"/>
      <c r="G167" s="220"/>
      <c r="H167" s="218"/>
      <c r="I167" s="215" t="s">
        <v>20</v>
      </c>
      <c r="J167" s="218"/>
      <c r="K167" s="220"/>
      <c r="L167" s="221" t="s">
        <v>20</v>
      </c>
      <c r="M167" s="219"/>
      <c r="N167" s="215" t="s">
        <v>20</v>
      </c>
      <c r="O167" s="215" t="s">
        <v>20</v>
      </c>
      <c r="P167" s="219"/>
      <c r="Q167" s="225"/>
      <c r="R167" s="215" t="s">
        <v>20</v>
      </c>
      <c r="S167" s="220"/>
    </row>
    <row r="168" spans="1:19">
      <c r="A168" s="222" t="s">
        <v>21</v>
      </c>
      <c r="B168" s="223">
        <v>0.72916666666666663</v>
      </c>
      <c r="C168" s="224">
        <v>0.73958333333333282</v>
      </c>
      <c r="D168" s="218"/>
      <c r="E168" s="215" t="s">
        <v>20</v>
      </c>
      <c r="F168" s="219"/>
      <c r="G168" s="220"/>
      <c r="H168" s="218"/>
      <c r="I168" s="215" t="s">
        <v>20</v>
      </c>
      <c r="J168" s="218"/>
      <c r="K168" s="220"/>
      <c r="L168" s="221" t="s">
        <v>20</v>
      </c>
      <c r="M168" s="219"/>
      <c r="N168" s="215" t="s">
        <v>20</v>
      </c>
      <c r="O168" s="215" t="s">
        <v>20</v>
      </c>
      <c r="P168" s="219"/>
      <c r="Q168" s="225"/>
      <c r="R168" s="215" t="s">
        <v>20</v>
      </c>
      <c r="S168" s="220"/>
    </row>
    <row r="169" spans="1:19">
      <c r="A169" s="222" t="s">
        <v>21</v>
      </c>
      <c r="B169" s="223">
        <v>0.73958333333333337</v>
      </c>
      <c r="C169" s="224">
        <v>0.74999999999999944</v>
      </c>
      <c r="D169" s="218"/>
      <c r="E169" s="215" t="s">
        <v>20</v>
      </c>
      <c r="F169" s="219"/>
      <c r="G169" s="220"/>
      <c r="H169" s="218"/>
      <c r="I169" s="215" t="s">
        <v>20</v>
      </c>
      <c r="J169" s="218"/>
      <c r="K169" s="220"/>
      <c r="L169" s="221" t="s">
        <v>20</v>
      </c>
      <c r="M169" s="219"/>
      <c r="N169" s="215" t="s">
        <v>20</v>
      </c>
      <c r="O169" s="215" t="s">
        <v>20</v>
      </c>
      <c r="P169" s="219"/>
      <c r="Q169" s="225"/>
      <c r="R169" s="215" t="s">
        <v>20</v>
      </c>
      <c r="S169" s="220"/>
    </row>
    <row r="170" spans="1:19">
      <c r="A170" s="222" t="s">
        <v>21</v>
      </c>
      <c r="B170" s="223">
        <v>0.75</v>
      </c>
      <c r="C170" s="224">
        <v>0.76041666666666607</v>
      </c>
      <c r="D170" s="218"/>
      <c r="E170" s="215" t="s">
        <v>20</v>
      </c>
      <c r="F170" s="219"/>
      <c r="G170" s="220"/>
      <c r="H170" s="218"/>
      <c r="I170" s="215" t="s">
        <v>20</v>
      </c>
      <c r="J170" s="218"/>
      <c r="K170" s="220"/>
      <c r="L170" s="221" t="s">
        <v>20</v>
      </c>
      <c r="M170" s="219"/>
      <c r="N170" s="215" t="s">
        <v>20</v>
      </c>
      <c r="O170" s="215" t="s">
        <v>20</v>
      </c>
      <c r="P170" s="219"/>
      <c r="Q170" s="225"/>
      <c r="R170" s="215" t="s">
        <v>20</v>
      </c>
      <c r="S170" s="220"/>
    </row>
    <row r="171" spans="1:19">
      <c r="A171" s="222" t="s">
        <v>21</v>
      </c>
      <c r="B171" s="223">
        <v>0.76041666666666663</v>
      </c>
      <c r="C171" s="224">
        <v>0.7708333333333327</v>
      </c>
      <c r="D171" s="218"/>
      <c r="E171" s="215" t="s">
        <v>20</v>
      </c>
      <c r="F171" s="219"/>
      <c r="G171" s="220"/>
      <c r="H171" s="218"/>
      <c r="I171" s="215" t="s">
        <v>20</v>
      </c>
      <c r="J171" s="218"/>
      <c r="K171" s="220"/>
      <c r="L171" s="221" t="s">
        <v>20</v>
      </c>
      <c r="M171" s="219"/>
      <c r="N171" s="215" t="s">
        <v>20</v>
      </c>
      <c r="O171" s="215" t="s">
        <v>20</v>
      </c>
      <c r="P171" s="219"/>
      <c r="Q171" s="225"/>
      <c r="R171" s="215" t="s">
        <v>20</v>
      </c>
      <c r="S171" s="220"/>
    </row>
    <row r="172" spans="1:19">
      <c r="A172" s="222" t="s">
        <v>21</v>
      </c>
      <c r="B172" s="223">
        <v>0.77083333333333337</v>
      </c>
      <c r="C172" s="224">
        <v>0.78124999999999933</v>
      </c>
      <c r="D172" s="218"/>
      <c r="E172" s="215" t="s">
        <v>20</v>
      </c>
      <c r="F172" s="219"/>
      <c r="G172" s="220"/>
      <c r="H172" s="218"/>
      <c r="I172" s="215" t="s">
        <v>20</v>
      </c>
      <c r="J172" s="218"/>
      <c r="K172" s="220"/>
      <c r="L172" s="221" t="s">
        <v>20</v>
      </c>
      <c r="M172" s="219"/>
      <c r="N172" s="215" t="s">
        <v>20</v>
      </c>
      <c r="O172" s="215" t="s">
        <v>20</v>
      </c>
      <c r="P172" s="219"/>
      <c r="Q172" s="225"/>
      <c r="R172" s="215" t="s">
        <v>20</v>
      </c>
      <c r="S172" s="220"/>
    </row>
    <row r="173" spans="1:19">
      <c r="A173" s="222" t="s">
        <v>21</v>
      </c>
      <c r="B173" s="223">
        <v>0.78125</v>
      </c>
      <c r="C173" s="224">
        <v>0.79166666666666596</v>
      </c>
      <c r="D173" s="218"/>
      <c r="E173" s="215" t="s">
        <v>20</v>
      </c>
      <c r="F173" s="219"/>
      <c r="G173" s="220"/>
      <c r="H173" s="218"/>
      <c r="I173" s="215" t="s">
        <v>20</v>
      </c>
      <c r="J173" s="218"/>
      <c r="K173" s="220"/>
      <c r="L173" s="221" t="s">
        <v>20</v>
      </c>
      <c r="M173" s="219"/>
      <c r="N173" s="215" t="s">
        <v>20</v>
      </c>
      <c r="O173" s="215" t="s">
        <v>20</v>
      </c>
      <c r="P173" s="219"/>
      <c r="Q173" s="225"/>
      <c r="R173" s="215" t="s">
        <v>20</v>
      </c>
      <c r="S173" s="220"/>
    </row>
    <row r="174" spans="1:19">
      <c r="A174" s="222" t="s">
        <v>21</v>
      </c>
      <c r="B174" s="223">
        <v>0.79166666666666663</v>
      </c>
      <c r="C174" s="224">
        <v>0.80208333333333259</v>
      </c>
      <c r="D174" s="218"/>
      <c r="E174" s="215" t="s">
        <v>20</v>
      </c>
      <c r="F174" s="219"/>
      <c r="G174" s="220"/>
      <c r="H174" s="218"/>
      <c r="I174" s="215" t="s">
        <v>20</v>
      </c>
      <c r="J174" s="218"/>
      <c r="K174" s="220"/>
      <c r="L174" s="221" t="s">
        <v>20</v>
      </c>
      <c r="M174" s="219"/>
      <c r="N174" s="215" t="s">
        <v>20</v>
      </c>
      <c r="O174" s="215" t="s">
        <v>20</v>
      </c>
      <c r="P174" s="219"/>
      <c r="Q174" s="225"/>
      <c r="R174" s="215" t="s">
        <v>20</v>
      </c>
      <c r="S174" s="220"/>
    </row>
    <row r="175" spans="1:19">
      <c r="A175" s="222" t="s">
        <v>21</v>
      </c>
      <c r="B175" s="223">
        <v>0.80208333333333337</v>
      </c>
      <c r="C175" s="224">
        <v>0.81249999999999922</v>
      </c>
      <c r="D175" s="218"/>
      <c r="E175" s="215" t="s">
        <v>20</v>
      </c>
      <c r="F175" s="219"/>
      <c r="G175" s="220"/>
      <c r="H175" s="218"/>
      <c r="I175" s="215" t="s">
        <v>20</v>
      </c>
      <c r="J175" s="218"/>
      <c r="K175" s="220"/>
      <c r="L175" s="221" t="s">
        <v>20</v>
      </c>
      <c r="M175" s="219"/>
      <c r="N175" s="215" t="s">
        <v>20</v>
      </c>
      <c r="O175" s="215" t="s">
        <v>20</v>
      </c>
      <c r="P175" s="219"/>
      <c r="Q175" s="225"/>
      <c r="R175" s="215" t="s">
        <v>20</v>
      </c>
      <c r="S175" s="220"/>
    </row>
    <row r="176" spans="1:19">
      <c r="A176" s="222" t="s">
        <v>21</v>
      </c>
      <c r="B176" s="223">
        <v>0.8125</v>
      </c>
      <c r="C176" s="224">
        <v>0.82291666666666585</v>
      </c>
      <c r="D176" s="218"/>
      <c r="E176" s="215" t="s">
        <v>20</v>
      </c>
      <c r="F176" s="219"/>
      <c r="G176" s="220"/>
      <c r="H176" s="218"/>
      <c r="I176" s="215" t="s">
        <v>20</v>
      </c>
      <c r="J176" s="218"/>
      <c r="K176" s="220"/>
      <c r="L176" s="221" t="s">
        <v>20</v>
      </c>
      <c r="M176" s="219"/>
      <c r="N176" s="215" t="s">
        <v>20</v>
      </c>
      <c r="O176" s="215" t="s">
        <v>20</v>
      </c>
      <c r="P176" s="219"/>
      <c r="Q176" s="225"/>
      <c r="R176" s="215" t="s">
        <v>20</v>
      </c>
      <c r="S176" s="220"/>
    </row>
    <row r="177" spans="1:19">
      <c r="A177" s="222" t="s">
        <v>21</v>
      </c>
      <c r="B177" s="223">
        <v>0.82291666666666663</v>
      </c>
      <c r="C177" s="224">
        <v>0.83333333333333248</v>
      </c>
      <c r="D177" s="218"/>
      <c r="E177" s="215" t="s">
        <v>20</v>
      </c>
      <c r="F177" s="219"/>
      <c r="G177" s="220"/>
      <c r="H177" s="218"/>
      <c r="I177" s="215" t="s">
        <v>20</v>
      </c>
      <c r="J177" s="218"/>
      <c r="K177" s="220"/>
      <c r="L177" s="221" t="s">
        <v>20</v>
      </c>
      <c r="M177" s="219"/>
      <c r="N177" s="215" t="s">
        <v>20</v>
      </c>
      <c r="O177" s="215" t="s">
        <v>20</v>
      </c>
      <c r="P177" s="219"/>
      <c r="Q177" s="225"/>
      <c r="R177" s="215" t="s">
        <v>20</v>
      </c>
      <c r="S177" s="220"/>
    </row>
    <row r="178" spans="1:19">
      <c r="A178" s="222" t="s">
        <v>21</v>
      </c>
      <c r="B178" s="223">
        <v>0.83333333333333337</v>
      </c>
      <c r="C178" s="224">
        <v>0.84374999999999911</v>
      </c>
      <c r="D178" s="218"/>
      <c r="E178" s="215" t="s">
        <v>20</v>
      </c>
      <c r="F178" s="219"/>
      <c r="G178" s="220"/>
      <c r="H178" s="218"/>
      <c r="I178" s="215" t="s">
        <v>20</v>
      </c>
      <c r="J178" s="218"/>
      <c r="K178" s="220"/>
      <c r="L178" s="221" t="s">
        <v>20</v>
      </c>
      <c r="M178" s="219"/>
      <c r="N178" s="215" t="s">
        <v>20</v>
      </c>
      <c r="O178" s="215" t="s">
        <v>20</v>
      </c>
      <c r="P178" s="219"/>
      <c r="Q178" s="225"/>
      <c r="R178" s="215" t="s">
        <v>20</v>
      </c>
      <c r="S178" s="220"/>
    </row>
    <row r="179" spans="1:19">
      <c r="A179" s="222" t="s">
        <v>21</v>
      </c>
      <c r="B179" s="223">
        <v>0.84375</v>
      </c>
      <c r="C179" s="224">
        <v>0.85416666666666574</v>
      </c>
      <c r="D179" s="218"/>
      <c r="E179" s="215" t="s">
        <v>20</v>
      </c>
      <c r="F179" s="219"/>
      <c r="G179" s="220"/>
      <c r="H179" s="218"/>
      <c r="I179" s="215" t="s">
        <v>20</v>
      </c>
      <c r="J179" s="218"/>
      <c r="K179" s="220"/>
      <c r="L179" s="221" t="s">
        <v>20</v>
      </c>
      <c r="M179" s="219"/>
      <c r="N179" s="215" t="s">
        <v>20</v>
      </c>
      <c r="O179" s="215" t="s">
        <v>20</v>
      </c>
      <c r="P179" s="219"/>
      <c r="Q179" s="225"/>
      <c r="R179" s="215" t="s">
        <v>20</v>
      </c>
      <c r="S179" s="220"/>
    </row>
    <row r="180" spans="1:19">
      <c r="A180" s="222" t="s">
        <v>21</v>
      </c>
      <c r="B180" s="223">
        <v>0.85416666666666663</v>
      </c>
      <c r="C180" s="224">
        <v>0.86458333333333237</v>
      </c>
      <c r="D180" s="218"/>
      <c r="E180" s="215" t="s">
        <v>20</v>
      </c>
      <c r="F180" s="219"/>
      <c r="G180" s="220"/>
      <c r="H180" s="218"/>
      <c r="I180" s="215" t="s">
        <v>20</v>
      </c>
      <c r="J180" s="218"/>
      <c r="K180" s="220"/>
      <c r="L180" s="221" t="s">
        <v>20</v>
      </c>
      <c r="M180" s="219"/>
      <c r="N180" s="215" t="s">
        <v>20</v>
      </c>
      <c r="O180" s="215" t="s">
        <v>20</v>
      </c>
      <c r="P180" s="219"/>
      <c r="Q180" s="225"/>
      <c r="R180" s="215" t="s">
        <v>20</v>
      </c>
      <c r="S180" s="220"/>
    </row>
    <row r="181" spans="1:19">
      <c r="A181" s="222" t="s">
        <v>21</v>
      </c>
      <c r="B181" s="223">
        <v>0.86458333333333337</v>
      </c>
      <c r="C181" s="224">
        <v>0.874999999999999</v>
      </c>
      <c r="D181" s="218"/>
      <c r="E181" s="215" t="s">
        <v>20</v>
      </c>
      <c r="F181" s="219"/>
      <c r="G181" s="220"/>
      <c r="H181" s="218"/>
      <c r="I181" s="215" t="s">
        <v>20</v>
      </c>
      <c r="J181" s="218"/>
      <c r="K181" s="220"/>
      <c r="L181" s="221" t="s">
        <v>20</v>
      </c>
      <c r="M181" s="219"/>
      <c r="N181" s="215" t="s">
        <v>20</v>
      </c>
      <c r="O181" s="215" t="s">
        <v>20</v>
      </c>
      <c r="P181" s="219"/>
      <c r="Q181" s="225"/>
      <c r="R181" s="215" t="s">
        <v>20</v>
      </c>
      <c r="S181" s="220"/>
    </row>
    <row r="182" spans="1:19">
      <c r="A182" s="222" t="s">
        <v>21</v>
      </c>
      <c r="B182" s="223">
        <v>0.875</v>
      </c>
      <c r="C182" s="224">
        <v>0.88541666666666563</v>
      </c>
      <c r="D182" s="218"/>
      <c r="E182" s="215" t="s">
        <v>20</v>
      </c>
      <c r="F182" s="219"/>
      <c r="G182" s="220"/>
      <c r="H182" s="218"/>
      <c r="I182" s="215" t="s">
        <v>20</v>
      </c>
      <c r="J182" s="218"/>
      <c r="K182" s="220"/>
      <c r="L182" s="221" t="s">
        <v>20</v>
      </c>
      <c r="M182" s="219"/>
      <c r="N182" s="215" t="s">
        <v>20</v>
      </c>
      <c r="O182" s="215" t="s">
        <v>20</v>
      </c>
      <c r="P182" s="219"/>
      <c r="Q182" s="225"/>
      <c r="R182" s="215" t="s">
        <v>20</v>
      </c>
      <c r="S182" s="220"/>
    </row>
    <row r="183" spans="1:19">
      <c r="A183" s="222" t="s">
        <v>21</v>
      </c>
      <c r="B183" s="223">
        <v>0.88541666666666663</v>
      </c>
      <c r="C183" s="224">
        <v>0.89583333333333226</v>
      </c>
      <c r="D183" s="218"/>
      <c r="E183" s="215" t="s">
        <v>20</v>
      </c>
      <c r="F183" s="219"/>
      <c r="G183" s="220"/>
      <c r="H183" s="218"/>
      <c r="I183" s="215" t="s">
        <v>20</v>
      </c>
      <c r="J183" s="218"/>
      <c r="K183" s="220"/>
      <c r="L183" s="221" t="s">
        <v>20</v>
      </c>
      <c r="M183" s="219"/>
      <c r="N183" s="215" t="s">
        <v>20</v>
      </c>
      <c r="O183" s="215" t="s">
        <v>20</v>
      </c>
      <c r="P183" s="219"/>
      <c r="Q183" s="225"/>
      <c r="R183" s="215" t="s">
        <v>20</v>
      </c>
      <c r="S183" s="220"/>
    </row>
    <row r="184" spans="1:19">
      <c r="A184" s="222" t="s">
        <v>21</v>
      </c>
      <c r="B184" s="223">
        <v>0.89583333333333337</v>
      </c>
      <c r="C184" s="224">
        <v>0.90624999999999889</v>
      </c>
      <c r="D184" s="218"/>
      <c r="E184" s="215" t="s">
        <v>20</v>
      </c>
      <c r="F184" s="219"/>
      <c r="G184" s="220"/>
      <c r="H184" s="218"/>
      <c r="I184" s="215" t="s">
        <v>20</v>
      </c>
      <c r="J184" s="218"/>
      <c r="K184" s="220"/>
      <c r="L184" s="221" t="s">
        <v>20</v>
      </c>
      <c r="M184" s="219"/>
      <c r="N184" s="215" t="s">
        <v>20</v>
      </c>
      <c r="O184" s="215" t="s">
        <v>20</v>
      </c>
      <c r="P184" s="219"/>
      <c r="Q184" s="225"/>
      <c r="R184" s="215" t="s">
        <v>20</v>
      </c>
      <c r="S184" s="220"/>
    </row>
    <row r="185" spans="1:19">
      <c r="A185" s="222" t="s">
        <v>21</v>
      </c>
      <c r="B185" s="223">
        <v>0.90625</v>
      </c>
      <c r="C185" s="224">
        <v>0.91666666666666552</v>
      </c>
      <c r="D185" s="218"/>
      <c r="E185" s="215" t="s">
        <v>20</v>
      </c>
      <c r="F185" s="219"/>
      <c r="G185" s="220"/>
      <c r="H185" s="218"/>
      <c r="I185" s="215" t="s">
        <v>20</v>
      </c>
      <c r="J185" s="218"/>
      <c r="K185" s="220"/>
      <c r="L185" s="221" t="s">
        <v>20</v>
      </c>
      <c r="M185" s="219"/>
      <c r="N185" s="215" t="s">
        <v>20</v>
      </c>
      <c r="O185" s="215" t="s">
        <v>20</v>
      </c>
      <c r="P185" s="219"/>
      <c r="Q185" s="225"/>
      <c r="R185" s="215" t="s">
        <v>20</v>
      </c>
      <c r="S185" s="220"/>
    </row>
    <row r="186" spans="1:19">
      <c r="A186" s="222" t="s">
        <v>21</v>
      </c>
      <c r="B186" s="223">
        <v>0.91666666666666663</v>
      </c>
      <c r="C186" s="224">
        <v>0.92708333333333215</v>
      </c>
      <c r="D186" s="218"/>
      <c r="E186" s="215" t="s">
        <v>20</v>
      </c>
      <c r="F186" s="219"/>
      <c r="G186" s="220"/>
      <c r="H186" s="218"/>
      <c r="I186" s="215" t="s">
        <v>20</v>
      </c>
      <c r="J186" s="218"/>
      <c r="K186" s="220"/>
      <c r="L186" s="221" t="s">
        <v>20</v>
      </c>
      <c r="M186" s="219"/>
      <c r="N186" s="215" t="s">
        <v>20</v>
      </c>
      <c r="O186" s="215" t="s">
        <v>20</v>
      </c>
      <c r="P186" s="219"/>
      <c r="Q186" s="225"/>
      <c r="R186" s="215" t="s">
        <v>20</v>
      </c>
      <c r="S186" s="220"/>
    </row>
    <row r="187" spans="1:19">
      <c r="A187" s="222" t="s">
        <v>21</v>
      </c>
      <c r="B187" s="223">
        <v>0.92708333333333337</v>
      </c>
      <c r="C187" s="224">
        <v>0.93749999999999878</v>
      </c>
      <c r="D187" s="218"/>
      <c r="E187" s="215" t="s">
        <v>20</v>
      </c>
      <c r="F187" s="219"/>
      <c r="G187" s="220"/>
      <c r="H187" s="218"/>
      <c r="I187" s="215" t="s">
        <v>20</v>
      </c>
      <c r="J187" s="218"/>
      <c r="K187" s="220"/>
      <c r="L187" s="221" t="s">
        <v>20</v>
      </c>
      <c r="M187" s="219"/>
      <c r="N187" s="215" t="s">
        <v>20</v>
      </c>
      <c r="O187" s="215" t="s">
        <v>20</v>
      </c>
      <c r="P187" s="219"/>
      <c r="Q187" s="225"/>
      <c r="R187" s="215" t="s">
        <v>20</v>
      </c>
      <c r="S187" s="220"/>
    </row>
    <row r="188" spans="1:19">
      <c r="A188" s="222" t="s">
        <v>21</v>
      </c>
      <c r="B188" s="223">
        <v>0.9375</v>
      </c>
      <c r="C188" s="224">
        <v>0.94791666666666541</v>
      </c>
      <c r="D188" s="218"/>
      <c r="E188" s="215" t="s">
        <v>20</v>
      </c>
      <c r="F188" s="219"/>
      <c r="G188" s="220"/>
      <c r="H188" s="218"/>
      <c r="I188" s="215" t="s">
        <v>20</v>
      </c>
      <c r="J188" s="218"/>
      <c r="K188" s="220"/>
      <c r="L188" s="221" t="s">
        <v>20</v>
      </c>
      <c r="M188" s="219"/>
      <c r="N188" s="215" t="s">
        <v>20</v>
      </c>
      <c r="O188" s="215" t="s">
        <v>20</v>
      </c>
      <c r="P188" s="219"/>
      <c r="Q188" s="225"/>
      <c r="R188" s="215" t="s">
        <v>20</v>
      </c>
      <c r="S188" s="220"/>
    </row>
    <row r="189" spans="1:19">
      <c r="A189" s="222" t="s">
        <v>21</v>
      </c>
      <c r="B189" s="223">
        <v>0.94791666666666663</v>
      </c>
      <c r="C189" s="224">
        <v>0.95833333333333204</v>
      </c>
      <c r="D189" s="218"/>
      <c r="E189" s="215" t="s">
        <v>20</v>
      </c>
      <c r="F189" s="219"/>
      <c r="G189" s="220"/>
      <c r="H189" s="218"/>
      <c r="I189" s="215" t="s">
        <v>20</v>
      </c>
      <c r="J189" s="218"/>
      <c r="K189" s="220"/>
      <c r="L189" s="221" t="s">
        <v>20</v>
      </c>
      <c r="M189" s="219"/>
      <c r="N189" s="215" t="s">
        <v>20</v>
      </c>
      <c r="O189" s="215" t="s">
        <v>20</v>
      </c>
      <c r="P189" s="219"/>
      <c r="Q189" s="225"/>
      <c r="R189" s="215" t="s">
        <v>20</v>
      </c>
      <c r="S189" s="220"/>
    </row>
    <row r="190" spans="1:19">
      <c r="A190" s="222" t="s">
        <v>21</v>
      </c>
      <c r="B190" s="223">
        <v>0.95833333333333337</v>
      </c>
      <c r="C190" s="224">
        <v>0.96874999999999867</v>
      </c>
      <c r="D190" s="218"/>
      <c r="E190" s="215" t="s">
        <v>20</v>
      </c>
      <c r="F190" s="219"/>
      <c r="G190" s="220"/>
      <c r="H190" s="218"/>
      <c r="I190" s="215" t="s">
        <v>20</v>
      </c>
      <c r="J190" s="218"/>
      <c r="K190" s="220"/>
      <c r="L190" s="221" t="s">
        <v>20</v>
      </c>
      <c r="M190" s="219"/>
      <c r="N190" s="215" t="s">
        <v>20</v>
      </c>
      <c r="O190" s="215" t="s">
        <v>20</v>
      </c>
      <c r="P190" s="219"/>
      <c r="Q190" s="225"/>
      <c r="R190" s="215" t="s">
        <v>20</v>
      </c>
      <c r="S190" s="220"/>
    </row>
    <row r="191" spans="1:19">
      <c r="A191" s="222" t="s">
        <v>21</v>
      </c>
      <c r="B191" s="223">
        <v>0.96875</v>
      </c>
      <c r="C191" s="224">
        <v>0.9791666666666653</v>
      </c>
      <c r="D191" s="218"/>
      <c r="E191" s="215" t="s">
        <v>20</v>
      </c>
      <c r="F191" s="219"/>
      <c r="G191" s="220"/>
      <c r="H191" s="218"/>
      <c r="I191" s="215" t="s">
        <v>20</v>
      </c>
      <c r="J191" s="218"/>
      <c r="K191" s="220"/>
      <c r="L191" s="221" t="s">
        <v>20</v>
      </c>
      <c r="M191" s="219"/>
      <c r="N191" s="215" t="s">
        <v>20</v>
      </c>
      <c r="O191" s="215" t="s">
        <v>20</v>
      </c>
      <c r="P191" s="219"/>
      <c r="Q191" s="225"/>
      <c r="R191" s="215" t="s">
        <v>20</v>
      </c>
      <c r="S191" s="220"/>
    </row>
    <row r="192" spans="1:19">
      <c r="A192" s="222" t="s">
        <v>21</v>
      </c>
      <c r="B192" s="223">
        <v>0.97916666666666663</v>
      </c>
      <c r="C192" s="224">
        <v>0.98958333333333193</v>
      </c>
      <c r="D192" s="243"/>
      <c r="E192" s="222" t="s">
        <v>20</v>
      </c>
      <c r="F192" s="225"/>
      <c r="G192" s="244"/>
      <c r="H192" s="243"/>
      <c r="I192" s="222" t="s">
        <v>20</v>
      </c>
      <c r="J192" s="243"/>
      <c r="K192" s="244"/>
      <c r="L192" s="245" t="s">
        <v>20</v>
      </c>
      <c r="M192" s="225"/>
      <c r="N192" s="222" t="s">
        <v>20</v>
      </c>
      <c r="O192" s="222" t="s">
        <v>20</v>
      </c>
      <c r="P192" s="225"/>
      <c r="Q192" s="225"/>
      <c r="R192" s="222" t="s">
        <v>20</v>
      </c>
      <c r="S192" s="244"/>
    </row>
    <row r="193" spans="1:19" ht="17.25" thickBot="1">
      <c r="A193" s="226" t="s">
        <v>21</v>
      </c>
      <c r="B193" s="227">
        <v>0.98958333333333337</v>
      </c>
      <c r="C193" s="228" t="s">
        <v>148</v>
      </c>
      <c r="D193" s="229"/>
      <c r="E193" s="230" t="s">
        <v>20</v>
      </c>
      <c r="F193" s="231"/>
      <c r="G193" s="232"/>
      <c r="H193" s="229"/>
      <c r="I193" s="230" t="s">
        <v>20</v>
      </c>
      <c r="J193" s="229"/>
      <c r="K193" s="232"/>
      <c r="L193" s="233" t="s">
        <v>20</v>
      </c>
      <c r="M193" s="231"/>
      <c r="N193" s="230" t="s">
        <v>20</v>
      </c>
      <c r="O193" s="230" t="s">
        <v>20</v>
      </c>
      <c r="P193" s="231"/>
      <c r="Q193" s="246"/>
      <c r="R193" s="230" t="s">
        <v>20</v>
      </c>
      <c r="S193" s="232"/>
    </row>
    <row r="194" spans="1:19" ht="17.25" thickTop="1">
      <c r="A194" s="234" t="s">
        <v>22</v>
      </c>
      <c r="B194" s="235">
        <v>0</v>
      </c>
      <c r="C194" s="236">
        <v>1.0416666666666666E-2</v>
      </c>
      <c r="D194" s="425"/>
      <c r="E194" s="234"/>
      <c r="F194" s="234" t="s">
        <v>20</v>
      </c>
      <c r="G194" s="237"/>
      <c r="H194" s="425"/>
      <c r="I194" s="234"/>
      <c r="J194" s="234" t="s">
        <v>20</v>
      </c>
      <c r="K194" s="426"/>
      <c r="L194" s="427" t="s">
        <v>20</v>
      </c>
      <c r="M194" s="238"/>
      <c r="N194" s="427" t="s">
        <v>20</v>
      </c>
      <c r="O194" s="428"/>
      <c r="P194" s="234" t="s">
        <v>20</v>
      </c>
      <c r="Q194" s="239" t="s">
        <v>20</v>
      </c>
      <c r="R194" s="237"/>
      <c r="S194" s="429"/>
    </row>
    <row r="195" spans="1:19">
      <c r="A195" s="240" t="s">
        <v>22</v>
      </c>
      <c r="B195" s="241">
        <v>1.0416666666666666E-2</v>
      </c>
      <c r="C195" s="242">
        <v>2.0833333333333332E-2</v>
      </c>
      <c r="D195" s="430"/>
      <c r="E195" s="240"/>
      <c r="F195" s="240" t="s">
        <v>20</v>
      </c>
      <c r="G195" s="431"/>
      <c r="H195" s="430"/>
      <c r="I195" s="240"/>
      <c r="J195" s="240" t="s">
        <v>20</v>
      </c>
      <c r="K195" s="432"/>
      <c r="L195" s="433" t="s">
        <v>20</v>
      </c>
      <c r="M195" s="434"/>
      <c r="N195" s="433" t="s">
        <v>20</v>
      </c>
      <c r="O195" s="435"/>
      <c r="P195" s="240" t="s">
        <v>20</v>
      </c>
      <c r="Q195" s="436" t="s">
        <v>20</v>
      </c>
      <c r="R195" s="237"/>
      <c r="S195" s="429"/>
    </row>
    <row r="196" spans="1:19">
      <c r="A196" s="240" t="s">
        <v>22</v>
      </c>
      <c r="B196" s="241">
        <v>2.0833333333333332E-2</v>
      </c>
      <c r="C196" s="242">
        <v>3.125E-2</v>
      </c>
      <c r="D196" s="430"/>
      <c r="E196" s="240"/>
      <c r="F196" s="240" t="s">
        <v>20</v>
      </c>
      <c r="G196" s="431"/>
      <c r="H196" s="430"/>
      <c r="I196" s="240"/>
      <c r="J196" s="240" t="s">
        <v>20</v>
      </c>
      <c r="K196" s="432"/>
      <c r="L196" s="433" t="s">
        <v>20</v>
      </c>
      <c r="M196" s="434"/>
      <c r="N196" s="433" t="s">
        <v>20</v>
      </c>
      <c r="O196" s="435"/>
      <c r="P196" s="240" t="s">
        <v>20</v>
      </c>
      <c r="Q196" s="436" t="s">
        <v>20</v>
      </c>
      <c r="R196" s="237"/>
      <c r="S196" s="429"/>
    </row>
    <row r="197" spans="1:19">
      <c r="A197" s="240" t="s">
        <v>22</v>
      </c>
      <c r="B197" s="241">
        <v>3.125E-2</v>
      </c>
      <c r="C197" s="242">
        <v>4.1666666666666664E-2</v>
      </c>
      <c r="D197" s="430"/>
      <c r="E197" s="240"/>
      <c r="F197" s="240" t="s">
        <v>20</v>
      </c>
      <c r="G197" s="431"/>
      <c r="H197" s="430"/>
      <c r="I197" s="240"/>
      <c r="J197" s="240" t="s">
        <v>20</v>
      </c>
      <c r="K197" s="432"/>
      <c r="L197" s="433" t="s">
        <v>20</v>
      </c>
      <c r="M197" s="434"/>
      <c r="N197" s="433" t="s">
        <v>20</v>
      </c>
      <c r="O197" s="435"/>
      <c r="P197" s="240" t="s">
        <v>20</v>
      </c>
      <c r="Q197" s="436" t="s">
        <v>20</v>
      </c>
      <c r="R197" s="237"/>
      <c r="S197" s="429"/>
    </row>
    <row r="198" spans="1:19">
      <c r="A198" s="240" t="s">
        <v>22</v>
      </c>
      <c r="B198" s="241">
        <v>4.1666666666666664E-2</v>
      </c>
      <c r="C198" s="242">
        <v>5.2083333333333329E-2</v>
      </c>
      <c r="D198" s="430"/>
      <c r="E198" s="240"/>
      <c r="F198" s="240" t="s">
        <v>20</v>
      </c>
      <c r="G198" s="431"/>
      <c r="H198" s="430"/>
      <c r="I198" s="240"/>
      <c r="J198" s="240" t="s">
        <v>20</v>
      </c>
      <c r="K198" s="432"/>
      <c r="L198" s="433" t="s">
        <v>20</v>
      </c>
      <c r="M198" s="434"/>
      <c r="N198" s="433" t="s">
        <v>20</v>
      </c>
      <c r="O198" s="435"/>
      <c r="P198" s="240" t="s">
        <v>20</v>
      </c>
      <c r="Q198" s="436" t="s">
        <v>20</v>
      </c>
      <c r="R198" s="237"/>
      <c r="S198" s="429"/>
    </row>
    <row r="199" spans="1:19">
      <c r="A199" s="240" t="s">
        <v>22</v>
      </c>
      <c r="B199" s="241">
        <v>5.2083333333333329E-2</v>
      </c>
      <c r="C199" s="242">
        <v>6.25E-2</v>
      </c>
      <c r="D199" s="430"/>
      <c r="E199" s="240"/>
      <c r="F199" s="240" t="s">
        <v>20</v>
      </c>
      <c r="G199" s="431"/>
      <c r="H199" s="430"/>
      <c r="I199" s="240"/>
      <c r="J199" s="240" t="s">
        <v>20</v>
      </c>
      <c r="K199" s="432"/>
      <c r="L199" s="433" t="s">
        <v>20</v>
      </c>
      <c r="M199" s="434"/>
      <c r="N199" s="433" t="s">
        <v>20</v>
      </c>
      <c r="O199" s="435"/>
      <c r="P199" s="240" t="s">
        <v>20</v>
      </c>
      <c r="Q199" s="436" t="s">
        <v>20</v>
      </c>
      <c r="R199" s="237"/>
      <c r="S199" s="429"/>
    </row>
    <row r="200" spans="1:19">
      <c r="A200" s="240" t="s">
        <v>22</v>
      </c>
      <c r="B200" s="241">
        <v>6.25E-2</v>
      </c>
      <c r="C200" s="242">
        <v>7.2916666666666657E-2</v>
      </c>
      <c r="D200" s="430"/>
      <c r="E200" s="240"/>
      <c r="F200" s="240" t="s">
        <v>20</v>
      </c>
      <c r="G200" s="431"/>
      <c r="H200" s="430"/>
      <c r="I200" s="240"/>
      <c r="J200" s="240" t="s">
        <v>20</v>
      </c>
      <c r="K200" s="432"/>
      <c r="L200" s="433" t="s">
        <v>20</v>
      </c>
      <c r="M200" s="434"/>
      <c r="N200" s="433" t="s">
        <v>20</v>
      </c>
      <c r="O200" s="435"/>
      <c r="P200" s="240" t="s">
        <v>20</v>
      </c>
      <c r="Q200" s="436" t="s">
        <v>20</v>
      </c>
      <c r="R200" s="237"/>
      <c r="S200" s="429"/>
    </row>
    <row r="201" spans="1:19">
      <c r="A201" s="240" t="s">
        <v>22</v>
      </c>
      <c r="B201" s="241">
        <v>7.2916666666666657E-2</v>
      </c>
      <c r="C201" s="242">
        <v>8.3333333333333329E-2</v>
      </c>
      <c r="D201" s="430"/>
      <c r="E201" s="240"/>
      <c r="F201" s="240" t="s">
        <v>20</v>
      </c>
      <c r="G201" s="431"/>
      <c r="H201" s="430"/>
      <c r="I201" s="240"/>
      <c r="J201" s="240" t="s">
        <v>20</v>
      </c>
      <c r="K201" s="432"/>
      <c r="L201" s="433" t="s">
        <v>20</v>
      </c>
      <c r="M201" s="434"/>
      <c r="N201" s="433" t="s">
        <v>20</v>
      </c>
      <c r="O201" s="435"/>
      <c r="P201" s="240" t="s">
        <v>20</v>
      </c>
      <c r="Q201" s="436" t="s">
        <v>20</v>
      </c>
      <c r="R201" s="237"/>
      <c r="S201" s="429"/>
    </row>
    <row r="202" spans="1:19">
      <c r="A202" s="240" t="s">
        <v>22</v>
      </c>
      <c r="B202" s="241">
        <v>8.3333333333333329E-2</v>
      </c>
      <c r="C202" s="242">
        <v>9.375E-2</v>
      </c>
      <c r="D202" s="430"/>
      <c r="E202" s="240"/>
      <c r="F202" s="240" t="s">
        <v>20</v>
      </c>
      <c r="G202" s="431"/>
      <c r="H202" s="430"/>
      <c r="I202" s="240"/>
      <c r="J202" s="240" t="s">
        <v>20</v>
      </c>
      <c r="K202" s="432"/>
      <c r="L202" s="433" t="s">
        <v>20</v>
      </c>
      <c r="M202" s="434"/>
      <c r="N202" s="433" t="s">
        <v>20</v>
      </c>
      <c r="O202" s="435"/>
      <c r="P202" s="240" t="s">
        <v>20</v>
      </c>
      <c r="Q202" s="436" t="s">
        <v>20</v>
      </c>
      <c r="R202" s="237"/>
      <c r="S202" s="429"/>
    </row>
    <row r="203" spans="1:19">
      <c r="A203" s="240" t="s">
        <v>22</v>
      </c>
      <c r="B203" s="241">
        <v>9.375E-2</v>
      </c>
      <c r="C203" s="242">
        <v>0.10416666666666667</v>
      </c>
      <c r="D203" s="430"/>
      <c r="E203" s="240"/>
      <c r="F203" s="240" t="s">
        <v>20</v>
      </c>
      <c r="G203" s="431"/>
      <c r="H203" s="430"/>
      <c r="I203" s="240"/>
      <c r="J203" s="240" t="s">
        <v>20</v>
      </c>
      <c r="K203" s="432"/>
      <c r="L203" s="433" t="s">
        <v>20</v>
      </c>
      <c r="M203" s="434"/>
      <c r="N203" s="433" t="s">
        <v>20</v>
      </c>
      <c r="O203" s="435"/>
      <c r="P203" s="240" t="s">
        <v>20</v>
      </c>
      <c r="Q203" s="436" t="s">
        <v>20</v>
      </c>
      <c r="R203" s="237"/>
      <c r="S203" s="429"/>
    </row>
    <row r="204" spans="1:19">
      <c r="A204" s="240" t="s">
        <v>22</v>
      </c>
      <c r="B204" s="241">
        <v>0.10416666666666667</v>
      </c>
      <c r="C204" s="242">
        <v>0.11458333333333334</v>
      </c>
      <c r="D204" s="430"/>
      <c r="E204" s="240"/>
      <c r="F204" s="240" t="s">
        <v>20</v>
      </c>
      <c r="G204" s="431"/>
      <c r="H204" s="430"/>
      <c r="I204" s="240"/>
      <c r="J204" s="240" t="s">
        <v>20</v>
      </c>
      <c r="K204" s="432"/>
      <c r="L204" s="433" t="s">
        <v>20</v>
      </c>
      <c r="M204" s="434"/>
      <c r="N204" s="433" t="s">
        <v>20</v>
      </c>
      <c r="O204" s="435"/>
      <c r="P204" s="240" t="s">
        <v>20</v>
      </c>
      <c r="Q204" s="436" t="s">
        <v>20</v>
      </c>
      <c r="R204" s="237"/>
      <c r="S204" s="429"/>
    </row>
    <row r="205" spans="1:19">
      <c r="A205" s="240" t="s">
        <v>22</v>
      </c>
      <c r="B205" s="241">
        <v>0.11458333333333334</v>
      </c>
      <c r="C205" s="242">
        <v>0.125</v>
      </c>
      <c r="D205" s="430"/>
      <c r="E205" s="240"/>
      <c r="F205" s="240" t="s">
        <v>20</v>
      </c>
      <c r="G205" s="431"/>
      <c r="H205" s="430"/>
      <c r="I205" s="240"/>
      <c r="J205" s="240" t="s">
        <v>20</v>
      </c>
      <c r="K205" s="432"/>
      <c r="L205" s="433" t="s">
        <v>20</v>
      </c>
      <c r="M205" s="434"/>
      <c r="N205" s="433" t="s">
        <v>20</v>
      </c>
      <c r="O205" s="435"/>
      <c r="P205" s="240" t="s">
        <v>20</v>
      </c>
      <c r="Q205" s="436" t="s">
        <v>20</v>
      </c>
      <c r="R205" s="237"/>
      <c r="S205" s="429"/>
    </row>
    <row r="206" spans="1:19">
      <c r="A206" s="240" t="s">
        <v>22</v>
      </c>
      <c r="B206" s="241">
        <v>0.125</v>
      </c>
      <c r="C206" s="242">
        <v>0.13541666666666666</v>
      </c>
      <c r="D206" s="430"/>
      <c r="E206" s="240"/>
      <c r="F206" s="240" t="s">
        <v>20</v>
      </c>
      <c r="G206" s="431"/>
      <c r="H206" s="430"/>
      <c r="I206" s="240"/>
      <c r="J206" s="240" t="s">
        <v>20</v>
      </c>
      <c r="K206" s="432"/>
      <c r="L206" s="433" t="s">
        <v>20</v>
      </c>
      <c r="M206" s="434"/>
      <c r="N206" s="433" t="s">
        <v>20</v>
      </c>
      <c r="O206" s="435"/>
      <c r="P206" s="240" t="s">
        <v>20</v>
      </c>
      <c r="Q206" s="436" t="s">
        <v>20</v>
      </c>
      <c r="R206" s="237"/>
      <c r="S206" s="429"/>
    </row>
    <row r="207" spans="1:19">
      <c r="A207" s="240" t="s">
        <v>22</v>
      </c>
      <c r="B207" s="241">
        <v>0.13541666666666666</v>
      </c>
      <c r="C207" s="242">
        <v>0.14583333333333331</v>
      </c>
      <c r="D207" s="430"/>
      <c r="E207" s="240"/>
      <c r="F207" s="240" t="s">
        <v>20</v>
      </c>
      <c r="G207" s="431"/>
      <c r="H207" s="430"/>
      <c r="I207" s="240"/>
      <c r="J207" s="240" t="s">
        <v>20</v>
      </c>
      <c r="K207" s="432"/>
      <c r="L207" s="433" t="s">
        <v>20</v>
      </c>
      <c r="M207" s="434"/>
      <c r="N207" s="433" t="s">
        <v>20</v>
      </c>
      <c r="O207" s="435"/>
      <c r="P207" s="240" t="s">
        <v>20</v>
      </c>
      <c r="Q207" s="436" t="s">
        <v>20</v>
      </c>
      <c r="R207" s="237"/>
      <c r="S207" s="429"/>
    </row>
    <row r="208" spans="1:19">
      <c r="A208" s="240" t="s">
        <v>22</v>
      </c>
      <c r="B208" s="241">
        <v>0.14583333333333331</v>
      </c>
      <c r="C208" s="242">
        <v>0.15625</v>
      </c>
      <c r="D208" s="430"/>
      <c r="E208" s="240"/>
      <c r="F208" s="240" t="s">
        <v>20</v>
      </c>
      <c r="G208" s="431"/>
      <c r="H208" s="430"/>
      <c r="I208" s="240"/>
      <c r="J208" s="240" t="s">
        <v>20</v>
      </c>
      <c r="K208" s="432"/>
      <c r="L208" s="433" t="s">
        <v>20</v>
      </c>
      <c r="M208" s="434"/>
      <c r="N208" s="433" t="s">
        <v>20</v>
      </c>
      <c r="O208" s="435"/>
      <c r="P208" s="240" t="s">
        <v>20</v>
      </c>
      <c r="Q208" s="436" t="s">
        <v>20</v>
      </c>
      <c r="R208" s="237"/>
      <c r="S208" s="429"/>
    </row>
    <row r="209" spans="1:19">
      <c r="A209" s="240" t="s">
        <v>22</v>
      </c>
      <c r="B209" s="241">
        <v>0.15625</v>
      </c>
      <c r="C209" s="242">
        <v>0.16666666666666663</v>
      </c>
      <c r="D209" s="430"/>
      <c r="E209" s="240"/>
      <c r="F209" s="240" t="s">
        <v>20</v>
      </c>
      <c r="G209" s="431"/>
      <c r="H209" s="430"/>
      <c r="I209" s="240"/>
      <c r="J209" s="240" t="s">
        <v>20</v>
      </c>
      <c r="K209" s="432"/>
      <c r="L209" s="433" t="s">
        <v>20</v>
      </c>
      <c r="M209" s="434"/>
      <c r="N209" s="433" t="s">
        <v>20</v>
      </c>
      <c r="O209" s="435"/>
      <c r="P209" s="240" t="s">
        <v>20</v>
      </c>
      <c r="Q209" s="436" t="s">
        <v>20</v>
      </c>
      <c r="R209" s="237"/>
      <c r="S209" s="429"/>
    </row>
    <row r="210" spans="1:19">
      <c r="A210" s="240" t="s">
        <v>22</v>
      </c>
      <c r="B210" s="241">
        <v>0.16666666666666666</v>
      </c>
      <c r="C210" s="242">
        <v>0.17708333333333329</v>
      </c>
      <c r="D210" s="430"/>
      <c r="E210" s="240"/>
      <c r="F210" s="240" t="s">
        <v>20</v>
      </c>
      <c r="G210" s="431"/>
      <c r="H210" s="430"/>
      <c r="I210" s="240"/>
      <c r="J210" s="240" t="s">
        <v>20</v>
      </c>
      <c r="K210" s="432"/>
      <c r="L210" s="433" t="s">
        <v>20</v>
      </c>
      <c r="M210" s="434"/>
      <c r="N210" s="433" t="s">
        <v>20</v>
      </c>
      <c r="O210" s="435"/>
      <c r="P210" s="240" t="s">
        <v>20</v>
      </c>
      <c r="Q210" s="436" t="s">
        <v>20</v>
      </c>
      <c r="R210" s="237"/>
      <c r="S210" s="429"/>
    </row>
    <row r="211" spans="1:19">
      <c r="A211" s="240" t="s">
        <v>22</v>
      </c>
      <c r="B211" s="241">
        <v>0.17708333333333334</v>
      </c>
      <c r="C211" s="242">
        <v>0.1875</v>
      </c>
      <c r="D211" s="430"/>
      <c r="E211" s="240"/>
      <c r="F211" s="240" t="s">
        <v>20</v>
      </c>
      <c r="G211" s="431"/>
      <c r="H211" s="430"/>
      <c r="I211" s="240"/>
      <c r="J211" s="240" t="s">
        <v>20</v>
      </c>
      <c r="K211" s="432"/>
      <c r="L211" s="433" t="s">
        <v>20</v>
      </c>
      <c r="M211" s="434"/>
      <c r="N211" s="433" t="s">
        <v>20</v>
      </c>
      <c r="O211" s="435"/>
      <c r="P211" s="240" t="s">
        <v>20</v>
      </c>
      <c r="Q211" s="436" t="s">
        <v>20</v>
      </c>
      <c r="R211" s="237"/>
      <c r="S211" s="429"/>
    </row>
    <row r="212" spans="1:19">
      <c r="A212" s="240" t="s">
        <v>22</v>
      </c>
      <c r="B212" s="241">
        <v>0.1875</v>
      </c>
      <c r="C212" s="242">
        <v>0.1979166666666666</v>
      </c>
      <c r="D212" s="430"/>
      <c r="E212" s="240"/>
      <c r="F212" s="240" t="s">
        <v>20</v>
      </c>
      <c r="G212" s="431"/>
      <c r="H212" s="430"/>
      <c r="I212" s="240"/>
      <c r="J212" s="240" t="s">
        <v>20</v>
      </c>
      <c r="K212" s="432"/>
      <c r="L212" s="433" t="s">
        <v>20</v>
      </c>
      <c r="M212" s="434"/>
      <c r="N212" s="433" t="s">
        <v>20</v>
      </c>
      <c r="O212" s="435"/>
      <c r="P212" s="240" t="s">
        <v>20</v>
      </c>
      <c r="Q212" s="436" t="s">
        <v>20</v>
      </c>
      <c r="R212" s="237"/>
      <c r="S212" s="429"/>
    </row>
    <row r="213" spans="1:19">
      <c r="A213" s="240" t="s">
        <v>22</v>
      </c>
      <c r="B213" s="241">
        <v>0.19791666666666666</v>
      </c>
      <c r="C213" s="242">
        <v>0.20833333333333326</v>
      </c>
      <c r="D213" s="430"/>
      <c r="E213" s="240"/>
      <c r="F213" s="240" t="s">
        <v>20</v>
      </c>
      <c r="G213" s="431"/>
      <c r="H213" s="430"/>
      <c r="I213" s="240"/>
      <c r="J213" s="240" t="s">
        <v>20</v>
      </c>
      <c r="K213" s="432"/>
      <c r="L213" s="433" t="s">
        <v>20</v>
      </c>
      <c r="M213" s="434"/>
      <c r="N213" s="433" t="s">
        <v>20</v>
      </c>
      <c r="O213" s="435"/>
      <c r="P213" s="240" t="s">
        <v>20</v>
      </c>
      <c r="Q213" s="436" t="s">
        <v>20</v>
      </c>
      <c r="R213" s="237"/>
      <c r="S213" s="429"/>
    </row>
    <row r="214" spans="1:19">
      <c r="A214" s="240" t="s">
        <v>22</v>
      </c>
      <c r="B214" s="241">
        <v>0.20833333333333334</v>
      </c>
      <c r="C214" s="242">
        <v>0.21875</v>
      </c>
      <c r="D214" s="430"/>
      <c r="E214" s="240"/>
      <c r="F214" s="240" t="s">
        <v>20</v>
      </c>
      <c r="G214" s="431"/>
      <c r="H214" s="430"/>
      <c r="I214" s="240"/>
      <c r="J214" s="240" t="s">
        <v>20</v>
      </c>
      <c r="K214" s="432"/>
      <c r="L214" s="433" t="s">
        <v>20</v>
      </c>
      <c r="M214" s="434"/>
      <c r="N214" s="433" t="s">
        <v>20</v>
      </c>
      <c r="O214" s="435"/>
      <c r="P214" s="240" t="s">
        <v>20</v>
      </c>
      <c r="Q214" s="436" t="s">
        <v>20</v>
      </c>
      <c r="R214" s="237"/>
      <c r="S214" s="429"/>
    </row>
    <row r="215" spans="1:19">
      <c r="A215" s="240" t="s">
        <v>22</v>
      </c>
      <c r="B215" s="241">
        <v>0.21875</v>
      </c>
      <c r="C215" s="242">
        <v>0.22916666666666657</v>
      </c>
      <c r="D215" s="430"/>
      <c r="E215" s="240"/>
      <c r="F215" s="240" t="s">
        <v>20</v>
      </c>
      <c r="G215" s="431"/>
      <c r="H215" s="430"/>
      <c r="I215" s="240"/>
      <c r="J215" s="240" t="s">
        <v>20</v>
      </c>
      <c r="K215" s="432"/>
      <c r="L215" s="433" t="s">
        <v>20</v>
      </c>
      <c r="M215" s="434"/>
      <c r="N215" s="433" t="s">
        <v>20</v>
      </c>
      <c r="O215" s="435"/>
      <c r="P215" s="240" t="s">
        <v>20</v>
      </c>
      <c r="Q215" s="436" t="s">
        <v>20</v>
      </c>
      <c r="R215" s="237"/>
      <c r="S215" s="429"/>
    </row>
    <row r="216" spans="1:19">
      <c r="A216" s="240" t="s">
        <v>22</v>
      </c>
      <c r="B216" s="241">
        <v>0.22916666666666666</v>
      </c>
      <c r="C216" s="242">
        <v>0.23958333333333323</v>
      </c>
      <c r="D216" s="430"/>
      <c r="E216" s="240"/>
      <c r="F216" s="240" t="s">
        <v>20</v>
      </c>
      <c r="G216" s="431"/>
      <c r="H216" s="430"/>
      <c r="I216" s="240"/>
      <c r="J216" s="240" t="s">
        <v>20</v>
      </c>
      <c r="K216" s="432"/>
      <c r="L216" s="433" t="s">
        <v>20</v>
      </c>
      <c r="M216" s="434"/>
      <c r="N216" s="433" t="s">
        <v>20</v>
      </c>
      <c r="O216" s="435"/>
      <c r="P216" s="240" t="s">
        <v>20</v>
      </c>
      <c r="Q216" s="436" t="s">
        <v>20</v>
      </c>
      <c r="R216" s="237"/>
      <c r="S216" s="429"/>
    </row>
    <row r="217" spans="1:19">
      <c r="A217" s="240" t="s">
        <v>22</v>
      </c>
      <c r="B217" s="241">
        <v>0.23958333333333334</v>
      </c>
      <c r="C217" s="242">
        <v>0.25</v>
      </c>
      <c r="D217" s="430"/>
      <c r="E217" s="240"/>
      <c r="F217" s="240" t="s">
        <v>20</v>
      </c>
      <c r="G217" s="431"/>
      <c r="H217" s="430"/>
      <c r="I217" s="240"/>
      <c r="J217" s="240" t="s">
        <v>20</v>
      </c>
      <c r="K217" s="432"/>
      <c r="L217" s="433" t="s">
        <v>20</v>
      </c>
      <c r="M217" s="434"/>
      <c r="N217" s="433" t="s">
        <v>20</v>
      </c>
      <c r="O217" s="435"/>
      <c r="P217" s="240" t="s">
        <v>20</v>
      </c>
      <c r="Q217" s="436" t="s">
        <v>20</v>
      </c>
      <c r="R217" s="237"/>
      <c r="S217" s="429"/>
    </row>
    <row r="218" spans="1:19">
      <c r="A218" s="240" t="s">
        <v>22</v>
      </c>
      <c r="B218" s="241">
        <v>0.25</v>
      </c>
      <c r="C218" s="242">
        <v>0.26041666666666657</v>
      </c>
      <c r="D218" s="430"/>
      <c r="E218" s="240"/>
      <c r="F218" s="240" t="s">
        <v>20</v>
      </c>
      <c r="G218" s="431"/>
      <c r="H218" s="430"/>
      <c r="I218" s="240"/>
      <c r="J218" s="240" t="s">
        <v>20</v>
      </c>
      <c r="K218" s="432"/>
      <c r="L218" s="433" t="s">
        <v>20</v>
      </c>
      <c r="M218" s="434"/>
      <c r="N218" s="433" t="s">
        <v>20</v>
      </c>
      <c r="O218" s="435"/>
      <c r="P218" s="240" t="s">
        <v>20</v>
      </c>
      <c r="Q218" s="436" t="s">
        <v>20</v>
      </c>
      <c r="R218" s="237"/>
      <c r="S218" s="429"/>
    </row>
    <row r="219" spans="1:19">
      <c r="A219" s="240" t="s">
        <v>22</v>
      </c>
      <c r="B219" s="241">
        <v>0.26041666666666669</v>
      </c>
      <c r="C219" s="242">
        <v>0.27083333333333326</v>
      </c>
      <c r="D219" s="430"/>
      <c r="E219" s="240"/>
      <c r="F219" s="240" t="s">
        <v>20</v>
      </c>
      <c r="G219" s="431"/>
      <c r="H219" s="430"/>
      <c r="I219" s="240"/>
      <c r="J219" s="240" t="s">
        <v>20</v>
      </c>
      <c r="K219" s="432"/>
      <c r="L219" s="433" t="s">
        <v>20</v>
      </c>
      <c r="M219" s="434"/>
      <c r="N219" s="433" t="s">
        <v>20</v>
      </c>
      <c r="O219" s="435"/>
      <c r="P219" s="240" t="s">
        <v>20</v>
      </c>
      <c r="Q219" s="436" t="s">
        <v>20</v>
      </c>
      <c r="R219" s="237"/>
      <c r="S219" s="429"/>
    </row>
    <row r="220" spans="1:19">
      <c r="A220" s="240" t="s">
        <v>22</v>
      </c>
      <c r="B220" s="241">
        <v>0.27083333333333331</v>
      </c>
      <c r="C220" s="242">
        <v>0.28125</v>
      </c>
      <c r="D220" s="430"/>
      <c r="E220" s="240"/>
      <c r="F220" s="240" t="s">
        <v>20</v>
      </c>
      <c r="G220" s="431"/>
      <c r="H220" s="430"/>
      <c r="I220" s="240"/>
      <c r="J220" s="240" t="s">
        <v>20</v>
      </c>
      <c r="K220" s="432"/>
      <c r="L220" s="433" t="s">
        <v>20</v>
      </c>
      <c r="M220" s="434"/>
      <c r="N220" s="433" t="s">
        <v>20</v>
      </c>
      <c r="O220" s="435"/>
      <c r="P220" s="240" t="s">
        <v>20</v>
      </c>
      <c r="Q220" s="436" t="s">
        <v>20</v>
      </c>
      <c r="R220" s="237"/>
      <c r="S220" s="429"/>
    </row>
    <row r="221" spans="1:19">
      <c r="A221" s="240" t="s">
        <v>22</v>
      </c>
      <c r="B221" s="241">
        <v>0.28125</v>
      </c>
      <c r="C221" s="242">
        <v>0.29166666666666663</v>
      </c>
      <c r="D221" s="430"/>
      <c r="E221" s="240"/>
      <c r="F221" s="240" t="s">
        <v>20</v>
      </c>
      <c r="G221" s="431"/>
      <c r="H221" s="430"/>
      <c r="I221" s="240"/>
      <c r="J221" s="240" t="s">
        <v>20</v>
      </c>
      <c r="K221" s="432"/>
      <c r="L221" s="433" t="s">
        <v>20</v>
      </c>
      <c r="M221" s="434"/>
      <c r="N221" s="433" t="s">
        <v>20</v>
      </c>
      <c r="O221" s="435"/>
      <c r="P221" s="240" t="s">
        <v>20</v>
      </c>
      <c r="Q221" s="436" t="s">
        <v>20</v>
      </c>
      <c r="R221" s="237"/>
      <c r="S221" s="429"/>
    </row>
    <row r="222" spans="1:19">
      <c r="A222" s="240" t="s">
        <v>22</v>
      </c>
      <c r="B222" s="241">
        <v>0.29166666666666669</v>
      </c>
      <c r="C222" s="242">
        <v>0.30208333333333331</v>
      </c>
      <c r="D222" s="430"/>
      <c r="E222" s="240"/>
      <c r="F222" s="240" t="s">
        <v>20</v>
      </c>
      <c r="G222" s="431"/>
      <c r="H222" s="430"/>
      <c r="I222" s="240"/>
      <c r="J222" s="240" t="s">
        <v>20</v>
      </c>
      <c r="K222" s="432"/>
      <c r="L222" s="433" t="s">
        <v>20</v>
      </c>
      <c r="M222" s="434"/>
      <c r="N222" s="433" t="s">
        <v>20</v>
      </c>
      <c r="O222" s="435"/>
      <c r="P222" s="240" t="s">
        <v>20</v>
      </c>
      <c r="Q222" s="436" t="s">
        <v>20</v>
      </c>
      <c r="R222" s="237"/>
      <c r="S222" s="429"/>
    </row>
    <row r="223" spans="1:19">
      <c r="A223" s="240" t="s">
        <v>22</v>
      </c>
      <c r="B223" s="241">
        <v>0.30208333333333331</v>
      </c>
      <c r="C223" s="242">
        <v>0.3125</v>
      </c>
      <c r="D223" s="430"/>
      <c r="E223" s="240"/>
      <c r="F223" s="240" t="s">
        <v>20</v>
      </c>
      <c r="G223" s="431"/>
      <c r="H223" s="430"/>
      <c r="I223" s="240"/>
      <c r="J223" s="240" t="s">
        <v>20</v>
      </c>
      <c r="K223" s="432"/>
      <c r="L223" s="433" t="s">
        <v>20</v>
      </c>
      <c r="M223" s="434"/>
      <c r="N223" s="433" t="s">
        <v>20</v>
      </c>
      <c r="O223" s="435"/>
      <c r="P223" s="240" t="s">
        <v>20</v>
      </c>
      <c r="Q223" s="436" t="s">
        <v>20</v>
      </c>
      <c r="R223" s="237"/>
      <c r="S223" s="429"/>
    </row>
    <row r="224" spans="1:19">
      <c r="A224" s="240" t="s">
        <v>22</v>
      </c>
      <c r="B224" s="241">
        <v>0.3125</v>
      </c>
      <c r="C224" s="242">
        <v>0.32291666666666669</v>
      </c>
      <c r="D224" s="430"/>
      <c r="E224" s="240"/>
      <c r="F224" s="240" t="s">
        <v>20</v>
      </c>
      <c r="G224" s="431"/>
      <c r="H224" s="430"/>
      <c r="I224" s="240"/>
      <c r="J224" s="240" t="s">
        <v>20</v>
      </c>
      <c r="K224" s="432"/>
      <c r="L224" s="433" t="s">
        <v>20</v>
      </c>
      <c r="M224" s="434"/>
      <c r="N224" s="433" t="s">
        <v>20</v>
      </c>
      <c r="O224" s="435"/>
      <c r="P224" s="240" t="s">
        <v>20</v>
      </c>
      <c r="Q224" s="436" t="s">
        <v>20</v>
      </c>
      <c r="R224" s="237"/>
      <c r="S224" s="429"/>
    </row>
    <row r="225" spans="1:19">
      <c r="A225" s="240" t="s">
        <v>22</v>
      </c>
      <c r="B225" s="241">
        <v>0.32291666666666669</v>
      </c>
      <c r="C225" s="242">
        <v>0.33333333333333337</v>
      </c>
      <c r="D225" s="430"/>
      <c r="E225" s="240"/>
      <c r="F225" s="240" t="s">
        <v>20</v>
      </c>
      <c r="G225" s="431"/>
      <c r="H225" s="430"/>
      <c r="I225" s="240"/>
      <c r="J225" s="240" t="s">
        <v>20</v>
      </c>
      <c r="K225" s="432"/>
      <c r="L225" s="433" t="s">
        <v>20</v>
      </c>
      <c r="M225" s="434"/>
      <c r="N225" s="433" t="s">
        <v>20</v>
      </c>
      <c r="O225" s="435"/>
      <c r="P225" s="240" t="s">
        <v>20</v>
      </c>
      <c r="Q225" s="436" t="s">
        <v>20</v>
      </c>
      <c r="R225" s="237"/>
      <c r="S225" s="429"/>
    </row>
    <row r="226" spans="1:19">
      <c r="A226" s="240" t="s">
        <v>22</v>
      </c>
      <c r="B226" s="241">
        <v>0.33333333333333337</v>
      </c>
      <c r="C226" s="242">
        <v>0.34375</v>
      </c>
      <c r="D226" s="430"/>
      <c r="E226" s="240"/>
      <c r="F226" s="240" t="s">
        <v>20</v>
      </c>
      <c r="G226" s="431"/>
      <c r="H226" s="430"/>
      <c r="I226" s="240"/>
      <c r="J226" s="240" t="s">
        <v>20</v>
      </c>
      <c r="K226" s="432"/>
      <c r="L226" s="433" t="s">
        <v>20</v>
      </c>
      <c r="M226" s="434"/>
      <c r="N226" s="433" t="s">
        <v>20</v>
      </c>
      <c r="O226" s="435"/>
      <c r="P226" s="240" t="s">
        <v>20</v>
      </c>
      <c r="Q226" s="436" t="s">
        <v>20</v>
      </c>
      <c r="R226" s="237"/>
      <c r="S226" s="429"/>
    </row>
    <row r="227" spans="1:19">
      <c r="A227" s="240" t="s">
        <v>22</v>
      </c>
      <c r="B227" s="241">
        <v>0.34375</v>
      </c>
      <c r="C227" s="242">
        <v>0.35416666666666674</v>
      </c>
      <c r="D227" s="430"/>
      <c r="E227" s="240"/>
      <c r="F227" s="240" t="s">
        <v>20</v>
      </c>
      <c r="G227" s="431"/>
      <c r="H227" s="430"/>
      <c r="I227" s="240"/>
      <c r="J227" s="240" t="s">
        <v>20</v>
      </c>
      <c r="K227" s="432"/>
      <c r="L227" s="433" t="s">
        <v>20</v>
      </c>
      <c r="M227" s="434"/>
      <c r="N227" s="433" t="s">
        <v>20</v>
      </c>
      <c r="O227" s="435"/>
      <c r="P227" s="240" t="s">
        <v>20</v>
      </c>
      <c r="Q227" s="436" t="s">
        <v>20</v>
      </c>
      <c r="R227" s="237"/>
      <c r="S227" s="429"/>
    </row>
    <row r="228" spans="1:19">
      <c r="A228" s="240" t="s">
        <v>22</v>
      </c>
      <c r="B228" s="241">
        <v>0.35416666666666674</v>
      </c>
      <c r="C228" s="242">
        <v>0.36458333333333343</v>
      </c>
      <c r="D228" s="430"/>
      <c r="E228" s="240"/>
      <c r="F228" s="240" t="s">
        <v>20</v>
      </c>
      <c r="G228" s="431"/>
      <c r="H228" s="430"/>
      <c r="I228" s="240"/>
      <c r="J228" s="240" t="s">
        <v>20</v>
      </c>
      <c r="K228" s="432"/>
      <c r="L228" s="433" t="s">
        <v>20</v>
      </c>
      <c r="M228" s="434"/>
      <c r="N228" s="433" t="s">
        <v>20</v>
      </c>
      <c r="O228" s="435"/>
      <c r="P228" s="240" t="s">
        <v>20</v>
      </c>
      <c r="Q228" s="436" t="s">
        <v>20</v>
      </c>
      <c r="R228" s="237"/>
      <c r="S228" s="429"/>
    </row>
    <row r="229" spans="1:19">
      <c r="A229" s="240" t="s">
        <v>22</v>
      </c>
      <c r="B229" s="241">
        <v>0.36458333333333343</v>
      </c>
      <c r="C229" s="242">
        <v>0.375</v>
      </c>
      <c r="D229" s="430"/>
      <c r="E229" s="240"/>
      <c r="F229" s="240" t="s">
        <v>20</v>
      </c>
      <c r="G229" s="431"/>
      <c r="H229" s="430"/>
      <c r="I229" s="240"/>
      <c r="J229" s="240" t="s">
        <v>20</v>
      </c>
      <c r="K229" s="432"/>
      <c r="L229" s="433" t="s">
        <v>20</v>
      </c>
      <c r="M229" s="434"/>
      <c r="N229" s="433" t="s">
        <v>20</v>
      </c>
      <c r="O229" s="435"/>
      <c r="P229" s="240" t="s">
        <v>20</v>
      </c>
      <c r="Q229" s="436" t="s">
        <v>20</v>
      </c>
      <c r="R229" s="237"/>
      <c r="S229" s="429"/>
    </row>
    <row r="230" spans="1:19">
      <c r="A230" s="240" t="s">
        <v>22</v>
      </c>
      <c r="B230" s="241">
        <v>0.375</v>
      </c>
      <c r="C230" s="242">
        <v>0.3854166666666668</v>
      </c>
      <c r="D230" s="430"/>
      <c r="E230" s="240"/>
      <c r="F230" s="240" t="s">
        <v>20</v>
      </c>
      <c r="G230" s="431"/>
      <c r="H230" s="430"/>
      <c r="I230" s="240"/>
      <c r="J230" s="240" t="s">
        <v>20</v>
      </c>
      <c r="K230" s="432"/>
      <c r="L230" s="433" t="s">
        <v>20</v>
      </c>
      <c r="M230" s="434"/>
      <c r="N230" s="433" t="s">
        <v>20</v>
      </c>
      <c r="O230" s="435"/>
      <c r="P230" s="240" t="s">
        <v>20</v>
      </c>
      <c r="Q230" s="436" t="s">
        <v>20</v>
      </c>
      <c r="R230" s="237"/>
      <c r="S230" s="429"/>
    </row>
    <row r="231" spans="1:19">
      <c r="A231" s="240" t="s">
        <v>22</v>
      </c>
      <c r="B231" s="241">
        <v>0.3854166666666668</v>
      </c>
      <c r="C231" s="242">
        <v>0.39583333333333348</v>
      </c>
      <c r="D231" s="430"/>
      <c r="E231" s="240"/>
      <c r="F231" s="240" t="s">
        <v>20</v>
      </c>
      <c r="G231" s="431"/>
      <c r="H231" s="430"/>
      <c r="I231" s="240"/>
      <c r="J231" s="240" t="s">
        <v>20</v>
      </c>
      <c r="K231" s="432"/>
      <c r="L231" s="433" t="s">
        <v>20</v>
      </c>
      <c r="M231" s="434"/>
      <c r="N231" s="433" t="s">
        <v>20</v>
      </c>
      <c r="O231" s="435"/>
      <c r="P231" s="240" t="s">
        <v>20</v>
      </c>
      <c r="Q231" s="436" t="s">
        <v>20</v>
      </c>
      <c r="R231" s="237"/>
      <c r="S231" s="429"/>
    </row>
    <row r="232" spans="1:19">
      <c r="A232" s="240" t="s">
        <v>22</v>
      </c>
      <c r="B232" s="241">
        <v>0.39583333333333348</v>
      </c>
      <c r="C232" s="242">
        <v>0.40625</v>
      </c>
      <c r="D232" s="430"/>
      <c r="E232" s="240"/>
      <c r="F232" s="240" t="s">
        <v>20</v>
      </c>
      <c r="G232" s="431"/>
      <c r="H232" s="430"/>
      <c r="I232" s="240"/>
      <c r="J232" s="240" t="s">
        <v>20</v>
      </c>
      <c r="K232" s="432"/>
      <c r="L232" s="433" t="s">
        <v>20</v>
      </c>
      <c r="M232" s="434"/>
      <c r="N232" s="433" t="s">
        <v>20</v>
      </c>
      <c r="O232" s="435"/>
      <c r="P232" s="240" t="s">
        <v>20</v>
      </c>
      <c r="Q232" s="436" t="s">
        <v>20</v>
      </c>
      <c r="R232" s="237"/>
      <c r="S232" s="429"/>
    </row>
    <row r="233" spans="1:19">
      <c r="A233" s="240" t="s">
        <v>22</v>
      </c>
      <c r="B233" s="241">
        <v>0.40625</v>
      </c>
      <c r="C233" s="242">
        <v>0.41666666666666685</v>
      </c>
      <c r="D233" s="430"/>
      <c r="E233" s="240"/>
      <c r="F233" s="240" t="s">
        <v>20</v>
      </c>
      <c r="G233" s="431"/>
      <c r="H233" s="430"/>
      <c r="I233" s="240"/>
      <c r="J233" s="240" t="s">
        <v>20</v>
      </c>
      <c r="K233" s="432"/>
      <c r="L233" s="433" t="s">
        <v>20</v>
      </c>
      <c r="M233" s="434"/>
      <c r="N233" s="433" t="s">
        <v>20</v>
      </c>
      <c r="O233" s="435"/>
      <c r="P233" s="240" t="s">
        <v>20</v>
      </c>
      <c r="Q233" s="436" t="s">
        <v>20</v>
      </c>
      <c r="R233" s="237"/>
      <c r="S233" s="429"/>
    </row>
    <row r="234" spans="1:19">
      <c r="A234" s="240" t="s">
        <v>22</v>
      </c>
      <c r="B234" s="241">
        <v>0.41666666666666685</v>
      </c>
      <c r="C234" s="242">
        <v>0.42708333333333354</v>
      </c>
      <c r="D234" s="430"/>
      <c r="E234" s="240"/>
      <c r="F234" s="240" t="s">
        <v>20</v>
      </c>
      <c r="G234" s="431"/>
      <c r="H234" s="430"/>
      <c r="I234" s="240"/>
      <c r="J234" s="240" t="s">
        <v>20</v>
      </c>
      <c r="K234" s="432"/>
      <c r="L234" s="433" t="s">
        <v>20</v>
      </c>
      <c r="M234" s="434"/>
      <c r="N234" s="433" t="s">
        <v>20</v>
      </c>
      <c r="O234" s="435"/>
      <c r="P234" s="240" t="s">
        <v>20</v>
      </c>
      <c r="Q234" s="436" t="s">
        <v>20</v>
      </c>
      <c r="R234" s="237"/>
      <c r="S234" s="429"/>
    </row>
    <row r="235" spans="1:19">
      <c r="A235" s="240" t="s">
        <v>22</v>
      </c>
      <c r="B235" s="241">
        <v>0.42708333333333354</v>
      </c>
      <c r="C235" s="242">
        <v>0.4375</v>
      </c>
      <c r="D235" s="430"/>
      <c r="E235" s="240"/>
      <c r="F235" s="240" t="s">
        <v>20</v>
      </c>
      <c r="G235" s="431"/>
      <c r="H235" s="430"/>
      <c r="I235" s="240"/>
      <c r="J235" s="240" t="s">
        <v>20</v>
      </c>
      <c r="K235" s="432"/>
      <c r="L235" s="433" t="s">
        <v>20</v>
      </c>
      <c r="M235" s="434"/>
      <c r="N235" s="433" t="s">
        <v>20</v>
      </c>
      <c r="O235" s="435"/>
      <c r="P235" s="240" t="s">
        <v>20</v>
      </c>
      <c r="Q235" s="436" t="s">
        <v>20</v>
      </c>
      <c r="R235" s="237"/>
      <c r="S235" s="429"/>
    </row>
    <row r="236" spans="1:19">
      <c r="A236" s="240" t="s">
        <v>22</v>
      </c>
      <c r="B236" s="241">
        <v>0.4375</v>
      </c>
      <c r="C236" s="242">
        <v>0.44791666666666691</v>
      </c>
      <c r="D236" s="430"/>
      <c r="E236" s="240"/>
      <c r="F236" s="240" t="s">
        <v>20</v>
      </c>
      <c r="G236" s="431"/>
      <c r="H236" s="430"/>
      <c r="I236" s="240"/>
      <c r="J236" s="240" t="s">
        <v>20</v>
      </c>
      <c r="K236" s="432"/>
      <c r="L236" s="433" t="s">
        <v>20</v>
      </c>
      <c r="M236" s="434"/>
      <c r="N236" s="433" t="s">
        <v>20</v>
      </c>
      <c r="O236" s="435"/>
      <c r="P236" s="240" t="s">
        <v>20</v>
      </c>
      <c r="Q236" s="436" t="s">
        <v>20</v>
      </c>
      <c r="R236" s="237"/>
      <c r="S236" s="429"/>
    </row>
    <row r="237" spans="1:19">
      <c r="A237" s="240" t="s">
        <v>22</v>
      </c>
      <c r="B237" s="241">
        <v>0.44791666666666691</v>
      </c>
      <c r="C237" s="242">
        <v>0.45833333333333359</v>
      </c>
      <c r="D237" s="430"/>
      <c r="E237" s="240"/>
      <c r="F237" s="240" t="s">
        <v>20</v>
      </c>
      <c r="G237" s="431"/>
      <c r="H237" s="430"/>
      <c r="I237" s="240"/>
      <c r="J237" s="240" t="s">
        <v>20</v>
      </c>
      <c r="K237" s="432"/>
      <c r="L237" s="433" t="s">
        <v>20</v>
      </c>
      <c r="M237" s="434"/>
      <c r="N237" s="433" t="s">
        <v>20</v>
      </c>
      <c r="O237" s="435"/>
      <c r="P237" s="240" t="s">
        <v>20</v>
      </c>
      <c r="Q237" s="436" t="s">
        <v>20</v>
      </c>
      <c r="R237" s="237"/>
      <c r="S237" s="429"/>
    </row>
    <row r="238" spans="1:19">
      <c r="A238" s="240" t="s">
        <v>22</v>
      </c>
      <c r="B238" s="241">
        <v>0.45833333333333359</v>
      </c>
      <c r="C238" s="242">
        <v>0.46875</v>
      </c>
      <c r="D238" s="430"/>
      <c r="E238" s="240"/>
      <c r="F238" s="240" t="s">
        <v>20</v>
      </c>
      <c r="G238" s="431"/>
      <c r="H238" s="430"/>
      <c r="I238" s="240"/>
      <c r="J238" s="240" t="s">
        <v>20</v>
      </c>
      <c r="K238" s="432"/>
      <c r="L238" s="433" t="s">
        <v>20</v>
      </c>
      <c r="M238" s="434"/>
      <c r="N238" s="433" t="s">
        <v>20</v>
      </c>
      <c r="O238" s="435"/>
      <c r="P238" s="240" t="s">
        <v>20</v>
      </c>
      <c r="Q238" s="436" t="s">
        <v>20</v>
      </c>
      <c r="R238" s="237"/>
      <c r="S238" s="429"/>
    </row>
    <row r="239" spans="1:19">
      <c r="A239" s="240" t="s">
        <v>22</v>
      </c>
      <c r="B239" s="241">
        <v>0.46875</v>
      </c>
      <c r="C239" s="242">
        <v>0.47916666666666696</v>
      </c>
      <c r="D239" s="430"/>
      <c r="E239" s="240"/>
      <c r="F239" s="240" t="s">
        <v>20</v>
      </c>
      <c r="G239" s="431"/>
      <c r="H239" s="430"/>
      <c r="I239" s="240"/>
      <c r="J239" s="240" t="s">
        <v>20</v>
      </c>
      <c r="K239" s="432"/>
      <c r="L239" s="433" t="s">
        <v>20</v>
      </c>
      <c r="M239" s="434"/>
      <c r="N239" s="433" t="s">
        <v>20</v>
      </c>
      <c r="O239" s="435"/>
      <c r="P239" s="240" t="s">
        <v>20</v>
      </c>
      <c r="Q239" s="436" t="s">
        <v>20</v>
      </c>
      <c r="R239" s="237"/>
      <c r="S239" s="429"/>
    </row>
    <row r="240" spans="1:19">
      <c r="A240" s="240" t="s">
        <v>22</v>
      </c>
      <c r="B240" s="241">
        <v>0.47916666666666696</v>
      </c>
      <c r="C240" s="242">
        <v>0.48958333333333365</v>
      </c>
      <c r="D240" s="430"/>
      <c r="E240" s="240"/>
      <c r="F240" s="240" t="s">
        <v>20</v>
      </c>
      <c r="G240" s="431"/>
      <c r="H240" s="430"/>
      <c r="I240" s="240"/>
      <c r="J240" s="240" t="s">
        <v>20</v>
      </c>
      <c r="K240" s="432"/>
      <c r="L240" s="433" t="s">
        <v>20</v>
      </c>
      <c r="M240" s="434"/>
      <c r="N240" s="433" t="s">
        <v>20</v>
      </c>
      <c r="O240" s="435"/>
      <c r="P240" s="240" t="s">
        <v>20</v>
      </c>
      <c r="Q240" s="436" t="s">
        <v>20</v>
      </c>
      <c r="R240" s="237"/>
      <c r="S240" s="429"/>
    </row>
    <row r="241" spans="1:19">
      <c r="A241" s="240" t="s">
        <v>22</v>
      </c>
      <c r="B241" s="241">
        <v>0.48958333333333365</v>
      </c>
      <c r="C241" s="242">
        <v>0.5</v>
      </c>
      <c r="D241" s="430"/>
      <c r="E241" s="240"/>
      <c r="F241" s="240" t="s">
        <v>20</v>
      </c>
      <c r="G241" s="431"/>
      <c r="H241" s="430"/>
      <c r="I241" s="240"/>
      <c r="J241" s="240" t="s">
        <v>20</v>
      </c>
      <c r="K241" s="432"/>
      <c r="L241" s="433" t="s">
        <v>20</v>
      </c>
      <c r="M241" s="434"/>
      <c r="N241" s="433" t="s">
        <v>20</v>
      </c>
      <c r="O241" s="435"/>
      <c r="P241" s="240" t="s">
        <v>20</v>
      </c>
      <c r="Q241" s="436" t="s">
        <v>20</v>
      </c>
      <c r="R241" s="237"/>
      <c r="S241" s="429"/>
    </row>
    <row r="242" spans="1:19">
      <c r="A242" s="240" t="s">
        <v>22</v>
      </c>
      <c r="B242" s="241">
        <v>0.5</v>
      </c>
      <c r="C242" s="242">
        <v>0.51041666666666696</v>
      </c>
      <c r="D242" s="430"/>
      <c r="E242" s="240"/>
      <c r="F242" s="240" t="s">
        <v>20</v>
      </c>
      <c r="G242" s="431"/>
      <c r="H242" s="430"/>
      <c r="I242" s="240"/>
      <c r="J242" s="240" t="s">
        <v>20</v>
      </c>
      <c r="K242" s="432"/>
      <c r="L242" s="433" t="s">
        <v>20</v>
      </c>
      <c r="M242" s="434"/>
      <c r="N242" s="433" t="s">
        <v>20</v>
      </c>
      <c r="O242" s="435"/>
      <c r="P242" s="240" t="s">
        <v>20</v>
      </c>
      <c r="Q242" s="436" t="s">
        <v>20</v>
      </c>
      <c r="R242" s="237"/>
      <c r="S242" s="429"/>
    </row>
    <row r="243" spans="1:19">
      <c r="A243" s="240" t="s">
        <v>22</v>
      </c>
      <c r="B243" s="241">
        <v>0.51041666666666696</v>
      </c>
      <c r="C243" s="242">
        <v>0.52083333333333359</v>
      </c>
      <c r="D243" s="430"/>
      <c r="E243" s="240"/>
      <c r="F243" s="240" t="s">
        <v>20</v>
      </c>
      <c r="G243" s="431"/>
      <c r="H243" s="430"/>
      <c r="I243" s="240"/>
      <c r="J243" s="240" t="s">
        <v>20</v>
      </c>
      <c r="K243" s="432"/>
      <c r="L243" s="433" t="s">
        <v>20</v>
      </c>
      <c r="M243" s="434"/>
      <c r="N243" s="433" t="s">
        <v>20</v>
      </c>
      <c r="O243" s="435"/>
      <c r="P243" s="240" t="s">
        <v>20</v>
      </c>
      <c r="Q243" s="436" t="s">
        <v>20</v>
      </c>
      <c r="R243" s="237"/>
      <c r="S243" s="429"/>
    </row>
    <row r="244" spans="1:19">
      <c r="A244" s="240" t="s">
        <v>22</v>
      </c>
      <c r="B244" s="241">
        <v>0.52083333333333359</v>
      </c>
      <c r="C244" s="242">
        <v>0.53125</v>
      </c>
      <c r="D244" s="430"/>
      <c r="E244" s="240"/>
      <c r="F244" s="240" t="s">
        <v>20</v>
      </c>
      <c r="G244" s="431"/>
      <c r="H244" s="430"/>
      <c r="I244" s="240"/>
      <c r="J244" s="240" t="s">
        <v>20</v>
      </c>
      <c r="K244" s="432"/>
      <c r="L244" s="433" t="s">
        <v>20</v>
      </c>
      <c r="M244" s="434"/>
      <c r="N244" s="433" t="s">
        <v>20</v>
      </c>
      <c r="O244" s="435"/>
      <c r="P244" s="240" t="s">
        <v>20</v>
      </c>
      <c r="Q244" s="436" t="s">
        <v>20</v>
      </c>
      <c r="R244" s="237"/>
      <c r="S244" s="429"/>
    </row>
    <row r="245" spans="1:19">
      <c r="A245" s="240" t="s">
        <v>22</v>
      </c>
      <c r="B245" s="241">
        <v>0.53125</v>
      </c>
      <c r="C245" s="242">
        <v>0.54166666666666685</v>
      </c>
      <c r="D245" s="430"/>
      <c r="E245" s="240"/>
      <c r="F245" s="240" t="s">
        <v>20</v>
      </c>
      <c r="G245" s="431"/>
      <c r="H245" s="430"/>
      <c r="I245" s="240"/>
      <c r="J245" s="240" t="s">
        <v>20</v>
      </c>
      <c r="K245" s="432"/>
      <c r="L245" s="433" t="s">
        <v>20</v>
      </c>
      <c r="M245" s="434"/>
      <c r="N245" s="433" t="s">
        <v>20</v>
      </c>
      <c r="O245" s="435"/>
      <c r="P245" s="240" t="s">
        <v>20</v>
      </c>
      <c r="Q245" s="436" t="s">
        <v>20</v>
      </c>
      <c r="R245" s="237"/>
      <c r="S245" s="429"/>
    </row>
    <row r="246" spans="1:19">
      <c r="A246" s="240" t="s">
        <v>22</v>
      </c>
      <c r="B246" s="241">
        <v>0.54166666666666685</v>
      </c>
      <c r="C246" s="242">
        <v>0.55208333333333348</v>
      </c>
      <c r="D246" s="430"/>
      <c r="E246" s="240"/>
      <c r="F246" s="240" t="s">
        <v>20</v>
      </c>
      <c r="G246" s="431"/>
      <c r="H246" s="430"/>
      <c r="I246" s="240"/>
      <c r="J246" s="240" t="s">
        <v>20</v>
      </c>
      <c r="K246" s="432"/>
      <c r="L246" s="433" t="s">
        <v>20</v>
      </c>
      <c r="M246" s="434"/>
      <c r="N246" s="433" t="s">
        <v>20</v>
      </c>
      <c r="O246" s="435"/>
      <c r="P246" s="240" t="s">
        <v>20</v>
      </c>
      <c r="Q246" s="436" t="s">
        <v>20</v>
      </c>
      <c r="R246" s="237"/>
      <c r="S246" s="429"/>
    </row>
    <row r="247" spans="1:19">
      <c r="A247" s="240" t="s">
        <v>22</v>
      </c>
      <c r="B247" s="241">
        <v>0.55208333333333348</v>
      </c>
      <c r="C247" s="242">
        <v>0.5625</v>
      </c>
      <c r="D247" s="430"/>
      <c r="E247" s="240"/>
      <c r="F247" s="240" t="s">
        <v>20</v>
      </c>
      <c r="G247" s="431"/>
      <c r="H247" s="430"/>
      <c r="I247" s="240"/>
      <c r="J247" s="240" t="s">
        <v>20</v>
      </c>
      <c r="K247" s="432"/>
      <c r="L247" s="433" t="s">
        <v>20</v>
      </c>
      <c r="M247" s="434"/>
      <c r="N247" s="433" t="s">
        <v>20</v>
      </c>
      <c r="O247" s="435"/>
      <c r="P247" s="240" t="s">
        <v>20</v>
      </c>
      <c r="Q247" s="436" t="s">
        <v>20</v>
      </c>
      <c r="R247" s="237"/>
      <c r="S247" s="429"/>
    </row>
    <row r="248" spans="1:19">
      <c r="A248" s="240" t="s">
        <v>22</v>
      </c>
      <c r="B248" s="241">
        <v>0.5625</v>
      </c>
      <c r="C248" s="242">
        <v>0.57291666666666674</v>
      </c>
      <c r="D248" s="430"/>
      <c r="E248" s="240"/>
      <c r="F248" s="240" t="s">
        <v>20</v>
      </c>
      <c r="G248" s="431"/>
      <c r="H248" s="430"/>
      <c r="I248" s="240"/>
      <c r="J248" s="240" t="s">
        <v>20</v>
      </c>
      <c r="K248" s="432"/>
      <c r="L248" s="433" t="s">
        <v>20</v>
      </c>
      <c r="M248" s="434"/>
      <c r="N248" s="433" t="s">
        <v>20</v>
      </c>
      <c r="O248" s="435"/>
      <c r="P248" s="240" t="s">
        <v>20</v>
      </c>
      <c r="Q248" s="436" t="s">
        <v>20</v>
      </c>
      <c r="R248" s="237"/>
      <c r="S248" s="429"/>
    </row>
    <row r="249" spans="1:19">
      <c r="A249" s="240" t="s">
        <v>22</v>
      </c>
      <c r="B249" s="241">
        <v>0.57291666666666674</v>
      </c>
      <c r="C249" s="242">
        <v>0.58333333333333337</v>
      </c>
      <c r="D249" s="430"/>
      <c r="E249" s="240"/>
      <c r="F249" s="240" t="s">
        <v>20</v>
      </c>
      <c r="G249" s="431"/>
      <c r="H249" s="430"/>
      <c r="I249" s="240"/>
      <c r="J249" s="240" t="s">
        <v>20</v>
      </c>
      <c r="K249" s="432"/>
      <c r="L249" s="433" t="s">
        <v>20</v>
      </c>
      <c r="M249" s="434"/>
      <c r="N249" s="433" t="s">
        <v>20</v>
      </c>
      <c r="O249" s="435"/>
      <c r="P249" s="240" t="s">
        <v>20</v>
      </c>
      <c r="Q249" s="436" t="s">
        <v>20</v>
      </c>
      <c r="R249" s="237"/>
      <c r="S249" s="429"/>
    </row>
    <row r="250" spans="1:19">
      <c r="A250" s="240" t="s">
        <v>22</v>
      </c>
      <c r="B250" s="241">
        <v>0.58333333333333337</v>
      </c>
      <c r="C250" s="242">
        <v>0.59375</v>
      </c>
      <c r="D250" s="430"/>
      <c r="E250" s="240"/>
      <c r="F250" s="240" t="s">
        <v>20</v>
      </c>
      <c r="G250" s="431"/>
      <c r="H250" s="430"/>
      <c r="I250" s="240"/>
      <c r="J250" s="240" t="s">
        <v>20</v>
      </c>
      <c r="K250" s="432"/>
      <c r="L250" s="433" t="s">
        <v>20</v>
      </c>
      <c r="M250" s="434"/>
      <c r="N250" s="433" t="s">
        <v>20</v>
      </c>
      <c r="O250" s="435"/>
      <c r="P250" s="240" t="s">
        <v>20</v>
      </c>
      <c r="Q250" s="436" t="s">
        <v>20</v>
      </c>
      <c r="R250" s="237"/>
      <c r="S250" s="429"/>
    </row>
    <row r="251" spans="1:19">
      <c r="A251" s="240" t="s">
        <v>22</v>
      </c>
      <c r="B251" s="241">
        <v>0.59375</v>
      </c>
      <c r="C251" s="242">
        <v>0.60416666666666663</v>
      </c>
      <c r="D251" s="430"/>
      <c r="E251" s="240"/>
      <c r="F251" s="240" t="s">
        <v>20</v>
      </c>
      <c r="G251" s="431"/>
      <c r="H251" s="430"/>
      <c r="I251" s="240"/>
      <c r="J251" s="240" t="s">
        <v>20</v>
      </c>
      <c r="K251" s="432"/>
      <c r="L251" s="433" t="s">
        <v>20</v>
      </c>
      <c r="M251" s="434"/>
      <c r="N251" s="433" t="s">
        <v>20</v>
      </c>
      <c r="O251" s="435"/>
      <c r="P251" s="240" t="s">
        <v>20</v>
      </c>
      <c r="Q251" s="436" t="s">
        <v>20</v>
      </c>
      <c r="R251" s="237"/>
      <c r="S251" s="429"/>
    </row>
    <row r="252" spans="1:19">
      <c r="A252" s="240" t="s">
        <v>22</v>
      </c>
      <c r="B252" s="241">
        <v>0.60416666666666663</v>
      </c>
      <c r="C252" s="242">
        <v>0.61458333333333326</v>
      </c>
      <c r="D252" s="430"/>
      <c r="E252" s="240"/>
      <c r="F252" s="240" t="s">
        <v>20</v>
      </c>
      <c r="G252" s="431"/>
      <c r="H252" s="430"/>
      <c r="I252" s="240"/>
      <c r="J252" s="240" t="s">
        <v>20</v>
      </c>
      <c r="K252" s="432"/>
      <c r="L252" s="433" t="s">
        <v>20</v>
      </c>
      <c r="M252" s="434"/>
      <c r="N252" s="433" t="s">
        <v>20</v>
      </c>
      <c r="O252" s="435"/>
      <c r="P252" s="240" t="s">
        <v>20</v>
      </c>
      <c r="Q252" s="436" t="s">
        <v>20</v>
      </c>
      <c r="R252" s="237"/>
      <c r="S252" s="429"/>
    </row>
    <row r="253" spans="1:19">
      <c r="A253" s="240" t="s">
        <v>22</v>
      </c>
      <c r="B253" s="241">
        <v>0.61458333333333337</v>
      </c>
      <c r="C253" s="242">
        <v>0.625</v>
      </c>
      <c r="D253" s="430"/>
      <c r="E253" s="240"/>
      <c r="F253" s="240" t="s">
        <v>20</v>
      </c>
      <c r="G253" s="431"/>
      <c r="H253" s="430"/>
      <c r="I253" s="240"/>
      <c r="J253" s="240" t="s">
        <v>20</v>
      </c>
      <c r="K253" s="432"/>
      <c r="L253" s="433" t="s">
        <v>20</v>
      </c>
      <c r="M253" s="434"/>
      <c r="N253" s="433" t="s">
        <v>20</v>
      </c>
      <c r="O253" s="435"/>
      <c r="P253" s="240" t="s">
        <v>20</v>
      </c>
      <c r="Q253" s="436" t="s">
        <v>20</v>
      </c>
      <c r="R253" s="237"/>
      <c r="S253" s="429"/>
    </row>
    <row r="254" spans="1:19">
      <c r="A254" s="240" t="s">
        <v>22</v>
      </c>
      <c r="B254" s="241">
        <v>0.625</v>
      </c>
      <c r="C254" s="242">
        <v>0.63541666666666652</v>
      </c>
      <c r="D254" s="430"/>
      <c r="E254" s="240"/>
      <c r="F254" s="240" t="s">
        <v>20</v>
      </c>
      <c r="G254" s="431"/>
      <c r="H254" s="430"/>
      <c r="I254" s="240"/>
      <c r="J254" s="240" t="s">
        <v>20</v>
      </c>
      <c r="K254" s="432"/>
      <c r="L254" s="433" t="s">
        <v>20</v>
      </c>
      <c r="M254" s="434"/>
      <c r="N254" s="433" t="s">
        <v>20</v>
      </c>
      <c r="O254" s="435"/>
      <c r="P254" s="240" t="s">
        <v>20</v>
      </c>
      <c r="Q254" s="436" t="s">
        <v>20</v>
      </c>
      <c r="R254" s="237"/>
      <c r="S254" s="429"/>
    </row>
    <row r="255" spans="1:19">
      <c r="A255" s="240" t="s">
        <v>22</v>
      </c>
      <c r="B255" s="241">
        <v>0.63541666666666663</v>
      </c>
      <c r="C255" s="242">
        <v>0.64583333333333315</v>
      </c>
      <c r="D255" s="430"/>
      <c r="E255" s="240"/>
      <c r="F255" s="240" t="s">
        <v>20</v>
      </c>
      <c r="G255" s="431"/>
      <c r="H255" s="430"/>
      <c r="I255" s="240"/>
      <c r="J255" s="240" t="s">
        <v>20</v>
      </c>
      <c r="K255" s="432"/>
      <c r="L255" s="433" t="s">
        <v>20</v>
      </c>
      <c r="M255" s="434"/>
      <c r="N255" s="433" t="s">
        <v>20</v>
      </c>
      <c r="O255" s="435"/>
      <c r="P255" s="240" t="s">
        <v>20</v>
      </c>
      <c r="Q255" s="436" t="s">
        <v>20</v>
      </c>
      <c r="R255" s="237"/>
      <c r="S255" s="429"/>
    </row>
    <row r="256" spans="1:19">
      <c r="A256" s="240" t="s">
        <v>22</v>
      </c>
      <c r="B256" s="241">
        <v>0.64583333333333337</v>
      </c>
      <c r="C256" s="242">
        <v>0.65625</v>
      </c>
      <c r="D256" s="430"/>
      <c r="E256" s="240"/>
      <c r="F256" s="240" t="s">
        <v>20</v>
      </c>
      <c r="G256" s="431"/>
      <c r="H256" s="430"/>
      <c r="I256" s="240"/>
      <c r="J256" s="240" t="s">
        <v>20</v>
      </c>
      <c r="K256" s="432"/>
      <c r="L256" s="433" t="s">
        <v>20</v>
      </c>
      <c r="M256" s="434"/>
      <c r="N256" s="433" t="s">
        <v>20</v>
      </c>
      <c r="O256" s="435"/>
      <c r="P256" s="240" t="s">
        <v>20</v>
      </c>
      <c r="Q256" s="436" t="s">
        <v>20</v>
      </c>
      <c r="R256" s="237"/>
      <c r="S256" s="429"/>
    </row>
    <row r="257" spans="1:19">
      <c r="A257" s="240" t="s">
        <v>22</v>
      </c>
      <c r="B257" s="241">
        <v>0.65625</v>
      </c>
      <c r="C257" s="242">
        <v>0.66666666666666641</v>
      </c>
      <c r="D257" s="430"/>
      <c r="E257" s="240"/>
      <c r="F257" s="240" t="s">
        <v>20</v>
      </c>
      <c r="G257" s="431"/>
      <c r="H257" s="430"/>
      <c r="I257" s="240"/>
      <c r="J257" s="240" t="s">
        <v>20</v>
      </c>
      <c r="K257" s="432"/>
      <c r="L257" s="433" t="s">
        <v>20</v>
      </c>
      <c r="M257" s="434"/>
      <c r="N257" s="433" t="s">
        <v>20</v>
      </c>
      <c r="O257" s="435"/>
      <c r="P257" s="240" t="s">
        <v>20</v>
      </c>
      <c r="Q257" s="436" t="s">
        <v>20</v>
      </c>
      <c r="R257" s="237"/>
      <c r="S257" s="429"/>
    </row>
    <row r="258" spans="1:19">
      <c r="A258" s="240" t="s">
        <v>22</v>
      </c>
      <c r="B258" s="241">
        <v>0.66666666666666663</v>
      </c>
      <c r="C258" s="242">
        <v>0.67708333333333304</v>
      </c>
      <c r="D258" s="430"/>
      <c r="E258" s="240"/>
      <c r="F258" s="240" t="s">
        <v>20</v>
      </c>
      <c r="G258" s="431"/>
      <c r="H258" s="430"/>
      <c r="I258" s="240"/>
      <c r="J258" s="240" t="s">
        <v>20</v>
      </c>
      <c r="K258" s="432"/>
      <c r="L258" s="433" t="s">
        <v>20</v>
      </c>
      <c r="M258" s="434"/>
      <c r="N258" s="433" t="s">
        <v>20</v>
      </c>
      <c r="O258" s="435"/>
      <c r="P258" s="240" t="s">
        <v>20</v>
      </c>
      <c r="Q258" s="436" t="s">
        <v>20</v>
      </c>
      <c r="R258" s="237"/>
      <c r="S258" s="429"/>
    </row>
    <row r="259" spans="1:19">
      <c r="A259" s="240" t="s">
        <v>22</v>
      </c>
      <c r="B259" s="241">
        <v>0.67708333333333337</v>
      </c>
      <c r="C259" s="242">
        <v>0.6875</v>
      </c>
      <c r="D259" s="430"/>
      <c r="E259" s="240"/>
      <c r="F259" s="240" t="s">
        <v>20</v>
      </c>
      <c r="G259" s="431"/>
      <c r="H259" s="430"/>
      <c r="I259" s="240"/>
      <c r="J259" s="240" t="s">
        <v>20</v>
      </c>
      <c r="K259" s="432"/>
      <c r="L259" s="433" t="s">
        <v>20</v>
      </c>
      <c r="M259" s="434"/>
      <c r="N259" s="433" t="s">
        <v>20</v>
      </c>
      <c r="O259" s="435"/>
      <c r="P259" s="240" t="s">
        <v>20</v>
      </c>
      <c r="Q259" s="436" t="s">
        <v>20</v>
      </c>
      <c r="R259" s="237"/>
      <c r="S259" s="429"/>
    </row>
    <row r="260" spans="1:19">
      <c r="A260" s="240" t="s">
        <v>22</v>
      </c>
      <c r="B260" s="241">
        <v>0.6875</v>
      </c>
      <c r="C260" s="242">
        <v>0.6979166666666663</v>
      </c>
      <c r="D260" s="430"/>
      <c r="E260" s="240"/>
      <c r="F260" s="240" t="s">
        <v>20</v>
      </c>
      <c r="G260" s="431"/>
      <c r="H260" s="430"/>
      <c r="I260" s="240"/>
      <c r="J260" s="240" t="s">
        <v>20</v>
      </c>
      <c r="K260" s="432"/>
      <c r="L260" s="433" t="s">
        <v>20</v>
      </c>
      <c r="M260" s="434"/>
      <c r="N260" s="433" t="s">
        <v>20</v>
      </c>
      <c r="O260" s="435"/>
      <c r="P260" s="240" t="s">
        <v>20</v>
      </c>
      <c r="Q260" s="436" t="s">
        <v>20</v>
      </c>
      <c r="R260" s="237"/>
      <c r="S260" s="429"/>
    </row>
    <row r="261" spans="1:19">
      <c r="A261" s="240" t="s">
        <v>22</v>
      </c>
      <c r="B261" s="241">
        <v>0.69791666666666663</v>
      </c>
      <c r="C261" s="242">
        <v>0.70833333333333293</v>
      </c>
      <c r="D261" s="430"/>
      <c r="E261" s="240"/>
      <c r="F261" s="240" t="s">
        <v>20</v>
      </c>
      <c r="G261" s="431"/>
      <c r="H261" s="430"/>
      <c r="I261" s="240"/>
      <c r="J261" s="240" t="s">
        <v>20</v>
      </c>
      <c r="K261" s="432"/>
      <c r="L261" s="433" t="s">
        <v>20</v>
      </c>
      <c r="M261" s="434"/>
      <c r="N261" s="433" t="s">
        <v>20</v>
      </c>
      <c r="O261" s="435"/>
      <c r="P261" s="240" t="s">
        <v>20</v>
      </c>
      <c r="Q261" s="436" t="s">
        <v>20</v>
      </c>
      <c r="R261" s="237"/>
      <c r="S261" s="429"/>
    </row>
    <row r="262" spans="1:19">
      <c r="A262" s="240" t="s">
        <v>22</v>
      </c>
      <c r="B262" s="241">
        <v>0.70833333333333337</v>
      </c>
      <c r="C262" s="242">
        <v>0.71875</v>
      </c>
      <c r="D262" s="430"/>
      <c r="E262" s="240"/>
      <c r="F262" s="240" t="s">
        <v>20</v>
      </c>
      <c r="G262" s="431"/>
      <c r="H262" s="430"/>
      <c r="I262" s="240"/>
      <c r="J262" s="240" t="s">
        <v>20</v>
      </c>
      <c r="K262" s="432"/>
      <c r="L262" s="433" t="s">
        <v>20</v>
      </c>
      <c r="M262" s="434"/>
      <c r="N262" s="433" t="s">
        <v>20</v>
      </c>
      <c r="O262" s="435"/>
      <c r="P262" s="240" t="s">
        <v>20</v>
      </c>
      <c r="Q262" s="436" t="s">
        <v>20</v>
      </c>
      <c r="R262" s="237"/>
      <c r="S262" s="429"/>
    </row>
    <row r="263" spans="1:19">
      <c r="A263" s="240" t="s">
        <v>22</v>
      </c>
      <c r="B263" s="241">
        <v>0.71875</v>
      </c>
      <c r="C263" s="242">
        <v>0.72916666666666619</v>
      </c>
      <c r="D263" s="430"/>
      <c r="E263" s="240"/>
      <c r="F263" s="240" t="s">
        <v>20</v>
      </c>
      <c r="G263" s="431"/>
      <c r="H263" s="430"/>
      <c r="I263" s="240"/>
      <c r="J263" s="240" t="s">
        <v>20</v>
      </c>
      <c r="K263" s="432"/>
      <c r="L263" s="433" t="s">
        <v>20</v>
      </c>
      <c r="M263" s="434"/>
      <c r="N263" s="433" t="s">
        <v>20</v>
      </c>
      <c r="O263" s="435"/>
      <c r="P263" s="240" t="s">
        <v>20</v>
      </c>
      <c r="Q263" s="436" t="s">
        <v>20</v>
      </c>
      <c r="R263" s="237"/>
      <c r="S263" s="429"/>
    </row>
    <row r="264" spans="1:19">
      <c r="A264" s="240" t="s">
        <v>22</v>
      </c>
      <c r="B264" s="241">
        <v>0.72916666666666663</v>
      </c>
      <c r="C264" s="242">
        <v>0.73958333333333282</v>
      </c>
      <c r="D264" s="430"/>
      <c r="E264" s="240"/>
      <c r="F264" s="240" t="s">
        <v>20</v>
      </c>
      <c r="G264" s="431"/>
      <c r="H264" s="430"/>
      <c r="I264" s="240"/>
      <c r="J264" s="240" t="s">
        <v>20</v>
      </c>
      <c r="K264" s="432"/>
      <c r="L264" s="433" t="s">
        <v>20</v>
      </c>
      <c r="M264" s="434"/>
      <c r="N264" s="433" t="s">
        <v>20</v>
      </c>
      <c r="O264" s="435"/>
      <c r="P264" s="240" t="s">
        <v>20</v>
      </c>
      <c r="Q264" s="436" t="s">
        <v>20</v>
      </c>
      <c r="R264" s="237"/>
      <c r="S264" s="429"/>
    </row>
    <row r="265" spans="1:19">
      <c r="A265" s="240" t="s">
        <v>22</v>
      </c>
      <c r="B265" s="241">
        <v>0.73958333333333337</v>
      </c>
      <c r="C265" s="242">
        <v>0.74999999999999944</v>
      </c>
      <c r="D265" s="430"/>
      <c r="E265" s="240"/>
      <c r="F265" s="240" t="s">
        <v>20</v>
      </c>
      <c r="G265" s="431"/>
      <c r="H265" s="430"/>
      <c r="I265" s="240"/>
      <c r="J265" s="240" t="s">
        <v>20</v>
      </c>
      <c r="K265" s="432"/>
      <c r="L265" s="433" t="s">
        <v>20</v>
      </c>
      <c r="M265" s="434"/>
      <c r="N265" s="433" t="s">
        <v>20</v>
      </c>
      <c r="O265" s="435"/>
      <c r="P265" s="240" t="s">
        <v>20</v>
      </c>
      <c r="Q265" s="436" t="s">
        <v>20</v>
      </c>
      <c r="R265" s="237"/>
      <c r="S265" s="429"/>
    </row>
    <row r="266" spans="1:19">
      <c r="A266" s="240" t="s">
        <v>22</v>
      </c>
      <c r="B266" s="241">
        <v>0.75</v>
      </c>
      <c r="C266" s="242">
        <v>0.76041666666666607</v>
      </c>
      <c r="D266" s="430"/>
      <c r="E266" s="240"/>
      <c r="F266" s="240" t="s">
        <v>20</v>
      </c>
      <c r="G266" s="431"/>
      <c r="H266" s="430"/>
      <c r="I266" s="240"/>
      <c r="J266" s="240" t="s">
        <v>20</v>
      </c>
      <c r="K266" s="432"/>
      <c r="L266" s="433" t="s">
        <v>20</v>
      </c>
      <c r="M266" s="434"/>
      <c r="N266" s="433" t="s">
        <v>20</v>
      </c>
      <c r="O266" s="435"/>
      <c r="P266" s="240" t="s">
        <v>20</v>
      </c>
      <c r="Q266" s="436" t="s">
        <v>20</v>
      </c>
      <c r="R266" s="237"/>
      <c r="S266" s="429"/>
    </row>
    <row r="267" spans="1:19">
      <c r="A267" s="240" t="s">
        <v>22</v>
      </c>
      <c r="B267" s="241">
        <v>0.76041666666666663</v>
      </c>
      <c r="C267" s="242">
        <v>0.7708333333333327</v>
      </c>
      <c r="D267" s="430"/>
      <c r="E267" s="240"/>
      <c r="F267" s="240" t="s">
        <v>20</v>
      </c>
      <c r="G267" s="431"/>
      <c r="H267" s="430"/>
      <c r="I267" s="240"/>
      <c r="J267" s="240" t="s">
        <v>20</v>
      </c>
      <c r="K267" s="432"/>
      <c r="L267" s="433" t="s">
        <v>20</v>
      </c>
      <c r="M267" s="434"/>
      <c r="N267" s="433" t="s">
        <v>20</v>
      </c>
      <c r="O267" s="435"/>
      <c r="P267" s="240" t="s">
        <v>20</v>
      </c>
      <c r="Q267" s="436" t="s">
        <v>20</v>
      </c>
      <c r="R267" s="237"/>
      <c r="S267" s="429"/>
    </row>
    <row r="268" spans="1:19">
      <c r="A268" s="240" t="s">
        <v>22</v>
      </c>
      <c r="B268" s="241">
        <v>0.77083333333333337</v>
      </c>
      <c r="C268" s="242">
        <v>0.78124999999999933</v>
      </c>
      <c r="D268" s="430"/>
      <c r="E268" s="240"/>
      <c r="F268" s="240" t="s">
        <v>20</v>
      </c>
      <c r="G268" s="431"/>
      <c r="H268" s="430"/>
      <c r="I268" s="240"/>
      <c r="J268" s="240" t="s">
        <v>20</v>
      </c>
      <c r="K268" s="432"/>
      <c r="L268" s="433" t="s">
        <v>20</v>
      </c>
      <c r="M268" s="434"/>
      <c r="N268" s="433" t="s">
        <v>20</v>
      </c>
      <c r="O268" s="435"/>
      <c r="P268" s="240" t="s">
        <v>20</v>
      </c>
      <c r="Q268" s="436" t="s">
        <v>20</v>
      </c>
      <c r="R268" s="237"/>
      <c r="S268" s="429"/>
    </row>
    <row r="269" spans="1:19">
      <c r="A269" s="240" t="s">
        <v>22</v>
      </c>
      <c r="B269" s="241">
        <v>0.78125</v>
      </c>
      <c r="C269" s="242">
        <v>0.79166666666666596</v>
      </c>
      <c r="D269" s="430"/>
      <c r="E269" s="240"/>
      <c r="F269" s="240" t="s">
        <v>20</v>
      </c>
      <c r="G269" s="431"/>
      <c r="H269" s="430"/>
      <c r="I269" s="240"/>
      <c r="J269" s="240" t="s">
        <v>20</v>
      </c>
      <c r="K269" s="432"/>
      <c r="L269" s="433" t="s">
        <v>20</v>
      </c>
      <c r="M269" s="434"/>
      <c r="N269" s="433" t="s">
        <v>20</v>
      </c>
      <c r="O269" s="435"/>
      <c r="P269" s="240" t="s">
        <v>20</v>
      </c>
      <c r="Q269" s="436" t="s">
        <v>20</v>
      </c>
      <c r="R269" s="237"/>
      <c r="S269" s="429"/>
    </row>
    <row r="270" spans="1:19">
      <c r="A270" s="240" t="s">
        <v>22</v>
      </c>
      <c r="B270" s="241">
        <v>0.79166666666666663</v>
      </c>
      <c r="C270" s="242">
        <v>0.80208333333333259</v>
      </c>
      <c r="D270" s="430"/>
      <c r="E270" s="240"/>
      <c r="F270" s="240" t="s">
        <v>20</v>
      </c>
      <c r="G270" s="431"/>
      <c r="H270" s="430"/>
      <c r="I270" s="240"/>
      <c r="J270" s="240" t="s">
        <v>20</v>
      </c>
      <c r="K270" s="432"/>
      <c r="L270" s="433" t="s">
        <v>20</v>
      </c>
      <c r="M270" s="434"/>
      <c r="N270" s="433" t="s">
        <v>20</v>
      </c>
      <c r="O270" s="435"/>
      <c r="P270" s="240" t="s">
        <v>20</v>
      </c>
      <c r="Q270" s="436" t="s">
        <v>20</v>
      </c>
      <c r="R270" s="237"/>
      <c r="S270" s="429"/>
    </row>
    <row r="271" spans="1:19">
      <c r="A271" s="240" t="s">
        <v>22</v>
      </c>
      <c r="B271" s="241">
        <v>0.80208333333333337</v>
      </c>
      <c r="C271" s="242">
        <v>0.81249999999999922</v>
      </c>
      <c r="D271" s="430"/>
      <c r="E271" s="240"/>
      <c r="F271" s="240" t="s">
        <v>20</v>
      </c>
      <c r="G271" s="431"/>
      <c r="H271" s="430"/>
      <c r="I271" s="240"/>
      <c r="J271" s="240" t="s">
        <v>20</v>
      </c>
      <c r="K271" s="432"/>
      <c r="L271" s="433" t="s">
        <v>20</v>
      </c>
      <c r="M271" s="434"/>
      <c r="N271" s="433" t="s">
        <v>20</v>
      </c>
      <c r="O271" s="435"/>
      <c r="P271" s="240" t="s">
        <v>20</v>
      </c>
      <c r="Q271" s="436" t="s">
        <v>20</v>
      </c>
      <c r="R271" s="237"/>
      <c r="S271" s="429"/>
    </row>
    <row r="272" spans="1:19">
      <c r="A272" s="240" t="s">
        <v>22</v>
      </c>
      <c r="B272" s="241">
        <v>0.8125</v>
      </c>
      <c r="C272" s="242">
        <v>0.82291666666666585</v>
      </c>
      <c r="D272" s="430"/>
      <c r="E272" s="240"/>
      <c r="F272" s="240" t="s">
        <v>20</v>
      </c>
      <c r="G272" s="431"/>
      <c r="H272" s="430"/>
      <c r="I272" s="240"/>
      <c r="J272" s="240" t="s">
        <v>20</v>
      </c>
      <c r="K272" s="432"/>
      <c r="L272" s="433" t="s">
        <v>20</v>
      </c>
      <c r="M272" s="434"/>
      <c r="N272" s="433" t="s">
        <v>20</v>
      </c>
      <c r="O272" s="435"/>
      <c r="P272" s="240" t="s">
        <v>20</v>
      </c>
      <c r="Q272" s="436" t="s">
        <v>20</v>
      </c>
      <c r="R272" s="237"/>
      <c r="S272" s="429"/>
    </row>
    <row r="273" spans="1:19">
      <c r="A273" s="240" t="s">
        <v>22</v>
      </c>
      <c r="B273" s="241">
        <v>0.82291666666666663</v>
      </c>
      <c r="C273" s="242">
        <v>0.83333333333333248</v>
      </c>
      <c r="D273" s="430"/>
      <c r="E273" s="240"/>
      <c r="F273" s="240" t="s">
        <v>20</v>
      </c>
      <c r="G273" s="431"/>
      <c r="H273" s="430"/>
      <c r="I273" s="240"/>
      <c r="J273" s="240" t="s">
        <v>20</v>
      </c>
      <c r="K273" s="432"/>
      <c r="L273" s="433" t="s">
        <v>20</v>
      </c>
      <c r="M273" s="434"/>
      <c r="N273" s="433" t="s">
        <v>20</v>
      </c>
      <c r="O273" s="435"/>
      <c r="P273" s="240" t="s">
        <v>20</v>
      </c>
      <c r="Q273" s="436" t="s">
        <v>20</v>
      </c>
      <c r="R273" s="237"/>
      <c r="S273" s="429"/>
    </row>
    <row r="274" spans="1:19">
      <c r="A274" s="240" t="s">
        <v>22</v>
      </c>
      <c r="B274" s="241">
        <v>0.83333333333333337</v>
      </c>
      <c r="C274" s="242">
        <v>0.84374999999999911</v>
      </c>
      <c r="D274" s="430"/>
      <c r="E274" s="240"/>
      <c r="F274" s="240" t="s">
        <v>20</v>
      </c>
      <c r="G274" s="431"/>
      <c r="H274" s="430"/>
      <c r="I274" s="240"/>
      <c r="J274" s="240" t="s">
        <v>20</v>
      </c>
      <c r="K274" s="432"/>
      <c r="L274" s="433" t="s">
        <v>20</v>
      </c>
      <c r="M274" s="434"/>
      <c r="N274" s="433" t="s">
        <v>20</v>
      </c>
      <c r="O274" s="435"/>
      <c r="P274" s="240" t="s">
        <v>20</v>
      </c>
      <c r="Q274" s="436" t="s">
        <v>20</v>
      </c>
      <c r="R274" s="237"/>
      <c r="S274" s="429"/>
    </row>
    <row r="275" spans="1:19">
      <c r="A275" s="240" t="s">
        <v>22</v>
      </c>
      <c r="B275" s="241">
        <v>0.84375</v>
      </c>
      <c r="C275" s="242">
        <v>0.85416666666666574</v>
      </c>
      <c r="D275" s="430"/>
      <c r="E275" s="240"/>
      <c r="F275" s="240" t="s">
        <v>20</v>
      </c>
      <c r="G275" s="431"/>
      <c r="H275" s="430"/>
      <c r="I275" s="240"/>
      <c r="J275" s="240" t="s">
        <v>20</v>
      </c>
      <c r="K275" s="432"/>
      <c r="L275" s="433" t="s">
        <v>20</v>
      </c>
      <c r="M275" s="434"/>
      <c r="N275" s="433" t="s">
        <v>20</v>
      </c>
      <c r="O275" s="435"/>
      <c r="P275" s="240" t="s">
        <v>20</v>
      </c>
      <c r="Q275" s="436" t="s">
        <v>20</v>
      </c>
      <c r="R275" s="237"/>
      <c r="S275" s="429"/>
    </row>
    <row r="276" spans="1:19">
      <c r="A276" s="240" t="s">
        <v>22</v>
      </c>
      <c r="B276" s="241">
        <v>0.85416666666666663</v>
      </c>
      <c r="C276" s="242">
        <v>0.86458333333333237</v>
      </c>
      <c r="D276" s="430"/>
      <c r="E276" s="240"/>
      <c r="F276" s="240" t="s">
        <v>20</v>
      </c>
      <c r="G276" s="431"/>
      <c r="H276" s="430"/>
      <c r="I276" s="240"/>
      <c r="J276" s="240" t="s">
        <v>20</v>
      </c>
      <c r="K276" s="432"/>
      <c r="L276" s="433" t="s">
        <v>20</v>
      </c>
      <c r="M276" s="434"/>
      <c r="N276" s="433" t="s">
        <v>20</v>
      </c>
      <c r="O276" s="435"/>
      <c r="P276" s="240" t="s">
        <v>20</v>
      </c>
      <c r="Q276" s="436" t="s">
        <v>20</v>
      </c>
      <c r="R276" s="237"/>
      <c r="S276" s="429"/>
    </row>
    <row r="277" spans="1:19">
      <c r="A277" s="240" t="s">
        <v>22</v>
      </c>
      <c r="B277" s="241">
        <v>0.86458333333333337</v>
      </c>
      <c r="C277" s="242">
        <v>0.874999999999999</v>
      </c>
      <c r="D277" s="430"/>
      <c r="E277" s="240"/>
      <c r="F277" s="240" t="s">
        <v>20</v>
      </c>
      <c r="G277" s="431"/>
      <c r="H277" s="430"/>
      <c r="I277" s="240"/>
      <c r="J277" s="240" t="s">
        <v>20</v>
      </c>
      <c r="K277" s="432"/>
      <c r="L277" s="433" t="s">
        <v>20</v>
      </c>
      <c r="M277" s="434"/>
      <c r="N277" s="433" t="s">
        <v>20</v>
      </c>
      <c r="O277" s="435"/>
      <c r="P277" s="240" t="s">
        <v>20</v>
      </c>
      <c r="Q277" s="436" t="s">
        <v>20</v>
      </c>
      <c r="R277" s="237"/>
      <c r="S277" s="429"/>
    </row>
    <row r="278" spans="1:19">
      <c r="A278" s="240" t="s">
        <v>22</v>
      </c>
      <c r="B278" s="241">
        <v>0.875</v>
      </c>
      <c r="C278" s="242">
        <v>0.88541666666666563</v>
      </c>
      <c r="D278" s="430"/>
      <c r="E278" s="240"/>
      <c r="F278" s="240" t="s">
        <v>20</v>
      </c>
      <c r="G278" s="431"/>
      <c r="H278" s="430"/>
      <c r="I278" s="240"/>
      <c r="J278" s="240" t="s">
        <v>20</v>
      </c>
      <c r="K278" s="432"/>
      <c r="L278" s="433" t="s">
        <v>20</v>
      </c>
      <c r="M278" s="434"/>
      <c r="N278" s="433" t="s">
        <v>20</v>
      </c>
      <c r="O278" s="435"/>
      <c r="P278" s="240" t="s">
        <v>20</v>
      </c>
      <c r="Q278" s="436" t="s">
        <v>20</v>
      </c>
      <c r="R278" s="237"/>
      <c r="S278" s="429"/>
    </row>
    <row r="279" spans="1:19">
      <c r="A279" s="240" t="s">
        <v>22</v>
      </c>
      <c r="B279" s="241">
        <v>0.88541666666666663</v>
      </c>
      <c r="C279" s="242">
        <v>0.89583333333333226</v>
      </c>
      <c r="D279" s="430"/>
      <c r="E279" s="240"/>
      <c r="F279" s="240" t="s">
        <v>20</v>
      </c>
      <c r="G279" s="431"/>
      <c r="H279" s="430"/>
      <c r="I279" s="240"/>
      <c r="J279" s="240" t="s">
        <v>20</v>
      </c>
      <c r="K279" s="432"/>
      <c r="L279" s="433" t="s">
        <v>20</v>
      </c>
      <c r="M279" s="434"/>
      <c r="N279" s="433" t="s">
        <v>20</v>
      </c>
      <c r="O279" s="435"/>
      <c r="P279" s="240" t="s">
        <v>20</v>
      </c>
      <c r="Q279" s="436" t="s">
        <v>20</v>
      </c>
      <c r="R279" s="237"/>
      <c r="S279" s="429"/>
    </row>
    <row r="280" spans="1:19">
      <c r="A280" s="240" t="s">
        <v>22</v>
      </c>
      <c r="B280" s="241">
        <v>0.89583333333333337</v>
      </c>
      <c r="C280" s="242">
        <v>0.90624999999999889</v>
      </c>
      <c r="D280" s="430"/>
      <c r="E280" s="240"/>
      <c r="F280" s="240" t="s">
        <v>20</v>
      </c>
      <c r="G280" s="431"/>
      <c r="H280" s="430"/>
      <c r="I280" s="240"/>
      <c r="J280" s="240" t="s">
        <v>20</v>
      </c>
      <c r="K280" s="432"/>
      <c r="L280" s="433" t="s">
        <v>20</v>
      </c>
      <c r="M280" s="434"/>
      <c r="N280" s="433" t="s">
        <v>20</v>
      </c>
      <c r="O280" s="435"/>
      <c r="P280" s="240" t="s">
        <v>20</v>
      </c>
      <c r="Q280" s="436" t="s">
        <v>20</v>
      </c>
      <c r="R280" s="237"/>
      <c r="S280" s="429"/>
    </row>
    <row r="281" spans="1:19">
      <c r="A281" s="240" t="s">
        <v>22</v>
      </c>
      <c r="B281" s="241">
        <v>0.90625</v>
      </c>
      <c r="C281" s="242">
        <v>0.91666666666666552</v>
      </c>
      <c r="D281" s="430"/>
      <c r="E281" s="240"/>
      <c r="F281" s="240" t="s">
        <v>20</v>
      </c>
      <c r="G281" s="431"/>
      <c r="H281" s="430"/>
      <c r="I281" s="240"/>
      <c r="J281" s="240" t="s">
        <v>20</v>
      </c>
      <c r="K281" s="432"/>
      <c r="L281" s="433" t="s">
        <v>20</v>
      </c>
      <c r="M281" s="434"/>
      <c r="N281" s="433" t="s">
        <v>20</v>
      </c>
      <c r="O281" s="435"/>
      <c r="P281" s="240" t="s">
        <v>20</v>
      </c>
      <c r="Q281" s="436" t="s">
        <v>20</v>
      </c>
      <c r="R281" s="237"/>
      <c r="S281" s="429"/>
    </row>
    <row r="282" spans="1:19">
      <c r="A282" s="240" t="s">
        <v>22</v>
      </c>
      <c r="B282" s="241">
        <v>0.91666666666666663</v>
      </c>
      <c r="C282" s="242">
        <v>0.92708333333333215</v>
      </c>
      <c r="D282" s="430"/>
      <c r="E282" s="240"/>
      <c r="F282" s="240" t="s">
        <v>20</v>
      </c>
      <c r="G282" s="431"/>
      <c r="H282" s="430"/>
      <c r="I282" s="240"/>
      <c r="J282" s="240" t="s">
        <v>20</v>
      </c>
      <c r="K282" s="432"/>
      <c r="L282" s="433" t="s">
        <v>20</v>
      </c>
      <c r="M282" s="434"/>
      <c r="N282" s="433" t="s">
        <v>20</v>
      </c>
      <c r="O282" s="435"/>
      <c r="P282" s="240" t="s">
        <v>20</v>
      </c>
      <c r="Q282" s="436" t="s">
        <v>20</v>
      </c>
      <c r="R282" s="237"/>
      <c r="S282" s="429"/>
    </row>
    <row r="283" spans="1:19">
      <c r="A283" s="240" t="s">
        <v>22</v>
      </c>
      <c r="B283" s="241">
        <v>0.92708333333333337</v>
      </c>
      <c r="C283" s="242">
        <v>0.93749999999999878</v>
      </c>
      <c r="D283" s="430"/>
      <c r="E283" s="240"/>
      <c r="F283" s="240" t="s">
        <v>20</v>
      </c>
      <c r="G283" s="431"/>
      <c r="H283" s="430"/>
      <c r="I283" s="240"/>
      <c r="J283" s="240" t="s">
        <v>20</v>
      </c>
      <c r="K283" s="432"/>
      <c r="L283" s="433" t="s">
        <v>20</v>
      </c>
      <c r="M283" s="434"/>
      <c r="N283" s="433" t="s">
        <v>20</v>
      </c>
      <c r="O283" s="435"/>
      <c r="P283" s="240" t="s">
        <v>20</v>
      </c>
      <c r="Q283" s="436" t="s">
        <v>20</v>
      </c>
      <c r="R283" s="237"/>
      <c r="S283" s="429"/>
    </row>
    <row r="284" spans="1:19">
      <c r="A284" s="240" t="s">
        <v>22</v>
      </c>
      <c r="B284" s="241">
        <v>0.9375</v>
      </c>
      <c r="C284" s="242">
        <v>0.94791666666666541</v>
      </c>
      <c r="D284" s="430"/>
      <c r="E284" s="240"/>
      <c r="F284" s="240" t="s">
        <v>20</v>
      </c>
      <c r="G284" s="431"/>
      <c r="H284" s="430"/>
      <c r="I284" s="240"/>
      <c r="J284" s="240" t="s">
        <v>20</v>
      </c>
      <c r="K284" s="432"/>
      <c r="L284" s="433" t="s">
        <v>20</v>
      </c>
      <c r="M284" s="434"/>
      <c r="N284" s="433" t="s">
        <v>20</v>
      </c>
      <c r="O284" s="435"/>
      <c r="P284" s="240" t="s">
        <v>20</v>
      </c>
      <c r="Q284" s="436" t="s">
        <v>20</v>
      </c>
      <c r="R284" s="237"/>
      <c r="S284" s="429"/>
    </row>
    <row r="285" spans="1:19">
      <c r="A285" s="240" t="s">
        <v>22</v>
      </c>
      <c r="B285" s="241">
        <v>0.94791666666666663</v>
      </c>
      <c r="C285" s="242">
        <v>0.95833333333333204</v>
      </c>
      <c r="D285" s="430"/>
      <c r="E285" s="240"/>
      <c r="F285" s="240" t="s">
        <v>20</v>
      </c>
      <c r="G285" s="431"/>
      <c r="H285" s="430"/>
      <c r="I285" s="240"/>
      <c r="J285" s="240" t="s">
        <v>20</v>
      </c>
      <c r="K285" s="432"/>
      <c r="L285" s="433" t="s">
        <v>20</v>
      </c>
      <c r="M285" s="434"/>
      <c r="N285" s="433" t="s">
        <v>20</v>
      </c>
      <c r="O285" s="435"/>
      <c r="P285" s="240" t="s">
        <v>20</v>
      </c>
      <c r="Q285" s="436" t="s">
        <v>20</v>
      </c>
      <c r="R285" s="237"/>
      <c r="S285" s="429"/>
    </row>
    <row r="286" spans="1:19">
      <c r="A286" s="240" t="s">
        <v>22</v>
      </c>
      <c r="B286" s="241">
        <v>0.95833333333333337</v>
      </c>
      <c r="C286" s="242">
        <v>0.96874999999999867</v>
      </c>
      <c r="D286" s="430"/>
      <c r="E286" s="240"/>
      <c r="F286" s="240" t="s">
        <v>20</v>
      </c>
      <c r="G286" s="431"/>
      <c r="H286" s="430"/>
      <c r="I286" s="240"/>
      <c r="J286" s="240" t="s">
        <v>20</v>
      </c>
      <c r="K286" s="432"/>
      <c r="L286" s="433" t="s">
        <v>20</v>
      </c>
      <c r="M286" s="434"/>
      <c r="N286" s="433" t="s">
        <v>20</v>
      </c>
      <c r="O286" s="435"/>
      <c r="P286" s="240" t="s">
        <v>20</v>
      </c>
      <c r="Q286" s="436" t="s">
        <v>20</v>
      </c>
      <c r="R286" s="237"/>
      <c r="S286" s="429"/>
    </row>
    <row r="287" spans="1:19">
      <c r="A287" s="240" t="s">
        <v>22</v>
      </c>
      <c r="B287" s="241">
        <v>0.96875</v>
      </c>
      <c r="C287" s="242">
        <v>0.9791666666666653</v>
      </c>
      <c r="D287" s="430"/>
      <c r="E287" s="240"/>
      <c r="F287" s="240" t="s">
        <v>20</v>
      </c>
      <c r="G287" s="431"/>
      <c r="H287" s="430"/>
      <c r="I287" s="240"/>
      <c r="J287" s="240" t="s">
        <v>20</v>
      </c>
      <c r="K287" s="432"/>
      <c r="L287" s="433" t="s">
        <v>20</v>
      </c>
      <c r="M287" s="434"/>
      <c r="N287" s="433" t="s">
        <v>20</v>
      </c>
      <c r="O287" s="435"/>
      <c r="P287" s="240" t="s">
        <v>20</v>
      </c>
      <c r="Q287" s="436" t="s">
        <v>20</v>
      </c>
      <c r="R287" s="237"/>
      <c r="S287" s="429"/>
    </row>
    <row r="288" spans="1:19">
      <c r="A288" s="240" t="s">
        <v>22</v>
      </c>
      <c r="B288" s="241">
        <v>0.97916666666666663</v>
      </c>
      <c r="C288" s="242">
        <v>0.98958333333333193</v>
      </c>
      <c r="D288" s="430"/>
      <c r="E288" s="240"/>
      <c r="F288" s="240" t="s">
        <v>20</v>
      </c>
      <c r="G288" s="431"/>
      <c r="H288" s="430"/>
      <c r="I288" s="240"/>
      <c r="J288" s="240" t="s">
        <v>20</v>
      </c>
      <c r="K288" s="432"/>
      <c r="L288" s="433" t="s">
        <v>20</v>
      </c>
      <c r="M288" s="434"/>
      <c r="N288" s="433" t="s">
        <v>20</v>
      </c>
      <c r="O288" s="435"/>
      <c r="P288" s="240" t="s">
        <v>20</v>
      </c>
      <c r="Q288" s="436" t="s">
        <v>20</v>
      </c>
      <c r="R288" s="237"/>
      <c r="S288" s="429"/>
    </row>
    <row r="289" spans="1:19" ht="17.25" thickBot="1">
      <c r="A289" s="437" t="s">
        <v>22</v>
      </c>
      <c r="B289" s="438">
        <v>0.98958333333333337</v>
      </c>
      <c r="C289" s="439" t="s">
        <v>148</v>
      </c>
      <c r="D289" s="440"/>
      <c r="E289" s="437"/>
      <c r="F289" s="437" t="s">
        <v>20</v>
      </c>
      <c r="G289" s="441"/>
      <c r="H289" s="440"/>
      <c r="I289" s="437"/>
      <c r="J289" s="437" t="s">
        <v>20</v>
      </c>
      <c r="K289" s="442"/>
      <c r="L289" s="443" t="s">
        <v>20</v>
      </c>
      <c r="M289" s="444"/>
      <c r="N289" s="443" t="s">
        <v>20</v>
      </c>
      <c r="O289" s="445"/>
      <c r="P289" s="437" t="s">
        <v>20</v>
      </c>
      <c r="Q289" s="446" t="s">
        <v>20</v>
      </c>
      <c r="R289" s="447"/>
      <c r="S289" s="448"/>
    </row>
    <row r="290" spans="1:19" ht="17.25" thickTop="1">
      <c r="A290" s="449" t="s">
        <v>23</v>
      </c>
      <c r="B290" s="450">
        <v>0</v>
      </c>
      <c r="C290" s="451">
        <v>1.0416666666666666E-2</v>
      </c>
      <c r="D290" s="452"/>
      <c r="E290" s="453"/>
      <c r="F290" s="449"/>
      <c r="G290" s="454" t="s">
        <v>20</v>
      </c>
      <c r="H290" s="455"/>
      <c r="I290" s="453"/>
      <c r="J290" s="449"/>
      <c r="K290" s="454" t="s">
        <v>20</v>
      </c>
      <c r="L290" s="456"/>
      <c r="M290" s="456"/>
      <c r="N290" s="449" t="s">
        <v>20</v>
      </c>
      <c r="O290" s="456"/>
      <c r="P290" s="449" t="s">
        <v>20</v>
      </c>
      <c r="Q290" s="456"/>
      <c r="R290" s="449" t="s">
        <v>20</v>
      </c>
      <c r="S290" s="454" t="s">
        <v>20</v>
      </c>
    </row>
    <row r="291" spans="1:19">
      <c r="A291" s="212" t="s">
        <v>23</v>
      </c>
      <c r="B291" s="213">
        <v>1.0416666666666666E-2</v>
      </c>
      <c r="C291" s="214">
        <v>2.0833333333333332E-2</v>
      </c>
      <c r="D291" s="452"/>
      <c r="E291" s="453"/>
      <c r="F291" s="449"/>
      <c r="G291" s="457" t="s">
        <v>20</v>
      </c>
      <c r="H291" s="455"/>
      <c r="I291" s="453"/>
      <c r="J291" s="449"/>
      <c r="K291" s="457" t="s">
        <v>20</v>
      </c>
      <c r="L291" s="456"/>
      <c r="M291" s="456"/>
      <c r="N291" s="449" t="s">
        <v>20</v>
      </c>
      <c r="O291" s="456"/>
      <c r="P291" s="449" t="s">
        <v>20</v>
      </c>
      <c r="Q291" s="456"/>
      <c r="R291" s="449" t="s">
        <v>20</v>
      </c>
      <c r="S291" s="457" t="s">
        <v>20</v>
      </c>
    </row>
    <row r="292" spans="1:19">
      <c r="A292" s="212" t="s">
        <v>23</v>
      </c>
      <c r="B292" s="213">
        <v>2.0833333333333332E-2</v>
      </c>
      <c r="C292" s="214">
        <v>3.125E-2</v>
      </c>
      <c r="D292" s="452"/>
      <c r="E292" s="453"/>
      <c r="F292" s="449"/>
      <c r="G292" s="457" t="s">
        <v>20</v>
      </c>
      <c r="H292" s="455"/>
      <c r="I292" s="453"/>
      <c r="J292" s="449"/>
      <c r="K292" s="457" t="s">
        <v>20</v>
      </c>
      <c r="L292" s="456"/>
      <c r="M292" s="456"/>
      <c r="N292" s="449" t="s">
        <v>20</v>
      </c>
      <c r="O292" s="456"/>
      <c r="P292" s="449" t="s">
        <v>20</v>
      </c>
      <c r="Q292" s="456"/>
      <c r="R292" s="449" t="s">
        <v>20</v>
      </c>
      <c r="S292" s="457" t="s">
        <v>20</v>
      </c>
    </row>
    <row r="293" spans="1:19">
      <c r="A293" s="212" t="s">
        <v>23</v>
      </c>
      <c r="B293" s="213">
        <v>3.125E-2</v>
      </c>
      <c r="C293" s="214">
        <v>4.1666666666666664E-2</v>
      </c>
      <c r="D293" s="452"/>
      <c r="E293" s="453"/>
      <c r="F293" s="449"/>
      <c r="G293" s="457" t="s">
        <v>20</v>
      </c>
      <c r="H293" s="455"/>
      <c r="I293" s="453"/>
      <c r="J293" s="449"/>
      <c r="K293" s="457" t="s">
        <v>20</v>
      </c>
      <c r="L293" s="456"/>
      <c r="M293" s="456"/>
      <c r="N293" s="449" t="s">
        <v>20</v>
      </c>
      <c r="O293" s="456"/>
      <c r="P293" s="449" t="s">
        <v>20</v>
      </c>
      <c r="Q293" s="456"/>
      <c r="R293" s="449" t="s">
        <v>20</v>
      </c>
      <c r="S293" s="457" t="s">
        <v>20</v>
      </c>
    </row>
    <row r="294" spans="1:19">
      <c r="A294" s="212" t="s">
        <v>23</v>
      </c>
      <c r="B294" s="213">
        <v>4.1666666666666664E-2</v>
      </c>
      <c r="C294" s="214">
        <v>5.2083333333333329E-2</v>
      </c>
      <c r="D294" s="452"/>
      <c r="E294" s="453"/>
      <c r="F294" s="449"/>
      <c r="G294" s="457" t="s">
        <v>20</v>
      </c>
      <c r="H294" s="455"/>
      <c r="I294" s="453"/>
      <c r="J294" s="449"/>
      <c r="K294" s="457" t="s">
        <v>20</v>
      </c>
      <c r="L294" s="456"/>
      <c r="M294" s="456"/>
      <c r="N294" s="449" t="s">
        <v>20</v>
      </c>
      <c r="O294" s="456"/>
      <c r="P294" s="449" t="s">
        <v>20</v>
      </c>
      <c r="Q294" s="456"/>
      <c r="R294" s="449" t="s">
        <v>20</v>
      </c>
      <c r="S294" s="457" t="s">
        <v>20</v>
      </c>
    </row>
    <row r="295" spans="1:19">
      <c r="A295" s="212" t="s">
        <v>23</v>
      </c>
      <c r="B295" s="213">
        <v>5.2083333333333329E-2</v>
      </c>
      <c r="C295" s="214">
        <v>6.25E-2</v>
      </c>
      <c r="D295" s="452"/>
      <c r="E295" s="453"/>
      <c r="F295" s="449"/>
      <c r="G295" s="457" t="s">
        <v>20</v>
      </c>
      <c r="H295" s="455"/>
      <c r="I295" s="453"/>
      <c r="J295" s="449"/>
      <c r="K295" s="457" t="s">
        <v>20</v>
      </c>
      <c r="L295" s="456"/>
      <c r="M295" s="456"/>
      <c r="N295" s="449" t="s">
        <v>20</v>
      </c>
      <c r="O295" s="456"/>
      <c r="P295" s="449" t="s">
        <v>20</v>
      </c>
      <c r="Q295" s="456"/>
      <c r="R295" s="449" t="s">
        <v>20</v>
      </c>
      <c r="S295" s="457" t="s">
        <v>20</v>
      </c>
    </row>
    <row r="296" spans="1:19">
      <c r="A296" s="212" t="s">
        <v>23</v>
      </c>
      <c r="B296" s="213">
        <v>6.25E-2</v>
      </c>
      <c r="C296" s="214">
        <v>7.2916666666666657E-2</v>
      </c>
      <c r="D296" s="452"/>
      <c r="E296" s="453"/>
      <c r="F296" s="449"/>
      <c r="G296" s="457" t="s">
        <v>20</v>
      </c>
      <c r="H296" s="455"/>
      <c r="I296" s="453"/>
      <c r="J296" s="449"/>
      <c r="K296" s="457" t="s">
        <v>20</v>
      </c>
      <c r="L296" s="456"/>
      <c r="M296" s="456"/>
      <c r="N296" s="449" t="s">
        <v>20</v>
      </c>
      <c r="O296" s="456"/>
      <c r="P296" s="449" t="s">
        <v>20</v>
      </c>
      <c r="Q296" s="456"/>
      <c r="R296" s="449" t="s">
        <v>20</v>
      </c>
      <c r="S296" s="457" t="s">
        <v>20</v>
      </c>
    </row>
    <row r="297" spans="1:19">
      <c r="A297" s="212" t="s">
        <v>23</v>
      </c>
      <c r="B297" s="213">
        <v>7.2916666666666657E-2</v>
      </c>
      <c r="C297" s="214">
        <v>8.3333333333333329E-2</v>
      </c>
      <c r="D297" s="452"/>
      <c r="E297" s="453"/>
      <c r="F297" s="449"/>
      <c r="G297" s="457" t="s">
        <v>20</v>
      </c>
      <c r="H297" s="455"/>
      <c r="I297" s="453"/>
      <c r="J297" s="449"/>
      <c r="K297" s="457" t="s">
        <v>20</v>
      </c>
      <c r="L297" s="456"/>
      <c r="M297" s="456"/>
      <c r="N297" s="449" t="s">
        <v>20</v>
      </c>
      <c r="O297" s="456"/>
      <c r="P297" s="449" t="s">
        <v>20</v>
      </c>
      <c r="Q297" s="456"/>
      <c r="R297" s="449" t="s">
        <v>20</v>
      </c>
      <c r="S297" s="457" t="s">
        <v>20</v>
      </c>
    </row>
    <row r="298" spans="1:19">
      <c r="A298" s="212" t="s">
        <v>23</v>
      </c>
      <c r="B298" s="213">
        <v>8.3333333333333329E-2</v>
      </c>
      <c r="C298" s="214">
        <v>9.375E-2</v>
      </c>
      <c r="D298" s="452"/>
      <c r="E298" s="453"/>
      <c r="F298" s="449"/>
      <c r="G298" s="457" t="s">
        <v>20</v>
      </c>
      <c r="H298" s="455"/>
      <c r="I298" s="453"/>
      <c r="J298" s="449"/>
      <c r="K298" s="457" t="s">
        <v>20</v>
      </c>
      <c r="L298" s="456"/>
      <c r="M298" s="456"/>
      <c r="N298" s="449" t="s">
        <v>20</v>
      </c>
      <c r="O298" s="456"/>
      <c r="P298" s="449" t="s">
        <v>20</v>
      </c>
      <c r="Q298" s="456"/>
      <c r="R298" s="449" t="s">
        <v>20</v>
      </c>
      <c r="S298" s="457" t="s">
        <v>20</v>
      </c>
    </row>
    <row r="299" spans="1:19">
      <c r="A299" s="212" t="s">
        <v>23</v>
      </c>
      <c r="B299" s="213">
        <v>9.375E-2</v>
      </c>
      <c r="C299" s="214">
        <v>0.10416666666666667</v>
      </c>
      <c r="D299" s="452"/>
      <c r="E299" s="453"/>
      <c r="F299" s="449"/>
      <c r="G299" s="457" t="s">
        <v>20</v>
      </c>
      <c r="H299" s="455"/>
      <c r="I299" s="453"/>
      <c r="J299" s="449"/>
      <c r="K299" s="457" t="s">
        <v>20</v>
      </c>
      <c r="L299" s="456"/>
      <c r="M299" s="456"/>
      <c r="N299" s="449" t="s">
        <v>20</v>
      </c>
      <c r="O299" s="456"/>
      <c r="P299" s="449" t="s">
        <v>20</v>
      </c>
      <c r="Q299" s="456"/>
      <c r="R299" s="449" t="s">
        <v>20</v>
      </c>
      <c r="S299" s="457" t="s">
        <v>20</v>
      </c>
    </row>
    <row r="300" spans="1:19">
      <c r="A300" s="212" t="s">
        <v>23</v>
      </c>
      <c r="B300" s="213">
        <v>0.10416666666666667</v>
      </c>
      <c r="C300" s="214">
        <v>0.11458333333333334</v>
      </c>
      <c r="D300" s="452"/>
      <c r="E300" s="453"/>
      <c r="F300" s="449"/>
      <c r="G300" s="457" t="s">
        <v>20</v>
      </c>
      <c r="H300" s="455"/>
      <c r="I300" s="453"/>
      <c r="J300" s="449"/>
      <c r="K300" s="457" t="s">
        <v>20</v>
      </c>
      <c r="L300" s="456"/>
      <c r="M300" s="456"/>
      <c r="N300" s="449" t="s">
        <v>20</v>
      </c>
      <c r="O300" s="456"/>
      <c r="P300" s="449" t="s">
        <v>20</v>
      </c>
      <c r="Q300" s="456"/>
      <c r="R300" s="449" t="s">
        <v>20</v>
      </c>
      <c r="S300" s="457" t="s">
        <v>20</v>
      </c>
    </row>
    <row r="301" spans="1:19">
      <c r="A301" s="212" t="s">
        <v>23</v>
      </c>
      <c r="B301" s="213">
        <v>0.11458333333333334</v>
      </c>
      <c r="C301" s="214">
        <v>0.125</v>
      </c>
      <c r="D301" s="452"/>
      <c r="E301" s="453"/>
      <c r="F301" s="449"/>
      <c r="G301" s="457" t="s">
        <v>20</v>
      </c>
      <c r="H301" s="455"/>
      <c r="I301" s="453"/>
      <c r="J301" s="449"/>
      <c r="K301" s="457" t="s">
        <v>20</v>
      </c>
      <c r="L301" s="456"/>
      <c r="M301" s="456"/>
      <c r="N301" s="449" t="s">
        <v>20</v>
      </c>
      <c r="O301" s="456"/>
      <c r="P301" s="449" t="s">
        <v>20</v>
      </c>
      <c r="Q301" s="456"/>
      <c r="R301" s="449" t="s">
        <v>20</v>
      </c>
      <c r="S301" s="457" t="s">
        <v>20</v>
      </c>
    </row>
    <row r="302" spans="1:19">
      <c r="A302" s="212" t="s">
        <v>23</v>
      </c>
      <c r="B302" s="213">
        <v>0.125</v>
      </c>
      <c r="C302" s="214">
        <v>0.13541666666666666</v>
      </c>
      <c r="D302" s="452"/>
      <c r="E302" s="453"/>
      <c r="F302" s="449"/>
      <c r="G302" s="457" t="s">
        <v>20</v>
      </c>
      <c r="H302" s="455"/>
      <c r="I302" s="453"/>
      <c r="J302" s="449"/>
      <c r="K302" s="457" t="s">
        <v>20</v>
      </c>
      <c r="L302" s="456"/>
      <c r="M302" s="456"/>
      <c r="N302" s="449" t="s">
        <v>20</v>
      </c>
      <c r="O302" s="456"/>
      <c r="P302" s="449" t="s">
        <v>20</v>
      </c>
      <c r="Q302" s="456"/>
      <c r="R302" s="449" t="s">
        <v>20</v>
      </c>
      <c r="S302" s="457" t="s">
        <v>20</v>
      </c>
    </row>
    <row r="303" spans="1:19">
      <c r="A303" s="212" t="s">
        <v>23</v>
      </c>
      <c r="B303" s="213">
        <v>0.13541666666666666</v>
      </c>
      <c r="C303" s="214">
        <v>0.14583333333333331</v>
      </c>
      <c r="D303" s="452"/>
      <c r="E303" s="453"/>
      <c r="F303" s="449"/>
      <c r="G303" s="457" t="s">
        <v>20</v>
      </c>
      <c r="H303" s="455"/>
      <c r="I303" s="453"/>
      <c r="J303" s="449"/>
      <c r="K303" s="457" t="s">
        <v>20</v>
      </c>
      <c r="L303" s="456"/>
      <c r="M303" s="456"/>
      <c r="N303" s="449" t="s">
        <v>20</v>
      </c>
      <c r="O303" s="456"/>
      <c r="P303" s="449" t="s">
        <v>20</v>
      </c>
      <c r="Q303" s="456"/>
      <c r="R303" s="449" t="s">
        <v>20</v>
      </c>
      <c r="S303" s="457" t="s">
        <v>20</v>
      </c>
    </row>
    <row r="304" spans="1:19">
      <c r="A304" s="212" t="s">
        <v>23</v>
      </c>
      <c r="B304" s="213">
        <v>0.14583333333333331</v>
      </c>
      <c r="C304" s="214">
        <v>0.15625</v>
      </c>
      <c r="D304" s="452"/>
      <c r="E304" s="453"/>
      <c r="F304" s="449"/>
      <c r="G304" s="457" t="s">
        <v>20</v>
      </c>
      <c r="H304" s="455"/>
      <c r="I304" s="453"/>
      <c r="J304" s="449"/>
      <c r="K304" s="457" t="s">
        <v>20</v>
      </c>
      <c r="L304" s="456"/>
      <c r="M304" s="456"/>
      <c r="N304" s="449" t="s">
        <v>20</v>
      </c>
      <c r="O304" s="456"/>
      <c r="P304" s="449" t="s">
        <v>20</v>
      </c>
      <c r="Q304" s="456"/>
      <c r="R304" s="449" t="s">
        <v>20</v>
      </c>
      <c r="S304" s="457" t="s">
        <v>20</v>
      </c>
    </row>
    <row r="305" spans="1:19">
      <c r="A305" s="212" t="s">
        <v>23</v>
      </c>
      <c r="B305" s="213">
        <v>0.15625</v>
      </c>
      <c r="C305" s="214">
        <v>0.16666666666666663</v>
      </c>
      <c r="D305" s="452"/>
      <c r="E305" s="453"/>
      <c r="F305" s="449"/>
      <c r="G305" s="457" t="s">
        <v>20</v>
      </c>
      <c r="H305" s="455"/>
      <c r="I305" s="453"/>
      <c r="J305" s="449"/>
      <c r="K305" s="457" t="s">
        <v>20</v>
      </c>
      <c r="L305" s="456"/>
      <c r="M305" s="456"/>
      <c r="N305" s="449" t="s">
        <v>20</v>
      </c>
      <c r="O305" s="456"/>
      <c r="P305" s="449" t="s">
        <v>20</v>
      </c>
      <c r="Q305" s="456"/>
      <c r="R305" s="449" t="s">
        <v>20</v>
      </c>
      <c r="S305" s="457" t="s">
        <v>20</v>
      </c>
    </row>
    <row r="306" spans="1:19">
      <c r="A306" s="212" t="s">
        <v>23</v>
      </c>
      <c r="B306" s="213">
        <v>0.16666666666666666</v>
      </c>
      <c r="C306" s="214">
        <v>0.17708333333333329</v>
      </c>
      <c r="D306" s="452"/>
      <c r="E306" s="453"/>
      <c r="F306" s="449"/>
      <c r="G306" s="457" t="s">
        <v>20</v>
      </c>
      <c r="H306" s="455"/>
      <c r="I306" s="453"/>
      <c r="J306" s="449"/>
      <c r="K306" s="457" t="s">
        <v>20</v>
      </c>
      <c r="L306" s="456"/>
      <c r="M306" s="456"/>
      <c r="N306" s="449" t="s">
        <v>20</v>
      </c>
      <c r="O306" s="456"/>
      <c r="P306" s="449" t="s">
        <v>20</v>
      </c>
      <c r="Q306" s="456"/>
      <c r="R306" s="449" t="s">
        <v>20</v>
      </c>
      <c r="S306" s="457" t="s">
        <v>20</v>
      </c>
    </row>
    <row r="307" spans="1:19">
      <c r="A307" s="212" t="s">
        <v>23</v>
      </c>
      <c r="B307" s="213">
        <v>0.17708333333333334</v>
      </c>
      <c r="C307" s="214">
        <v>0.1875</v>
      </c>
      <c r="D307" s="452"/>
      <c r="E307" s="453"/>
      <c r="F307" s="449"/>
      <c r="G307" s="457" t="s">
        <v>20</v>
      </c>
      <c r="H307" s="455"/>
      <c r="I307" s="453"/>
      <c r="J307" s="449"/>
      <c r="K307" s="457" t="s">
        <v>20</v>
      </c>
      <c r="L307" s="456"/>
      <c r="M307" s="456"/>
      <c r="N307" s="449" t="s">
        <v>20</v>
      </c>
      <c r="O307" s="456"/>
      <c r="P307" s="449" t="s">
        <v>20</v>
      </c>
      <c r="Q307" s="456"/>
      <c r="R307" s="449" t="s">
        <v>20</v>
      </c>
      <c r="S307" s="457" t="s">
        <v>20</v>
      </c>
    </row>
    <row r="308" spans="1:19">
      <c r="A308" s="212" t="s">
        <v>23</v>
      </c>
      <c r="B308" s="213">
        <v>0.1875</v>
      </c>
      <c r="C308" s="214">
        <v>0.1979166666666666</v>
      </c>
      <c r="D308" s="452"/>
      <c r="E308" s="453"/>
      <c r="F308" s="449"/>
      <c r="G308" s="457" t="s">
        <v>20</v>
      </c>
      <c r="H308" s="455"/>
      <c r="I308" s="453"/>
      <c r="J308" s="449"/>
      <c r="K308" s="457" t="s">
        <v>20</v>
      </c>
      <c r="L308" s="456"/>
      <c r="M308" s="456"/>
      <c r="N308" s="449" t="s">
        <v>20</v>
      </c>
      <c r="O308" s="456"/>
      <c r="P308" s="449" t="s">
        <v>20</v>
      </c>
      <c r="Q308" s="456"/>
      <c r="R308" s="449" t="s">
        <v>20</v>
      </c>
      <c r="S308" s="457" t="s">
        <v>20</v>
      </c>
    </row>
    <row r="309" spans="1:19">
      <c r="A309" s="212" t="s">
        <v>23</v>
      </c>
      <c r="B309" s="213">
        <v>0.19791666666666666</v>
      </c>
      <c r="C309" s="214">
        <v>0.20833333333333326</v>
      </c>
      <c r="D309" s="452"/>
      <c r="E309" s="453"/>
      <c r="F309" s="449"/>
      <c r="G309" s="457" t="s">
        <v>20</v>
      </c>
      <c r="H309" s="455"/>
      <c r="I309" s="453"/>
      <c r="J309" s="449"/>
      <c r="K309" s="457" t="s">
        <v>20</v>
      </c>
      <c r="L309" s="456"/>
      <c r="M309" s="456"/>
      <c r="N309" s="449" t="s">
        <v>20</v>
      </c>
      <c r="O309" s="456"/>
      <c r="P309" s="449" t="s">
        <v>20</v>
      </c>
      <c r="Q309" s="456"/>
      <c r="R309" s="449" t="s">
        <v>20</v>
      </c>
      <c r="S309" s="457" t="s">
        <v>20</v>
      </c>
    </row>
    <row r="310" spans="1:19">
      <c r="A310" s="212" t="s">
        <v>23</v>
      </c>
      <c r="B310" s="213">
        <v>0.20833333333333334</v>
      </c>
      <c r="C310" s="214">
        <v>0.21875</v>
      </c>
      <c r="D310" s="452"/>
      <c r="E310" s="453"/>
      <c r="F310" s="449"/>
      <c r="G310" s="457" t="s">
        <v>20</v>
      </c>
      <c r="H310" s="455"/>
      <c r="I310" s="453"/>
      <c r="J310" s="449"/>
      <c r="K310" s="457" t="s">
        <v>20</v>
      </c>
      <c r="L310" s="456"/>
      <c r="M310" s="456"/>
      <c r="N310" s="449" t="s">
        <v>20</v>
      </c>
      <c r="O310" s="456"/>
      <c r="P310" s="449" t="s">
        <v>20</v>
      </c>
      <c r="Q310" s="456"/>
      <c r="R310" s="449" t="s">
        <v>20</v>
      </c>
      <c r="S310" s="457" t="s">
        <v>20</v>
      </c>
    </row>
    <row r="311" spans="1:19">
      <c r="A311" s="212" t="s">
        <v>23</v>
      </c>
      <c r="B311" s="213">
        <v>0.21875</v>
      </c>
      <c r="C311" s="214">
        <v>0.22916666666666657</v>
      </c>
      <c r="D311" s="452"/>
      <c r="E311" s="453"/>
      <c r="F311" s="449"/>
      <c r="G311" s="457" t="s">
        <v>20</v>
      </c>
      <c r="H311" s="455"/>
      <c r="I311" s="453"/>
      <c r="J311" s="449"/>
      <c r="K311" s="457" t="s">
        <v>20</v>
      </c>
      <c r="L311" s="456"/>
      <c r="M311" s="456"/>
      <c r="N311" s="449" t="s">
        <v>20</v>
      </c>
      <c r="O311" s="456"/>
      <c r="P311" s="449" t="s">
        <v>20</v>
      </c>
      <c r="Q311" s="456"/>
      <c r="R311" s="449" t="s">
        <v>20</v>
      </c>
      <c r="S311" s="457" t="s">
        <v>20</v>
      </c>
    </row>
    <row r="312" spans="1:19">
      <c r="A312" s="212" t="s">
        <v>23</v>
      </c>
      <c r="B312" s="213">
        <v>0.22916666666666666</v>
      </c>
      <c r="C312" s="214">
        <v>0.23958333333333323</v>
      </c>
      <c r="D312" s="452"/>
      <c r="E312" s="453"/>
      <c r="F312" s="449"/>
      <c r="G312" s="457" t="s">
        <v>20</v>
      </c>
      <c r="H312" s="455"/>
      <c r="I312" s="453"/>
      <c r="J312" s="449"/>
      <c r="K312" s="457" t="s">
        <v>20</v>
      </c>
      <c r="L312" s="456"/>
      <c r="M312" s="456"/>
      <c r="N312" s="449" t="s">
        <v>20</v>
      </c>
      <c r="O312" s="456"/>
      <c r="P312" s="449" t="s">
        <v>20</v>
      </c>
      <c r="Q312" s="456"/>
      <c r="R312" s="449" t="s">
        <v>20</v>
      </c>
      <c r="S312" s="457" t="s">
        <v>20</v>
      </c>
    </row>
    <row r="313" spans="1:19">
      <c r="A313" s="212" t="s">
        <v>23</v>
      </c>
      <c r="B313" s="213">
        <v>0.23958333333333334</v>
      </c>
      <c r="C313" s="214">
        <v>0.25</v>
      </c>
      <c r="D313" s="452"/>
      <c r="E313" s="453"/>
      <c r="F313" s="449"/>
      <c r="G313" s="457" t="s">
        <v>20</v>
      </c>
      <c r="H313" s="455"/>
      <c r="I313" s="453"/>
      <c r="J313" s="449"/>
      <c r="K313" s="457" t="s">
        <v>20</v>
      </c>
      <c r="L313" s="456"/>
      <c r="M313" s="456"/>
      <c r="N313" s="449" t="s">
        <v>20</v>
      </c>
      <c r="O313" s="456"/>
      <c r="P313" s="449" t="s">
        <v>20</v>
      </c>
      <c r="Q313" s="456"/>
      <c r="R313" s="449" t="s">
        <v>20</v>
      </c>
      <c r="S313" s="457" t="s">
        <v>20</v>
      </c>
    </row>
    <row r="314" spans="1:19">
      <c r="A314" s="212" t="s">
        <v>23</v>
      </c>
      <c r="B314" s="213">
        <v>0.25</v>
      </c>
      <c r="C314" s="214">
        <v>0.26041666666666657</v>
      </c>
      <c r="D314" s="452"/>
      <c r="E314" s="453"/>
      <c r="F314" s="449"/>
      <c r="G314" s="457" t="s">
        <v>20</v>
      </c>
      <c r="H314" s="455"/>
      <c r="I314" s="453"/>
      <c r="J314" s="449"/>
      <c r="K314" s="457" t="s">
        <v>20</v>
      </c>
      <c r="L314" s="456"/>
      <c r="M314" s="456"/>
      <c r="N314" s="449" t="s">
        <v>20</v>
      </c>
      <c r="O314" s="456"/>
      <c r="P314" s="449" t="s">
        <v>20</v>
      </c>
      <c r="Q314" s="456"/>
      <c r="R314" s="449" t="s">
        <v>20</v>
      </c>
      <c r="S314" s="457" t="s">
        <v>20</v>
      </c>
    </row>
    <row r="315" spans="1:19">
      <c r="A315" s="212" t="s">
        <v>23</v>
      </c>
      <c r="B315" s="213">
        <v>0.26041666666666669</v>
      </c>
      <c r="C315" s="214">
        <v>0.27083333333333326</v>
      </c>
      <c r="D315" s="452"/>
      <c r="E315" s="453"/>
      <c r="F315" s="449"/>
      <c r="G315" s="457" t="s">
        <v>20</v>
      </c>
      <c r="H315" s="455"/>
      <c r="I315" s="453"/>
      <c r="J315" s="449"/>
      <c r="K315" s="457" t="s">
        <v>20</v>
      </c>
      <c r="L315" s="456"/>
      <c r="M315" s="456"/>
      <c r="N315" s="449" t="s">
        <v>20</v>
      </c>
      <c r="O315" s="456"/>
      <c r="P315" s="449" t="s">
        <v>20</v>
      </c>
      <c r="Q315" s="456"/>
      <c r="R315" s="449" t="s">
        <v>20</v>
      </c>
      <c r="S315" s="457" t="s">
        <v>20</v>
      </c>
    </row>
    <row r="316" spans="1:19">
      <c r="A316" s="212" t="s">
        <v>23</v>
      </c>
      <c r="B316" s="213">
        <v>0.27083333333333331</v>
      </c>
      <c r="C316" s="214">
        <v>0.28125</v>
      </c>
      <c r="D316" s="452"/>
      <c r="E316" s="453"/>
      <c r="F316" s="449"/>
      <c r="G316" s="457" t="s">
        <v>20</v>
      </c>
      <c r="H316" s="455"/>
      <c r="I316" s="453"/>
      <c r="J316" s="449"/>
      <c r="K316" s="457" t="s">
        <v>20</v>
      </c>
      <c r="L316" s="456"/>
      <c r="M316" s="456"/>
      <c r="N316" s="449" t="s">
        <v>20</v>
      </c>
      <c r="O316" s="456"/>
      <c r="P316" s="449" t="s">
        <v>20</v>
      </c>
      <c r="Q316" s="456"/>
      <c r="R316" s="449" t="s">
        <v>20</v>
      </c>
      <c r="S316" s="457" t="s">
        <v>20</v>
      </c>
    </row>
    <row r="317" spans="1:19">
      <c r="A317" s="212" t="s">
        <v>23</v>
      </c>
      <c r="B317" s="213">
        <v>0.28125</v>
      </c>
      <c r="C317" s="214">
        <v>0.29166666666666663</v>
      </c>
      <c r="D317" s="452"/>
      <c r="E317" s="453"/>
      <c r="F317" s="449"/>
      <c r="G317" s="457" t="s">
        <v>20</v>
      </c>
      <c r="H317" s="455"/>
      <c r="I317" s="453"/>
      <c r="J317" s="449"/>
      <c r="K317" s="457" t="s">
        <v>20</v>
      </c>
      <c r="L317" s="456"/>
      <c r="M317" s="456"/>
      <c r="N317" s="449" t="s">
        <v>20</v>
      </c>
      <c r="O317" s="456"/>
      <c r="P317" s="449" t="s">
        <v>20</v>
      </c>
      <c r="Q317" s="456"/>
      <c r="R317" s="449" t="s">
        <v>20</v>
      </c>
      <c r="S317" s="457" t="s">
        <v>20</v>
      </c>
    </row>
    <row r="318" spans="1:19">
      <c r="A318" s="212" t="s">
        <v>23</v>
      </c>
      <c r="B318" s="213">
        <v>0.29166666666666669</v>
      </c>
      <c r="C318" s="214">
        <v>0.30208333333333331</v>
      </c>
      <c r="D318" s="452"/>
      <c r="E318" s="453"/>
      <c r="F318" s="449"/>
      <c r="G318" s="457" t="s">
        <v>20</v>
      </c>
      <c r="H318" s="455"/>
      <c r="I318" s="453"/>
      <c r="J318" s="449"/>
      <c r="K318" s="457" t="s">
        <v>20</v>
      </c>
      <c r="L318" s="456"/>
      <c r="M318" s="456"/>
      <c r="N318" s="449" t="s">
        <v>20</v>
      </c>
      <c r="O318" s="456"/>
      <c r="P318" s="449" t="s">
        <v>20</v>
      </c>
      <c r="Q318" s="456"/>
      <c r="R318" s="449" t="s">
        <v>20</v>
      </c>
      <c r="S318" s="457" t="s">
        <v>20</v>
      </c>
    </row>
    <row r="319" spans="1:19">
      <c r="A319" s="212" t="s">
        <v>23</v>
      </c>
      <c r="B319" s="213">
        <v>0.30208333333333331</v>
      </c>
      <c r="C319" s="214">
        <v>0.3125</v>
      </c>
      <c r="D319" s="452"/>
      <c r="E319" s="453"/>
      <c r="F319" s="449"/>
      <c r="G319" s="457" t="s">
        <v>20</v>
      </c>
      <c r="H319" s="455"/>
      <c r="I319" s="453"/>
      <c r="J319" s="449"/>
      <c r="K319" s="457" t="s">
        <v>20</v>
      </c>
      <c r="L319" s="456"/>
      <c r="M319" s="456"/>
      <c r="N319" s="449" t="s">
        <v>20</v>
      </c>
      <c r="O319" s="456"/>
      <c r="P319" s="449" t="s">
        <v>20</v>
      </c>
      <c r="Q319" s="456"/>
      <c r="R319" s="449" t="s">
        <v>20</v>
      </c>
      <c r="S319" s="457" t="s">
        <v>20</v>
      </c>
    </row>
    <row r="320" spans="1:19">
      <c r="A320" s="212" t="s">
        <v>23</v>
      </c>
      <c r="B320" s="213">
        <v>0.3125</v>
      </c>
      <c r="C320" s="214">
        <v>0.32291666666666669</v>
      </c>
      <c r="D320" s="452"/>
      <c r="E320" s="453"/>
      <c r="F320" s="449"/>
      <c r="G320" s="457" t="s">
        <v>20</v>
      </c>
      <c r="H320" s="455"/>
      <c r="I320" s="453"/>
      <c r="J320" s="449"/>
      <c r="K320" s="457" t="s">
        <v>20</v>
      </c>
      <c r="L320" s="456"/>
      <c r="M320" s="456"/>
      <c r="N320" s="449" t="s">
        <v>20</v>
      </c>
      <c r="O320" s="456"/>
      <c r="P320" s="449" t="s">
        <v>20</v>
      </c>
      <c r="Q320" s="456"/>
      <c r="R320" s="449" t="s">
        <v>20</v>
      </c>
      <c r="S320" s="457" t="s">
        <v>20</v>
      </c>
    </row>
    <row r="321" spans="1:19">
      <c r="A321" s="212" t="s">
        <v>23</v>
      </c>
      <c r="B321" s="213">
        <v>0.32291666666666669</v>
      </c>
      <c r="C321" s="214">
        <v>0.33333333333333337</v>
      </c>
      <c r="D321" s="452"/>
      <c r="E321" s="453"/>
      <c r="F321" s="449"/>
      <c r="G321" s="457" t="s">
        <v>20</v>
      </c>
      <c r="H321" s="455"/>
      <c r="I321" s="453"/>
      <c r="J321" s="449"/>
      <c r="K321" s="457" t="s">
        <v>20</v>
      </c>
      <c r="L321" s="456"/>
      <c r="M321" s="456"/>
      <c r="N321" s="449" t="s">
        <v>20</v>
      </c>
      <c r="O321" s="456"/>
      <c r="P321" s="449" t="s">
        <v>20</v>
      </c>
      <c r="Q321" s="456"/>
      <c r="R321" s="449" t="s">
        <v>20</v>
      </c>
      <c r="S321" s="457" t="s">
        <v>20</v>
      </c>
    </row>
    <row r="322" spans="1:19">
      <c r="A322" s="212" t="s">
        <v>23</v>
      </c>
      <c r="B322" s="213">
        <v>0.33333333333333337</v>
      </c>
      <c r="C322" s="214">
        <v>0.34375</v>
      </c>
      <c r="D322" s="452"/>
      <c r="E322" s="453"/>
      <c r="F322" s="449"/>
      <c r="G322" s="457" t="s">
        <v>20</v>
      </c>
      <c r="H322" s="455"/>
      <c r="I322" s="453"/>
      <c r="J322" s="449"/>
      <c r="K322" s="457" t="s">
        <v>20</v>
      </c>
      <c r="L322" s="456"/>
      <c r="M322" s="456"/>
      <c r="N322" s="449" t="s">
        <v>20</v>
      </c>
      <c r="O322" s="456"/>
      <c r="P322" s="449" t="s">
        <v>20</v>
      </c>
      <c r="Q322" s="456"/>
      <c r="R322" s="449" t="s">
        <v>20</v>
      </c>
      <c r="S322" s="457" t="s">
        <v>20</v>
      </c>
    </row>
    <row r="323" spans="1:19">
      <c r="A323" s="212" t="s">
        <v>23</v>
      </c>
      <c r="B323" s="213">
        <v>0.34375</v>
      </c>
      <c r="C323" s="214">
        <v>0.35416666666666674</v>
      </c>
      <c r="D323" s="452"/>
      <c r="E323" s="453"/>
      <c r="F323" s="449"/>
      <c r="G323" s="457" t="s">
        <v>20</v>
      </c>
      <c r="H323" s="455"/>
      <c r="I323" s="453"/>
      <c r="J323" s="449"/>
      <c r="K323" s="457" t="s">
        <v>20</v>
      </c>
      <c r="L323" s="456"/>
      <c r="M323" s="456"/>
      <c r="N323" s="449" t="s">
        <v>20</v>
      </c>
      <c r="O323" s="456"/>
      <c r="P323" s="449" t="s">
        <v>20</v>
      </c>
      <c r="Q323" s="456"/>
      <c r="R323" s="449" t="s">
        <v>20</v>
      </c>
      <c r="S323" s="457" t="s">
        <v>20</v>
      </c>
    </row>
    <row r="324" spans="1:19">
      <c r="A324" s="212" t="s">
        <v>23</v>
      </c>
      <c r="B324" s="213">
        <v>0.35416666666666674</v>
      </c>
      <c r="C324" s="214">
        <v>0.36458333333333343</v>
      </c>
      <c r="D324" s="452"/>
      <c r="E324" s="453"/>
      <c r="F324" s="449"/>
      <c r="G324" s="457" t="s">
        <v>20</v>
      </c>
      <c r="H324" s="455"/>
      <c r="I324" s="453"/>
      <c r="J324" s="449"/>
      <c r="K324" s="457" t="s">
        <v>20</v>
      </c>
      <c r="L324" s="456"/>
      <c r="M324" s="456"/>
      <c r="N324" s="449" t="s">
        <v>20</v>
      </c>
      <c r="O324" s="456"/>
      <c r="P324" s="449" t="s">
        <v>20</v>
      </c>
      <c r="Q324" s="456"/>
      <c r="R324" s="449" t="s">
        <v>20</v>
      </c>
      <c r="S324" s="457" t="s">
        <v>20</v>
      </c>
    </row>
    <row r="325" spans="1:19">
      <c r="A325" s="212" t="s">
        <v>23</v>
      </c>
      <c r="B325" s="213">
        <v>0.36458333333333343</v>
      </c>
      <c r="C325" s="214">
        <v>0.375</v>
      </c>
      <c r="D325" s="452"/>
      <c r="E325" s="453"/>
      <c r="F325" s="449"/>
      <c r="G325" s="457" t="s">
        <v>20</v>
      </c>
      <c r="H325" s="455"/>
      <c r="I325" s="453"/>
      <c r="J325" s="449"/>
      <c r="K325" s="457" t="s">
        <v>20</v>
      </c>
      <c r="L325" s="456"/>
      <c r="M325" s="456"/>
      <c r="N325" s="449" t="s">
        <v>20</v>
      </c>
      <c r="O325" s="456"/>
      <c r="P325" s="449" t="s">
        <v>20</v>
      </c>
      <c r="Q325" s="456"/>
      <c r="R325" s="449" t="s">
        <v>20</v>
      </c>
      <c r="S325" s="457" t="s">
        <v>20</v>
      </c>
    </row>
    <row r="326" spans="1:19">
      <c r="A326" s="212" t="s">
        <v>23</v>
      </c>
      <c r="B326" s="213">
        <v>0.375</v>
      </c>
      <c r="C326" s="214">
        <v>0.3854166666666668</v>
      </c>
      <c r="D326" s="452"/>
      <c r="E326" s="453"/>
      <c r="F326" s="449"/>
      <c r="G326" s="457" t="s">
        <v>20</v>
      </c>
      <c r="H326" s="455"/>
      <c r="I326" s="453"/>
      <c r="J326" s="449"/>
      <c r="K326" s="457" t="s">
        <v>20</v>
      </c>
      <c r="L326" s="456"/>
      <c r="M326" s="456"/>
      <c r="N326" s="449" t="s">
        <v>20</v>
      </c>
      <c r="O326" s="456"/>
      <c r="P326" s="449" t="s">
        <v>20</v>
      </c>
      <c r="Q326" s="456"/>
      <c r="R326" s="449" t="s">
        <v>20</v>
      </c>
      <c r="S326" s="457" t="s">
        <v>20</v>
      </c>
    </row>
    <row r="327" spans="1:19">
      <c r="A327" s="212" t="s">
        <v>23</v>
      </c>
      <c r="B327" s="213">
        <v>0.3854166666666668</v>
      </c>
      <c r="C327" s="214">
        <v>0.39583333333333348</v>
      </c>
      <c r="D327" s="452"/>
      <c r="E327" s="453"/>
      <c r="F327" s="449"/>
      <c r="G327" s="457" t="s">
        <v>20</v>
      </c>
      <c r="H327" s="455"/>
      <c r="I327" s="453"/>
      <c r="J327" s="449"/>
      <c r="K327" s="457" t="s">
        <v>20</v>
      </c>
      <c r="L327" s="456"/>
      <c r="M327" s="456"/>
      <c r="N327" s="449" t="s">
        <v>20</v>
      </c>
      <c r="O327" s="456"/>
      <c r="P327" s="449" t="s">
        <v>20</v>
      </c>
      <c r="Q327" s="456"/>
      <c r="R327" s="449" t="s">
        <v>20</v>
      </c>
      <c r="S327" s="457" t="s">
        <v>20</v>
      </c>
    </row>
    <row r="328" spans="1:19">
      <c r="A328" s="212" t="s">
        <v>23</v>
      </c>
      <c r="B328" s="213">
        <v>0.39583333333333348</v>
      </c>
      <c r="C328" s="214">
        <v>0.40625</v>
      </c>
      <c r="D328" s="452"/>
      <c r="E328" s="453"/>
      <c r="F328" s="449"/>
      <c r="G328" s="457" t="s">
        <v>20</v>
      </c>
      <c r="H328" s="455"/>
      <c r="I328" s="453"/>
      <c r="J328" s="449"/>
      <c r="K328" s="457" t="s">
        <v>20</v>
      </c>
      <c r="L328" s="456"/>
      <c r="M328" s="456"/>
      <c r="N328" s="449" t="s">
        <v>20</v>
      </c>
      <c r="O328" s="456"/>
      <c r="P328" s="449" t="s">
        <v>20</v>
      </c>
      <c r="Q328" s="456"/>
      <c r="R328" s="449" t="s">
        <v>20</v>
      </c>
      <c r="S328" s="457" t="s">
        <v>20</v>
      </c>
    </row>
    <row r="329" spans="1:19">
      <c r="A329" s="212" t="s">
        <v>23</v>
      </c>
      <c r="B329" s="213">
        <v>0.40625</v>
      </c>
      <c r="C329" s="214">
        <v>0.41666666666666685</v>
      </c>
      <c r="D329" s="452"/>
      <c r="E329" s="453"/>
      <c r="F329" s="449"/>
      <c r="G329" s="457" t="s">
        <v>20</v>
      </c>
      <c r="H329" s="455"/>
      <c r="I329" s="453"/>
      <c r="J329" s="449"/>
      <c r="K329" s="457" t="s">
        <v>20</v>
      </c>
      <c r="L329" s="456"/>
      <c r="M329" s="456"/>
      <c r="N329" s="449" t="s">
        <v>20</v>
      </c>
      <c r="O329" s="456"/>
      <c r="P329" s="449" t="s">
        <v>20</v>
      </c>
      <c r="Q329" s="456"/>
      <c r="R329" s="449" t="s">
        <v>20</v>
      </c>
      <c r="S329" s="457" t="s">
        <v>20</v>
      </c>
    </row>
    <row r="330" spans="1:19">
      <c r="A330" s="212" t="s">
        <v>23</v>
      </c>
      <c r="B330" s="213">
        <v>0.41666666666666685</v>
      </c>
      <c r="C330" s="214">
        <v>0.42708333333333354</v>
      </c>
      <c r="D330" s="452"/>
      <c r="E330" s="453"/>
      <c r="F330" s="449"/>
      <c r="G330" s="457" t="s">
        <v>20</v>
      </c>
      <c r="H330" s="455"/>
      <c r="I330" s="453"/>
      <c r="J330" s="449"/>
      <c r="K330" s="457" t="s">
        <v>20</v>
      </c>
      <c r="L330" s="456"/>
      <c r="M330" s="456"/>
      <c r="N330" s="449" t="s">
        <v>20</v>
      </c>
      <c r="O330" s="456"/>
      <c r="P330" s="449" t="s">
        <v>20</v>
      </c>
      <c r="Q330" s="456"/>
      <c r="R330" s="449" t="s">
        <v>20</v>
      </c>
      <c r="S330" s="457" t="s">
        <v>20</v>
      </c>
    </row>
    <row r="331" spans="1:19">
      <c r="A331" s="212" t="s">
        <v>23</v>
      </c>
      <c r="B331" s="213">
        <v>0.42708333333333354</v>
      </c>
      <c r="C331" s="214">
        <v>0.4375</v>
      </c>
      <c r="D331" s="452"/>
      <c r="E331" s="453"/>
      <c r="F331" s="449"/>
      <c r="G331" s="457" t="s">
        <v>20</v>
      </c>
      <c r="H331" s="455"/>
      <c r="I331" s="453"/>
      <c r="J331" s="449"/>
      <c r="K331" s="457" t="s">
        <v>20</v>
      </c>
      <c r="L331" s="456"/>
      <c r="M331" s="456"/>
      <c r="N331" s="449" t="s">
        <v>20</v>
      </c>
      <c r="O331" s="456"/>
      <c r="P331" s="449" t="s">
        <v>20</v>
      </c>
      <c r="Q331" s="456"/>
      <c r="R331" s="449" t="s">
        <v>20</v>
      </c>
      <c r="S331" s="457" t="s">
        <v>20</v>
      </c>
    </row>
    <row r="332" spans="1:19">
      <c r="A332" s="212" t="s">
        <v>23</v>
      </c>
      <c r="B332" s="213">
        <v>0.4375</v>
      </c>
      <c r="C332" s="214">
        <v>0.44791666666666691</v>
      </c>
      <c r="D332" s="452"/>
      <c r="E332" s="453"/>
      <c r="F332" s="449"/>
      <c r="G332" s="457" t="s">
        <v>20</v>
      </c>
      <c r="H332" s="455"/>
      <c r="I332" s="453"/>
      <c r="J332" s="449"/>
      <c r="K332" s="457" t="s">
        <v>20</v>
      </c>
      <c r="L332" s="456"/>
      <c r="M332" s="456"/>
      <c r="N332" s="449" t="s">
        <v>20</v>
      </c>
      <c r="O332" s="456"/>
      <c r="P332" s="449" t="s">
        <v>20</v>
      </c>
      <c r="Q332" s="456"/>
      <c r="R332" s="449" t="s">
        <v>20</v>
      </c>
      <c r="S332" s="457" t="s">
        <v>20</v>
      </c>
    </row>
    <row r="333" spans="1:19">
      <c r="A333" s="212" t="s">
        <v>23</v>
      </c>
      <c r="B333" s="213">
        <v>0.44791666666666691</v>
      </c>
      <c r="C333" s="214">
        <v>0.45833333333333359</v>
      </c>
      <c r="D333" s="452"/>
      <c r="E333" s="453"/>
      <c r="F333" s="449"/>
      <c r="G333" s="457" t="s">
        <v>20</v>
      </c>
      <c r="H333" s="455"/>
      <c r="I333" s="453"/>
      <c r="J333" s="449"/>
      <c r="K333" s="457" t="s">
        <v>20</v>
      </c>
      <c r="L333" s="456"/>
      <c r="M333" s="456"/>
      <c r="N333" s="449" t="s">
        <v>20</v>
      </c>
      <c r="O333" s="456"/>
      <c r="P333" s="449" t="s">
        <v>20</v>
      </c>
      <c r="Q333" s="456"/>
      <c r="R333" s="449" t="s">
        <v>20</v>
      </c>
      <c r="S333" s="457" t="s">
        <v>20</v>
      </c>
    </row>
    <row r="334" spans="1:19">
      <c r="A334" s="212" t="s">
        <v>23</v>
      </c>
      <c r="B334" s="213">
        <v>0.45833333333333359</v>
      </c>
      <c r="C334" s="214">
        <v>0.46875</v>
      </c>
      <c r="D334" s="452"/>
      <c r="E334" s="453"/>
      <c r="F334" s="449"/>
      <c r="G334" s="457" t="s">
        <v>20</v>
      </c>
      <c r="H334" s="455"/>
      <c r="I334" s="453"/>
      <c r="J334" s="449"/>
      <c r="K334" s="457" t="s">
        <v>20</v>
      </c>
      <c r="L334" s="456"/>
      <c r="M334" s="456"/>
      <c r="N334" s="449" t="s">
        <v>20</v>
      </c>
      <c r="O334" s="456"/>
      <c r="P334" s="449" t="s">
        <v>20</v>
      </c>
      <c r="Q334" s="456"/>
      <c r="R334" s="449" t="s">
        <v>20</v>
      </c>
      <c r="S334" s="457" t="s">
        <v>20</v>
      </c>
    </row>
    <row r="335" spans="1:19">
      <c r="A335" s="212" t="s">
        <v>23</v>
      </c>
      <c r="B335" s="213">
        <v>0.46875</v>
      </c>
      <c r="C335" s="214">
        <v>0.47916666666666696</v>
      </c>
      <c r="D335" s="452"/>
      <c r="E335" s="453"/>
      <c r="F335" s="449"/>
      <c r="G335" s="457" t="s">
        <v>20</v>
      </c>
      <c r="H335" s="455"/>
      <c r="I335" s="453"/>
      <c r="J335" s="449"/>
      <c r="K335" s="457" t="s">
        <v>20</v>
      </c>
      <c r="L335" s="456"/>
      <c r="M335" s="456"/>
      <c r="N335" s="449" t="s">
        <v>20</v>
      </c>
      <c r="O335" s="456"/>
      <c r="P335" s="449" t="s">
        <v>20</v>
      </c>
      <c r="Q335" s="456"/>
      <c r="R335" s="449" t="s">
        <v>20</v>
      </c>
      <c r="S335" s="457" t="s">
        <v>20</v>
      </c>
    </row>
    <row r="336" spans="1:19">
      <c r="A336" s="212" t="s">
        <v>23</v>
      </c>
      <c r="B336" s="213">
        <v>0.47916666666666696</v>
      </c>
      <c r="C336" s="214">
        <v>0.48958333333333365</v>
      </c>
      <c r="D336" s="452"/>
      <c r="E336" s="453"/>
      <c r="F336" s="449"/>
      <c r="G336" s="457" t="s">
        <v>20</v>
      </c>
      <c r="H336" s="455"/>
      <c r="I336" s="453"/>
      <c r="J336" s="449"/>
      <c r="K336" s="457" t="s">
        <v>20</v>
      </c>
      <c r="L336" s="456"/>
      <c r="M336" s="456"/>
      <c r="N336" s="449" t="s">
        <v>20</v>
      </c>
      <c r="O336" s="456"/>
      <c r="P336" s="449" t="s">
        <v>20</v>
      </c>
      <c r="Q336" s="456"/>
      <c r="R336" s="449" t="s">
        <v>20</v>
      </c>
      <c r="S336" s="457" t="s">
        <v>20</v>
      </c>
    </row>
    <row r="337" spans="1:19">
      <c r="A337" s="212" t="s">
        <v>23</v>
      </c>
      <c r="B337" s="213">
        <v>0.48958333333333365</v>
      </c>
      <c r="C337" s="214">
        <v>0.5</v>
      </c>
      <c r="D337" s="452"/>
      <c r="E337" s="453"/>
      <c r="F337" s="449"/>
      <c r="G337" s="457" t="s">
        <v>20</v>
      </c>
      <c r="H337" s="455"/>
      <c r="I337" s="453"/>
      <c r="J337" s="449"/>
      <c r="K337" s="457" t="s">
        <v>20</v>
      </c>
      <c r="L337" s="456"/>
      <c r="M337" s="456"/>
      <c r="N337" s="449" t="s">
        <v>20</v>
      </c>
      <c r="O337" s="456"/>
      <c r="P337" s="449" t="s">
        <v>20</v>
      </c>
      <c r="Q337" s="456"/>
      <c r="R337" s="449" t="s">
        <v>20</v>
      </c>
      <c r="S337" s="457" t="s">
        <v>20</v>
      </c>
    </row>
    <row r="338" spans="1:19">
      <c r="A338" s="212" t="s">
        <v>23</v>
      </c>
      <c r="B338" s="213">
        <v>0.5</v>
      </c>
      <c r="C338" s="214">
        <v>0.51041666666666696</v>
      </c>
      <c r="D338" s="452"/>
      <c r="E338" s="453"/>
      <c r="F338" s="449"/>
      <c r="G338" s="457" t="s">
        <v>20</v>
      </c>
      <c r="H338" s="455"/>
      <c r="I338" s="453"/>
      <c r="J338" s="449"/>
      <c r="K338" s="457" t="s">
        <v>20</v>
      </c>
      <c r="L338" s="456"/>
      <c r="M338" s="456"/>
      <c r="N338" s="449" t="s">
        <v>20</v>
      </c>
      <c r="O338" s="456"/>
      <c r="P338" s="449" t="s">
        <v>20</v>
      </c>
      <c r="Q338" s="456"/>
      <c r="R338" s="449" t="s">
        <v>20</v>
      </c>
      <c r="S338" s="457" t="s">
        <v>20</v>
      </c>
    </row>
    <row r="339" spans="1:19">
      <c r="A339" s="212" t="s">
        <v>23</v>
      </c>
      <c r="B339" s="213">
        <v>0.51041666666666696</v>
      </c>
      <c r="C339" s="214">
        <v>0.52083333333333359</v>
      </c>
      <c r="D339" s="452"/>
      <c r="E339" s="453"/>
      <c r="F339" s="449"/>
      <c r="G339" s="457" t="s">
        <v>20</v>
      </c>
      <c r="H339" s="455"/>
      <c r="I339" s="453"/>
      <c r="J339" s="449"/>
      <c r="K339" s="457" t="s">
        <v>20</v>
      </c>
      <c r="L339" s="456"/>
      <c r="M339" s="456"/>
      <c r="N339" s="449" t="s">
        <v>20</v>
      </c>
      <c r="O339" s="456"/>
      <c r="P339" s="449" t="s">
        <v>20</v>
      </c>
      <c r="Q339" s="456"/>
      <c r="R339" s="449" t="s">
        <v>20</v>
      </c>
      <c r="S339" s="457" t="s">
        <v>20</v>
      </c>
    </row>
    <row r="340" spans="1:19">
      <c r="A340" s="212" t="s">
        <v>23</v>
      </c>
      <c r="B340" s="213">
        <v>0.52083333333333359</v>
      </c>
      <c r="C340" s="214">
        <v>0.53125</v>
      </c>
      <c r="D340" s="452"/>
      <c r="E340" s="453"/>
      <c r="F340" s="449"/>
      <c r="G340" s="457" t="s">
        <v>20</v>
      </c>
      <c r="H340" s="455"/>
      <c r="I340" s="453"/>
      <c r="J340" s="449"/>
      <c r="K340" s="457" t="s">
        <v>20</v>
      </c>
      <c r="L340" s="456"/>
      <c r="M340" s="456"/>
      <c r="N340" s="449" t="s">
        <v>20</v>
      </c>
      <c r="O340" s="456"/>
      <c r="P340" s="449" t="s">
        <v>20</v>
      </c>
      <c r="Q340" s="456"/>
      <c r="R340" s="449" t="s">
        <v>20</v>
      </c>
      <c r="S340" s="457" t="s">
        <v>20</v>
      </c>
    </row>
    <row r="341" spans="1:19">
      <c r="A341" s="212" t="s">
        <v>23</v>
      </c>
      <c r="B341" s="213">
        <v>0.53125</v>
      </c>
      <c r="C341" s="214">
        <v>0.54166666666666685</v>
      </c>
      <c r="D341" s="452"/>
      <c r="E341" s="453"/>
      <c r="F341" s="449"/>
      <c r="G341" s="457" t="s">
        <v>20</v>
      </c>
      <c r="H341" s="455"/>
      <c r="I341" s="453"/>
      <c r="J341" s="449"/>
      <c r="K341" s="457" t="s">
        <v>20</v>
      </c>
      <c r="L341" s="456"/>
      <c r="M341" s="456"/>
      <c r="N341" s="449" t="s">
        <v>20</v>
      </c>
      <c r="O341" s="456"/>
      <c r="P341" s="449" t="s">
        <v>20</v>
      </c>
      <c r="Q341" s="456"/>
      <c r="R341" s="449" t="s">
        <v>20</v>
      </c>
      <c r="S341" s="457" t="s">
        <v>20</v>
      </c>
    </row>
    <row r="342" spans="1:19">
      <c r="A342" s="212" t="s">
        <v>23</v>
      </c>
      <c r="B342" s="213">
        <v>0.54166666666666685</v>
      </c>
      <c r="C342" s="214">
        <v>0.55208333333333348</v>
      </c>
      <c r="D342" s="452"/>
      <c r="E342" s="453"/>
      <c r="F342" s="449"/>
      <c r="G342" s="457" t="s">
        <v>20</v>
      </c>
      <c r="H342" s="455"/>
      <c r="I342" s="453"/>
      <c r="J342" s="449"/>
      <c r="K342" s="457" t="s">
        <v>20</v>
      </c>
      <c r="L342" s="456"/>
      <c r="M342" s="456"/>
      <c r="N342" s="449" t="s">
        <v>20</v>
      </c>
      <c r="O342" s="456"/>
      <c r="P342" s="449" t="s">
        <v>20</v>
      </c>
      <c r="Q342" s="456"/>
      <c r="R342" s="449" t="s">
        <v>20</v>
      </c>
      <c r="S342" s="457" t="s">
        <v>20</v>
      </c>
    </row>
    <row r="343" spans="1:19">
      <c r="A343" s="212" t="s">
        <v>23</v>
      </c>
      <c r="B343" s="213">
        <v>0.55208333333333348</v>
      </c>
      <c r="C343" s="214">
        <v>0.5625</v>
      </c>
      <c r="D343" s="452"/>
      <c r="E343" s="453"/>
      <c r="F343" s="449"/>
      <c r="G343" s="457" t="s">
        <v>20</v>
      </c>
      <c r="H343" s="455"/>
      <c r="I343" s="453"/>
      <c r="J343" s="449"/>
      <c r="K343" s="457" t="s">
        <v>20</v>
      </c>
      <c r="L343" s="456"/>
      <c r="M343" s="456"/>
      <c r="N343" s="449" t="s">
        <v>20</v>
      </c>
      <c r="O343" s="456"/>
      <c r="P343" s="449" t="s">
        <v>20</v>
      </c>
      <c r="Q343" s="456"/>
      <c r="R343" s="449" t="s">
        <v>20</v>
      </c>
      <c r="S343" s="457" t="s">
        <v>20</v>
      </c>
    </row>
    <row r="344" spans="1:19">
      <c r="A344" s="212" t="s">
        <v>23</v>
      </c>
      <c r="B344" s="213">
        <v>0.5625</v>
      </c>
      <c r="C344" s="214">
        <v>0.57291666666666674</v>
      </c>
      <c r="D344" s="452"/>
      <c r="E344" s="453"/>
      <c r="F344" s="449"/>
      <c r="G344" s="457" t="s">
        <v>20</v>
      </c>
      <c r="H344" s="455"/>
      <c r="I344" s="453"/>
      <c r="J344" s="449"/>
      <c r="K344" s="457" t="s">
        <v>20</v>
      </c>
      <c r="L344" s="456"/>
      <c r="M344" s="456"/>
      <c r="N344" s="449" t="s">
        <v>20</v>
      </c>
      <c r="O344" s="456"/>
      <c r="P344" s="449" t="s">
        <v>20</v>
      </c>
      <c r="Q344" s="456"/>
      <c r="R344" s="449" t="s">
        <v>20</v>
      </c>
      <c r="S344" s="457" t="s">
        <v>20</v>
      </c>
    </row>
    <row r="345" spans="1:19">
      <c r="A345" s="212" t="s">
        <v>23</v>
      </c>
      <c r="B345" s="213">
        <v>0.57291666666666674</v>
      </c>
      <c r="C345" s="214">
        <v>0.58333333333333337</v>
      </c>
      <c r="D345" s="452"/>
      <c r="E345" s="453"/>
      <c r="F345" s="449"/>
      <c r="G345" s="457" t="s">
        <v>20</v>
      </c>
      <c r="H345" s="455"/>
      <c r="I345" s="453"/>
      <c r="J345" s="449"/>
      <c r="K345" s="457" t="s">
        <v>20</v>
      </c>
      <c r="L345" s="456"/>
      <c r="M345" s="456"/>
      <c r="N345" s="449" t="s">
        <v>20</v>
      </c>
      <c r="O345" s="456"/>
      <c r="P345" s="449" t="s">
        <v>20</v>
      </c>
      <c r="Q345" s="456"/>
      <c r="R345" s="449" t="s">
        <v>20</v>
      </c>
      <c r="S345" s="457" t="s">
        <v>20</v>
      </c>
    </row>
    <row r="346" spans="1:19">
      <c r="A346" s="212" t="s">
        <v>23</v>
      </c>
      <c r="B346" s="213">
        <v>0.58333333333333337</v>
      </c>
      <c r="C346" s="214">
        <v>0.59375</v>
      </c>
      <c r="D346" s="452"/>
      <c r="E346" s="453"/>
      <c r="F346" s="449"/>
      <c r="G346" s="457" t="s">
        <v>20</v>
      </c>
      <c r="H346" s="455"/>
      <c r="I346" s="453"/>
      <c r="J346" s="449"/>
      <c r="K346" s="457" t="s">
        <v>20</v>
      </c>
      <c r="L346" s="456"/>
      <c r="M346" s="456"/>
      <c r="N346" s="449" t="s">
        <v>20</v>
      </c>
      <c r="O346" s="456"/>
      <c r="P346" s="449" t="s">
        <v>20</v>
      </c>
      <c r="Q346" s="456"/>
      <c r="R346" s="449" t="s">
        <v>20</v>
      </c>
      <c r="S346" s="457" t="s">
        <v>20</v>
      </c>
    </row>
    <row r="347" spans="1:19">
      <c r="A347" s="212" t="s">
        <v>23</v>
      </c>
      <c r="B347" s="213">
        <v>0.59375</v>
      </c>
      <c r="C347" s="214">
        <v>0.60416666666666663</v>
      </c>
      <c r="D347" s="452"/>
      <c r="E347" s="453"/>
      <c r="F347" s="449"/>
      <c r="G347" s="457" t="s">
        <v>20</v>
      </c>
      <c r="H347" s="455"/>
      <c r="I347" s="453"/>
      <c r="J347" s="449"/>
      <c r="K347" s="457" t="s">
        <v>20</v>
      </c>
      <c r="L347" s="456"/>
      <c r="M347" s="456"/>
      <c r="N347" s="449" t="s">
        <v>20</v>
      </c>
      <c r="O347" s="456"/>
      <c r="P347" s="449" t="s">
        <v>20</v>
      </c>
      <c r="Q347" s="456"/>
      <c r="R347" s="449" t="s">
        <v>20</v>
      </c>
      <c r="S347" s="457" t="s">
        <v>20</v>
      </c>
    </row>
    <row r="348" spans="1:19">
      <c r="A348" s="212" t="s">
        <v>23</v>
      </c>
      <c r="B348" s="213">
        <v>0.60416666666666663</v>
      </c>
      <c r="C348" s="214">
        <v>0.61458333333333326</v>
      </c>
      <c r="D348" s="452"/>
      <c r="E348" s="453"/>
      <c r="F348" s="449"/>
      <c r="G348" s="457" t="s">
        <v>20</v>
      </c>
      <c r="H348" s="455"/>
      <c r="I348" s="453"/>
      <c r="J348" s="449"/>
      <c r="K348" s="457" t="s">
        <v>20</v>
      </c>
      <c r="L348" s="456"/>
      <c r="M348" s="456"/>
      <c r="N348" s="449" t="s">
        <v>20</v>
      </c>
      <c r="O348" s="456"/>
      <c r="P348" s="449" t="s">
        <v>20</v>
      </c>
      <c r="Q348" s="456"/>
      <c r="R348" s="449" t="s">
        <v>20</v>
      </c>
      <c r="S348" s="457" t="s">
        <v>20</v>
      </c>
    </row>
    <row r="349" spans="1:19">
      <c r="A349" s="212" t="s">
        <v>23</v>
      </c>
      <c r="B349" s="213">
        <v>0.61458333333333337</v>
      </c>
      <c r="C349" s="214">
        <v>0.625</v>
      </c>
      <c r="D349" s="452"/>
      <c r="E349" s="453"/>
      <c r="F349" s="449"/>
      <c r="G349" s="457" t="s">
        <v>20</v>
      </c>
      <c r="H349" s="455"/>
      <c r="I349" s="453"/>
      <c r="J349" s="449"/>
      <c r="K349" s="457" t="s">
        <v>20</v>
      </c>
      <c r="L349" s="456"/>
      <c r="M349" s="456"/>
      <c r="N349" s="449" t="s">
        <v>20</v>
      </c>
      <c r="O349" s="456"/>
      <c r="P349" s="449" t="s">
        <v>20</v>
      </c>
      <c r="Q349" s="456"/>
      <c r="R349" s="449" t="s">
        <v>20</v>
      </c>
      <c r="S349" s="457" t="s">
        <v>20</v>
      </c>
    </row>
    <row r="350" spans="1:19">
      <c r="A350" s="212" t="s">
        <v>23</v>
      </c>
      <c r="B350" s="213">
        <v>0.625</v>
      </c>
      <c r="C350" s="214">
        <v>0.63541666666666652</v>
      </c>
      <c r="D350" s="452"/>
      <c r="E350" s="453"/>
      <c r="F350" s="449"/>
      <c r="G350" s="457" t="s">
        <v>20</v>
      </c>
      <c r="H350" s="455"/>
      <c r="I350" s="453"/>
      <c r="J350" s="449"/>
      <c r="K350" s="457" t="s">
        <v>20</v>
      </c>
      <c r="L350" s="456"/>
      <c r="M350" s="456"/>
      <c r="N350" s="449" t="s">
        <v>20</v>
      </c>
      <c r="O350" s="456"/>
      <c r="P350" s="449" t="s">
        <v>20</v>
      </c>
      <c r="Q350" s="456"/>
      <c r="R350" s="449" t="s">
        <v>20</v>
      </c>
      <c r="S350" s="457" t="s">
        <v>20</v>
      </c>
    </row>
    <row r="351" spans="1:19">
      <c r="A351" s="212" t="s">
        <v>23</v>
      </c>
      <c r="B351" s="213">
        <v>0.63541666666666663</v>
      </c>
      <c r="C351" s="214">
        <v>0.64583333333333315</v>
      </c>
      <c r="D351" s="452"/>
      <c r="E351" s="453"/>
      <c r="F351" s="449"/>
      <c r="G351" s="457" t="s">
        <v>20</v>
      </c>
      <c r="H351" s="455"/>
      <c r="I351" s="453"/>
      <c r="J351" s="449"/>
      <c r="K351" s="457" t="s">
        <v>20</v>
      </c>
      <c r="L351" s="456"/>
      <c r="M351" s="456"/>
      <c r="N351" s="449" t="s">
        <v>20</v>
      </c>
      <c r="O351" s="456"/>
      <c r="P351" s="449" t="s">
        <v>20</v>
      </c>
      <c r="Q351" s="456"/>
      <c r="R351" s="449" t="s">
        <v>20</v>
      </c>
      <c r="S351" s="457" t="s">
        <v>20</v>
      </c>
    </row>
    <row r="352" spans="1:19">
      <c r="A352" s="212" t="s">
        <v>23</v>
      </c>
      <c r="B352" s="213">
        <v>0.64583333333333337</v>
      </c>
      <c r="C352" s="214">
        <v>0.65625</v>
      </c>
      <c r="D352" s="452"/>
      <c r="E352" s="453"/>
      <c r="F352" s="449"/>
      <c r="G352" s="457" t="s">
        <v>20</v>
      </c>
      <c r="H352" s="455"/>
      <c r="I352" s="453"/>
      <c r="J352" s="449"/>
      <c r="K352" s="457" t="s">
        <v>20</v>
      </c>
      <c r="L352" s="456"/>
      <c r="M352" s="456"/>
      <c r="N352" s="449" t="s">
        <v>20</v>
      </c>
      <c r="O352" s="456"/>
      <c r="P352" s="449" t="s">
        <v>20</v>
      </c>
      <c r="Q352" s="456"/>
      <c r="R352" s="449" t="s">
        <v>20</v>
      </c>
      <c r="S352" s="457" t="s">
        <v>20</v>
      </c>
    </row>
    <row r="353" spans="1:19">
      <c r="A353" s="212" t="s">
        <v>23</v>
      </c>
      <c r="B353" s="213">
        <v>0.65625</v>
      </c>
      <c r="C353" s="214">
        <v>0.66666666666666641</v>
      </c>
      <c r="D353" s="452"/>
      <c r="E353" s="453"/>
      <c r="F353" s="449"/>
      <c r="G353" s="457" t="s">
        <v>20</v>
      </c>
      <c r="H353" s="455"/>
      <c r="I353" s="453"/>
      <c r="J353" s="449"/>
      <c r="K353" s="457" t="s">
        <v>20</v>
      </c>
      <c r="L353" s="456"/>
      <c r="M353" s="456"/>
      <c r="N353" s="449" t="s">
        <v>20</v>
      </c>
      <c r="O353" s="456"/>
      <c r="P353" s="449" t="s">
        <v>20</v>
      </c>
      <c r="Q353" s="456"/>
      <c r="R353" s="449" t="s">
        <v>20</v>
      </c>
      <c r="S353" s="457" t="s">
        <v>20</v>
      </c>
    </row>
    <row r="354" spans="1:19">
      <c r="A354" s="212" t="s">
        <v>23</v>
      </c>
      <c r="B354" s="213">
        <v>0.66666666666666663</v>
      </c>
      <c r="C354" s="214">
        <v>0.67708333333333304</v>
      </c>
      <c r="D354" s="452"/>
      <c r="E354" s="453"/>
      <c r="F354" s="449"/>
      <c r="G354" s="457" t="s">
        <v>20</v>
      </c>
      <c r="H354" s="455"/>
      <c r="I354" s="453"/>
      <c r="J354" s="449"/>
      <c r="K354" s="457" t="s">
        <v>20</v>
      </c>
      <c r="L354" s="456"/>
      <c r="M354" s="456"/>
      <c r="N354" s="449" t="s">
        <v>20</v>
      </c>
      <c r="O354" s="456"/>
      <c r="P354" s="449" t="s">
        <v>20</v>
      </c>
      <c r="Q354" s="456"/>
      <c r="R354" s="449" t="s">
        <v>20</v>
      </c>
      <c r="S354" s="457" t="s">
        <v>20</v>
      </c>
    </row>
    <row r="355" spans="1:19">
      <c r="A355" s="212" t="s">
        <v>23</v>
      </c>
      <c r="B355" s="213">
        <v>0.67708333333333337</v>
      </c>
      <c r="C355" s="214">
        <v>0.6875</v>
      </c>
      <c r="D355" s="452"/>
      <c r="E355" s="453"/>
      <c r="F355" s="449"/>
      <c r="G355" s="457" t="s">
        <v>20</v>
      </c>
      <c r="H355" s="455"/>
      <c r="I355" s="453"/>
      <c r="J355" s="449"/>
      <c r="K355" s="457" t="s">
        <v>20</v>
      </c>
      <c r="L355" s="456"/>
      <c r="M355" s="456"/>
      <c r="N355" s="449" t="s">
        <v>20</v>
      </c>
      <c r="O355" s="456"/>
      <c r="P355" s="449" t="s">
        <v>20</v>
      </c>
      <c r="Q355" s="456"/>
      <c r="R355" s="449" t="s">
        <v>20</v>
      </c>
      <c r="S355" s="457" t="s">
        <v>20</v>
      </c>
    </row>
    <row r="356" spans="1:19">
      <c r="A356" s="212" t="s">
        <v>23</v>
      </c>
      <c r="B356" s="213">
        <v>0.6875</v>
      </c>
      <c r="C356" s="214">
        <v>0.6979166666666663</v>
      </c>
      <c r="D356" s="452"/>
      <c r="E356" s="453"/>
      <c r="F356" s="449"/>
      <c r="G356" s="457" t="s">
        <v>20</v>
      </c>
      <c r="H356" s="455"/>
      <c r="I356" s="453"/>
      <c r="J356" s="449"/>
      <c r="K356" s="457" t="s">
        <v>20</v>
      </c>
      <c r="L356" s="456"/>
      <c r="M356" s="456"/>
      <c r="N356" s="449" t="s">
        <v>20</v>
      </c>
      <c r="O356" s="456"/>
      <c r="P356" s="449" t="s">
        <v>20</v>
      </c>
      <c r="Q356" s="456"/>
      <c r="R356" s="449" t="s">
        <v>20</v>
      </c>
      <c r="S356" s="457" t="s">
        <v>20</v>
      </c>
    </row>
    <row r="357" spans="1:19">
      <c r="A357" s="212" t="s">
        <v>23</v>
      </c>
      <c r="B357" s="213">
        <v>0.69791666666666663</v>
      </c>
      <c r="C357" s="214">
        <v>0.70833333333333293</v>
      </c>
      <c r="D357" s="452"/>
      <c r="E357" s="453"/>
      <c r="F357" s="449"/>
      <c r="G357" s="457" t="s">
        <v>20</v>
      </c>
      <c r="H357" s="455"/>
      <c r="I357" s="453"/>
      <c r="J357" s="449"/>
      <c r="K357" s="457" t="s">
        <v>20</v>
      </c>
      <c r="L357" s="456"/>
      <c r="M357" s="456"/>
      <c r="N357" s="449" t="s">
        <v>20</v>
      </c>
      <c r="O357" s="456"/>
      <c r="P357" s="449" t="s">
        <v>20</v>
      </c>
      <c r="Q357" s="456"/>
      <c r="R357" s="449" t="s">
        <v>20</v>
      </c>
      <c r="S357" s="457" t="s">
        <v>20</v>
      </c>
    </row>
    <row r="358" spans="1:19">
      <c r="A358" s="212" t="s">
        <v>23</v>
      </c>
      <c r="B358" s="213">
        <v>0.70833333333333337</v>
      </c>
      <c r="C358" s="214">
        <v>0.71875</v>
      </c>
      <c r="D358" s="452"/>
      <c r="E358" s="453"/>
      <c r="F358" s="449"/>
      <c r="G358" s="457" t="s">
        <v>20</v>
      </c>
      <c r="H358" s="455"/>
      <c r="I358" s="453"/>
      <c r="J358" s="449"/>
      <c r="K358" s="457" t="s">
        <v>20</v>
      </c>
      <c r="L358" s="456"/>
      <c r="M358" s="456"/>
      <c r="N358" s="449" t="s">
        <v>20</v>
      </c>
      <c r="O358" s="456"/>
      <c r="P358" s="449" t="s">
        <v>20</v>
      </c>
      <c r="Q358" s="456"/>
      <c r="R358" s="449" t="s">
        <v>20</v>
      </c>
      <c r="S358" s="457" t="s">
        <v>20</v>
      </c>
    </row>
    <row r="359" spans="1:19">
      <c r="A359" s="212" t="s">
        <v>23</v>
      </c>
      <c r="B359" s="213">
        <v>0.71875</v>
      </c>
      <c r="C359" s="214">
        <v>0.72916666666666619</v>
      </c>
      <c r="D359" s="452"/>
      <c r="E359" s="453"/>
      <c r="F359" s="449"/>
      <c r="G359" s="457" t="s">
        <v>20</v>
      </c>
      <c r="H359" s="455"/>
      <c r="I359" s="453"/>
      <c r="J359" s="449"/>
      <c r="K359" s="457" t="s">
        <v>20</v>
      </c>
      <c r="L359" s="456"/>
      <c r="M359" s="456"/>
      <c r="N359" s="449" t="s">
        <v>20</v>
      </c>
      <c r="O359" s="456"/>
      <c r="P359" s="449" t="s">
        <v>20</v>
      </c>
      <c r="Q359" s="456"/>
      <c r="R359" s="449" t="s">
        <v>20</v>
      </c>
      <c r="S359" s="457" t="s">
        <v>20</v>
      </c>
    </row>
    <row r="360" spans="1:19">
      <c r="A360" s="212" t="s">
        <v>23</v>
      </c>
      <c r="B360" s="213">
        <v>0.72916666666666663</v>
      </c>
      <c r="C360" s="214">
        <v>0.73958333333333282</v>
      </c>
      <c r="D360" s="452"/>
      <c r="E360" s="453"/>
      <c r="F360" s="449"/>
      <c r="G360" s="457" t="s">
        <v>20</v>
      </c>
      <c r="H360" s="455"/>
      <c r="I360" s="453"/>
      <c r="J360" s="449"/>
      <c r="K360" s="457" t="s">
        <v>20</v>
      </c>
      <c r="L360" s="456"/>
      <c r="M360" s="456"/>
      <c r="N360" s="449" t="s">
        <v>20</v>
      </c>
      <c r="O360" s="456"/>
      <c r="P360" s="449" t="s">
        <v>20</v>
      </c>
      <c r="Q360" s="456"/>
      <c r="R360" s="449" t="s">
        <v>20</v>
      </c>
      <c r="S360" s="457" t="s">
        <v>20</v>
      </c>
    </row>
    <row r="361" spans="1:19">
      <c r="A361" s="212" t="s">
        <v>23</v>
      </c>
      <c r="B361" s="213">
        <v>0.73958333333333337</v>
      </c>
      <c r="C361" s="214">
        <v>0.74999999999999944</v>
      </c>
      <c r="D361" s="452"/>
      <c r="E361" s="453"/>
      <c r="F361" s="449"/>
      <c r="G361" s="457" t="s">
        <v>20</v>
      </c>
      <c r="H361" s="455"/>
      <c r="I361" s="453"/>
      <c r="J361" s="449"/>
      <c r="K361" s="457" t="s">
        <v>20</v>
      </c>
      <c r="L361" s="456"/>
      <c r="M361" s="456"/>
      <c r="N361" s="449" t="s">
        <v>20</v>
      </c>
      <c r="O361" s="456"/>
      <c r="P361" s="449" t="s">
        <v>20</v>
      </c>
      <c r="Q361" s="456"/>
      <c r="R361" s="449" t="s">
        <v>20</v>
      </c>
      <c r="S361" s="457" t="s">
        <v>20</v>
      </c>
    </row>
    <row r="362" spans="1:19">
      <c r="A362" s="212" t="s">
        <v>23</v>
      </c>
      <c r="B362" s="213">
        <v>0.75</v>
      </c>
      <c r="C362" s="214">
        <v>0.76041666666666607</v>
      </c>
      <c r="D362" s="452"/>
      <c r="E362" s="453"/>
      <c r="F362" s="449"/>
      <c r="G362" s="457" t="s">
        <v>20</v>
      </c>
      <c r="H362" s="455"/>
      <c r="I362" s="453"/>
      <c r="J362" s="449"/>
      <c r="K362" s="457" t="s">
        <v>20</v>
      </c>
      <c r="L362" s="456"/>
      <c r="M362" s="456"/>
      <c r="N362" s="449" t="s">
        <v>20</v>
      </c>
      <c r="O362" s="456"/>
      <c r="P362" s="449" t="s">
        <v>20</v>
      </c>
      <c r="Q362" s="456"/>
      <c r="R362" s="449" t="s">
        <v>20</v>
      </c>
      <c r="S362" s="457" t="s">
        <v>20</v>
      </c>
    </row>
    <row r="363" spans="1:19">
      <c r="A363" s="212" t="s">
        <v>23</v>
      </c>
      <c r="B363" s="213">
        <v>0.76041666666666663</v>
      </c>
      <c r="C363" s="214">
        <v>0.7708333333333327</v>
      </c>
      <c r="D363" s="452"/>
      <c r="E363" s="453"/>
      <c r="F363" s="449"/>
      <c r="G363" s="457" t="s">
        <v>20</v>
      </c>
      <c r="H363" s="455"/>
      <c r="I363" s="453"/>
      <c r="J363" s="449"/>
      <c r="K363" s="457" t="s">
        <v>20</v>
      </c>
      <c r="L363" s="456"/>
      <c r="M363" s="456"/>
      <c r="N363" s="449" t="s">
        <v>20</v>
      </c>
      <c r="O363" s="456"/>
      <c r="P363" s="449" t="s">
        <v>20</v>
      </c>
      <c r="Q363" s="456"/>
      <c r="R363" s="449" t="s">
        <v>20</v>
      </c>
      <c r="S363" s="457" t="s">
        <v>20</v>
      </c>
    </row>
    <row r="364" spans="1:19">
      <c r="A364" s="212" t="s">
        <v>23</v>
      </c>
      <c r="B364" s="213">
        <v>0.77083333333333337</v>
      </c>
      <c r="C364" s="214">
        <v>0.78124999999999933</v>
      </c>
      <c r="D364" s="452"/>
      <c r="E364" s="453"/>
      <c r="F364" s="449"/>
      <c r="G364" s="457" t="s">
        <v>20</v>
      </c>
      <c r="H364" s="455"/>
      <c r="I364" s="453"/>
      <c r="J364" s="449"/>
      <c r="K364" s="457" t="s">
        <v>20</v>
      </c>
      <c r="L364" s="456"/>
      <c r="M364" s="456"/>
      <c r="N364" s="449" t="s">
        <v>20</v>
      </c>
      <c r="O364" s="456"/>
      <c r="P364" s="449" t="s">
        <v>20</v>
      </c>
      <c r="Q364" s="456"/>
      <c r="R364" s="449" t="s">
        <v>20</v>
      </c>
      <c r="S364" s="457" t="s">
        <v>20</v>
      </c>
    </row>
    <row r="365" spans="1:19">
      <c r="A365" s="212" t="s">
        <v>23</v>
      </c>
      <c r="B365" s="213">
        <v>0.78125</v>
      </c>
      <c r="C365" s="214">
        <v>0.79166666666666596</v>
      </c>
      <c r="D365" s="452"/>
      <c r="E365" s="453"/>
      <c r="F365" s="449"/>
      <c r="G365" s="457" t="s">
        <v>20</v>
      </c>
      <c r="H365" s="455"/>
      <c r="I365" s="453"/>
      <c r="J365" s="449"/>
      <c r="K365" s="457" t="s">
        <v>20</v>
      </c>
      <c r="L365" s="456"/>
      <c r="M365" s="456"/>
      <c r="N365" s="449" t="s">
        <v>20</v>
      </c>
      <c r="O365" s="456"/>
      <c r="P365" s="449" t="s">
        <v>20</v>
      </c>
      <c r="Q365" s="456"/>
      <c r="R365" s="449" t="s">
        <v>20</v>
      </c>
      <c r="S365" s="457" t="s">
        <v>20</v>
      </c>
    </row>
    <row r="366" spans="1:19">
      <c r="A366" s="212" t="s">
        <v>23</v>
      </c>
      <c r="B366" s="213">
        <v>0.79166666666666663</v>
      </c>
      <c r="C366" s="214">
        <v>0.80208333333333259</v>
      </c>
      <c r="D366" s="452"/>
      <c r="E366" s="453"/>
      <c r="F366" s="449"/>
      <c r="G366" s="457" t="s">
        <v>20</v>
      </c>
      <c r="H366" s="455"/>
      <c r="I366" s="453"/>
      <c r="J366" s="449"/>
      <c r="K366" s="457" t="s">
        <v>20</v>
      </c>
      <c r="L366" s="456"/>
      <c r="M366" s="456"/>
      <c r="N366" s="449" t="s">
        <v>20</v>
      </c>
      <c r="O366" s="456"/>
      <c r="P366" s="449" t="s">
        <v>20</v>
      </c>
      <c r="Q366" s="456"/>
      <c r="R366" s="449" t="s">
        <v>20</v>
      </c>
      <c r="S366" s="457" t="s">
        <v>20</v>
      </c>
    </row>
    <row r="367" spans="1:19">
      <c r="A367" s="212" t="s">
        <v>23</v>
      </c>
      <c r="B367" s="213">
        <v>0.80208333333333337</v>
      </c>
      <c r="C367" s="214">
        <v>0.81249999999999922</v>
      </c>
      <c r="D367" s="452"/>
      <c r="E367" s="453"/>
      <c r="F367" s="449"/>
      <c r="G367" s="457" t="s">
        <v>20</v>
      </c>
      <c r="H367" s="455"/>
      <c r="I367" s="453"/>
      <c r="J367" s="449"/>
      <c r="K367" s="457" t="s">
        <v>20</v>
      </c>
      <c r="L367" s="456"/>
      <c r="M367" s="456"/>
      <c r="N367" s="449" t="s">
        <v>20</v>
      </c>
      <c r="O367" s="456"/>
      <c r="P367" s="449" t="s">
        <v>20</v>
      </c>
      <c r="Q367" s="456"/>
      <c r="R367" s="449" t="s">
        <v>20</v>
      </c>
      <c r="S367" s="457" t="s">
        <v>20</v>
      </c>
    </row>
    <row r="368" spans="1:19">
      <c r="A368" s="212" t="s">
        <v>23</v>
      </c>
      <c r="B368" s="213">
        <v>0.8125</v>
      </c>
      <c r="C368" s="214">
        <v>0.82291666666666585</v>
      </c>
      <c r="D368" s="452"/>
      <c r="E368" s="453"/>
      <c r="F368" s="449"/>
      <c r="G368" s="457" t="s">
        <v>20</v>
      </c>
      <c r="H368" s="455"/>
      <c r="I368" s="453"/>
      <c r="J368" s="449"/>
      <c r="K368" s="457" t="s">
        <v>20</v>
      </c>
      <c r="L368" s="456"/>
      <c r="M368" s="456"/>
      <c r="N368" s="449" t="s">
        <v>20</v>
      </c>
      <c r="O368" s="456"/>
      <c r="P368" s="449" t="s">
        <v>20</v>
      </c>
      <c r="Q368" s="456"/>
      <c r="R368" s="449" t="s">
        <v>20</v>
      </c>
      <c r="S368" s="457" t="s">
        <v>20</v>
      </c>
    </row>
    <row r="369" spans="1:19">
      <c r="A369" s="212" t="s">
        <v>23</v>
      </c>
      <c r="B369" s="213">
        <v>0.82291666666666663</v>
      </c>
      <c r="C369" s="214">
        <v>0.83333333333333248</v>
      </c>
      <c r="D369" s="452"/>
      <c r="E369" s="453"/>
      <c r="F369" s="449"/>
      <c r="G369" s="457" t="s">
        <v>20</v>
      </c>
      <c r="H369" s="455"/>
      <c r="I369" s="453"/>
      <c r="J369" s="449"/>
      <c r="K369" s="457" t="s">
        <v>20</v>
      </c>
      <c r="L369" s="456"/>
      <c r="M369" s="456"/>
      <c r="N369" s="449" t="s">
        <v>20</v>
      </c>
      <c r="O369" s="456"/>
      <c r="P369" s="449" t="s">
        <v>20</v>
      </c>
      <c r="Q369" s="456"/>
      <c r="R369" s="449" t="s">
        <v>20</v>
      </c>
      <c r="S369" s="457" t="s">
        <v>20</v>
      </c>
    </row>
    <row r="370" spans="1:19">
      <c r="A370" s="212" t="s">
        <v>23</v>
      </c>
      <c r="B370" s="213">
        <v>0.83333333333333337</v>
      </c>
      <c r="C370" s="214">
        <v>0.84374999999999911</v>
      </c>
      <c r="D370" s="452"/>
      <c r="E370" s="453"/>
      <c r="F370" s="449"/>
      <c r="G370" s="457" t="s">
        <v>20</v>
      </c>
      <c r="H370" s="455"/>
      <c r="I370" s="453"/>
      <c r="J370" s="449"/>
      <c r="K370" s="457" t="s">
        <v>20</v>
      </c>
      <c r="L370" s="456"/>
      <c r="M370" s="456"/>
      <c r="N370" s="449" t="s">
        <v>20</v>
      </c>
      <c r="O370" s="456"/>
      <c r="P370" s="449" t="s">
        <v>20</v>
      </c>
      <c r="Q370" s="456"/>
      <c r="R370" s="449" t="s">
        <v>20</v>
      </c>
      <c r="S370" s="457" t="s">
        <v>20</v>
      </c>
    </row>
    <row r="371" spans="1:19">
      <c r="A371" s="212" t="s">
        <v>23</v>
      </c>
      <c r="B371" s="213">
        <v>0.84375</v>
      </c>
      <c r="C371" s="214">
        <v>0.85416666666666574</v>
      </c>
      <c r="D371" s="452"/>
      <c r="E371" s="453"/>
      <c r="F371" s="449"/>
      <c r="G371" s="457" t="s">
        <v>20</v>
      </c>
      <c r="H371" s="455"/>
      <c r="I371" s="453"/>
      <c r="J371" s="449"/>
      <c r="K371" s="457" t="s">
        <v>20</v>
      </c>
      <c r="L371" s="456"/>
      <c r="M371" s="456"/>
      <c r="N371" s="449" t="s">
        <v>20</v>
      </c>
      <c r="O371" s="456"/>
      <c r="P371" s="449" t="s">
        <v>20</v>
      </c>
      <c r="Q371" s="456"/>
      <c r="R371" s="449" t="s">
        <v>20</v>
      </c>
      <c r="S371" s="457" t="s">
        <v>20</v>
      </c>
    </row>
    <row r="372" spans="1:19">
      <c r="A372" s="212" t="s">
        <v>23</v>
      </c>
      <c r="B372" s="213">
        <v>0.85416666666666663</v>
      </c>
      <c r="C372" s="214">
        <v>0.86458333333333237</v>
      </c>
      <c r="D372" s="452"/>
      <c r="E372" s="453"/>
      <c r="F372" s="449"/>
      <c r="G372" s="457" t="s">
        <v>20</v>
      </c>
      <c r="H372" s="455"/>
      <c r="I372" s="453"/>
      <c r="J372" s="449"/>
      <c r="K372" s="457" t="s">
        <v>20</v>
      </c>
      <c r="L372" s="456"/>
      <c r="M372" s="456"/>
      <c r="N372" s="449" t="s">
        <v>20</v>
      </c>
      <c r="O372" s="456"/>
      <c r="P372" s="449" t="s">
        <v>20</v>
      </c>
      <c r="Q372" s="456"/>
      <c r="R372" s="449" t="s">
        <v>20</v>
      </c>
      <c r="S372" s="457" t="s">
        <v>20</v>
      </c>
    </row>
    <row r="373" spans="1:19">
      <c r="A373" s="212" t="s">
        <v>23</v>
      </c>
      <c r="B373" s="213">
        <v>0.86458333333333337</v>
      </c>
      <c r="C373" s="214">
        <v>0.874999999999999</v>
      </c>
      <c r="D373" s="452"/>
      <c r="E373" s="453"/>
      <c r="F373" s="449"/>
      <c r="G373" s="457" t="s">
        <v>20</v>
      </c>
      <c r="H373" s="455"/>
      <c r="I373" s="453"/>
      <c r="J373" s="449"/>
      <c r="K373" s="457" t="s">
        <v>20</v>
      </c>
      <c r="L373" s="456"/>
      <c r="M373" s="456"/>
      <c r="N373" s="449" t="s">
        <v>20</v>
      </c>
      <c r="O373" s="456"/>
      <c r="P373" s="449" t="s">
        <v>20</v>
      </c>
      <c r="Q373" s="456"/>
      <c r="R373" s="449" t="s">
        <v>20</v>
      </c>
      <c r="S373" s="457" t="s">
        <v>20</v>
      </c>
    </row>
    <row r="374" spans="1:19">
      <c r="A374" s="212" t="s">
        <v>23</v>
      </c>
      <c r="B374" s="213">
        <v>0.875</v>
      </c>
      <c r="C374" s="214">
        <v>0.88541666666666563</v>
      </c>
      <c r="D374" s="452"/>
      <c r="E374" s="453"/>
      <c r="F374" s="449"/>
      <c r="G374" s="457" t="s">
        <v>20</v>
      </c>
      <c r="H374" s="455"/>
      <c r="I374" s="453"/>
      <c r="J374" s="449"/>
      <c r="K374" s="457" t="s">
        <v>20</v>
      </c>
      <c r="L374" s="456"/>
      <c r="M374" s="456"/>
      <c r="N374" s="449" t="s">
        <v>20</v>
      </c>
      <c r="O374" s="456"/>
      <c r="P374" s="449" t="s">
        <v>20</v>
      </c>
      <c r="Q374" s="456"/>
      <c r="R374" s="449" t="s">
        <v>20</v>
      </c>
      <c r="S374" s="457" t="s">
        <v>20</v>
      </c>
    </row>
    <row r="375" spans="1:19">
      <c r="A375" s="212" t="s">
        <v>23</v>
      </c>
      <c r="B375" s="213">
        <v>0.88541666666666663</v>
      </c>
      <c r="C375" s="214">
        <v>0.89583333333333226</v>
      </c>
      <c r="D375" s="452"/>
      <c r="E375" s="453"/>
      <c r="F375" s="449"/>
      <c r="G375" s="457" t="s">
        <v>20</v>
      </c>
      <c r="H375" s="455"/>
      <c r="I375" s="453"/>
      <c r="J375" s="449"/>
      <c r="K375" s="457" t="s">
        <v>20</v>
      </c>
      <c r="L375" s="456"/>
      <c r="M375" s="456"/>
      <c r="N375" s="449" t="s">
        <v>20</v>
      </c>
      <c r="O375" s="456"/>
      <c r="P375" s="449" t="s">
        <v>20</v>
      </c>
      <c r="Q375" s="456"/>
      <c r="R375" s="449" t="s">
        <v>20</v>
      </c>
      <c r="S375" s="457" t="s">
        <v>20</v>
      </c>
    </row>
    <row r="376" spans="1:19">
      <c r="A376" s="212" t="s">
        <v>23</v>
      </c>
      <c r="B376" s="213">
        <v>0.89583333333333337</v>
      </c>
      <c r="C376" s="214">
        <v>0.90624999999999889</v>
      </c>
      <c r="D376" s="452"/>
      <c r="E376" s="453"/>
      <c r="F376" s="449"/>
      <c r="G376" s="457" t="s">
        <v>20</v>
      </c>
      <c r="H376" s="455"/>
      <c r="I376" s="453"/>
      <c r="J376" s="449"/>
      <c r="K376" s="457" t="s">
        <v>20</v>
      </c>
      <c r="L376" s="456"/>
      <c r="M376" s="456"/>
      <c r="N376" s="449" t="s">
        <v>20</v>
      </c>
      <c r="O376" s="456"/>
      <c r="P376" s="449" t="s">
        <v>20</v>
      </c>
      <c r="Q376" s="456"/>
      <c r="R376" s="449" t="s">
        <v>20</v>
      </c>
      <c r="S376" s="457" t="s">
        <v>20</v>
      </c>
    </row>
    <row r="377" spans="1:19">
      <c r="A377" s="212" t="s">
        <v>23</v>
      </c>
      <c r="B377" s="213">
        <v>0.90625</v>
      </c>
      <c r="C377" s="214">
        <v>0.91666666666666552</v>
      </c>
      <c r="D377" s="452"/>
      <c r="E377" s="453"/>
      <c r="F377" s="449"/>
      <c r="G377" s="457" t="s">
        <v>20</v>
      </c>
      <c r="H377" s="455"/>
      <c r="I377" s="453"/>
      <c r="J377" s="449"/>
      <c r="K377" s="457" t="s">
        <v>20</v>
      </c>
      <c r="L377" s="456"/>
      <c r="M377" s="456"/>
      <c r="N377" s="449" t="s">
        <v>20</v>
      </c>
      <c r="O377" s="456"/>
      <c r="P377" s="449" t="s">
        <v>20</v>
      </c>
      <c r="Q377" s="456"/>
      <c r="R377" s="449" t="s">
        <v>20</v>
      </c>
      <c r="S377" s="457" t="s">
        <v>20</v>
      </c>
    </row>
    <row r="378" spans="1:19">
      <c r="A378" s="212" t="s">
        <v>23</v>
      </c>
      <c r="B378" s="213">
        <v>0.91666666666666663</v>
      </c>
      <c r="C378" s="214">
        <v>0.92708333333333215</v>
      </c>
      <c r="D378" s="452"/>
      <c r="E378" s="453"/>
      <c r="F378" s="449"/>
      <c r="G378" s="457" t="s">
        <v>20</v>
      </c>
      <c r="H378" s="455"/>
      <c r="I378" s="453"/>
      <c r="J378" s="449"/>
      <c r="K378" s="457" t="s">
        <v>20</v>
      </c>
      <c r="L378" s="456"/>
      <c r="M378" s="456"/>
      <c r="N378" s="449" t="s">
        <v>20</v>
      </c>
      <c r="O378" s="456"/>
      <c r="P378" s="449" t="s">
        <v>20</v>
      </c>
      <c r="Q378" s="456"/>
      <c r="R378" s="449" t="s">
        <v>20</v>
      </c>
      <c r="S378" s="457" t="s">
        <v>20</v>
      </c>
    </row>
    <row r="379" spans="1:19">
      <c r="A379" s="212" t="s">
        <v>23</v>
      </c>
      <c r="B379" s="213">
        <v>0.92708333333333337</v>
      </c>
      <c r="C379" s="214">
        <v>0.93749999999999878</v>
      </c>
      <c r="D379" s="452"/>
      <c r="E379" s="453"/>
      <c r="F379" s="449"/>
      <c r="G379" s="457" t="s">
        <v>20</v>
      </c>
      <c r="H379" s="455"/>
      <c r="I379" s="453"/>
      <c r="J379" s="449"/>
      <c r="K379" s="457" t="s">
        <v>20</v>
      </c>
      <c r="L379" s="456"/>
      <c r="M379" s="456"/>
      <c r="N379" s="449" t="s">
        <v>20</v>
      </c>
      <c r="O379" s="456"/>
      <c r="P379" s="449" t="s">
        <v>20</v>
      </c>
      <c r="Q379" s="456"/>
      <c r="R379" s="449" t="s">
        <v>20</v>
      </c>
      <c r="S379" s="457" t="s">
        <v>20</v>
      </c>
    </row>
    <row r="380" spans="1:19">
      <c r="A380" s="212" t="s">
        <v>23</v>
      </c>
      <c r="B380" s="213">
        <v>0.9375</v>
      </c>
      <c r="C380" s="214">
        <v>0.94791666666666541</v>
      </c>
      <c r="D380" s="452"/>
      <c r="E380" s="453"/>
      <c r="F380" s="449"/>
      <c r="G380" s="457" t="s">
        <v>20</v>
      </c>
      <c r="H380" s="455"/>
      <c r="I380" s="453"/>
      <c r="J380" s="449"/>
      <c r="K380" s="457" t="s">
        <v>20</v>
      </c>
      <c r="L380" s="456"/>
      <c r="M380" s="456"/>
      <c r="N380" s="449" t="s">
        <v>20</v>
      </c>
      <c r="O380" s="456"/>
      <c r="P380" s="449" t="s">
        <v>20</v>
      </c>
      <c r="Q380" s="456"/>
      <c r="R380" s="449" t="s">
        <v>20</v>
      </c>
      <c r="S380" s="457" t="s">
        <v>20</v>
      </c>
    </row>
    <row r="381" spans="1:19">
      <c r="A381" s="212" t="s">
        <v>23</v>
      </c>
      <c r="B381" s="213">
        <v>0.94791666666666663</v>
      </c>
      <c r="C381" s="214">
        <v>0.95833333333333204</v>
      </c>
      <c r="D381" s="452"/>
      <c r="E381" s="453"/>
      <c r="F381" s="449"/>
      <c r="G381" s="457" t="s">
        <v>20</v>
      </c>
      <c r="H381" s="455"/>
      <c r="I381" s="453"/>
      <c r="J381" s="449"/>
      <c r="K381" s="457" t="s">
        <v>20</v>
      </c>
      <c r="L381" s="456"/>
      <c r="M381" s="456"/>
      <c r="N381" s="449" t="s">
        <v>20</v>
      </c>
      <c r="O381" s="456"/>
      <c r="P381" s="449" t="s">
        <v>20</v>
      </c>
      <c r="Q381" s="456"/>
      <c r="R381" s="449" t="s">
        <v>20</v>
      </c>
      <c r="S381" s="457" t="s">
        <v>20</v>
      </c>
    </row>
    <row r="382" spans="1:19">
      <c r="A382" s="212" t="s">
        <v>23</v>
      </c>
      <c r="B382" s="213">
        <v>0.95833333333333337</v>
      </c>
      <c r="C382" s="214">
        <v>0.96874999999999867</v>
      </c>
      <c r="D382" s="452"/>
      <c r="E382" s="453"/>
      <c r="F382" s="449"/>
      <c r="G382" s="457" t="s">
        <v>20</v>
      </c>
      <c r="H382" s="455"/>
      <c r="I382" s="453"/>
      <c r="J382" s="449"/>
      <c r="K382" s="457" t="s">
        <v>20</v>
      </c>
      <c r="L382" s="456"/>
      <c r="M382" s="456"/>
      <c r="N382" s="449" t="s">
        <v>20</v>
      </c>
      <c r="O382" s="456"/>
      <c r="P382" s="449" t="s">
        <v>20</v>
      </c>
      <c r="Q382" s="456"/>
      <c r="R382" s="449" t="s">
        <v>20</v>
      </c>
      <c r="S382" s="457" t="s">
        <v>20</v>
      </c>
    </row>
    <row r="383" spans="1:19">
      <c r="A383" s="212" t="s">
        <v>23</v>
      </c>
      <c r="B383" s="213">
        <v>0.96875</v>
      </c>
      <c r="C383" s="214">
        <v>0.9791666666666653</v>
      </c>
      <c r="D383" s="452"/>
      <c r="E383" s="453"/>
      <c r="F383" s="449"/>
      <c r="G383" s="457" t="s">
        <v>20</v>
      </c>
      <c r="H383" s="455"/>
      <c r="I383" s="453"/>
      <c r="J383" s="449"/>
      <c r="K383" s="457" t="s">
        <v>20</v>
      </c>
      <c r="L383" s="456"/>
      <c r="M383" s="456"/>
      <c r="N383" s="449" t="s">
        <v>20</v>
      </c>
      <c r="O383" s="456"/>
      <c r="P383" s="449" t="s">
        <v>20</v>
      </c>
      <c r="Q383" s="456"/>
      <c r="R383" s="449" t="s">
        <v>20</v>
      </c>
      <c r="S383" s="457" t="s">
        <v>20</v>
      </c>
    </row>
    <row r="384" spans="1:19">
      <c r="A384" s="212" t="s">
        <v>23</v>
      </c>
      <c r="B384" s="213">
        <v>0.97916666666666663</v>
      </c>
      <c r="C384" s="214">
        <v>0.98958333333333193</v>
      </c>
      <c r="D384" s="452"/>
      <c r="E384" s="453"/>
      <c r="F384" s="449"/>
      <c r="G384" s="457" t="s">
        <v>20</v>
      </c>
      <c r="H384" s="455"/>
      <c r="I384" s="453"/>
      <c r="J384" s="449"/>
      <c r="K384" s="457" t="s">
        <v>20</v>
      </c>
      <c r="L384" s="456"/>
      <c r="M384" s="456"/>
      <c r="N384" s="449" t="s">
        <v>20</v>
      </c>
      <c r="O384" s="456"/>
      <c r="P384" s="449" t="s">
        <v>20</v>
      </c>
      <c r="Q384" s="456"/>
      <c r="R384" s="449" t="s">
        <v>20</v>
      </c>
      <c r="S384" s="457" t="s">
        <v>20</v>
      </c>
    </row>
    <row r="385" spans="1:19">
      <c r="A385" s="212" t="s">
        <v>23</v>
      </c>
      <c r="B385" s="213">
        <v>0.98958333333333337</v>
      </c>
      <c r="C385" s="214" t="s">
        <v>148</v>
      </c>
      <c r="D385" s="452"/>
      <c r="E385" s="453"/>
      <c r="F385" s="449"/>
      <c r="G385" s="457" t="s">
        <v>20</v>
      </c>
      <c r="H385" s="455"/>
      <c r="I385" s="453"/>
      <c r="J385" s="449"/>
      <c r="K385" s="457" t="s">
        <v>20</v>
      </c>
      <c r="L385" s="456"/>
      <c r="M385" s="456"/>
      <c r="N385" s="449" t="s">
        <v>20</v>
      </c>
      <c r="O385" s="456"/>
      <c r="P385" s="449" t="s">
        <v>20</v>
      </c>
      <c r="Q385" s="456"/>
      <c r="R385" s="449" t="s">
        <v>20</v>
      </c>
      <c r="S385" s="457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27"/>
  <sheetViews>
    <sheetView workbookViewId="0">
      <selection activeCell="Q24" sqref="Q24"/>
    </sheetView>
  </sheetViews>
  <sheetFormatPr defaultColWidth="9" defaultRowHeight="16.5"/>
  <cols>
    <col min="1" max="1" width="16.125" style="39" bestFit="1" customWidth="1"/>
    <col min="2" max="2" width="10.75" style="39" customWidth="1"/>
    <col min="3" max="9" width="8.625" style="39" customWidth="1"/>
    <col min="10" max="10" width="9" style="39"/>
    <col min="11" max="16384" width="9" style="38"/>
  </cols>
  <sheetData>
    <row r="1" spans="1:18">
      <c r="A1" s="31" t="s">
        <v>121</v>
      </c>
      <c r="B1" s="495"/>
      <c r="G1" s="180" t="s">
        <v>122</v>
      </c>
      <c r="H1" s="181"/>
      <c r="I1" s="182">
        <f>E15</f>
        <v>0</v>
      </c>
      <c r="J1" s="181"/>
      <c r="K1" s="183" t="s">
        <v>123</v>
      </c>
      <c r="P1" s="65"/>
      <c r="Q1" s="65"/>
    </row>
    <row r="2" spans="1:18">
      <c r="A2" s="31" t="s">
        <v>124</v>
      </c>
      <c r="B2" s="495"/>
      <c r="G2" s="181"/>
      <c r="H2" s="181"/>
      <c r="I2" s="184" t="s">
        <v>26</v>
      </c>
      <c r="J2" s="181"/>
      <c r="K2" s="183" t="s">
        <v>125</v>
      </c>
      <c r="P2" s="65"/>
      <c r="Q2" s="65"/>
      <c r="R2" s="65"/>
    </row>
    <row r="3" spans="1:18">
      <c r="B3" s="493"/>
      <c r="G3" s="181"/>
      <c r="H3" s="185"/>
      <c r="I3" s="186"/>
      <c r="J3" s="185"/>
      <c r="K3" s="185"/>
      <c r="P3" s="65"/>
      <c r="Q3" s="65"/>
      <c r="R3" s="65"/>
    </row>
    <row r="4" spans="1:18">
      <c r="A4" s="31" t="s">
        <v>24</v>
      </c>
      <c r="B4" s="189"/>
      <c r="C4" s="32"/>
      <c r="D4" s="32"/>
      <c r="G4" s="181"/>
      <c r="H4" s="187"/>
      <c r="I4" s="182"/>
      <c r="J4" s="188"/>
      <c r="K4" s="185"/>
      <c r="R4" s="65"/>
    </row>
    <row r="5" spans="1:18">
      <c r="A5" s="31" t="s">
        <v>25</v>
      </c>
      <c r="B5" s="189"/>
      <c r="C5" s="33"/>
      <c r="D5" s="33"/>
      <c r="G5" s="182">
        <f>D15</f>
        <v>0</v>
      </c>
      <c r="H5" s="190" t="s">
        <v>22</v>
      </c>
      <c r="I5" s="191"/>
      <c r="J5" s="192" t="s">
        <v>29</v>
      </c>
      <c r="K5" s="182">
        <f>B15</f>
        <v>0</v>
      </c>
      <c r="R5" s="65"/>
    </row>
    <row r="6" spans="1:18">
      <c r="A6" s="31" t="s">
        <v>27</v>
      </c>
      <c r="B6" s="196"/>
      <c r="C6" s="32"/>
      <c r="D6" s="32"/>
      <c r="G6" s="181"/>
      <c r="H6" s="193"/>
      <c r="I6" s="182"/>
      <c r="J6" s="194"/>
      <c r="K6" s="195"/>
    </row>
    <row r="7" spans="1:18">
      <c r="A7" s="31"/>
      <c r="B7" s="68"/>
      <c r="C7" s="32"/>
      <c r="D7" s="32"/>
      <c r="G7" s="181"/>
      <c r="H7" s="185"/>
      <c r="I7" s="186"/>
      <c r="J7" s="185"/>
      <c r="K7" s="195"/>
    </row>
    <row r="8" spans="1:18">
      <c r="A8" s="31" t="s">
        <v>28</v>
      </c>
      <c r="B8" s="196" t="s">
        <v>126</v>
      </c>
      <c r="C8" s="33"/>
      <c r="D8" s="36"/>
      <c r="G8" s="181"/>
      <c r="H8" s="181"/>
      <c r="I8" s="197" t="s">
        <v>21</v>
      </c>
      <c r="J8" s="181"/>
      <c r="K8" s="195"/>
    </row>
    <row r="9" spans="1:18">
      <c r="A9" s="31" t="s">
        <v>30</v>
      </c>
      <c r="B9" s="494"/>
      <c r="C9" s="32"/>
      <c r="D9" s="36"/>
      <c r="F9" s="38"/>
      <c r="G9" s="181"/>
      <c r="H9" s="181"/>
      <c r="I9" s="182">
        <f>C15</f>
        <v>0</v>
      </c>
      <c r="J9" s="185"/>
      <c r="K9" s="185"/>
    </row>
    <row r="10" spans="1:18">
      <c r="A10" s="31" t="s">
        <v>31</v>
      </c>
      <c r="B10" s="494"/>
      <c r="C10" s="32"/>
      <c r="D10" s="36"/>
      <c r="F10" s="38"/>
      <c r="G10" s="38"/>
      <c r="H10" s="38"/>
      <c r="I10" s="35"/>
      <c r="J10" s="35"/>
    </row>
    <row r="11" spans="1:18">
      <c r="A11" s="31" t="s">
        <v>32</v>
      </c>
      <c r="B11" s="196"/>
      <c r="C11" s="32"/>
      <c r="D11" s="32"/>
      <c r="F11" s="38"/>
      <c r="G11" s="38"/>
      <c r="H11" s="38"/>
      <c r="I11" s="35"/>
      <c r="J11" s="35"/>
    </row>
    <row r="12" spans="1:18">
      <c r="A12" s="31"/>
      <c r="B12" s="32"/>
      <c r="C12" s="32"/>
      <c r="D12" s="32"/>
      <c r="E12" s="32"/>
      <c r="F12" s="32"/>
      <c r="G12" s="35"/>
      <c r="H12" s="32"/>
      <c r="I12" s="35"/>
      <c r="J12" s="35"/>
    </row>
    <row r="13" spans="1:18">
      <c r="A13" s="31" t="s">
        <v>33</v>
      </c>
      <c r="B13" s="68" t="s">
        <v>34</v>
      </c>
      <c r="C13" s="32"/>
      <c r="D13" s="32"/>
      <c r="E13" s="32"/>
      <c r="F13" s="32"/>
      <c r="G13" s="35"/>
      <c r="H13" s="32"/>
      <c r="I13" s="35"/>
      <c r="J13" s="35"/>
    </row>
    <row r="14" spans="1:18">
      <c r="A14" s="31" t="s">
        <v>35</v>
      </c>
      <c r="B14" s="37" t="s">
        <v>19</v>
      </c>
      <c r="C14" s="37" t="s">
        <v>36</v>
      </c>
      <c r="D14" s="37" t="s">
        <v>37</v>
      </c>
      <c r="E14" s="37" t="s">
        <v>26</v>
      </c>
      <c r="F14" s="32"/>
      <c r="G14" s="32"/>
      <c r="H14" s="32"/>
      <c r="I14" s="35"/>
      <c r="J14" s="35"/>
      <c r="N14" s="31"/>
      <c r="O14" s="204"/>
      <c r="P14" s="204"/>
      <c r="Q14" s="204"/>
      <c r="R14" s="204"/>
    </row>
    <row r="15" spans="1:18">
      <c r="A15" s="31" t="s">
        <v>38</v>
      </c>
      <c r="B15" s="198"/>
      <c r="C15" s="198"/>
      <c r="D15" s="198"/>
      <c r="E15" s="198"/>
      <c r="F15" s="32"/>
      <c r="G15" s="32"/>
      <c r="H15" s="32"/>
      <c r="I15" s="35"/>
      <c r="J15" s="35"/>
    </row>
    <row r="16" spans="1:18">
      <c r="A16" s="31" t="s">
        <v>39</v>
      </c>
      <c r="B16" s="198"/>
      <c r="C16" s="198"/>
      <c r="D16" s="198"/>
      <c r="E16" s="198"/>
      <c r="F16" s="32"/>
      <c r="G16" s="32"/>
      <c r="H16" s="32"/>
      <c r="I16" s="35"/>
      <c r="J16" s="35"/>
    </row>
    <row r="17" spans="1:10">
      <c r="A17" s="31" t="s">
        <v>40</v>
      </c>
      <c r="B17" s="199" t="s">
        <v>127</v>
      </c>
      <c r="C17" s="199" t="s">
        <v>128</v>
      </c>
      <c r="D17" s="199" t="s">
        <v>129</v>
      </c>
      <c r="E17" s="199" t="s">
        <v>130</v>
      </c>
      <c r="F17" s="32"/>
      <c r="G17" s="32"/>
      <c r="H17" s="32"/>
      <c r="I17" s="35"/>
      <c r="J17" s="35"/>
    </row>
    <row r="18" spans="1:10">
      <c r="A18" s="31" t="s">
        <v>41</v>
      </c>
      <c r="B18" s="103" t="b">
        <f>IF(SUM('調查資料(OUT)'!H11:H74)&gt;0,TRUE,FALSE)</f>
        <v>0</v>
      </c>
      <c r="C18" s="103" t="b">
        <f>IF(SUM('調查資料(OUT)'!R11:R74)&gt;0,TRUE,FALSE)</f>
        <v>0</v>
      </c>
      <c r="D18" s="103" t="b">
        <f>IF(SUM('調查資料(OUT)'!AB11:AB74)&gt;0,TRUE,FALSE)</f>
        <v>0</v>
      </c>
      <c r="E18" s="103" t="b">
        <f>IF(SUM('調查資料(OUT)'!AL11:AL74)&gt;0,TRUE,FALSE)</f>
        <v>0</v>
      </c>
      <c r="F18" s="32"/>
      <c r="G18" s="32"/>
      <c r="H18" s="32"/>
      <c r="I18" s="35"/>
      <c r="J18" s="35"/>
    </row>
    <row r="19" spans="1:10">
      <c r="I19" s="35"/>
      <c r="J19" s="35"/>
    </row>
    <row r="20" spans="1:10">
      <c r="I20" s="35"/>
      <c r="J20" s="35"/>
    </row>
    <row r="21" spans="1:10">
      <c r="A21" s="200" t="s">
        <v>131</v>
      </c>
      <c r="C21" s="32"/>
      <c r="D21" s="32"/>
      <c r="E21" s="32"/>
      <c r="F21" s="32"/>
      <c r="G21" s="32"/>
      <c r="H21" s="32"/>
      <c r="I21" s="35"/>
      <c r="J21" s="35"/>
    </row>
    <row r="22" spans="1:10">
      <c r="A22" s="200" t="s">
        <v>132</v>
      </c>
      <c r="B22" s="201"/>
      <c r="C22" s="200" t="s">
        <v>133</v>
      </c>
      <c r="D22" s="201"/>
      <c r="E22" s="200" t="s">
        <v>134</v>
      </c>
      <c r="F22" s="202"/>
      <c r="G22" s="200" t="s">
        <v>135</v>
      </c>
      <c r="H22" s="202"/>
      <c r="I22" s="35"/>
      <c r="J22" s="35"/>
    </row>
    <row r="23" spans="1:10">
      <c r="A23" s="31" t="s">
        <v>136</v>
      </c>
      <c r="B23" s="201"/>
      <c r="C23" s="200" t="s">
        <v>137</v>
      </c>
      <c r="D23" s="201"/>
      <c r="E23" s="200" t="s">
        <v>138</v>
      </c>
      <c r="F23" s="202"/>
      <c r="G23" s="200" t="s">
        <v>139</v>
      </c>
      <c r="H23" s="202"/>
    </row>
    <row r="24" spans="1:10">
      <c r="A24" s="200" t="s">
        <v>140</v>
      </c>
      <c r="B24" s="201"/>
      <c r="C24" s="200" t="s">
        <v>141</v>
      </c>
      <c r="D24" s="201"/>
      <c r="E24" s="200" t="s">
        <v>142</v>
      </c>
      <c r="F24" s="202"/>
      <c r="G24" s="32"/>
      <c r="H24" s="32"/>
    </row>
    <row r="25" spans="1:10">
      <c r="A25" s="31" t="s">
        <v>143</v>
      </c>
      <c r="B25" s="201"/>
      <c r="C25" s="200" t="s">
        <v>144</v>
      </c>
      <c r="D25" s="201"/>
      <c r="E25" s="200"/>
      <c r="F25" s="203"/>
      <c r="G25" s="203"/>
      <c r="H25" s="203"/>
    </row>
    <row r="26" spans="1:10">
      <c r="A26" s="200" t="s">
        <v>145</v>
      </c>
      <c r="B26" s="201"/>
      <c r="C26" s="203"/>
      <c r="D26" s="203"/>
      <c r="E26" s="203"/>
      <c r="F26" s="203"/>
      <c r="G26" s="203"/>
      <c r="H26" s="203"/>
    </row>
    <row r="27" spans="1:10">
      <c r="A27" s="31" t="s">
        <v>146</v>
      </c>
      <c r="B27" s="201"/>
      <c r="C27" s="203"/>
      <c r="D27" s="203"/>
      <c r="E27" s="203"/>
      <c r="F27" s="203"/>
      <c r="G27" s="203"/>
      <c r="H27" s="203"/>
    </row>
  </sheetData>
  <phoneticPr fontId="2" type="noConversion"/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BI106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S5" sqref="S5"/>
    </sheetView>
  </sheetViews>
  <sheetFormatPr defaultColWidth="9" defaultRowHeight="16.5"/>
  <cols>
    <col min="1" max="1" width="18" style="1" bestFit="1" customWidth="1"/>
    <col min="2" max="7" width="7.625" style="1" customWidth="1"/>
    <col min="8" max="8" width="10.875" style="1" bestFit="1" customWidth="1"/>
    <col min="9" max="17" width="7.625" style="1" customWidth="1"/>
    <col min="18" max="18" width="10.875" style="1" bestFit="1" customWidth="1"/>
    <col min="19" max="27" width="7.625" style="1" customWidth="1"/>
    <col min="28" max="28" width="10.875" style="1" bestFit="1" customWidth="1"/>
    <col min="29" max="37" width="7.625" style="1" customWidth="1"/>
    <col min="38" max="38" width="10.875" style="1" bestFit="1" customWidth="1"/>
    <col min="39" max="41" width="7.625" style="1" customWidth="1"/>
    <col min="42" max="42" width="6.375" style="1" customWidth="1"/>
    <col min="43" max="59" width="11.5" style="2" bestFit="1" customWidth="1"/>
    <col min="60" max="60" width="8.875" style="3" customWidth="1"/>
    <col min="61" max="61" width="11" style="1" bestFit="1" customWidth="1"/>
    <col min="62" max="16384" width="9" style="1"/>
  </cols>
  <sheetData>
    <row r="1" spans="1:61" customFormat="1" ht="17.25" customHeight="1">
      <c r="A1" s="247" t="s">
        <v>42</v>
      </c>
      <c r="B1" s="335" t="s">
        <v>246</v>
      </c>
      <c r="C1" s="336" t="s">
        <v>248</v>
      </c>
      <c r="D1" s="336" t="s">
        <v>250</v>
      </c>
      <c r="E1" s="336" t="s">
        <v>252</v>
      </c>
      <c r="F1" s="336" t="s">
        <v>254</v>
      </c>
      <c r="G1" s="336" t="s">
        <v>256</v>
      </c>
      <c r="H1" s="336" t="s">
        <v>258</v>
      </c>
      <c r="I1" s="336" t="s">
        <v>260</v>
      </c>
      <c r="J1" s="336" t="s">
        <v>262</v>
      </c>
      <c r="K1" s="337" t="s">
        <v>264</v>
      </c>
      <c r="L1" s="338" t="s">
        <v>245</v>
      </c>
      <c r="M1" s="339" t="s">
        <v>247</v>
      </c>
      <c r="N1" s="339" t="s">
        <v>249</v>
      </c>
      <c r="O1" s="339" t="s">
        <v>251</v>
      </c>
      <c r="P1" s="339" t="s">
        <v>253</v>
      </c>
      <c r="Q1" s="339" t="s">
        <v>255</v>
      </c>
      <c r="R1" s="339" t="s">
        <v>257</v>
      </c>
      <c r="S1" s="339" t="s">
        <v>259</v>
      </c>
      <c r="T1" s="339" t="s">
        <v>261</v>
      </c>
      <c r="U1" s="340" t="s">
        <v>263</v>
      </c>
      <c r="V1" s="341" t="s">
        <v>245</v>
      </c>
      <c r="W1" s="342" t="s">
        <v>247</v>
      </c>
      <c r="X1" s="342" t="s">
        <v>249</v>
      </c>
      <c r="Y1" s="342" t="s">
        <v>251</v>
      </c>
      <c r="Z1" s="342" t="s">
        <v>253</v>
      </c>
      <c r="AA1" s="342" t="s">
        <v>255</v>
      </c>
      <c r="AB1" s="342" t="s">
        <v>257</v>
      </c>
      <c r="AC1" s="342" t="s">
        <v>259</v>
      </c>
      <c r="AD1" s="342" t="s">
        <v>261</v>
      </c>
      <c r="AE1" s="343" t="s">
        <v>263</v>
      </c>
      <c r="AF1" s="344" t="s">
        <v>245</v>
      </c>
      <c r="AG1" s="345" t="s">
        <v>247</v>
      </c>
      <c r="AH1" s="345" t="s">
        <v>249</v>
      </c>
      <c r="AI1" s="345" t="s">
        <v>251</v>
      </c>
      <c r="AJ1" s="345" t="s">
        <v>253</v>
      </c>
      <c r="AK1" s="345" t="s">
        <v>255</v>
      </c>
      <c r="AL1" s="345" t="s">
        <v>257</v>
      </c>
      <c r="AM1" s="345" t="s">
        <v>259</v>
      </c>
      <c r="AN1" s="345" t="s">
        <v>261</v>
      </c>
      <c r="AO1" s="346" t="s">
        <v>263</v>
      </c>
      <c r="AP1" s="63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3"/>
    </row>
    <row r="2" spans="1:61" s="8" customFormat="1" ht="17.25" customHeight="1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4"/>
      <c r="V2" s="13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4"/>
      <c r="AP2" s="14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6"/>
    </row>
    <row r="3" spans="1:61" s="8" customFormat="1" ht="17.25" customHeight="1">
      <c r="B3" s="503" t="s">
        <v>43</v>
      </c>
      <c r="C3" s="504"/>
      <c r="D3" s="504"/>
      <c r="E3" s="504"/>
      <c r="F3" s="504"/>
      <c r="G3" s="504"/>
      <c r="H3" s="504"/>
      <c r="I3" s="504"/>
      <c r="J3" s="504"/>
      <c r="K3" s="505"/>
      <c r="L3" s="12"/>
      <c r="M3" s="12"/>
      <c r="N3" s="12"/>
      <c r="O3" s="12"/>
      <c r="P3" s="12"/>
      <c r="Q3" s="12"/>
      <c r="R3" s="12"/>
      <c r="S3" s="12"/>
      <c r="T3" s="12"/>
      <c r="U3" s="14"/>
      <c r="V3" s="13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4"/>
      <c r="AP3" s="14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6"/>
    </row>
    <row r="4" spans="1:61" s="8" customFormat="1" ht="17.25" customHeight="1">
      <c r="B4" s="506"/>
      <c r="C4" s="507"/>
      <c r="D4" s="507"/>
      <c r="E4" s="507"/>
      <c r="F4" s="507"/>
      <c r="G4" s="507"/>
      <c r="H4" s="507"/>
      <c r="I4" s="507"/>
      <c r="J4" s="507"/>
      <c r="K4" s="508"/>
      <c r="L4" s="12"/>
      <c r="M4" s="12"/>
      <c r="N4" s="12"/>
      <c r="O4" s="12"/>
      <c r="P4" s="12"/>
      <c r="Q4" s="12"/>
      <c r="R4" s="12"/>
      <c r="S4" s="12"/>
      <c r="T4" s="12"/>
      <c r="U4" s="14"/>
      <c r="V4" s="13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4"/>
      <c r="AP4" s="14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6"/>
    </row>
    <row r="5" spans="1:61" s="8" customFormat="1" ht="17.25" customHeight="1">
      <c r="B5" s="506"/>
      <c r="C5" s="507"/>
      <c r="D5" s="507"/>
      <c r="E5" s="507"/>
      <c r="F5" s="507"/>
      <c r="G5" s="507"/>
      <c r="H5" s="507"/>
      <c r="I5" s="507"/>
      <c r="J5" s="507"/>
      <c r="K5" s="508"/>
      <c r="L5" s="12"/>
      <c r="M5" s="12"/>
      <c r="N5" s="12"/>
      <c r="O5" s="12"/>
      <c r="P5" s="12"/>
      <c r="Q5" s="12"/>
      <c r="R5" s="12"/>
      <c r="S5" s="12"/>
      <c r="T5" s="12"/>
      <c r="U5" s="14"/>
      <c r="V5" s="13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4"/>
      <c r="AP5" s="14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6"/>
    </row>
    <row r="6" spans="1:61" s="8" customFormat="1" ht="17.25" customHeight="1">
      <c r="B6" s="509"/>
      <c r="C6" s="510"/>
      <c r="D6" s="510"/>
      <c r="E6" s="510"/>
      <c r="F6" s="510"/>
      <c r="G6" s="510"/>
      <c r="H6" s="510"/>
      <c r="I6" s="510"/>
      <c r="J6" s="510"/>
      <c r="K6" s="511"/>
      <c r="L6" s="12"/>
      <c r="M6" s="12"/>
      <c r="N6" s="12"/>
      <c r="O6" s="12"/>
      <c r="P6" s="12"/>
      <c r="Q6" s="12"/>
      <c r="R6" s="12"/>
      <c r="S6" s="12"/>
      <c r="T6" s="12"/>
      <c r="U6" s="14"/>
      <c r="V6" s="13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4"/>
      <c r="AP6" s="14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6"/>
    </row>
    <row r="7" spans="1:61" s="8" customFormat="1" ht="17.25" customHeight="1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4"/>
      <c r="V7" s="13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4"/>
      <c r="AP7" s="14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</row>
    <row r="8" spans="1:61" s="5" customFormat="1" ht="20.25" customHeight="1" thickBot="1">
      <c r="B8" s="5" t="s">
        <v>44</v>
      </c>
      <c r="C8" s="512">
        <f>路口基本資料!B15</f>
        <v>0</v>
      </c>
      <c r="D8" s="512"/>
      <c r="E8" t="s">
        <v>45</v>
      </c>
      <c r="F8">
        <f>路口基本資料!$B$16</f>
        <v>0</v>
      </c>
      <c r="L8" s="5" t="s">
        <v>46</v>
      </c>
      <c r="M8" s="512">
        <f>路口基本資料!C15</f>
        <v>0</v>
      </c>
      <c r="N8" s="512"/>
      <c r="O8" t="s">
        <v>47</v>
      </c>
      <c r="P8">
        <f>路口基本資料!$C$16</f>
        <v>0</v>
      </c>
      <c r="V8" s="5" t="s">
        <v>48</v>
      </c>
      <c r="W8" s="512">
        <f>路口基本資料!D15</f>
        <v>0</v>
      </c>
      <c r="X8" s="512"/>
      <c r="Y8" t="s">
        <v>47</v>
      </c>
      <c r="Z8">
        <f>路口基本資料!$D$16</f>
        <v>0</v>
      </c>
      <c r="AA8"/>
      <c r="AF8" s="5" t="s">
        <v>49</v>
      </c>
      <c r="AG8" s="512">
        <f>路口基本資料!E15</f>
        <v>0</v>
      </c>
      <c r="AH8" s="512"/>
      <c r="AI8" t="s">
        <v>47</v>
      </c>
      <c r="AJ8">
        <f>路口基本資料!$E$16</f>
        <v>0</v>
      </c>
      <c r="AQ8" s="4"/>
      <c r="AR8" s="17"/>
      <c r="AS8" s="4"/>
      <c r="AT8" s="4"/>
      <c r="AU8" s="4"/>
      <c r="AV8" s="17"/>
      <c r="AW8" s="4"/>
      <c r="AX8" s="4"/>
      <c r="AY8" s="4"/>
      <c r="BA8" s="4"/>
      <c r="BB8" s="4"/>
      <c r="BC8" s="4"/>
      <c r="BD8" s="17"/>
      <c r="BE8" s="4"/>
      <c r="BF8" s="4"/>
      <c r="BG8" s="4"/>
      <c r="BH8" s="18"/>
    </row>
    <row r="9" spans="1:61" s="9" customFormat="1">
      <c r="A9" s="513" t="s">
        <v>50</v>
      </c>
      <c r="B9" s="261" t="s">
        <v>51</v>
      </c>
      <c r="C9" s="262"/>
      <c r="D9" s="263"/>
      <c r="E9" s="262" t="s">
        <v>52</v>
      </c>
      <c r="F9" s="262"/>
      <c r="G9" s="263"/>
      <c r="H9" s="262" t="s">
        <v>53</v>
      </c>
      <c r="I9" s="262"/>
      <c r="J9" s="262"/>
      <c r="K9" s="264"/>
      <c r="L9" s="281" t="s">
        <v>51</v>
      </c>
      <c r="M9" s="270"/>
      <c r="N9" s="271"/>
      <c r="O9" s="272" t="s">
        <v>52</v>
      </c>
      <c r="P9" s="270"/>
      <c r="Q9" s="271"/>
      <c r="R9" s="272" t="s">
        <v>53</v>
      </c>
      <c r="S9" s="270"/>
      <c r="T9" s="270"/>
      <c r="U9" s="273"/>
      <c r="V9" s="283" t="s">
        <v>51</v>
      </c>
      <c r="W9" s="284"/>
      <c r="X9" s="285"/>
      <c r="Y9" s="286" t="s">
        <v>52</v>
      </c>
      <c r="Z9" s="284"/>
      <c r="AA9" s="285"/>
      <c r="AB9" s="286" t="s">
        <v>53</v>
      </c>
      <c r="AC9" s="284"/>
      <c r="AD9" s="284"/>
      <c r="AE9" s="287"/>
      <c r="AF9" s="296" t="s">
        <v>51</v>
      </c>
      <c r="AG9" s="297"/>
      <c r="AH9" s="298"/>
      <c r="AI9" s="299" t="s">
        <v>52</v>
      </c>
      <c r="AJ9" s="297"/>
      <c r="AK9" s="298"/>
      <c r="AL9" s="299" t="s">
        <v>53</v>
      </c>
      <c r="AM9" s="297"/>
      <c r="AN9" s="297"/>
      <c r="AO9" s="300"/>
      <c r="AP9" s="104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9"/>
      <c r="BI9" s="105"/>
    </row>
    <row r="10" spans="1:61" s="9" customFormat="1" ht="17.25" thickBot="1">
      <c r="A10" s="514"/>
      <c r="B10" s="265" t="s">
        <v>21</v>
      </c>
      <c r="C10" s="266" t="s">
        <v>22</v>
      </c>
      <c r="D10" s="267" t="s">
        <v>23</v>
      </c>
      <c r="E10" s="266" t="s">
        <v>21</v>
      </c>
      <c r="F10" s="266" t="s">
        <v>22</v>
      </c>
      <c r="G10" s="267" t="s">
        <v>23</v>
      </c>
      <c r="H10" s="424" t="s">
        <v>57</v>
      </c>
      <c r="I10" s="268" t="s">
        <v>21</v>
      </c>
      <c r="J10" s="266" t="s">
        <v>22</v>
      </c>
      <c r="K10" s="269" t="s">
        <v>23</v>
      </c>
      <c r="L10" s="282" t="s">
        <v>22</v>
      </c>
      <c r="M10" s="274" t="s">
        <v>23</v>
      </c>
      <c r="N10" s="275" t="s">
        <v>29</v>
      </c>
      <c r="O10" s="276" t="s">
        <v>22</v>
      </c>
      <c r="P10" s="277" t="s">
        <v>23</v>
      </c>
      <c r="Q10" s="278" t="s">
        <v>29</v>
      </c>
      <c r="R10" s="279" t="s">
        <v>61</v>
      </c>
      <c r="S10" s="276" t="s">
        <v>22</v>
      </c>
      <c r="T10" s="277" t="s">
        <v>23</v>
      </c>
      <c r="U10" s="280" t="s">
        <v>29</v>
      </c>
      <c r="V10" s="288" t="s">
        <v>23</v>
      </c>
      <c r="W10" s="289" t="s">
        <v>29</v>
      </c>
      <c r="X10" s="290" t="s">
        <v>21</v>
      </c>
      <c r="Y10" s="291" t="s">
        <v>23</v>
      </c>
      <c r="Z10" s="292" t="s">
        <v>29</v>
      </c>
      <c r="AA10" s="293" t="s">
        <v>21</v>
      </c>
      <c r="AB10" s="294" t="s">
        <v>65</v>
      </c>
      <c r="AC10" s="291" t="s">
        <v>23</v>
      </c>
      <c r="AD10" s="292" t="s">
        <v>29</v>
      </c>
      <c r="AE10" s="295" t="s">
        <v>21</v>
      </c>
      <c r="AF10" s="301" t="s">
        <v>29</v>
      </c>
      <c r="AG10" s="302" t="s">
        <v>21</v>
      </c>
      <c r="AH10" s="303" t="s">
        <v>22</v>
      </c>
      <c r="AI10" s="304" t="s">
        <v>29</v>
      </c>
      <c r="AJ10" s="305" t="s">
        <v>21</v>
      </c>
      <c r="AK10" s="306" t="s">
        <v>22</v>
      </c>
      <c r="AL10" s="307" t="s">
        <v>69</v>
      </c>
      <c r="AM10" s="304" t="s">
        <v>29</v>
      </c>
      <c r="AN10" s="305" t="s">
        <v>21</v>
      </c>
      <c r="AO10" s="308" t="s">
        <v>22</v>
      </c>
      <c r="AP10" s="104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9"/>
      <c r="BI10" s="105"/>
    </row>
    <row r="11" spans="1:61" s="9" customFormat="1" ht="16.5" customHeight="1">
      <c r="A11" s="423">
        <v>0</v>
      </c>
      <c r="B11" s="248">
        <f>轉向量!E2</f>
        <v>0</v>
      </c>
      <c r="C11" s="248">
        <f>轉向量!F2</f>
        <v>0</v>
      </c>
      <c r="D11" s="250">
        <f>轉向量!G2</f>
        <v>0</v>
      </c>
      <c r="E11" s="248">
        <f>轉向量!I2</f>
        <v>0</v>
      </c>
      <c r="F11" s="248">
        <f>轉向量!J2</f>
        <v>0</v>
      </c>
      <c r="G11" s="250">
        <f>轉向量!K2</f>
        <v>0</v>
      </c>
      <c r="H11" s="249">
        <f>轉向量!N2</f>
        <v>0</v>
      </c>
      <c r="I11" s="248">
        <f>轉向量!O2</f>
        <v>0</v>
      </c>
      <c r="J11" s="248">
        <f>轉向量!Q2</f>
        <v>0</v>
      </c>
      <c r="K11" s="250">
        <f>轉向量!S2</f>
        <v>0</v>
      </c>
      <c r="L11" s="251">
        <f>轉向量!F98</f>
        <v>0</v>
      </c>
      <c r="M11" s="251">
        <f>轉向量!G98</f>
        <v>0</v>
      </c>
      <c r="N11" s="252">
        <f>轉向量!D98</f>
        <v>0</v>
      </c>
      <c r="O11" s="251">
        <f>轉向量!J98</f>
        <v>0</v>
      </c>
      <c r="P11" s="251">
        <f>轉向量!K98</f>
        <v>0</v>
      </c>
      <c r="Q11" s="252">
        <f>轉向量!H98</f>
        <v>0</v>
      </c>
      <c r="R11" s="253">
        <f>轉向量!P98</f>
        <v>0</v>
      </c>
      <c r="S11" s="251">
        <f>轉向量!Q98</f>
        <v>0</v>
      </c>
      <c r="T11" s="251">
        <f>轉向量!S98</f>
        <v>0</v>
      </c>
      <c r="U11" s="252">
        <f>轉向量!M98</f>
        <v>0</v>
      </c>
      <c r="V11" s="254">
        <f>轉向量!G194</f>
        <v>0</v>
      </c>
      <c r="W11" s="254">
        <f>轉向量!D194</f>
        <v>0</v>
      </c>
      <c r="X11" s="255">
        <f>轉向量!E194</f>
        <v>0</v>
      </c>
      <c r="Y11" s="254">
        <f>轉向量!K194</f>
        <v>0</v>
      </c>
      <c r="Z11" s="254">
        <f>轉向量!H194</f>
        <v>0</v>
      </c>
      <c r="AA11" s="255">
        <f>轉向量!I194</f>
        <v>0</v>
      </c>
      <c r="AB11" s="256">
        <f>轉向量!R194</f>
        <v>0</v>
      </c>
      <c r="AC11" s="254">
        <f>轉向量!S194</f>
        <v>0</v>
      </c>
      <c r="AD11" s="254">
        <f>轉向量!M194</f>
        <v>0</v>
      </c>
      <c r="AE11" s="255">
        <f>轉向量!O194</f>
        <v>0</v>
      </c>
      <c r="AF11" s="257">
        <f>轉向量!D290</f>
        <v>0</v>
      </c>
      <c r="AG11" s="257">
        <f>轉向量!E290</f>
        <v>0</v>
      </c>
      <c r="AH11" s="258">
        <f>轉向量!F290</f>
        <v>0</v>
      </c>
      <c r="AI11" s="257">
        <f>轉向量!H290</f>
        <v>0</v>
      </c>
      <c r="AJ11" s="257">
        <f>轉向量!I290</f>
        <v>0</v>
      </c>
      <c r="AK11" s="258">
        <f>轉向量!J290</f>
        <v>0</v>
      </c>
      <c r="AL11" s="259">
        <f>轉向量!L290</f>
        <v>0</v>
      </c>
      <c r="AM11" s="257">
        <f>轉向量!M290</f>
        <v>0</v>
      </c>
      <c r="AN11" s="257">
        <f>轉向量!O290</f>
        <v>0</v>
      </c>
      <c r="AO11" s="260">
        <f>轉向量!Q290</f>
        <v>0</v>
      </c>
      <c r="AP11" s="104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9"/>
      <c r="BI11" s="105"/>
    </row>
    <row r="12" spans="1:61" s="9" customFormat="1" ht="16.5" customHeight="1">
      <c r="A12" s="423">
        <v>15</v>
      </c>
      <c r="B12" s="248">
        <f>轉向量!E3</f>
        <v>0</v>
      </c>
      <c r="C12" s="248">
        <f>轉向量!F3</f>
        <v>0</v>
      </c>
      <c r="D12" s="250">
        <f>轉向量!G3</f>
        <v>0</v>
      </c>
      <c r="E12" s="248">
        <f>轉向量!I3</f>
        <v>0</v>
      </c>
      <c r="F12" s="248">
        <f>轉向量!J3</f>
        <v>0</v>
      </c>
      <c r="G12" s="250">
        <f>轉向量!K3</f>
        <v>0</v>
      </c>
      <c r="H12" s="249">
        <f>轉向量!N3</f>
        <v>0</v>
      </c>
      <c r="I12" s="248">
        <f>轉向量!O3</f>
        <v>0</v>
      </c>
      <c r="J12" s="248">
        <f>轉向量!Q3</f>
        <v>0</v>
      </c>
      <c r="K12" s="250">
        <f>轉向量!S3</f>
        <v>0</v>
      </c>
      <c r="L12" s="251">
        <f>轉向量!F99</f>
        <v>0</v>
      </c>
      <c r="M12" s="251">
        <f>轉向量!G99</f>
        <v>0</v>
      </c>
      <c r="N12" s="252">
        <f>轉向量!D99</f>
        <v>0</v>
      </c>
      <c r="O12" s="251">
        <f>轉向量!J99</f>
        <v>0</v>
      </c>
      <c r="P12" s="251">
        <f>轉向量!K99</f>
        <v>0</v>
      </c>
      <c r="Q12" s="252">
        <f>轉向量!H99</f>
        <v>0</v>
      </c>
      <c r="R12" s="253">
        <f>轉向量!P99</f>
        <v>0</v>
      </c>
      <c r="S12" s="251">
        <f>轉向量!Q99</f>
        <v>0</v>
      </c>
      <c r="T12" s="251">
        <f>轉向量!S99</f>
        <v>0</v>
      </c>
      <c r="U12" s="252">
        <f>轉向量!M99</f>
        <v>0</v>
      </c>
      <c r="V12" s="254">
        <f>轉向量!G195</f>
        <v>0</v>
      </c>
      <c r="W12" s="254">
        <f>轉向量!D195</f>
        <v>0</v>
      </c>
      <c r="X12" s="255">
        <f>轉向量!E195</f>
        <v>0</v>
      </c>
      <c r="Y12" s="254">
        <f>轉向量!K195</f>
        <v>0</v>
      </c>
      <c r="Z12" s="254">
        <f>轉向量!H195</f>
        <v>0</v>
      </c>
      <c r="AA12" s="255">
        <f>轉向量!I195</f>
        <v>0</v>
      </c>
      <c r="AB12" s="256">
        <f>轉向量!R195</f>
        <v>0</v>
      </c>
      <c r="AC12" s="254">
        <f>轉向量!S195</f>
        <v>0</v>
      </c>
      <c r="AD12" s="254">
        <f>轉向量!M195</f>
        <v>0</v>
      </c>
      <c r="AE12" s="255">
        <f>轉向量!O195</f>
        <v>0</v>
      </c>
      <c r="AF12" s="257">
        <f>轉向量!D291</f>
        <v>0</v>
      </c>
      <c r="AG12" s="257">
        <f>轉向量!E291</f>
        <v>0</v>
      </c>
      <c r="AH12" s="258">
        <f>轉向量!F291</f>
        <v>0</v>
      </c>
      <c r="AI12" s="257">
        <f>轉向量!H291</f>
        <v>0</v>
      </c>
      <c r="AJ12" s="257">
        <f>轉向量!I291</f>
        <v>0</v>
      </c>
      <c r="AK12" s="258">
        <f>轉向量!J291</f>
        <v>0</v>
      </c>
      <c r="AL12" s="259">
        <f>轉向量!L291</f>
        <v>0</v>
      </c>
      <c r="AM12" s="257">
        <f>轉向量!M291</f>
        <v>0</v>
      </c>
      <c r="AN12" s="257">
        <f>轉向量!O291</f>
        <v>0</v>
      </c>
      <c r="AO12" s="260">
        <f>轉向量!Q291</f>
        <v>0</v>
      </c>
      <c r="AP12" s="104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9"/>
      <c r="BI12" s="105"/>
    </row>
    <row r="13" spans="1:61">
      <c r="A13" s="423">
        <v>30</v>
      </c>
      <c r="B13" s="248">
        <f>轉向量!E4</f>
        <v>0</v>
      </c>
      <c r="C13" s="248">
        <f>轉向量!F4</f>
        <v>0</v>
      </c>
      <c r="D13" s="250">
        <f>轉向量!G4</f>
        <v>0</v>
      </c>
      <c r="E13" s="248">
        <f>轉向量!I4</f>
        <v>0</v>
      </c>
      <c r="F13" s="248">
        <f>轉向量!J4</f>
        <v>0</v>
      </c>
      <c r="G13" s="250">
        <f>轉向量!K4</f>
        <v>0</v>
      </c>
      <c r="H13" s="249">
        <f>轉向量!N4</f>
        <v>0</v>
      </c>
      <c r="I13" s="248">
        <f>轉向量!O4</f>
        <v>0</v>
      </c>
      <c r="J13" s="248">
        <f>轉向量!Q4</f>
        <v>0</v>
      </c>
      <c r="K13" s="250">
        <f>轉向量!S4</f>
        <v>0</v>
      </c>
      <c r="L13" s="251">
        <f>轉向量!F100</f>
        <v>0</v>
      </c>
      <c r="M13" s="251">
        <f>轉向量!G100</f>
        <v>0</v>
      </c>
      <c r="N13" s="252">
        <f>轉向量!D100</f>
        <v>0</v>
      </c>
      <c r="O13" s="251">
        <f>轉向量!J100</f>
        <v>0</v>
      </c>
      <c r="P13" s="251">
        <f>轉向量!K100</f>
        <v>0</v>
      </c>
      <c r="Q13" s="252">
        <f>轉向量!H100</f>
        <v>0</v>
      </c>
      <c r="R13" s="253">
        <f>轉向量!P100</f>
        <v>0</v>
      </c>
      <c r="S13" s="251">
        <f>轉向量!Q100</f>
        <v>0</v>
      </c>
      <c r="T13" s="251">
        <f>轉向量!S100</f>
        <v>0</v>
      </c>
      <c r="U13" s="252">
        <f>轉向量!M100</f>
        <v>0</v>
      </c>
      <c r="V13" s="254">
        <f>轉向量!G196</f>
        <v>0</v>
      </c>
      <c r="W13" s="254">
        <f>轉向量!D196</f>
        <v>0</v>
      </c>
      <c r="X13" s="255">
        <f>轉向量!E196</f>
        <v>0</v>
      </c>
      <c r="Y13" s="254">
        <f>轉向量!K196</f>
        <v>0</v>
      </c>
      <c r="Z13" s="254">
        <f>轉向量!H196</f>
        <v>0</v>
      </c>
      <c r="AA13" s="255">
        <f>轉向量!I196</f>
        <v>0</v>
      </c>
      <c r="AB13" s="256">
        <f>轉向量!R196</f>
        <v>0</v>
      </c>
      <c r="AC13" s="254">
        <f>轉向量!S196</f>
        <v>0</v>
      </c>
      <c r="AD13" s="254">
        <f>轉向量!M196</f>
        <v>0</v>
      </c>
      <c r="AE13" s="255">
        <f>轉向量!O196</f>
        <v>0</v>
      </c>
      <c r="AF13" s="257">
        <f>轉向量!D292</f>
        <v>0</v>
      </c>
      <c r="AG13" s="257">
        <f>轉向量!E292</f>
        <v>0</v>
      </c>
      <c r="AH13" s="258">
        <f>轉向量!F292</f>
        <v>0</v>
      </c>
      <c r="AI13" s="257">
        <f>轉向量!H292</f>
        <v>0</v>
      </c>
      <c r="AJ13" s="257">
        <f>轉向量!I292</f>
        <v>0</v>
      </c>
      <c r="AK13" s="258">
        <f>轉向量!J292</f>
        <v>0</v>
      </c>
      <c r="AL13" s="259">
        <f>轉向量!L292</f>
        <v>0</v>
      </c>
      <c r="AM13" s="257">
        <f>轉向量!M292</f>
        <v>0</v>
      </c>
      <c r="AN13" s="257">
        <f>轉向量!O292</f>
        <v>0</v>
      </c>
      <c r="AO13" s="260">
        <f>轉向量!Q292</f>
        <v>0</v>
      </c>
      <c r="AP13" s="34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I13" s="66"/>
    </row>
    <row r="14" spans="1:61">
      <c r="A14" s="423">
        <v>45</v>
      </c>
      <c r="B14" s="248">
        <f>轉向量!E5</f>
        <v>0</v>
      </c>
      <c r="C14" s="248">
        <f>轉向量!F5</f>
        <v>0</v>
      </c>
      <c r="D14" s="250">
        <f>轉向量!G5</f>
        <v>0</v>
      </c>
      <c r="E14" s="248">
        <f>轉向量!I5</f>
        <v>0</v>
      </c>
      <c r="F14" s="248">
        <f>轉向量!J5</f>
        <v>0</v>
      </c>
      <c r="G14" s="250">
        <f>轉向量!K5</f>
        <v>0</v>
      </c>
      <c r="H14" s="249">
        <f>轉向量!N5</f>
        <v>0</v>
      </c>
      <c r="I14" s="248">
        <f>轉向量!O5</f>
        <v>0</v>
      </c>
      <c r="J14" s="248">
        <f>轉向量!Q5</f>
        <v>0</v>
      </c>
      <c r="K14" s="250">
        <f>轉向量!S5</f>
        <v>0</v>
      </c>
      <c r="L14" s="251">
        <f>轉向量!F101</f>
        <v>0</v>
      </c>
      <c r="M14" s="251">
        <f>轉向量!G101</f>
        <v>0</v>
      </c>
      <c r="N14" s="252">
        <f>轉向量!D101</f>
        <v>0</v>
      </c>
      <c r="O14" s="251">
        <f>轉向量!J101</f>
        <v>0</v>
      </c>
      <c r="P14" s="251">
        <f>轉向量!K101</f>
        <v>0</v>
      </c>
      <c r="Q14" s="252">
        <f>轉向量!H101</f>
        <v>0</v>
      </c>
      <c r="R14" s="253">
        <f>轉向量!P101</f>
        <v>0</v>
      </c>
      <c r="S14" s="251">
        <f>轉向量!Q101</f>
        <v>0</v>
      </c>
      <c r="T14" s="251">
        <f>轉向量!S101</f>
        <v>0</v>
      </c>
      <c r="U14" s="252">
        <f>轉向量!M101</f>
        <v>0</v>
      </c>
      <c r="V14" s="254">
        <f>轉向量!G197</f>
        <v>0</v>
      </c>
      <c r="W14" s="254">
        <f>轉向量!D197</f>
        <v>0</v>
      </c>
      <c r="X14" s="255">
        <f>轉向量!E197</f>
        <v>0</v>
      </c>
      <c r="Y14" s="254">
        <f>轉向量!K197</f>
        <v>0</v>
      </c>
      <c r="Z14" s="254">
        <f>轉向量!H197</f>
        <v>0</v>
      </c>
      <c r="AA14" s="255">
        <f>轉向量!I197</f>
        <v>0</v>
      </c>
      <c r="AB14" s="256">
        <f>轉向量!R197</f>
        <v>0</v>
      </c>
      <c r="AC14" s="254">
        <f>轉向量!S197</f>
        <v>0</v>
      </c>
      <c r="AD14" s="254">
        <f>轉向量!M197</f>
        <v>0</v>
      </c>
      <c r="AE14" s="255">
        <f>轉向量!O197</f>
        <v>0</v>
      </c>
      <c r="AF14" s="257">
        <f>轉向量!D293</f>
        <v>0</v>
      </c>
      <c r="AG14" s="257">
        <f>轉向量!E293</f>
        <v>0</v>
      </c>
      <c r="AH14" s="258">
        <f>轉向量!F293</f>
        <v>0</v>
      </c>
      <c r="AI14" s="257">
        <f>轉向量!H293</f>
        <v>0</v>
      </c>
      <c r="AJ14" s="257">
        <f>轉向量!I293</f>
        <v>0</v>
      </c>
      <c r="AK14" s="258">
        <f>轉向量!J293</f>
        <v>0</v>
      </c>
      <c r="AL14" s="259">
        <f>轉向量!L293</f>
        <v>0</v>
      </c>
      <c r="AM14" s="257">
        <f>轉向量!M293</f>
        <v>0</v>
      </c>
      <c r="AN14" s="257">
        <f>轉向量!O293</f>
        <v>0</v>
      </c>
      <c r="AO14" s="260">
        <f>轉向量!Q293</f>
        <v>0</v>
      </c>
      <c r="AP14" s="34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I14" s="66"/>
    </row>
    <row r="15" spans="1:61">
      <c r="A15" s="423">
        <v>100</v>
      </c>
      <c r="B15" s="248">
        <f>轉向量!E6</f>
        <v>0</v>
      </c>
      <c r="C15" s="248">
        <f>轉向量!F6</f>
        <v>0</v>
      </c>
      <c r="D15" s="250">
        <f>轉向量!G6</f>
        <v>0</v>
      </c>
      <c r="E15" s="248">
        <f>轉向量!I6</f>
        <v>0</v>
      </c>
      <c r="F15" s="248">
        <f>轉向量!J6</f>
        <v>0</v>
      </c>
      <c r="G15" s="250">
        <f>轉向量!K6</f>
        <v>0</v>
      </c>
      <c r="H15" s="249">
        <f>轉向量!N6</f>
        <v>0</v>
      </c>
      <c r="I15" s="248">
        <f>轉向量!O6</f>
        <v>0</v>
      </c>
      <c r="J15" s="248">
        <f>轉向量!Q6</f>
        <v>0</v>
      </c>
      <c r="K15" s="250">
        <f>轉向量!S6</f>
        <v>0</v>
      </c>
      <c r="L15" s="251">
        <f>轉向量!F102</f>
        <v>0</v>
      </c>
      <c r="M15" s="251">
        <f>轉向量!G102</f>
        <v>0</v>
      </c>
      <c r="N15" s="252">
        <f>轉向量!D102</f>
        <v>0</v>
      </c>
      <c r="O15" s="251">
        <f>轉向量!J102</f>
        <v>0</v>
      </c>
      <c r="P15" s="251">
        <f>轉向量!K102</f>
        <v>0</v>
      </c>
      <c r="Q15" s="252">
        <f>轉向量!H102</f>
        <v>0</v>
      </c>
      <c r="R15" s="253">
        <f>轉向量!P102</f>
        <v>0</v>
      </c>
      <c r="S15" s="251">
        <f>轉向量!Q102</f>
        <v>0</v>
      </c>
      <c r="T15" s="251">
        <f>轉向量!S102</f>
        <v>0</v>
      </c>
      <c r="U15" s="252">
        <f>轉向量!M102</f>
        <v>0</v>
      </c>
      <c r="V15" s="254">
        <f>轉向量!G198</f>
        <v>0</v>
      </c>
      <c r="W15" s="254">
        <f>轉向量!D198</f>
        <v>0</v>
      </c>
      <c r="X15" s="255">
        <f>轉向量!E198</f>
        <v>0</v>
      </c>
      <c r="Y15" s="254">
        <f>轉向量!K198</f>
        <v>0</v>
      </c>
      <c r="Z15" s="254">
        <f>轉向量!H198</f>
        <v>0</v>
      </c>
      <c r="AA15" s="255">
        <f>轉向量!I198</f>
        <v>0</v>
      </c>
      <c r="AB15" s="256">
        <f>轉向量!R198</f>
        <v>0</v>
      </c>
      <c r="AC15" s="254">
        <f>轉向量!S198</f>
        <v>0</v>
      </c>
      <c r="AD15" s="254">
        <f>轉向量!M198</f>
        <v>0</v>
      </c>
      <c r="AE15" s="255">
        <f>轉向量!O198</f>
        <v>0</v>
      </c>
      <c r="AF15" s="257">
        <f>轉向量!D294</f>
        <v>0</v>
      </c>
      <c r="AG15" s="257">
        <f>轉向量!E294</f>
        <v>0</v>
      </c>
      <c r="AH15" s="258">
        <f>轉向量!F294</f>
        <v>0</v>
      </c>
      <c r="AI15" s="257">
        <f>轉向量!H294</f>
        <v>0</v>
      </c>
      <c r="AJ15" s="257">
        <f>轉向量!I294</f>
        <v>0</v>
      </c>
      <c r="AK15" s="258">
        <f>轉向量!J294</f>
        <v>0</v>
      </c>
      <c r="AL15" s="259">
        <f>轉向量!L294</f>
        <v>0</v>
      </c>
      <c r="AM15" s="257">
        <f>轉向量!M294</f>
        <v>0</v>
      </c>
      <c r="AN15" s="257">
        <f>轉向量!O294</f>
        <v>0</v>
      </c>
      <c r="AO15" s="260">
        <f>轉向量!Q294</f>
        <v>0</v>
      </c>
      <c r="AP15" s="34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I15" s="66"/>
    </row>
    <row r="16" spans="1:61">
      <c r="A16" s="423">
        <v>115</v>
      </c>
      <c r="B16" s="248">
        <f>轉向量!E7</f>
        <v>0</v>
      </c>
      <c r="C16" s="248">
        <f>轉向量!F7</f>
        <v>0</v>
      </c>
      <c r="D16" s="250">
        <f>轉向量!G7</f>
        <v>0</v>
      </c>
      <c r="E16" s="248">
        <f>轉向量!I7</f>
        <v>0</v>
      </c>
      <c r="F16" s="248">
        <f>轉向量!J7</f>
        <v>0</v>
      </c>
      <c r="G16" s="250">
        <f>轉向量!K7</f>
        <v>0</v>
      </c>
      <c r="H16" s="249">
        <f>轉向量!N7</f>
        <v>0</v>
      </c>
      <c r="I16" s="248">
        <f>轉向量!O7</f>
        <v>0</v>
      </c>
      <c r="J16" s="248">
        <f>轉向量!Q7</f>
        <v>0</v>
      </c>
      <c r="K16" s="250">
        <f>轉向量!S7</f>
        <v>0</v>
      </c>
      <c r="L16" s="251">
        <f>轉向量!F103</f>
        <v>0</v>
      </c>
      <c r="M16" s="251">
        <f>轉向量!G103</f>
        <v>0</v>
      </c>
      <c r="N16" s="252">
        <f>轉向量!D103</f>
        <v>0</v>
      </c>
      <c r="O16" s="251">
        <f>轉向量!J103</f>
        <v>0</v>
      </c>
      <c r="P16" s="251">
        <f>轉向量!K103</f>
        <v>0</v>
      </c>
      <c r="Q16" s="252">
        <f>轉向量!H103</f>
        <v>0</v>
      </c>
      <c r="R16" s="253">
        <f>轉向量!P103</f>
        <v>0</v>
      </c>
      <c r="S16" s="251">
        <f>轉向量!Q103</f>
        <v>0</v>
      </c>
      <c r="T16" s="251">
        <f>轉向量!S103</f>
        <v>0</v>
      </c>
      <c r="U16" s="252">
        <f>轉向量!M103</f>
        <v>0</v>
      </c>
      <c r="V16" s="254">
        <f>轉向量!G199</f>
        <v>0</v>
      </c>
      <c r="W16" s="254">
        <f>轉向量!D199</f>
        <v>0</v>
      </c>
      <c r="X16" s="255">
        <f>轉向量!E199</f>
        <v>0</v>
      </c>
      <c r="Y16" s="254">
        <f>轉向量!K199</f>
        <v>0</v>
      </c>
      <c r="Z16" s="254">
        <f>轉向量!H199</f>
        <v>0</v>
      </c>
      <c r="AA16" s="255">
        <f>轉向量!I199</f>
        <v>0</v>
      </c>
      <c r="AB16" s="256">
        <f>轉向量!R199</f>
        <v>0</v>
      </c>
      <c r="AC16" s="254">
        <f>轉向量!S199</f>
        <v>0</v>
      </c>
      <c r="AD16" s="254">
        <f>轉向量!M199</f>
        <v>0</v>
      </c>
      <c r="AE16" s="255">
        <f>轉向量!O199</f>
        <v>0</v>
      </c>
      <c r="AF16" s="257">
        <f>轉向量!D295</f>
        <v>0</v>
      </c>
      <c r="AG16" s="257">
        <f>轉向量!E295</f>
        <v>0</v>
      </c>
      <c r="AH16" s="258">
        <f>轉向量!F295</f>
        <v>0</v>
      </c>
      <c r="AI16" s="257">
        <f>轉向量!H295</f>
        <v>0</v>
      </c>
      <c r="AJ16" s="257">
        <f>轉向量!I295</f>
        <v>0</v>
      </c>
      <c r="AK16" s="258">
        <f>轉向量!J295</f>
        <v>0</v>
      </c>
      <c r="AL16" s="259">
        <f>轉向量!L295</f>
        <v>0</v>
      </c>
      <c r="AM16" s="257">
        <f>轉向量!M295</f>
        <v>0</v>
      </c>
      <c r="AN16" s="257">
        <f>轉向量!O295</f>
        <v>0</v>
      </c>
      <c r="AO16" s="260">
        <f>轉向量!Q295</f>
        <v>0</v>
      </c>
      <c r="AP16" s="34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I16" s="66"/>
    </row>
    <row r="17" spans="1:61">
      <c r="A17" s="423">
        <v>130</v>
      </c>
      <c r="B17" s="248">
        <f>轉向量!E8</f>
        <v>0</v>
      </c>
      <c r="C17" s="248">
        <f>轉向量!F8</f>
        <v>0</v>
      </c>
      <c r="D17" s="250">
        <f>轉向量!G8</f>
        <v>0</v>
      </c>
      <c r="E17" s="248">
        <f>轉向量!I8</f>
        <v>0</v>
      </c>
      <c r="F17" s="248">
        <f>轉向量!J8</f>
        <v>0</v>
      </c>
      <c r="G17" s="250">
        <f>轉向量!K8</f>
        <v>0</v>
      </c>
      <c r="H17" s="249">
        <f>轉向量!N8</f>
        <v>0</v>
      </c>
      <c r="I17" s="248">
        <f>轉向量!O8</f>
        <v>0</v>
      </c>
      <c r="J17" s="248">
        <f>轉向量!Q8</f>
        <v>0</v>
      </c>
      <c r="K17" s="250">
        <f>轉向量!S8</f>
        <v>0</v>
      </c>
      <c r="L17" s="251">
        <f>轉向量!F104</f>
        <v>0</v>
      </c>
      <c r="M17" s="251">
        <f>轉向量!G104</f>
        <v>0</v>
      </c>
      <c r="N17" s="252">
        <f>轉向量!D104</f>
        <v>0</v>
      </c>
      <c r="O17" s="251">
        <f>轉向量!J104</f>
        <v>0</v>
      </c>
      <c r="P17" s="251">
        <f>轉向量!K104</f>
        <v>0</v>
      </c>
      <c r="Q17" s="252">
        <f>轉向量!H104</f>
        <v>0</v>
      </c>
      <c r="R17" s="253">
        <f>轉向量!P104</f>
        <v>0</v>
      </c>
      <c r="S17" s="251">
        <f>轉向量!Q104</f>
        <v>0</v>
      </c>
      <c r="T17" s="251">
        <f>轉向量!S104</f>
        <v>0</v>
      </c>
      <c r="U17" s="252">
        <f>轉向量!M104</f>
        <v>0</v>
      </c>
      <c r="V17" s="254">
        <f>轉向量!G200</f>
        <v>0</v>
      </c>
      <c r="W17" s="254">
        <f>轉向量!D200</f>
        <v>0</v>
      </c>
      <c r="X17" s="255">
        <f>轉向量!E200</f>
        <v>0</v>
      </c>
      <c r="Y17" s="254">
        <f>轉向量!K200</f>
        <v>0</v>
      </c>
      <c r="Z17" s="254">
        <f>轉向量!H200</f>
        <v>0</v>
      </c>
      <c r="AA17" s="255">
        <f>轉向量!I200</f>
        <v>0</v>
      </c>
      <c r="AB17" s="256">
        <f>轉向量!R200</f>
        <v>0</v>
      </c>
      <c r="AC17" s="254">
        <f>轉向量!S200</f>
        <v>0</v>
      </c>
      <c r="AD17" s="254">
        <f>轉向量!M200</f>
        <v>0</v>
      </c>
      <c r="AE17" s="255">
        <f>轉向量!O200</f>
        <v>0</v>
      </c>
      <c r="AF17" s="257">
        <f>轉向量!D296</f>
        <v>0</v>
      </c>
      <c r="AG17" s="257">
        <f>轉向量!E296</f>
        <v>0</v>
      </c>
      <c r="AH17" s="258">
        <f>轉向量!F296</f>
        <v>0</v>
      </c>
      <c r="AI17" s="257">
        <f>轉向量!H296</f>
        <v>0</v>
      </c>
      <c r="AJ17" s="257">
        <f>轉向量!I296</f>
        <v>0</v>
      </c>
      <c r="AK17" s="258">
        <f>轉向量!J296</f>
        <v>0</v>
      </c>
      <c r="AL17" s="259">
        <f>轉向量!L296</f>
        <v>0</v>
      </c>
      <c r="AM17" s="257">
        <f>轉向量!M296</f>
        <v>0</v>
      </c>
      <c r="AN17" s="257">
        <f>轉向量!O296</f>
        <v>0</v>
      </c>
      <c r="AO17" s="260">
        <f>轉向量!Q296</f>
        <v>0</v>
      </c>
      <c r="AP17" s="34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I17" s="66"/>
    </row>
    <row r="18" spans="1:61">
      <c r="A18" s="423">
        <v>145</v>
      </c>
      <c r="B18" s="248">
        <f>轉向量!E9</f>
        <v>0</v>
      </c>
      <c r="C18" s="248">
        <f>轉向量!F9</f>
        <v>0</v>
      </c>
      <c r="D18" s="250">
        <f>轉向量!G9</f>
        <v>0</v>
      </c>
      <c r="E18" s="248">
        <f>轉向量!I9</f>
        <v>0</v>
      </c>
      <c r="F18" s="248">
        <f>轉向量!J9</f>
        <v>0</v>
      </c>
      <c r="G18" s="250">
        <f>轉向量!K9</f>
        <v>0</v>
      </c>
      <c r="H18" s="249">
        <f>轉向量!N9</f>
        <v>0</v>
      </c>
      <c r="I18" s="248">
        <f>轉向量!O9</f>
        <v>0</v>
      </c>
      <c r="J18" s="248">
        <f>轉向量!Q9</f>
        <v>0</v>
      </c>
      <c r="K18" s="250">
        <f>轉向量!S9</f>
        <v>0</v>
      </c>
      <c r="L18" s="251">
        <f>轉向量!F105</f>
        <v>0</v>
      </c>
      <c r="M18" s="251">
        <f>轉向量!G105</f>
        <v>0</v>
      </c>
      <c r="N18" s="252">
        <f>轉向量!D105</f>
        <v>0</v>
      </c>
      <c r="O18" s="251">
        <f>轉向量!J105</f>
        <v>0</v>
      </c>
      <c r="P18" s="251">
        <f>轉向量!K105</f>
        <v>0</v>
      </c>
      <c r="Q18" s="252">
        <f>轉向量!H105</f>
        <v>0</v>
      </c>
      <c r="R18" s="253">
        <f>轉向量!P105</f>
        <v>0</v>
      </c>
      <c r="S18" s="251">
        <f>轉向量!Q105</f>
        <v>0</v>
      </c>
      <c r="T18" s="251">
        <f>轉向量!S105</f>
        <v>0</v>
      </c>
      <c r="U18" s="252">
        <f>轉向量!M105</f>
        <v>0</v>
      </c>
      <c r="V18" s="254">
        <f>轉向量!G201</f>
        <v>0</v>
      </c>
      <c r="W18" s="254">
        <f>轉向量!D201</f>
        <v>0</v>
      </c>
      <c r="X18" s="255">
        <f>轉向量!E201</f>
        <v>0</v>
      </c>
      <c r="Y18" s="254">
        <f>轉向量!K201</f>
        <v>0</v>
      </c>
      <c r="Z18" s="254">
        <f>轉向量!H201</f>
        <v>0</v>
      </c>
      <c r="AA18" s="255">
        <f>轉向量!I201</f>
        <v>0</v>
      </c>
      <c r="AB18" s="256">
        <f>轉向量!R201</f>
        <v>0</v>
      </c>
      <c r="AC18" s="254">
        <f>轉向量!S201</f>
        <v>0</v>
      </c>
      <c r="AD18" s="254">
        <f>轉向量!M201</f>
        <v>0</v>
      </c>
      <c r="AE18" s="255">
        <f>轉向量!O201</f>
        <v>0</v>
      </c>
      <c r="AF18" s="257">
        <f>轉向量!D297</f>
        <v>0</v>
      </c>
      <c r="AG18" s="257">
        <f>轉向量!E297</f>
        <v>0</v>
      </c>
      <c r="AH18" s="258">
        <f>轉向量!F297</f>
        <v>0</v>
      </c>
      <c r="AI18" s="257">
        <f>轉向量!H297</f>
        <v>0</v>
      </c>
      <c r="AJ18" s="257">
        <f>轉向量!I297</f>
        <v>0</v>
      </c>
      <c r="AK18" s="258">
        <f>轉向量!J297</f>
        <v>0</v>
      </c>
      <c r="AL18" s="259">
        <f>轉向量!L297</f>
        <v>0</v>
      </c>
      <c r="AM18" s="257">
        <f>轉向量!M297</f>
        <v>0</v>
      </c>
      <c r="AN18" s="257">
        <f>轉向量!O297</f>
        <v>0</v>
      </c>
      <c r="AO18" s="260">
        <f>轉向量!Q297</f>
        <v>0</v>
      </c>
      <c r="AP18" s="34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I18" s="66"/>
    </row>
    <row r="19" spans="1:61">
      <c r="A19" s="423">
        <v>200</v>
      </c>
      <c r="B19" s="248">
        <f>轉向量!E10</f>
        <v>0</v>
      </c>
      <c r="C19" s="248">
        <f>轉向量!F10</f>
        <v>0</v>
      </c>
      <c r="D19" s="250">
        <f>轉向量!G10</f>
        <v>0</v>
      </c>
      <c r="E19" s="248">
        <f>轉向量!I10</f>
        <v>0</v>
      </c>
      <c r="F19" s="248">
        <f>轉向量!J10</f>
        <v>0</v>
      </c>
      <c r="G19" s="250">
        <f>轉向量!K10</f>
        <v>0</v>
      </c>
      <c r="H19" s="249">
        <f>轉向量!N10</f>
        <v>0</v>
      </c>
      <c r="I19" s="248">
        <f>轉向量!O10</f>
        <v>0</v>
      </c>
      <c r="J19" s="248">
        <f>轉向量!Q10</f>
        <v>0</v>
      </c>
      <c r="K19" s="250">
        <f>轉向量!S10</f>
        <v>0</v>
      </c>
      <c r="L19" s="251">
        <f>轉向量!F106</f>
        <v>0</v>
      </c>
      <c r="M19" s="251">
        <f>轉向量!G106</f>
        <v>0</v>
      </c>
      <c r="N19" s="252">
        <f>轉向量!D106</f>
        <v>0</v>
      </c>
      <c r="O19" s="251">
        <f>轉向量!J106</f>
        <v>0</v>
      </c>
      <c r="P19" s="251">
        <f>轉向量!K106</f>
        <v>0</v>
      </c>
      <c r="Q19" s="252">
        <f>轉向量!H106</f>
        <v>0</v>
      </c>
      <c r="R19" s="253">
        <f>轉向量!P106</f>
        <v>0</v>
      </c>
      <c r="S19" s="251">
        <f>轉向量!Q106</f>
        <v>0</v>
      </c>
      <c r="T19" s="251">
        <f>轉向量!S106</f>
        <v>0</v>
      </c>
      <c r="U19" s="252">
        <f>轉向量!M106</f>
        <v>0</v>
      </c>
      <c r="V19" s="254">
        <f>轉向量!G202</f>
        <v>0</v>
      </c>
      <c r="W19" s="254">
        <f>轉向量!D202</f>
        <v>0</v>
      </c>
      <c r="X19" s="255">
        <f>轉向量!E202</f>
        <v>0</v>
      </c>
      <c r="Y19" s="254">
        <f>轉向量!K202</f>
        <v>0</v>
      </c>
      <c r="Z19" s="254">
        <f>轉向量!H202</f>
        <v>0</v>
      </c>
      <c r="AA19" s="255">
        <f>轉向量!I202</f>
        <v>0</v>
      </c>
      <c r="AB19" s="256">
        <f>轉向量!R202</f>
        <v>0</v>
      </c>
      <c r="AC19" s="254">
        <f>轉向量!S202</f>
        <v>0</v>
      </c>
      <c r="AD19" s="254">
        <f>轉向量!M202</f>
        <v>0</v>
      </c>
      <c r="AE19" s="255">
        <f>轉向量!O202</f>
        <v>0</v>
      </c>
      <c r="AF19" s="257">
        <f>轉向量!D298</f>
        <v>0</v>
      </c>
      <c r="AG19" s="257">
        <f>轉向量!E298</f>
        <v>0</v>
      </c>
      <c r="AH19" s="258">
        <f>轉向量!F298</f>
        <v>0</v>
      </c>
      <c r="AI19" s="257">
        <f>轉向量!H298</f>
        <v>0</v>
      </c>
      <c r="AJ19" s="257">
        <f>轉向量!I298</f>
        <v>0</v>
      </c>
      <c r="AK19" s="258">
        <f>轉向量!J298</f>
        <v>0</v>
      </c>
      <c r="AL19" s="259">
        <f>轉向量!L298</f>
        <v>0</v>
      </c>
      <c r="AM19" s="257">
        <f>轉向量!M298</f>
        <v>0</v>
      </c>
      <c r="AN19" s="257">
        <f>轉向量!O298</f>
        <v>0</v>
      </c>
      <c r="AO19" s="260">
        <f>轉向量!Q298</f>
        <v>0</v>
      </c>
      <c r="AP19" s="34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I19" s="66"/>
    </row>
    <row r="20" spans="1:61">
      <c r="A20" s="423">
        <v>215</v>
      </c>
      <c r="B20" s="248">
        <f>轉向量!E11</f>
        <v>0</v>
      </c>
      <c r="C20" s="248">
        <f>轉向量!F11</f>
        <v>0</v>
      </c>
      <c r="D20" s="250">
        <f>轉向量!G11</f>
        <v>0</v>
      </c>
      <c r="E20" s="248">
        <f>轉向量!I11</f>
        <v>0</v>
      </c>
      <c r="F20" s="248">
        <f>轉向量!J11</f>
        <v>0</v>
      </c>
      <c r="G20" s="250">
        <f>轉向量!K11</f>
        <v>0</v>
      </c>
      <c r="H20" s="249">
        <f>轉向量!N11</f>
        <v>0</v>
      </c>
      <c r="I20" s="248">
        <f>轉向量!O11</f>
        <v>0</v>
      </c>
      <c r="J20" s="248">
        <f>轉向量!Q11</f>
        <v>0</v>
      </c>
      <c r="K20" s="250">
        <f>轉向量!S11</f>
        <v>0</v>
      </c>
      <c r="L20" s="251">
        <f>轉向量!F107</f>
        <v>0</v>
      </c>
      <c r="M20" s="251">
        <f>轉向量!G107</f>
        <v>0</v>
      </c>
      <c r="N20" s="252">
        <f>轉向量!D107</f>
        <v>0</v>
      </c>
      <c r="O20" s="251">
        <f>轉向量!J107</f>
        <v>0</v>
      </c>
      <c r="P20" s="251">
        <f>轉向量!K107</f>
        <v>0</v>
      </c>
      <c r="Q20" s="252">
        <f>轉向量!H107</f>
        <v>0</v>
      </c>
      <c r="R20" s="253">
        <f>轉向量!P107</f>
        <v>0</v>
      </c>
      <c r="S20" s="251">
        <f>轉向量!Q107</f>
        <v>0</v>
      </c>
      <c r="T20" s="251">
        <f>轉向量!S107</f>
        <v>0</v>
      </c>
      <c r="U20" s="252">
        <f>轉向量!M107</f>
        <v>0</v>
      </c>
      <c r="V20" s="254">
        <f>轉向量!G203</f>
        <v>0</v>
      </c>
      <c r="W20" s="254">
        <f>轉向量!D203</f>
        <v>0</v>
      </c>
      <c r="X20" s="255">
        <f>轉向量!E203</f>
        <v>0</v>
      </c>
      <c r="Y20" s="254">
        <f>轉向量!K203</f>
        <v>0</v>
      </c>
      <c r="Z20" s="254">
        <f>轉向量!H203</f>
        <v>0</v>
      </c>
      <c r="AA20" s="255">
        <f>轉向量!I203</f>
        <v>0</v>
      </c>
      <c r="AB20" s="256">
        <f>轉向量!R203</f>
        <v>0</v>
      </c>
      <c r="AC20" s="254">
        <f>轉向量!S203</f>
        <v>0</v>
      </c>
      <c r="AD20" s="254">
        <f>轉向量!M203</f>
        <v>0</v>
      </c>
      <c r="AE20" s="255">
        <f>轉向量!O203</f>
        <v>0</v>
      </c>
      <c r="AF20" s="257">
        <f>轉向量!D299</f>
        <v>0</v>
      </c>
      <c r="AG20" s="257">
        <f>轉向量!E299</f>
        <v>0</v>
      </c>
      <c r="AH20" s="258">
        <f>轉向量!F299</f>
        <v>0</v>
      </c>
      <c r="AI20" s="257">
        <f>轉向量!H299</f>
        <v>0</v>
      </c>
      <c r="AJ20" s="257">
        <f>轉向量!I299</f>
        <v>0</v>
      </c>
      <c r="AK20" s="258">
        <f>轉向量!J299</f>
        <v>0</v>
      </c>
      <c r="AL20" s="259">
        <f>轉向量!L299</f>
        <v>0</v>
      </c>
      <c r="AM20" s="257">
        <f>轉向量!M299</f>
        <v>0</v>
      </c>
      <c r="AN20" s="257">
        <f>轉向量!O299</f>
        <v>0</v>
      </c>
      <c r="AO20" s="260">
        <f>轉向量!Q299</f>
        <v>0</v>
      </c>
      <c r="AP20" s="34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I20" s="66"/>
    </row>
    <row r="21" spans="1:61">
      <c r="A21" s="423">
        <v>230</v>
      </c>
      <c r="B21" s="248">
        <f>轉向量!E12</f>
        <v>0</v>
      </c>
      <c r="C21" s="248">
        <f>轉向量!F12</f>
        <v>0</v>
      </c>
      <c r="D21" s="250">
        <f>轉向量!G12</f>
        <v>0</v>
      </c>
      <c r="E21" s="248">
        <f>轉向量!I12</f>
        <v>0</v>
      </c>
      <c r="F21" s="248">
        <f>轉向量!J12</f>
        <v>0</v>
      </c>
      <c r="G21" s="250">
        <f>轉向量!K12</f>
        <v>0</v>
      </c>
      <c r="H21" s="249">
        <f>轉向量!N12</f>
        <v>0</v>
      </c>
      <c r="I21" s="248">
        <f>轉向量!O12</f>
        <v>0</v>
      </c>
      <c r="J21" s="248">
        <f>轉向量!Q12</f>
        <v>0</v>
      </c>
      <c r="K21" s="250">
        <f>轉向量!S12</f>
        <v>0</v>
      </c>
      <c r="L21" s="251">
        <f>轉向量!F108</f>
        <v>0</v>
      </c>
      <c r="M21" s="251">
        <f>轉向量!G108</f>
        <v>0</v>
      </c>
      <c r="N21" s="252">
        <f>轉向量!D108</f>
        <v>0</v>
      </c>
      <c r="O21" s="251">
        <f>轉向量!J108</f>
        <v>0</v>
      </c>
      <c r="P21" s="251">
        <f>轉向量!K108</f>
        <v>0</v>
      </c>
      <c r="Q21" s="252">
        <f>轉向量!H108</f>
        <v>0</v>
      </c>
      <c r="R21" s="253">
        <f>轉向量!P108</f>
        <v>0</v>
      </c>
      <c r="S21" s="251">
        <f>轉向量!Q108</f>
        <v>0</v>
      </c>
      <c r="T21" s="251">
        <f>轉向量!S108</f>
        <v>0</v>
      </c>
      <c r="U21" s="252">
        <f>轉向量!M108</f>
        <v>0</v>
      </c>
      <c r="V21" s="254">
        <f>轉向量!G204</f>
        <v>0</v>
      </c>
      <c r="W21" s="254">
        <f>轉向量!D204</f>
        <v>0</v>
      </c>
      <c r="X21" s="255">
        <f>轉向量!E204</f>
        <v>0</v>
      </c>
      <c r="Y21" s="254">
        <f>轉向量!K204</f>
        <v>0</v>
      </c>
      <c r="Z21" s="254">
        <f>轉向量!H204</f>
        <v>0</v>
      </c>
      <c r="AA21" s="255">
        <f>轉向量!I204</f>
        <v>0</v>
      </c>
      <c r="AB21" s="256">
        <f>轉向量!R204</f>
        <v>0</v>
      </c>
      <c r="AC21" s="254">
        <f>轉向量!S204</f>
        <v>0</v>
      </c>
      <c r="AD21" s="254">
        <f>轉向量!M204</f>
        <v>0</v>
      </c>
      <c r="AE21" s="255">
        <f>轉向量!O204</f>
        <v>0</v>
      </c>
      <c r="AF21" s="257">
        <f>轉向量!D300</f>
        <v>0</v>
      </c>
      <c r="AG21" s="257">
        <f>轉向量!E300</f>
        <v>0</v>
      </c>
      <c r="AH21" s="258">
        <f>轉向量!F300</f>
        <v>0</v>
      </c>
      <c r="AI21" s="257">
        <f>轉向量!H300</f>
        <v>0</v>
      </c>
      <c r="AJ21" s="257">
        <f>轉向量!I300</f>
        <v>0</v>
      </c>
      <c r="AK21" s="258">
        <f>轉向量!J300</f>
        <v>0</v>
      </c>
      <c r="AL21" s="259">
        <f>轉向量!L300</f>
        <v>0</v>
      </c>
      <c r="AM21" s="257">
        <f>轉向量!M300</f>
        <v>0</v>
      </c>
      <c r="AN21" s="257">
        <f>轉向量!O300</f>
        <v>0</v>
      </c>
      <c r="AO21" s="260">
        <f>轉向量!Q300</f>
        <v>0</v>
      </c>
      <c r="AP21" s="34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I21" s="66"/>
    </row>
    <row r="22" spans="1:61">
      <c r="A22" s="423">
        <v>245</v>
      </c>
      <c r="B22" s="248">
        <f>轉向量!E13</f>
        <v>0</v>
      </c>
      <c r="C22" s="248">
        <f>轉向量!F13</f>
        <v>0</v>
      </c>
      <c r="D22" s="250">
        <f>轉向量!G13</f>
        <v>0</v>
      </c>
      <c r="E22" s="248">
        <f>轉向量!I13</f>
        <v>0</v>
      </c>
      <c r="F22" s="248">
        <f>轉向量!J13</f>
        <v>0</v>
      </c>
      <c r="G22" s="250">
        <f>轉向量!K13</f>
        <v>0</v>
      </c>
      <c r="H22" s="249">
        <f>轉向量!N13</f>
        <v>0</v>
      </c>
      <c r="I22" s="248">
        <f>轉向量!O13</f>
        <v>0</v>
      </c>
      <c r="J22" s="248">
        <f>轉向量!Q13</f>
        <v>0</v>
      </c>
      <c r="K22" s="250">
        <f>轉向量!S13</f>
        <v>0</v>
      </c>
      <c r="L22" s="251">
        <f>轉向量!F109</f>
        <v>0</v>
      </c>
      <c r="M22" s="251">
        <f>轉向量!G109</f>
        <v>0</v>
      </c>
      <c r="N22" s="252">
        <f>轉向量!D109</f>
        <v>0</v>
      </c>
      <c r="O22" s="251">
        <f>轉向量!J109</f>
        <v>0</v>
      </c>
      <c r="P22" s="251">
        <f>轉向量!K109</f>
        <v>0</v>
      </c>
      <c r="Q22" s="252">
        <f>轉向量!H109</f>
        <v>0</v>
      </c>
      <c r="R22" s="253">
        <f>轉向量!P109</f>
        <v>0</v>
      </c>
      <c r="S22" s="251">
        <f>轉向量!Q109</f>
        <v>0</v>
      </c>
      <c r="T22" s="251">
        <f>轉向量!S109</f>
        <v>0</v>
      </c>
      <c r="U22" s="252">
        <f>轉向量!M109</f>
        <v>0</v>
      </c>
      <c r="V22" s="254">
        <f>轉向量!G205</f>
        <v>0</v>
      </c>
      <c r="W22" s="254">
        <f>轉向量!D205</f>
        <v>0</v>
      </c>
      <c r="X22" s="255">
        <f>轉向量!E205</f>
        <v>0</v>
      </c>
      <c r="Y22" s="254">
        <f>轉向量!K205</f>
        <v>0</v>
      </c>
      <c r="Z22" s="254">
        <f>轉向量!H205</f>
        <v>0</v>
      </c>
      <c r="AA22" s="255">
        <f>轉向量!I205</f>
        <v>0</v>
      </c>
      <c r="AB22" s="256">
        <f>轉向量!R205</f>
        <v>0</v>
      </c>
      <c r="AC22" s="254">
        <f>轉向量!S205</f>
        <v>0</v>
      </c>
      <c r="AD22" s="254">
        <f>轉向量!M205</f>
        <v>0</v>
      </c>
      <c r="AE22" s="255">
        <f>轉向量!O205</f>
        <v>0</v>
      </c>
      <c r="AF22" s="257">
        <f>轉向量!D301</f>
        <v>0</v>
      </c>
      <c r="AG22" s="257">
        <f>轉向量!E301</f>
        <v>0</v>
      </c>
      <c r="AH22" s="258">
        <f>轉向量!F301</f>
        <v>0</v>
      </c>
      <c r="AI22" s="257">
        <f>轉向量!H301</f>
        <v>0</v>
      </c>
      <c r="AJ22" s="257">
        <f>轉向量!I301</f>
        <v>0</v>
      </c>
      <c r="AK22" s="258">
        <f>轉向量!J301</f>
        <v>0</v>
      </c>
      <c r="AL22" s="259">
        <f>轉向量!L301</f>
        <v>0</v>
      </c>
      <c r="AM22" s="257">
        <f>轉向量!M301</f>
        <v>0</v>
      </c>
      <c r="AN22" s="257">
        <f>轉向量!O301</f>
        <v>0</v>
      </c>
      <c r="AO22" s="260">
        <f>轉向量!Q301</f>
        <v>0</v>
      </c>
      <c r="AP22" s="34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I22" s="66"/>
    </row>
    <row r="23" spans="1:61">
      <c r="A23" s="423">
        <v>300</v>
      </c>
      <c r="B23" s="248">
        <f>轉向量!E14</f>
        <v>0</v>
      </c>
      <c r="C23" s="248">
        <f>轉向量!F14</f>
        <v>0</v>
      </c>
      <c r="D23" s="250">
        <f>轉向量!G14</f>
        <v>0</v>
      </c>
      <c r="E23" s="248">
        <f>轉向量!I14</f>
        <v>0</v>
      </c>
      <c r="F23" s="248">
        <f>轉向量!J14</f>
        <v>0</v>
      </c>
      <c r="G23" s="250">
        <f>轉向量!K14</f>
        <v>0</v>
      </c>
      <c r="H23" s="249">
        <f>轉向量!N14</f>
        <v>0</v>
      </c>
      <c r="I23" s="248">
        <f>轉向量!O14</f>
        <v>0</v>
      </c>
      <c r="J23" s="248">
        <f>轉向量!Q14</f>
        <v>0</v>
      </c>
      <c r="K23" s="250">
        <f>轉向量!S14</f>
        <v>0</v>
      </c>
      <c r="L23" s="251">
        <f>轉向量!F110</f>
        <v>0</v>
      </c>
      <c r="M23" s="251">
        <f>轉向量!G110</f>
        <v>0</v>
      </c>
      <c r="N23" s="252">
        <f>轉向量!D110</f>
        <v>0</v>
      </c>
      <c r="O23" s="251">
        <f>轉向量!J110</f>
        <v>0</v>
      </c>
      <c r="P23" s="251">
        <f>轉向量!K110</f>
        <v>0</v>
      </c>
      <c r="Q23" s="252">
        <f>轉向量!H110</f>
        <v>0</v>
      </c>
      <c r="R23" s="253">
        <f>轉向量!P110</f>
        <v>0</v>
      </c>
      <c r="S23" s="251">
        <f>轉向量!Q110</f>
        <v>0</v>
      </c>
      <c r="T23" s="251">
        <f>轉向量!S110</f>
        <v>0</v>
      </c>
      <c r="U23" s="252">
        <f>轉向量!M110</f>
        <v>0</v>
      </c>
      <c r="V23" s="254">
        <f>轉向量!G206</f>
        <v>0</v>
      </c>
      <c r="W23" s="254">
        <f>轉向量!D206</f>
        <v>0</v>
      </c>
      <c r="X23" s="255">
        <f>轉向量!E206</f>
        <v>0</v>
      </c>
      <c r="Y23" s="254">
        <f>轉向量!K206</f>
        <v>0</v>
      </c>
      <c r="Z23" s="254">
        <f>轉向量!H206</f>
        <v>0</v>
      </c>
      <c r="AA23" s="255">
        <f>轉向量!I206</f>
        <v>0</v>
      </c>
      <c r="AB23" s="256">
        <f>轉向量!R206</f>
        <v>0</v>
      </c>
      <c r="AC23" s="254">
        <f>轉向量!S206</f>
        <v>0</v>
      </c>
      <c r="AD23" s="254">
        <f>轉向量!M206</f>
        <v>0</v>
      </c>
      <c r="AE23" s="255">
        <f>轉向量!O206</f>
        <v>0</v>
      </c>
      <c r="AF23" s="257">
        <f>轉向量!D302</f>
        <v>0</v>
      </c>
      <c r="AG23" s="257">
        <f>轉向量!E302</f>
        <v>0</v>
      </c>
      <c r="AH23" s="258">
        <f>轉向量!F302</f>
        <v>0</v>
      </c>
      <c r="AI23" s="257">
        <f>轉向量!H302</f>
        <v>0</v>
      </c>
      <c r="AJ23" s="257">
        <f>轉向量!I302</f>
        <v>0</v>
      </c>
      <c r="AK23" s="258">
        <f>轉向量!J302</f>
        <v>0</v>
      </c>
      <c r="AL23" s="259">
        <f>轉向量!L302</f>
        <v>0</v>
      </c>
      <c r="AM23" s="257">
        <f>轉向量!M302</f>
        <v>0</v>
      </c>
      <c r="AN23" s="257">
        <f>轉向量!O302</f>
        <v>0</v>
      </c>
      <c r="AO23" s="260">
        <f>轉向量!Q302</f>
        <v>0</v>
      </c>
      <c r="AP23" s="34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I23" s="66"/>
    </row>
    <row r="24" spans="1:61">
      <c r="A24" s="423">
        <v>315</v>
      </c>
      <c r="B24" s="248">
        <f>轉向量!E15</f>
        <v>0</v>
      </c>
      <c r="C24" s="248">
        <f>轉向量!F15</f>
        <v>0</v>
      </c>
      <c r="D24" s="250">
        <f>轉向量!G15</f>
        <v>0</v>
      </c>
      <c r="E24" s="248">
        <f>轉向量!I15</f>
        <v>0</v>
      </c>
      <c r="F24" s="248">
        <f>轉向量!J15</f>
        <v>0</v>
      </c>
      <c r="G24" s="250">
        <f>轉向量!K15</f>
        <v>0</v>
      </c>
      <c r="H24" s="249">
        <f>轉向量!N15</f>
        <v>0</v>
      </c>
      <c r="I24" s="248">
        <f>轉向量!O15</f>
        <v>0</v>
      </c>
      <c r="J24" s="248">
        <f>轉向量!Q15</f>
        <v>0</v>
      </c>
      <c r="K24" s="250">
        <f>轉向量!S15</f>
        <v>0</v>
      </c>
      <c r="L24" s="251">
        <f>轉向量!F111</f>
        <v>0</v>
      </c>
      <c r="M24" s="251">
        <f>轉向量!G111</f>
        <v>0</v>
      </c>
      <c r="N24" s="252">
        <f>轉向量!D111</f>
        <v>0</v>
      </c>
      <c r="O24" s="251">
        <f>轉向量!J111</f>
        <v>0</v>
      </c>
      <c r="P24" s="251">
        <f>轉向量!K111</f>
        <v>0</v>
      </c>
      <c r="Q24" s="252">
        <f>轉向量!H111</f>
        <v>0</v>
      </c>
      <c r="R24" s="253">
        <f>轉向量!P111</f>
        <v>0</v>
      </c>
      <c r="S24" s="251">
        <f>轉向量!Q111</f>
        <v>0</v>
      </c>
      <c r="T24" s="251">
        <f>轉向量!S111</f>
        <v>0</v>
      </c>
      <c r="U24" s="252">
        <f>轉向量!M111</f>
        <v>0</v>
      </c>
      <c r="V24" s="254">
        <f>轉向量!G207</f>
        <v>0</v>
      </c>
      <c r="W24" s="254">
        <f>轉向量!D207</f>
        <v>0</v>
      </c>
      <c r="X24" s="255">
        <f>轉向量!E207</f>
        <v>0</v>
      </c>
      <c r="Y24" s="254">
        <f>轉向量!K207</f>
        <v>0</v>
      </c>
      <c r="Z24" s="254">
        <f>轉向量!H207</f>
        <v>0</v>
      </c>
      <c r="AA24" s="255">
        <f>轉向量!I207</f>
        <v>0</v>
      </c>
      <c r="AB24" s="256">
        <f>轉向量!R207</f>
        <v>0</v>
      </c>
      <c r="AC24" s="254">
        <f>轉向量!S207</f>
        <v>0</v>
      </c>
      <c r="AD24" s="254">
        <f>轉向量!M207</f>
        <v>0</v>
      </c>
      <c r="AE24" s="255">
        <f>轉向量!O207</f>
        <v>0</v>
      </c>
      <c r="AF24" s="257">
        <f>轉向量!D303</f>
        <v>0</v>
      </c>
      <c r="AG24" s="257">
        <f>轉向量!E303</f>
        <v>0</v>
      </c>
      <c r="AH24" s="258">
        <f>轉向量!F303</f>
        <v>0</v>
      </c>
      <c r="AI24" s="257">
        <f>轉向量!H303</f>
        <v>0</v>
      </c>
      <c r="AJ24" s="257">
        <f>轉向量!I303</f>
        <v>0</v>
      </c>
      <c r="AK24" s="258">
        <f>轉向量!J303</f>
        <v>0</v>
      </c>
      <c r="AL24" s="259">
        <f>轉向量!L303</f>
        <v>0</v>
      </c>
      <c r="AM24" s="257">
        <f>轉向量!M303</f>
        <v>0</v>
      </c>
      <c r="AN24" s="257">
        <f>轉向量!O303</f>
        <v>0</v>
      </c>
      <c r="AO24" s="260">
        <f>轉向量!Q303</f>
        <v>0</v>
      </c>
      <c r="AP24" s="34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I24" s="66"/>
    </row>
    <row r="25" spans="1:61">
      <c r="A25" s="423">
        <v>330</v>
      </c>
      <c r="B25" s="248">
        <f>轉向量!E16</f>
        <v>0</v>
      </c>
      <c r="C25" s="248">
        <f>轉向量!F16</f>
        <v>0</v>
      </c>
      <c r="D25" s="250">
        <f>轉向量!G16</f>
        <v>0</v>
      </c>
      <c r="E25" s="248">
        <f>轉向量!I16</f>
        <v>0</v>
      </c>
      <c r="F25" s="248">
        <f>轉向量!J16</f>
        <v>0</v>
      </c>
      <c r="G25" s="250">
        <f>轉向量!K16</f>
        <v>0</v>
      </c>
      <c r="H25" s="249">
        <f>轉向量!N16</f>
        <v>0</v>
      </c>
      <c r="I25" s="248">
        <f>轉向量!O16</f>
        <v>0</v>
      </c>
      <c r="J25" s="248">
        <f>轉向量!Q16</f>
        <v>0</v>
      </c>
      <c r="K25" s="250">
        <f>轉向量!S16</f>
        <v>0</v>
      </c>
      <c r="L25" s="251">
        <f>轉向量!F112</f>
        <v>0</v>
      </c>
      <c r="M25" s="251">
        <f>轉向量!G112</f>
        <v>0</v>
      </c>
      <c r="N25" s="252">
        <f>轉向量!D112</f>
        <v>0</v>
      </c>
      <c r="O25" s="251">
        <f>轉向量!J112</f>
        <v>0</v>
      </c>
      <c r="P25" s="251">
        <f>轉向量!K112</f>
        <v>0</v>
      </c>
      <c r="Q25" s="252">
        <f>轉向量!H112</f>
        <v>0</v>
      </c>
      <c r="R25" s="253">
        <f>轉向量!P112</f>
        <v>0</v>
      </c>
      <c r="S25" s="251">
        <f>轉向量!Q112</f>
        <v>0</v>
      </c>
      <c r="T25" s="251">
        <f>轉向量!S112</f>
        <v>0</v>
      </c>
      <c r="U25" s="252">
        <f>轉向量!M112</f>
        <v>0</v>
      </c>
      <c r="V25" s="254">
        <f>轉向量!G208</f>
        <v>0</v>
      </c>
      <c r="W25" s="254">
        <f>轉向量!D208</f>
        <v>0</v>
      </c>
      <c r="X25" s="255">
        <f>轉向量!E208</f>
        <v>0</v>
      </c>
      <c r="Y25" s="254">
        <f>轉向量!K208</f>
        <v>0</v>
      </c>
      <c r="Z25" s="254">
        <f>轉向量!H208</f>
        <v>0</v>
      </c>
      <c r="AA25" s="255">
        <f>轉向量!I208</f>
        <v>0</v>
      </c>
      <c r="AB25" s="256">
        <f>轉向量!R208</f>
        <v>0</v>
      </c>
      <c r="AC25" s="254">
        <f>轉向量!S208</f>
        <v>0</v>
      </c>
      <c r="AD25" s="254">
        <f>轉向量!M208</f>
        <v>0</v>
      </c>
      <c r="AE25" s="255">
        <f>轉向量!O208</f>
        <v>0</v>
      </c>
      <c r="AF25" s="257">
        <f>轉向量!D304</f>
        <v>0</v>
      </c>
      <c r="AG25" s="257">
        <f>轉向量!E304</f>
        <v>0</v>
      </c>
      <c r="AH25" s="258">
        <f>轉向量!F304</f>
        <v>0</v>
      </c>
      <c r="AI25" s="257">
        <f>轉向量!H304</f>
        <v>0</v>
      </c>
      <c r="AJ25" s="257">
        <f>轉向量!I304</f>
        <v>0</v>
      </c>
      <c r="AK25" s="258">
        <f>轉向量!J304</f>
        <v>0</v>
      </c>
      <c r="AL25" s="259">
        <f>轉向量!L304</f>
        <v>0</v>
      </c>
      <c r="AM25" s="257">
        <f>轉向量!M304</f>
        <v>0</v>
      </c>
      <c r="AN25" s="257">
        <f>轉向量!O304</f>
        <v>0</v>
      </c>
      <c r="AO25" s="260">
        <f>轉向量!Q304</f>
        <v>0</v>
      </c>
      <c r="AP25" s="34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I25" s="66"/>
    </row>
    <row r="26" spans="1:61">
      <c r="A26" s="423">
        <v>345</v>
      </c>
      <c r="B26" s="248">
        <f>轉向量!E17</f>
        <v>0</v>
      </c>
      <c r="C26" s="248">
        <f>轉向量!F17</f>
        <v>0</v>
      </c>
      <c r="D26" s="250">
        <f>轉向量!G17</f>
        <v>0</v>
      </c>
      <c r="E26" s="248">
        <f>轉向量!I17</f>
        <v>0</v>
      </c>
      <c r="F26" s="248">
        <f>轉向量!J17</f>
        <v>0</v>
      </c>
      <c r="G26" s="250">
        <f>轉向量!K17</f>
        <v>0</v>
      </c>
      <c r="H26" s="249">
        <f>轉向量!N17</f>
        <v>0</v>
      </c>
      <c r="I26" s="248">
        <f>轉向量!O17</f>
        <v>0</v>
      </c>
      <c r="J26" s="248">
        <f>轉向量!Q17</f>
        <v>0</v>
      </c>
      <c r="K26" s="250">
        <f>轉向量!S17</f>
        <v>0</v>
      </c>
      <c r="L26" s="251">
        <f>轉向量!F113</f>
        <v>0</v>
      </c>
      <c r="M26" s="251">
        <f>轉向量!G113</f>
        <v>0</v>
      </c>
      <c r="N26" s="252">
        <f>轉向量!D113</f>
        <v>0</v>
      </c>
      <c r="O26" s="251">
        <f>轉向量!J113</f>
        <v>0</v>
      </c>
      <c r="P26" s="251">
        <f>轉向量!K113</f>
        <v>0</v>
      </c>
      <c r="Q26" s="252">
        <f>轉向量!H113</f>
        <v>0</v>
      </c>
      <c r="R26" s="253">
        <f>轉向量!P113</f>
        <v>0</v>
      </c>
      <c r="S26" s="251">
        <f>轉向量!Q113</f>
        <v>0</v>
      </c>
      <c r="T26" s="251">
        <f>轉向量!S113</f>
        <v>0</v>
      </c>
      <c r="U26" s="252">
        <f>轉向量!M113</f>
        <v>0</v>
      </c>
      <c r="V26" s="254">
        <f>轉向量!G209</f>
        <v>0</v>
      </c>
      <c r="W26" s="254">
        <f>轉向量!D209</f>
        <v>0</v>
      </c>
      <c r="X26" s="255">
        <f>轉向量!E209</f>
        <v>0</v>
      </c>
      <c r="Y26" s="254">
        <f>轉向量!K209</f>
        <v>0</v>
      </c>
      <c r="Z26" s="254">
        <f>轉向量!H209</f>
        <v>0</v>
      </c>
      <c r="AA26" s="255">
        <f>轉向量!I209</f>
        <v>0</v>
      </c>
      <c r="AB26" s="256">
        <f>轉向量!R209</f>
        <v>0</v>
      </c>
      <c r="AC26" s="254">
        <f>轉向量!S209</f>
        <v>0</v>
      </c>
      <c r="AD26" s="254">
        <f>轉向量!M209</f>
        <v>0</v>
      </c>
      <c r="AE26" s="255">
        <f>轉向量!O209</f>
        <v>0</v>
      </c>
      <c r="AF26" s="257">
        <f>轉向量!D305</f>
        <v>0</v>
      </c>
      <c r="AG26" s="257">
        <f>轉向量!E305</f>
        <v>0</v>
      </c>
      <c r="AH26" s="258">
        <f>轉向量!F305</f>
        <v>0</v>
      </c>
      <c r="AI26" s="257">
        <f>轉向量!H305</f>
        <v>0</v>
      </c>
      <c r="AJ26" s="257">
        <f>轉向量!I305</f>
        <v>0</v>
      </c>
      <c r="AK26" s="258">
        <f>轉向量!J305</f>
        <v>0</v>
      </c>
      <c r="AL26" s="259">
        <f>轉向量!L305</f>
        <v>0</v>
      </c>
      <c r="AM26" s="257">
        <f>轉向量!M305</f>
        <v>0</v>
      </c>
      <c r="AN26" s="257">
        <f>轉向量!O305</f>
        <v>0</v>
      </c>
      <c r="AO26" s="260">
        <f>轉向量!Q305</f>
        <v>0</v>
      </c>
      <c r="AP26" s="34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I26" s="66"/>
    </row>
    <row r="27" spans="1:61">
      <c r="A27" s="423">
        <v>400</v>
      </c>
      <c r="B27" s="248">
        <f>轉向量!E18</f>
        <v>0</v>
      </c>
      <c r="C27" s="248">
        <f>轉向量!F18</f>
        <v>0</v>
      </c>
      <c r="D27" s="250">
        <f>轉向量!G18</f>
        <v>0</v>
      </c>
      <c r="E27" s="248">
        <f>轉向量!I18</f>
        <v>0</v>
      </c>
      <c r="F27" s="248">
        <f>轉向量!J18</f>
        <v>0</v>
      </c>
      <c r="G27" s="250">
        <f>轉向量!K18</f>
        <v>0</v>
      </c>
      <c r="H27" s="249">
        <f>轉向量!N18</f>
        <v>0</v>
      </c>
      <c r="I27" s="248">
        <f>轉向量!O18</f>
        <v>0</v>
      </c>
      <c r="J27" s="248">
        <f>轉向量!Q18</f>
        <v>0</v>
      </c>
      <c r="K27" s="250">
        <f>轉向量!S18</f>
        <v>0</v>
      </c>
      <c r="L27" s="251">
        <f>轉向量!F114</f>
        <v>0</v>
      </c>
      <c r="M27" s="251">
        <f>轉向量!G114</f>
        <v>0</v>
      </c>
      <c r="N27" s="252">
        <f>轉向量!D114</f>
        <v>0</v>
      </c>
      <c r="O27" s="251">
        <f>轉向量!J114</f>
        <v>0</v>
      </c>
      <c r="P27" s="251">
        <f>轉向量!K114</f>
        <v>0</v>
      </c>
      <c r="Q27" s="252">
        <f>轉向量!H114</f>
        <v>0</v>
      </c>
      <c r="R27" s="253">
        <f>轉向量!P114</f>
        <v>0</v>
      </c>
      <c r="S27" s="251">
        <f>轉向量!Q114</f>
        <v>0</v>
      </c>
      <c r="T27" s="251">
        <f>轉向量!S114</f>
        <v>0</v>
      </c>
      <c r="U27" s="252">
        <f>轉向量!M114</f>
        <v>0</v>
      </c>
      <c r="V27" s="254">
        <f>轉向量!G210</f>
        <v>0</v>
      </c>
      <c r="W27" s="254">
        <f>轉向量!D210</f>
        <v>0</v>
      </c>
      <c r="X27" s="255">
        <f>轉向量!E210</f>
        <v>0</v>
      </c>
      <c r="Y27" s="254">
        <f>轉向量!K210</f>
        <v>0</v>
      </c>
      <c r="Z27" s="254">
        <f>轉向量!H210</f>
        <v>0</v>
      </c>
      <c r="AA27" s="255">
        <f>轉向量!I210</f>
        <v>0</v>
      </c>
      <c r="AB27" s="256">
        <f>轉向量!R210</f>
        <v>0</v>
      </c>
      <c r="AC27" s="254">
        <f>轉向量!S210</f>
        <v>0</v>
      </c>
      <c r="AD27" s="254">
        <f>轉向量!M210</f>
        <v>0</v>
      </c>
      <c r="AE27" s="255">
        <f>轉向量!O210</f>
        <v>0</v>
      </c>
      <c r="AF27" s="257">
        <f>轉向量!D306</f>
        <v>0</v>
      </c>
      <c r="AG27" s="257">
        <f>轉向量!E306</f>
        <v>0</v>
      </c>
      <c r="AH27" s="258">
        <f>轉向量!F306</f>
        <v>0</v>
      </c>
      <c r="AI27" s="257">
        <f>轉向量!H306</f>
        <v>0</v>
      </c>
      <c r="AJ27" s="257">
        <f>轉向量!I306</f>
        <v>0</v>
      </c>
      <c r="AK27" s="258">
        <f>轉向量!J306</f>
        <v>0</v>
      </c>
      <c r="AL27" s="259">
        <f>轉向量!L306</f>
        <v>0</v>
      </c>
      <c r="AM27" s="257">
        <f>轉向量!M306</f>
        <v>0</v>
      </c>
      <c r="AN27" s="257">
        <f>轉向量!O306</f>
        <v>0</v>
      </c>
      <c r="AO27" s="260">
        <f>轉向量!Q306</f>
        <v>0</v>
      </c>
      <c r="AP27" s="34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I27" s="66"/>
    </row>
    <row r="28" spans="1:61">
      <c r="A28" s="423">
        <v>415</v>
      </c>
      <c r="B28" s="248">
        <f>轉向量!E19</f>
        <v>0</v>
      </c>
      <c r="C28" s="248">
        <f>轉向量!F19</f>
        <v>0</v>
      </c>
      <c r="D28" s="250">
        <f>轉向量!G19</f>
        <v>0</v>
      </c>
      <c r="E28" s="248">
        <f>轉向量!I19</f>
        <v>0</v>
      </c>
      <c r="F28" s="248">
        <f>轉向量!J19</f>
        <v>0</v>
      </c>
      <c r="G28" s="250">
        <f>轉向量!K19</f>
        <v>0</v>
      </c>
      <c r="H28" s="249">
        <f>轉向量!N19</f>
        <v>0</v>
      </c>
      <c r="I28" s="248">
        <f>轉向量!O19</f>
        <v>0</v>
      </c>
      <c r="J28" s="248">
        <f>轉向量!Q19</f>
        <v>0</v>
      </c>
      <c r="K28" s="250">
        <f>轉向量!S19</f>
        <v>0</v>
      </c>
      <c r="L28" s="251">
        <f>轉向量!F115</f>
        <v>0</v>
      </c>
      <c r="M28" s="251">
        <f>轉向量!G115</f>
        <v>0</v>
      </c>
      <c r="N28" s="252">
        <f>轉向量!D115</f>
        <v>0</v>
      </c>
      <c r="O28" s="251">
        <f>轉向量!J115</f>
        <v>0</v>
      </c>
      <c r="P28" s="251">
        <f>轉向量!K115</f>
        <v>0</v>
      </c>
      <c r="Q28" s="252">
        <f>轉向量!H115</f>
        <v>0</v>
      </c>
      <c r="R28" s="253">
        <f>轉向量!P115</f>
        <v>0</v>
      </c>
      <c r="S28" s="251">
        <f>轉向量!Q115</f>
        <v>0</v>
      </c>
      <c r="T28" s="251">
        <f>轉向量!S115</f>
        <v>0</v>
      </c>
      <c r="U28" s="252">
        <f>轉向量!M115</f>
        <v>0</v>
      </c>
      <c r="V28" s="254">
        <f>轉向量!G211</f>
        <v>0</v>
      </c>
      <c r="W28" s="254">
        <f>轉向量!D211</f>
        <v>0</v>
      </c>
      <c r="X28" s="255">
        <f>轉向量!E211</f>
        <v>0</v>
      </c>
      <c r="Y28" s="254">
        <f>轉向量!K211</f>
        <v>0</v>
      </c>
      <c r="Z28" s="254">
        <f>轉向量!H211</f>
        <v>0</v>
      </c>
      <c r="AA28" s="255">
        <f>轉向量!I211</f>
        <v>0</v>
      </c>
      <c r="AB28" s="256">
        <f>轉向量!R211</f>
        <v>0</v>
      </c>
      <c r="AC28" s="254">
        <f>轉向量!S211</f>
        <v>0</v>
      </c>
      <c r="AD28" s="254">
        <f>轉向量!M211</f>
        <v>0</v>
      </c>
      <c r="AE28" s="255">
        <f>轉向量!O211</f>
        <v>0</v>
      </c>
      <c r="AF28" s="257">
        <f>轉向量!D307</f>
        <v>0</v>
      </c>
      <c r="AG28" s="257">
        <f>轉向量!E307</f>
        <v>0</v>
      </c>
      <c r="AH28" s="258">
        <f>轉向量!F307</f>
        <v>0</v>
      </c>
      <c r="AI28" s="257">
        <f>轉向量!H307</f>
        <v>0</v>
      </c>
      <c r="AJ28" s="257">
        <f>轉向量!I307</f>
        <v>0</v>
      </c>
      <c r="AK28" s="258">
        <f>轉向量!J307</f>
        <v>0</v>
      </c>
      <c r="AL28" s="259">
        <f>轉向量!L307</f>
        <v>0</v>
      </c>
      <c r="AM28" s="257">
        <f>轉向量!M307</f>
        <v>0</v>
      </c>
      <c r="AN28" s="257">
        <f>轉向量!O307</f>
        <v>0</v>
      </c>
      <c r="AO28" s="260">
        <f>轉向量!Q307</f>
        <v>0</v>
      </c>
      <c r="AP28" s="34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I28" s="66"/>
    </row>
    <row r="29" spans="1:61">
      <c r="A29" s="423">
        <v>430</v>
      </c>
      <c r="B29" s="248">
        <f>轉向量!E20</f>
        <v>0</v>
      </c>
      <c r="C29" s="248">
        <f>轉向量!F20</f>
        <v>0</v>
      </c>
      <c r="D29" s="250">
        <f>轉向量!G20</f>
        <v>0</v>
      </c>
      <c r="E29" s="248">
        <f>轉向量!I20</f>
        <v>0</v>
      </c>
      <c r="F29" s="248">
        <f>轉向量!J20</f>
        <v>0</v>
      </c>
      <c r="G29" s="250">
        <f>轉向量!K20</f>
        <v>0</v>
      </c>
      <c r="H29" s="249">
        <f>轉向量!N20</f>
        <v>0</v>
      </c>
      <c r="I29" s="248">
        <f>轉向量!O20</f>
        <v>0</v>
      </c>
      <c r="J29" s="248">
        <f>轉向量!Q20</f>
        <v>0</v>
      </c>
      <c r="K29" s="250">
        <f>轉向量!S20</f>
        <v>0</v>
      </c>
      <c r="L29" s="251">
        <f>轉向量!F116</f>
        <v>0</v>
      </c>
      <c r="M29" s="251">
        <f>轉向量!G116</f>
        <v>0</v>
      </c>
      <c r="N29" s="252">
        <f>轉向量!D116</f>
        <v>0</v>
      </c>
      <c r="O29" s="251">
        <f>轉向量!J116</f>
        <v>0</v>
      </c>
      <c r="P29" s="251">
        <f>轉向量!K116</f>
        <v>0</v>
      </c>
      <c r="Q29" s="252">
        <f>轉向量!H116</f>
        <v>0</v>
      </c>
      <c r="R29" s="253">
        <f>轉向量!P116</f>
        <v>0</v>
      </c>
      <c r="S29" s="251">
        <f>轉向量!Q116</f>
        <v>0</v>
      </c>
      <c r="T29" s="251">
        <f>轉向量!S116</f>
        <v>0</v>
      </c>
      <c r="U29" s="252">
        <f>轉向量!M116</f>
        <v>0</v>
      </c>
      <c r="V29" s="254">
        <f>轉向量!G212</f>
        <v>0</v>
      </c>
      <c r="W29" s="254">
        <f>轉向量!D212</f>
        <v>0</v>
      </c>
      <c r="X29" s="255">
        <f>轉向量!E212</f>
        <v>0</v>
      </c>
      <c r="Y29" s="254">
        <f>轉向量!K212</f>
        <v>0</v>
      </c>
      <c r="Z29" s="254">
        <f>轉向量!H212</f>
        <v>0</v>
      </c>
      <c r="AA29" s="255">
        <f>轉向量!I212</f>
        <v>0</v>
      </c>
      <c r="AB29" s="256">
        <f>轉向量!R212</f>
        <v>0</v>
      </c>
      <c r="AC29" s="254">
        <f>轉向量!S212</f>
        <v>0</v>
      </c>
      <c r="AD29" s="254">
        <f>轉向量!M212</f>
        <v>0</v>
      </c>
      <c r="AE29" s="255">
        <f>轉向量!O212</f>
        <v>0</v>
      </c>
      <c r="AF29" s="257">
        <f>轉向量!D308</f>
        <v>0</v>
      </c>
      <c r="AG29" s="257">
        <f>轉向量!E308</f>
        <v>0</v>
      </c>
      <c r="AH29" s="258">
        <f>轉向量!F308</f>
        <v>0</v>
      </c>
      <c r="AI29" s="257">
        <f>轉向量!H308</f>
        <v>0</v>
      </c>
      <c r="AJ29" s="257">
        <f>轉向量!I308</f>
        <v>0</v>
      </c>
      <c r="AK29" s="258">
        <f>轉向量!J308</f>
        <v>0</v>
      </c>
      <c r="AL29" s="259">
        <f>轉向量!L308</f>
        <v>0</v>
      </c>
      <c r="AM29" s="257">
        <f>轉向量!M308</f>
        <v>0</v>
      </c>
      <c r="AN29" s="257">
        <f>轉向量!O308</f>
        <v>0</v>
      </c>
      <c r="AO29" s="260">
        <f>轉向量!Q308</f>
        <v>0</v>
      </c>
      <c r="AP29" s="34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I29" s="66"/>
    </row>
    <row r="30" spans="1:61">
      <c r="A30" s="423">
        <v>445</v>
      </c>
      <c r="B30" s="248">
        <f>轉向量!E21</f>
        <v>0</v>
      </c>
      <c r="C30" s="248">
        <f>轉向量!F21</f>
        <v>0</v>
      </c>
      <c r="D30" s="250">
        <f>轉向量!G21</f>
        <v>0</v>
      </c>
      <c r="E30" s="248">
        <f>轉向量!I21</f>
        <v>0</v>
      </c>
      <c r="F30" s="248">
        <f>轉向量!J21</f>
        <v>0</v>
      </c>
      <c r="G30" s="250">
        <f>轉向量!K21</f>
        <v>0</v>
      </c>
      <c r="H30" s="249">
        <f>轉向量!N21</f>
        <v>0</v>
      </c>
      <c r="I30" s="248">
        <f>轉向量!O21</f>
        <v>0</v>
      </c>
      <c r="J30" s="248">
        <f>轉向量!Q21</f>
        <v>0</v>
      </c>
      <c r="K30" s="250">
        <f>轉向量!S21</f>
        <v>0</v>
      </c>
      <c r="L30" s="251">
        <f>轉向量!F117</f>
        <v>0</v>
      </c>
      <c r="M30" s="251">
        <f>轉向量!G117</f>
        <v>0</v>
      </c>
      <c r="N30" s="252">
        <f>轉向量!D117</f>
        <v>0</v>
      </c>
      <c r="O30" s="251">
        <f>轉向量!J117</f>
        <v>0</v>
      </c>
      <c r="P30" s="251">
        <f>轉向量!K117</f>
        <v>0</v>
      </c>
      <c r="Q30" s="252">
        <f>轉向量!H117</f>
        <v>0</v>
      </c>
      <c r="R30" s="253">
        <f>轉向量!P117</f>
        <v>0</v>
      </c>
      <c r="S30" s="251">
        <f>轉向量!Q117</f>
        <v>0</v>
      </c>
      <c r="T30" s="251">
        <f>轉向量!S117</f>
        <v>0</v>
      </c>
      <c r="U30" s="252">
        <f>轉向量!M117</f>
        <v>0</v>
      </c>
      <c r="V30" s="254">
        <f>轉向量!G213</f>
        <v>0</v>
      </c>
      <c r="W30" s="254">
        <f>轉向量!D213</f>
        <v>0</v>
      </c>
      <c r="X30" s="255">
        <f>轉向量!E213</f>
        <v>0</v>
      </c>
      <c r="Y30" s="254">
        <f>轉向量!K213</f>
        <v>0</v>
      </c>
      <c r="Z30" s="254">
        <f>轉向量!H213</f>
        <v>0</v>
      </c>
      <c r="AA30" s="255">
        <f>轉向量!I213</f>
        <v>0</v>
      </c>
      <c r="AB30" s="256">
        <f>轉向量!R213</f>
        <v>0</v>
      </c>
      <c r="AC30" s="254">
        <f>轉向量!S213</f>
        <v>0</v>
      </c>
      <c r="AD30" s="254">
        <f>轉向量!M213</f>
        <v>0</v>
      </c>
      <c r="AE30" s="255">
        <f>轉向量!O213</f>
        <v>0</v>
      </c>
      <c r="AF30" s="257">
        <f>轉向量!D309</f>
        <v>0</v>
      </c>
      <c r="AG30" s="257">
        <f>轉向量!E309</f>
        <v>0</v>
      </c>
      <c r="AH30" s="258">
        <f>轉向量!F309</f>
        <v>0</v>
      </c>
      <c r="AI30" s="257">
        <f>轉向量!H309</f>
        <v>0</v>
      </c>
      <c r="AJ30" s="257">
        <f>轉向量!I309</f>
        <v>0</v>
      </c>
      <c r="AK30" s="258">
        <f>轉向量!J309</f>
        <v>0</v>
      </c>
      <c r="AL30" s="259">
        <f>轉向量!L309</f>
        <v>0</v>
      </c>
      <c r="AM30" s="257">
        <f>轉向量!M309</f>
        <v>0</v>
      </c>
      <c r="AN30" s="257">
        <f>轉向量!O309</f>
        <v>0</v>
      </c>
      <c r="AO30" s="260">
        <f>轉向量!Q309</f>
        <v>0</v>
      </c>
      <c r="AP30" s="34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I30" s="66"/>
    </row>
    <row r="31" spans="1:61">
      <c r="A31" s="423">
        <v>500</v>
      </c>
      <c r="B31" s="248">
        <f>轉向量!E22</f>
        <v>0</v>
      </c>
      <c r="C31" s="248">
        <f>轉向量!F22</f>
        <v>0</v>
      </c>
      <c r="D31" s="250">
        <f>轉向量!G22</f>
        <v>0</v>
      </c>
      <c r="E31" s="248">
        <f>轉向量!I22</f>
        <v>0</v>
      </c>
      <c r="F31" s="248">
        <f>轉向量!J22</f>
        <v>0</v>
      </c>
      <c r="G31" s="250">
        <f>轉向量!K22</f>
        <v>0</v>
      </c>
      <c r="H31" s="249">
        <f>轉向量!N22</f>
        <v>0</v>
      </c>
      <c r="I31" s="248">
        <f>轉向量!O22</f>
        <v>0</v>
      </c>
      <c r="J31" s="248">
        <f>轉向量!Q22</f>
        <v>0</v>
      </c>
      <c r="K31" s="250">
        <f>轉向量!S22</f>
        <v>0</v>
      </c>
      <c r="L31" s="251">
        <f>轉向量!F118</f>
        <v>0</v>
      </c>
      <c r="M31" s="251">
        <f>轉向量!G118</f>
        <v>0</v>
      </c>
      <c r="N31" s="252">
        <f>轉向量!D118</f>
        <v>0</v>
      </c>
      <c r="O31" s="251">
        <f>轉向量!J118</f>
        <v>0</v>
      </c>
      <c r="P31" s="251">
        <f>轉向量!K118</f>
        <v>0</v>
      </c>
      <c r="Q31" s="252">
        <f>轉向量!H118</f>
        <v>0</v>
      </c>
      <c r="R31" s="253">
        <f>轉向量!P118</f>
        <v>0</v>
      </c>
      <c r="S31" s="251">
        <f>轉向量!Q118</f>
        <v>0</v>
      </c>
      <c r="T31" s="251">
        <f>轉向量!S118</f>
        <v>0</v>
      </c>
      <c r="U31" s="252">
        <f>轉向量!M118</f>
        <v>0</v>
      </c>
      <c r="V31" s="254">
        <f>轉向量!G214</f>
        <v>0</v>
      </c>
      <c r="W31" s="254">
        <f>轉向量!D214</f>
        <v>0</v>
      </c>
      <c r="X31" s="255">
        <f>轉向量!E214</f>
        <v>0</v>
      </c>
      <c r="Y31" s="254">
        <f>轉向量!K214</f>
        <v>0</v>
      </c>
      <c r="Z31" s="254">
        <f>轉向量!H214</f>
        <v>0</v>
      </c>
      <c r="AA31" s="255">
        <f>轉向量!I214</f>
        <v>0</v>
      </c>
      <c r="AB31" s="256">
        <f>轉向量!R214</f>
        <v>0</v>
      </c>
      <c r="AC31" s="254">
        <f>轉向量!S214</f>
        <v>0</v>
      </c>
      <c r="AD31" s="254">
        <f>轉向量!M214</f>
        <v>0</v>
      </c>
      <c r="AE31" s="255">
        <f>轉向量!O214</f>
        <v>0</v>
      </c>
      <c r="AF31" s="257">
        <f>轉向量!D310</f>
        <v>0</v>
      </c>
      <c r="AG31" s="257">
        <f>轉向量!E310</f>
        <v>0</v>
      </c>
      <c r="AH31" s="258">
        <f>轉向量!F310</f>
        <v>0</v>
      </c>
      <c r="AI31" s="257">
        <f>轉向量!H310</f>
        <v>0</v>
      </c>
      <c r="AJ31" s="257">
        <f>轉向量!I310</f>
        <v>0</v>
      </c>
      <c r="AK31" s="258">
        <f>轉向量!J310</f>
        <v>0</v>
      </c>
      <c r="AL31" s="259">
        <f>轉向量!L310</f>
        <v>0</v>
      </c>
      <c r="AM31" s="257">
        <f>轉向量!M310</f>
        <v>0</v>
      </c>
      <c r="AN31" s="257">
        <f>轉向量!O310</f>
        <v>0</v>
      </c>
      <c r="AO31" s="260">
        <f>轉向量!Q310</f>
        <v>0</v>
      </c>
      <c r="AP31" s="34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I31" s="66"/>
    </row>
    <row r="32" spans="1:61">
      <c r="A32" s="423">
        <v>515</v>
      </c>
      <c r="B32" s="248">
        <f>轉向量!E23</f>
        <v>0</v>
      </c>
      <c r="C32" s="248">
        <f>轉向量!F23</f>
        <v>0</v>
      </c>
      <c r="D32" s="250">
        <f>轉向量!G23</f>
        <v>0</v>
      </c>
      <c r="E32" s="248">
        <f>轉向量!I23</f>
        <v>0</v>
      </c>
      <c r="F32" s="248">
        <f>轉向量!J23</f>
        <v>0</v>
      </c>
      <c r="G32" s="250">
        <f>轉向量!K23</f>
        <v>0</v>
      </c>
      <c r="H32" s="249">
        <f>轉向量!N23</f>
        <v>0</v>
      </c>
      <c r="I32" s="248">
        <f>轉向量!O23</f>
        <v>0</v>
      </c>
      <c r="J32" s="248">
        <f>轉向量!Q23</f>
        <v>0</v>
      </c>
      <c r="K32" s="250">
        <f>轉向量!S23</f>
        <v>0</v>
      </c>
      <c r="L32" s="251">
        <f>轉向量!F119</f>
        <v>0</v>
      </c>
      <c r="M32" s="251">
        <f>轉向量!G119</f>
        <v>0</v>
      </c>
      <c r="N32" s="252">
        <f>轉向量!D119</f>
        <v>0</v>
      </c>
      <c r="O32" s="251">
        <f>轉向量!J119</f>
        <v>0</v>
      </c>
      <c r="P32" s="251">
        <f>轉向量!K119</f>
        <v>0</v>
      </c>
      <c r="Q32" s="252">
        <f>轉向量!H119</f>
        <v>0</v>
      </c>
      <c r="R32" s="253">
        <f>轉向量!P119</f>
        <v>0</v>
      </c>
      <c r="S32" s="251">
        <f>轉向量!Q119</f>
        <v>0</v>
      </c>
      <c r="T32" s="251">
        <f>轉向量!S119</f>
        <v>0</v>
      </c>
      <c r="U32" s="252">
        <f>轉向量!M119</f>
        <v>0</v>
      </c>
      <c r="V32" s="254">
        <f>轉向量!G215</f>
        <v>0</v>
      </c>
      <c r="W32" s="254">
        <f>轉向量!D215</f>
        <v>0</v>
      </c>
      <c r="X32" s="255">
        <f>轉向量!E215</f>
        <v>0</v>
      </c>
      <c r="Y32" s="254">
        <f>轉向量!K215</f>
        <v>0</v>
      </c>
      <c r="Z32" s="254">
        <f>轉向量!H215</f>
        <v>0</v>
      </c>
      <c r="AA32" s="255">
        <f>轉向量!I215</f>
        <v>0</v>
      </c>
      <c r="AB32" s="256">
        <f>轉向量!R215</f>
        <v>0</v>
      </c>
      <c r="AC32" s="254">
        <f>轉向量!S215</f>
        <v>0</v>
      </c>
      <c r="AD32" s="254">
        <f>轉向量!M215</f>
        <v>0</v>
      </c>
      <c r="AE32" s="255">
        <f>轉向量!O215</f>
        <v>0</v>
      </c>
      <c r="AF32" s="257">
        <f>轉向量!D311</f>
        <v>0</v>
      </c>
      <c r="AG32" s="257">
        <f>轉向量!E311</f>
        <v>0</v>
      </c>
      <c r="AH32" s="258">
        <f>轉向量!F311</f>
        <v>0</v>
      </c>
      <c r="AI32" s="257">
        <f>轉向量!H311</f>
        <v>0</v>
      </c>
      <c r="AJ32" s="257">
        <f>轉向量!I311</f>
        <v>0</v>
      </c>
      <c r="AK32" s="258">
        <f>轉向量!J311</f>
        <v>0</v>
      </c>
      <c r="AL32" s="259">
        <f>轉向量!L311</f>
        <v>0</v>
      </c>
      <c r="AM32" s="257">
        <f>轉向量!M311</f>
        <v>0</v>
      </c>
      <c r="AN32" s="257">
        <f>轉向量!O311</f>
        <v>0</v>
      </c>
      <c r="AO32" s="260">
        <f>轉向量!Q311</f>
        <v>0</v>
      </c>
      <c r="AP32" s="34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I32" s="66"/>
    </row>
    <row r="33" spans="1:61">
      <c r="A33" s="423">
        <v>530</v>
      </c>
      <c r="B33" s="248">
        <f>轉向量!E24</f>
        <v>0</v>
      </c>
      <c r="C33" s="248">
        <f>轉向量!F24</f>
        <v>0</v>
      </c>
      <c r="D33" s="250">
        <f>轉向量!G24</f>
        <v>0</v>
      </c>
      <c r="E33" s="248">
        <f>轉向量!I24</f>
        <v>0</v>
      </c>
      <c r="F33" s="248">
        <f>轉向量!J24</f>
        <v>0</v>
      </c>
      <c r="G33" s="250">
        <f>轉向量!K24</f>
        <v>0</v>
      </c>
      <c r="H33" s="249">
        <f>轉向量!N24</f>
        <v>0</v>
      </c>
      <c r="I33" s="248">
        <f>轉向量!O24</f>
        <v>0</v>
      </c>
      <c r="J33" s="248">
        <f>轉向量!Q24</f>
        <v>0</v>
      </c>
      <c r="K33" s="250">
        <f>轉向量!S24</f>
        <v>0</v>
      </c>
      <c r="L33" s="251">
        <f>轉向量!F120</f>
        <v>0</v>
      </c>
      <c r="M33" s="251">
        <f>轉向量!G120</f>
        <v>0</v>
      </c>
      <c r="N33" s="252">
        <f>轉向量!D120</f>
        <v>0</v>
      </c>
      <c r="O33" s="251">
        <f>轉向量!J120</f>
        <v>0</v>
      </c>
      <c r="P33" s="251">
        <f>轉向量!K120</f>
        <v>0</v>
      </c>
      <c r="Q33" s="252">
        <f>轉向量!H120</f>
        <v>0</v>
      </c>
      <c r="R33" s="253">
        <f>轉向量!P120</f>
        <v>0</v>
      </c>
      <c r="S33" s="251">
        <f>轉向量!Q120</f>
        <v>0</v>
      </c>
      <c r="T33" s="251">
        <f>轉向量!S120</f>
        <v>0</v>
      </c>
      <c r="U33" s="252">
        <f>轉向量!M120</f>
        <v>0</v>
      </c>
      <c r="V33" s="254">
        <f>轉向量!G216</f>
        <v>0</v>
      </c>
      <c r="W33" s="254">
        <f>轉向量!D216</f>
        <v>0</v>
      </c>
      <c r="X33" s="255">
        <f>轉向量!E216</f>
        <v>0</v>
      </c>
      <c r="Y33" s="254">
        <f>轉向量!K216</f>
        <v>0</v>
      </c>
      <c r="Z33" s="254">
        <f>轉向量!H216</f>
        <v>0</v>
      </c>
      <c r="AA33" s="255">
        <f>轉向量!I216</f>
        <v>0</v>
      </c>
      <c r="AB33" s="256">
        <f>轉向量!R216</f>
        <v>0</v>
      </c>
      <c r="AC33" s="254">
        <f>轉向量!S216</f>
        <v>0</v>
      </c>
      <c r="AD33" s="254">
        <f>轉向量!M216</f>
        <v>0</v>
      </c>
      <c r="AE33" s="255">
        <f>轉向量!O216</f>
        <v>0</v>
      </c>
      <c r="AF33" s="257">
        <f>轉向量!D312</f>
        <v>0</v>
      </c>
      <c r="AG33" s="257">
        <f>轉向量!E312</f>
        <v>0</v>
      </c>
      <c r="AH33" s="258">
        <f>轉向量!F312</f>
        <v>0</v>
      </c>
      <c r="AI33" s="257">
        <f>轉向量!H312</f>
        <v>0</v>
      </c>
      <c r="AJ33" s="257">
        <f>轉向量!I312</f>
        <v>0</v>
      </c>
      <c r="AK33" s="258">
        <f>轉向量!J312</f>
        <v>0</v>
      </c>
      <c r="AL33" s="259">
        <f>轉向量!L312</f>
        <v>0</v>
      </c>
      <c r="AM33" s="257">
        <f>轉向量!M312</f>
        <v>0</v>
      </c>
      <c r="AN33" s="257">
        <f>轉向量!O312</f>
        <v>0</v>
      </c>
      <c r="AO33" s="260">
        <f>轉向量!Q312</f>
        <v>0</v>
      </c>
      <c r="AP33" s="34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I33" s="66"/>
    </row>
    <row r="34" spans="1:61">
      <c r="A34" s="423">
        <v>545</v>
      </c>
      <c r="B34" s="248">
        <f>轉向量!E25</f>
        <v>0</v>
      </c>
      <c r="C34" s="248">
        <f>轉向量!F25</f>
        <v>0</v>
      </c>
      <c r="D34" s="250">
        <f>轉向量!G25</f>
        <v>0</v>
      </c>
      <c r="E34" s="248">
        <f>轉向量!I25</f>
        <v>0</v>
      </c>
      <c r="F34" s="248">
        <f>轉向量!J25</f>
        <v>0</v>
      </c>
      <c r="G34" s="250">
        <f>轉向量!K25</f>
        <v>0</v>
      </c>
      <c r="H34" s="249">
        <f>轉向量!N25</f>
        <v>0</v>
      </c>
      <c r="I34" s="248">
        <f>轉向量!O25</f>
        <v>0</v>
      </c>
      <c r="J34" s="248">
        <f>轉向量!Q25</f>
        <v>0</v>
      </c>
      <c r="K34" s="250">
        <f>轉向量!S25</f>
        <v>0</v>
      </c>
      <c r="L34" s="251">
        <f>轉向量!F121</f>
        <v>0</v>
      </c>
      <c r="M34" s="251">
        <f>轉向量!G121</f>
        <v>0</v>
      </c>
      <c r="N34" s="252">
        <f>轉向量!D121</f>
        <v>0</v>
      </c>
      <c r="O34" s="251">
        <f>轉向量!J121</f>
        <v>0</v>
      </c>
      <c r="P34" s="251">
        <f>轉向量!K121</f>
        <v>0</v>
      </c>
      <c r="Q34" s="252">
        <f>轉向量!H121</f>
        <v>0</v>
      </c>
      <c r="R34" s="253">
        <f>轉向量!P121</f>
        <v>0</v>
      </c>
      <c r="S34" s="251">
        <f>轉向量!Q121</f>
        <v>0</v>
      </c>
      <c r="T34" s="251">
        <f>轉向量!S121</f>
        <v>0</v>
      </c>
      <c r="U34" s="252">
        <f>轉向量!M121</f>
        <v>0</v>
      </c>
      <c r="V34" s="254">
        <f>轉向量!G217</f>
        <v>0</v>
      </c>
      <c r="W34" s="254">
        <f>轉向量!D217</f>
        <v>0</v>
      </c>
      <c r="X34" s="255">
        <f>轉向量!E217</f>
        <v>0</v>
      </c>
      <c r="Y34" s="254">
        <f>轉向量!K217</f>
        <v>0</v>
      </c>
      <c r="Z34" s="254">
        <f>轉向量!H217</f>
        <v>0</v>
      </c>
      <c r="AA34" s="255">
        <f>轉向量!I217</f>
        <v>0</v>
      </c>
      <c r="AB34" s="256">
        <f>轉向量!R217</f>
        <v>0</v>
      </c>
      <c r="AC34" s="254">
        <f>轉向量!S217</f>
        <v>0</v>
      </c>
      <c r="AD34" s="254">
        <f>轉向量!M217</f>
        <v>0</v>
      </c>
      <c r="AE34" s="255">
        <f>轉向量!O217</f>
        <v>0</v>
      </c>
      <c r="AF34" s="257">
        <f>轉向量!D313</f>
        <v>0</v>
      </c>
      <c r="AG34" s="257">
        <f>轉向量!E313</f>
        <v>0</v>
      </c>
      <c r="AH34" s="258">
        <f>轉向量!F313</f>
        <v>0</v>
      </c>
      <c r="AI34" s="257">
        <f>轉向量!H313</f>
        <v>0</v>
      </c>
      <c r="AJ34" s="257">
        <f>轉向量!I313</f>
        <v>0</v>
      </c>
      <c r="AK34" s="258">
        <f>轉向量!J313</f>
        <v>0</v>
      </c>
      <c r="AL34" s="259">
        <f>轉向量!L313</f>
        <v>0</v>
      </c>
      <c r="AM34" s="257">
        <f>轉向量!M313</f>
        <v>0</v>
      </c>
      <c r="AN34" s="257">
        <f>轉向量!O313</f>
        <v>0</v>
      </c>
      <c r="AO34" s="260">
        <f>轉向量!Q313</f>
        <v>0</v>
      </c>
      <c r="AP34" s="34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I34" s="66"/>
    </row>
    <row r="35" spans="1:61">
      <c r="A35" s="423">
        <v>600</v>
      </c>
      <c r="B35" s="248">
        <f>轉向量!E26</f>
        <v>0</v>
      </c>
      <c r="C35" s="248">
        <f>轉向量!F26</f>
        <v>0</v>
      </c>
      <c r="D35" s="250">
        <f>轉向量!G26</f>
        <v>0</v>
      </c>
      <c r="E35" s="248">
        <f>轉向量!I26</f>
        <v>0</v>
      </c>
      <c r="F35" s="248">
        <f>轉向量!J26</f>
        <v>0</v>
      </c>
      <c r="G35" s="250">
        <f>轉向量!K26</f>
        <v>0</v>
      </c>
      <c r="H35" s="249">
        <f>轉向量!N26</f>
        <v>0</v>
      </c>
      <c r="I35" s="248">
        <f>轉向量!O26</f>
        <v>0</v>
      </c>
      <c r="J35" s="248">
        <f>轉向量!Q26</f>
        <v>0</v>
      </c>
      <c r="K35" s="250">
        <f>轉向量!S26</f>
        <v>0</v>
      </c>
      <c r="L35" s="251">
        <f>轉向量!F122</f>
        <v>0</v>
      </c>
      <c r="M35" s="251">
        <f>轉向量!G122</f>
        <v>0</v>
      </c>
      <c r="N35" s="252">
        <f>轉向量!D122</f>
        <v>0</v>
      </c>
      <c r="O35" s="251">
        <f>轉向量!J122</f>
        <v>0</v>
      </c>
      <c r="P35" s="251">
        <f>轉向量!K122</f>
        <v>0</v>
      </c>
      <c r="Q35" s="252">
        <f>轉向量!H122</f>
        <v>0</v>
      </c>
      <c r="R35" s="253">
        <f>轉向量!P122</f>
        <v>0</v>
      </c>
      <c r="S35" s="251">
        <f>轉向量!Q122</f>
        <v>0</v>
      </c>
      <c r="T35" s="251">
        <f>轉向量!S122</f>
        <v>0</v>
      </c>
      <c r="U35" s="252">
        <f>轉向量!M122</f>
        <v>0</v>
      </c>
      <c r="V35" s="254">
        <f>轉向量!G218</f>
        <v>0</v>
      </c>
      <c r="W35" s="254">
        <f>轉向量!D218</f>
        <v>0</v>
      </c>
      <c r="X35" s="255">
        <f>轉向量!E218</f>
        <v>0</v>
      </c>
      <c r="Y35" s="254">
        <f>轉向量!K218</f>
        <v>0</v>
      </c>
      <c r="Z35" s="254">
        <f>轉向量!H218</f>
        <v>0</v>
      </c>
      <c r="AA35" s="255">
        <f>轉向量!I218</f>
        <v>0</v>
      </c>
      <c r="AB35" s="256">
        <f>轉向量!R218</f>
        <v>0</v>
      </c>
      <c r="AC35" s="254">
        <f>轉向量!S218</f>
        <v>0</v>
      </c>
      <c r="AD35" s="254">
        <f>轉向量!M218</f>
        <v>0</v>
      </c>
      <c r="AE35" s="255">
        <f>轉向量!O218</f>
        <v>0</v>
      </c>
      <c r="AF35" s="257">
        <f>轉向量!D314</f>
        <v>0</v>
      </c>
      <c r="AG35" s="257">
        <f>轉向量!E314</f>
        <v>0</v>
      </c>
      <c r="AH35" s="258">
        <f>轉向量!F314</f>
        <v>0</v>
      </c>
      <c r="AI35" s="257">
        <f>轉向量!H314</f>
        <v>0</v>
      </c>
      <c r="AJ35" s="257">
        <f>轉向量!I314</f>
        <v>0</v>
      </c>
      <c r="AK35" s="258">
        <f>轉向量!J314</f>
        <v>0</v>
      </c>
      <c r="AL35" s="259">
        <f>轉向量!L314</f>
        <v>0</v>
      </c>
      <c r="AM35" s="257">
        <f>轉向量!M314</f>
        <v>0</v>
      </c>
      <c r="AN35" s="257">
        <f>轉向量!O314</f>
        <v>0</v>
      </c>
      <c r="AO35" s="260">
        <f>轉向量!Q314</f>
        <v>0</v>
      </c>
      <c r="AP35" s="34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I35" s="66"/>
    </row>
    <row r="36" spans="1:61">
      <c r="A36" s="423">
        <v>615</v>
      </c>
      <c r="B36" s="248">
        <f>轉向量!E27</f>
        <v>0</v>
      </c>
      <c r="C36" s="248">
        <f>轉向量!F27</f>
        <v>0</v>
      </c>
      <c r="D36" s="250">
        <f>轉向量!G27</f>
        <v>0</v>
      </c>
      <c r="E36" s="248">
        <f>轉向量!I27</f>
        <v>0</v>
      </c>
      <c r="F36" s="248">
        <f>轉向量!J27</f>
        <v>0</v>
      </c>
      <c r="G36" s="250">
        <f>轉向量!K27</f>
        <v>0</v>
      </c>
      <c r="H36" s="249">
        <f>轉向量!N27</f>
        <v>0</v>
      </c>
      <c r="I36" s="248">
        <f>轉向量!O27</f>
        <v>0</v>
      </c>
      <c r="J36" s="248">
        <f>轉向量!Q27</f>
        <v>0</v>
      </c>
      <c r="K36" s="250">
        <f>轉向量!S27</f>
        <v>0</v>
      </c>
      <c r="L36" s="251">
        <f>轉向量!F123</f>
        <v>0</v>
      </c>
      <c r="M36" s="251">
        <f>轉向量!G123</f>
        <v>0</v>
      </c>
      <c r="N36" s="252">
        <f>轉向量!D123</f>
        <v>0</v>
      </c>
      <c r="O36" s="251">
        <f>轉向量!J123</f>
        <v>0</v>
      </c>
      <c r="P36" s="251">
        <f>轉向量!K123</f>
        <v>0</v>
      </c>
      <c r="Q36" s="252">
        <f>轉向量!H123</f>
        <v>0</v>
      </c>
      <c r="R36" s="253">
        <f>轉向量!P123</f>
        <v>0</v>
      </c>
      <c r="S36" s="251">
        <f>轉向量!Q123</f>
        <v>0</v>
      </c>
      <c r="T36" s="251">
        <f>轉向量!S123</f>
        <v>0</v>
      </c>
      <c r="U36" s="252">
        <f>轉向量!M123</f>
        <v>0</v>
      </c>
      <c r="V36" s="254">
        <f>轉向量!G219</f>
        <v>0</v>
      </c>
      <c r="W36" s="254">
        <f>轉向量!D219</f>
        <v>0</v>
      </c>
      <c r="X36" s="255">
        <f>轉向量!E219</f>
        <v>0</v>
      </c>
      <c r="Y36" s="254">
        <f>轉向量!K219</f>
        <v>0</v>
      </c>
      <c r="Z36" s="254">
        <f>轉向量!H219</f>
        <v>0</v>
      </c>
      <c r="AA36" s="255">
        <f>轉向量!I219</f>
        <v>0</v>
      </c>
      <c r="AB36" s="256">
        <f>轉向量!R219</f>
        <v>0</v>
      </c>
      <c r="AC36" s="254">
        <f>轉向量!S219</f>
        <v>0</v>
      </c>
      <c r="AD36" s="254">
        <f>轉向量!M219</f>
        <v>0</v>
      </c>
      <c r="AE36" s="255">
        <f>轉向量!O219</f>
        <v>0</v>
      </c>
      <c r="AF36" s="257">
        <f>轉向量!D315</f>
        <v>0</v>
      </c>
      <c r="AG36" s="257">
        <f>轉向量!E315</f>
        <v>0</v>
      </c>
      <c r="AH36" s="258">
        <f>轉向量!F315</f>
        <v>0</v>
      </c>
      <c r="AI36" s="257">
        <f>轉向量!H315</f>
        <v>0</v>
      </c>
      <c r="AJ36" s="257">
        <f>轉向量!I315</f>
        <v>0</v>
      </c>
      <c r="AK36" s="258">
        <f>轉向量!J315</f>
        <v>0</v>
      </c>
      <c r="AL36" s="259">
        <f>轉向量!L315</f>
        <v>0</v>
      </c>
      <c r="AM36" s="257">
        <f>轉向量!M315</f>
        <v>0</v>
      </c>
      <c r="AN36" s="257">
        <f>轉向量!O315</f>
        <v>0</v>
      </c>
      <c r="AO36" s="260">
        <f>轉向量!Q315</f>
        <v>0</v>
      </c>
      <c r="AP36" s="34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I36" s="66"/>
    </row>
    <row r="37" spans="1:61">
      <c r="A37" s="423">
        <v>630</v>
      </c>
      <c r="B37" s="248">
        <f>轉向量!E28</f>
        <v>0</v>
      </c>
      <c r="C37" s="248">
        <f>轉向量!F28</f>
        <v>0</v>
      </c>
      <c r="D37" s="250">
        <f>轉向量!G28</f>
        <v>0</v>
      </c>
      <c r="E37" s="248">
        <f>轉向量!I28</f>
        <v>0</v>
      </c>
      <c r="F37" s="248">
        <f>轉向量!J28</f>
        <v>0</v>
      </c>
      <c r="G37" s="250">
        <f>轉向量!K28</f>
        <v>0</v>
      </c>
      <c r="H37" s="249">
        <f>轉向量!N28</f>
        <v>0</v>
      </c>
      <c r="I37" s="248">
        <f>轉向量!O28</f>
        <v>0</v>
      </c>
      <c r="J37" s="248">
        <f>轉向量!Q28</f>
        <v>0</v>
      </c>
      <c r="K37" s="250">
        <f>轉向量!S28</f>
        <v>0</v>
      </c>
      <c r="L37" s="251">
        <f>轉向量!F124</f>
        <v>0</v>
      </c>
      <c r="M37" s="251">
        <f>轉向量!G124</f>
        <v>0</v>
      </c>
      <c r="N37" s="252">
        <f>轉向量!D124</f>
        <v>0</v>
      </c>
      <c r="O37" s="251">
        <f>轉向量!J124</f>
        <v>0</v>
      </c>
      <c r="P37" s="251">
        <f>轉向量!K124</f>
        <v>0</v>
      </c>
      <c r="Q37" s="252">
        <f>轉向量!H124</f>
        <v>0</v>
      </c>
      <c r="R37" s="253">
        <f>轉向量!P124</f>
        <v>0</v>
      </c>
      <c r="S37" s="251">
        <f>轉向量!Q124</f>
        <v>0</v>
      </c>
      <c r="T37" s="251">
        <f>轉向量!S124</f>
        <v>0</v>
      </c>
      <c r="U37" s="252">
        <f>轉向量!M124</f>
        <v>0</v>
      </c>
      <c r="V37" s="254">
        <f>轉向量!G220</f>
        <v>0</v>
      </c>
      <c r="W37" s="254">
        <f>轉向量!D220</f>
        <v>0</v>
      </c>
      <c r="X37" s="255">
        <f>轉向量!E220</f>
        <v>0</v>
      </c>
      <c r="Y37" s="254">
        <f>轉向量!K220</f>
        <v>0</v>
      </c>
      <c r="Z37" s="254">
        <f>轉向量!H220</f>
        <v>0</v>
      </c>
      <c r="AA37" s="255">
        <f>轉向量!I220</f>
        <v>0</v>
      </c>
      <c r="AB37" s="256">
        <f>轉向量!R220</f>
        <v>0</v>
      </c>
      <c r="AC37" s="254">
        <f>轉向量!S220</f>
        <v>0</v>
      </c>
      <c r="AD37" s="254">
        <f>轉向量!M220</f>
        <v>0</v>
      </c>
      <c r="AE37" s="255">
        <f>轉向量!O220</f>
        <v>0</v>
      </c>
      <c r="AF37" s="257">
        <f>轉向量!D316</f>
        <v>0</v>
      </c>
      <c r="AG37" s="257">
        <f>轉向量!E316</f>
        <v>0</v>
      </c>
      <c r="AH37" s="258">
        <f>轉向量!F316</f>
        <v>0</v>
      </c>
      <c r="AI37" s="257">
        <f>轉向量!H316</f>
        <v>0</v>
      </c>
      <c r="AJ37" s="257">
        <f>轉向量!I316</f>
        <v>0</v>
      </c>
      <c r="AK37" s="258">
        <f>轉向量!J316</f>
        <v>0</v>
      </c>
      <c r="AL37" s="259">
        <f>轉向量!L316</f>
        <v>0</v>
      </c>
      <c r="AM37" s="257">
        <f>轉向量!M316</f>
        <v>0</v>
      </c>
      <c r="AN37" s="257">
        <f>轉向量!O316</f>
        <v>0</v>
      </c>
      <c r="AO37" s="260">
        <f>轉向量!Q316</f>
        <v>0</v>
      </c>
      <c r="AP37" s="34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I37" s="66"/>
    </row>
    <row r="38" spans="1:61">
      <c r="A38" s="423">
        <v>645</v>
      </c>
      <c r="B38" s="248">
        <f>轉向量!E29</f>
        <v>0</v>
      </c>
      <c r="C38" s="248">
        <f>轉向量!F29</f>
        <v>0</v>
      </c>
      <c r="D38" s="250">
        <f>轉向量!G29</f>
        <v>0</v>
      </c>
      <c r="E38" s="248">
        <f>轉向量!I29</f>
        <v>0</v>
      </c>
      <c r="F38" s="248">
        <f>轉向量!J29</f>
        <v>0</v>
      </c>
      <c r="G38" s="250">
        <f>轉向量!K29</f>
        <v>0</v>
      </c>
      <c r="H38" s="249">
        <f>轉向量!N29</f>
        <v>0</v>
      </c>
      <c r="I38" s="248">
        <f>轉向量!O29</f>
        <v>0</v>
      </c>
      <c r="J38" s="248">
        <f>轉向量!Q29</f>
        <v>0</v>
      </c>
      <c r="K38" s="250">
        <f>轉向量!S29</f>
        <v>0</v>
      </c>
      <c r="L38" s="251">
        <f>轉向量!F125</f>
        <v>0</v>
      </c>
      <c r="M38" s="251">
        <f>轉向量!G125</f>
        <v>0</v>
      </c>
      <c r="N38" s="252">
        <f>轉向量!D125</f>
        <v>0</v>
      </c>
      <c r="O38" s="251">
        <f>轉向量!J125</f>
        <v>0</v>
      </c>
      <c r="P38" s="251">
        <f>轉向量!K125</f>
        <v>0</v>
      </c>
      <c r="Q38" s="252">
        <f>轉向量!H125</f>
        <v>0</v>
      </c>
      <c r="R38" s="253">
        <f>轉向量!P125</f>
        <v>0</v>
      </c>
      <c r="S38" s="251">
        <f>轉向量!Q125</f>
        <v>0</v>
      </c>
      <c r="T38" s="251">
        <f>轉向量!S125</f>
        <v>0</v>
      </c>
      <c r="U38" s="252">
        <f>轉向量!M125</f>
        <v>0</v>
      </c>
      <c r="V38" s="254">
        <f>轉向量!G221</f>
        <v>0</v>
      </c>
      <c r="W38" s="254">
        <f>轉向量!D221</f>
        <v>0</v>
      </c>
      <c r="X38" s="255">
        <f>轉向量!E221</f>
        <v>0</v>
      </c>
      <c r="Y38" s="254">
        <f>轉向量!K221</f>
        <v>0</v>
      </c>
      <c r="Z38" s="254">
        <f>轉向量!H221</f>
        <v>0</v>
      </c>
      <c r="AA38" s="255">
        <f>轉向量!I221</f>
        <v>0</v>
      </c>
      <c r="AB38" s="256">
        <f>轉向量!R221</f>
        <v>0</v>
      </c>
      <c r="AC38" s="254">
        <f>轉向量!S221</f>
        <v>0</v>
      </c>
      <c r="AD38" s="254">
        <f>轉向量!M221</f>
        <v>0</v>
      </c>
      <c r="AE38" s="255">
        <f>轉向量!O221</f>
        <v>0</v>
      </c>
      <c r="AF38" s="257">
        <f>轉向量!D317</f>
        <v>0</v>
      </c>
      <c r="AG38" s="257">
        <f>轉向量!E317</f>
        <v>0</v>
      </c>
      <c r="AH38" s="258">
        <f>轉向量!F317</f>
        <v>0</v>
      </c>
      <c r="AI38" s="257">
        <f>轉向量!H317</f>
        <v>0</v>
      </c>
      <c r="AJ38" s="257">
        <f>轉向量!I317</f>
        <v>0</v>
      </c>
      <c r="AK38" s="258">
        <f>轉向量!J317</f>
        <v>0</v>
      </c>
      <c r="AL38" s="259">
        <f>轉向量!L317</f>
        <v>0</v>
      </c>
      <c r="AM38" s="257">
        <f>轉向量!M317</f>
        <v>0</v>
      </c>
      <c r="AN38" s="257">
        <f>轉向量!O317</f>
        <v>0</v>
      </c>
      <c r="AO38" s="260">
        <f>轉向量!Q317</f>
        <v>0</v>
      </c>
      <c r="AP38" s="34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I38" s="66"/>
    </row>
    <row r="39" spans="1:61">
      <c r="A39" s="423">
        <v>700</v>
      </c>
      <c r="B39" s="248">
        <f>轉向量!E30</f>
        <v>0</v>
      </c>
      <c r="C39" s="248">
        <f>轉向量!F30</f>
        <v>0</v>
      </c>
      <c r="D39" s="250">
        <f>轉向量!G30</f>
        <v>0</v>
      </c>
      <c r="E39" s="248">
        <f>轉向量!I30</f>
        <v>0</v>
      </c>
      <c r="F39" s="248">
        <f>轉向量!J30</f>
        <v>0</v>
      </c>
      <c r="G39" s="250">
        <f>轉向量!K30</f>
        <v>0</v>
      </c>
      <c r="H39" s="249">
        <f>轉向量!N30</f>
        <v>0</v>
      </c>
      <c r="I39" s="248">
        <f>轉向量!O30</f>
        <v>0</v>
      </c>
      <c r="J39" s="248">
        <f>轉向量!Q30</f>
        <v>0</v>
      </c>
      <c r="K39" s="250">
        <f>轉向量!S30</f>
        <v>0</v>
      </c>
      <c r="L39" s="251">
        <f>轉向量!F126</f>
        <v>0</v>
      </c>
      <c r="M39" s="251">
        <f>轉向量!G126</f>
        <v>0</v>
      </c>
      <c r="N39" s="252">
        <f>轉向量!D126</f>
        <v>0</v>
      </c>
      <c r="O39" s="251">
        <f>轉向量!J126</f>
        <v>0</v>
      </c>
      <c r="P39" s="251">
        <f>轉向量!K126</f>
        <v>0</v>
      </c>
      <c r="Q39" s="252">
        <f>轉向量!H126</f>
        <v>0</v>
      </c>
      <c r="R39" s="253">
        <f>轉向量!P126</f>
        <v>0</v>
      </c>
      <c r="S39" s="251">
        <f>轉向量!Q126</f>
        <v>0</v>
      </c>
      <c r="T39" s="251">
        <f>轉向量!S126</f>
        <v>0</v>
      </c>
      <c r="U39" s="252">
        <f>轉向量!M126</f>
        <v>0</v>
      </c>
      <c r="V39" s="254">
        <f>轉向量!G222</f>
        <v>0</v>
      </c>
      <c r="W39" s="254">
        <f>轉向量!D222</f>
        <v>0</v>
      </c>
      <c r="X39" s="255">
        <f>轉向量!E222</f>
        <v>0</v>
      </c>
      <c r="Y39" s="254">
        <f>轉向量!K222</f>
        <v>0</v>
      </c>
      <c r="Z39" s="254">
        <f>轉向量!H222</f>
        <v>0</v>
      </c>
      <c r="AA39" s="255">
        <f>轉向量!I222</f>
        <v>0</v>
      </c>
      <c r="AB39" s="256">
        <f>轉向量!R222</f>
        <v>0</v>
      </c>
      <c r="AC39" s="254">
        <f>轉向量!S222</f>
        <v>0</v>
      </c>
      <c r="AD39" s="254">
        <f>轉向量!M222</f>
        <v>0</v>
      </c>
      <c r="AE39" s="255">
        <f>轉向量!O222</f>
        <v>0</v>
      </c>
      <c r="AF39" s="257">
        <f>轉向量!D318</f>
        <v>0</v>
      </c>
      <c r="AG39" s="257">
        <f>轉向量!E318</f>
        <v>0</v>
      </c>
      <c r="AH39" s="258">
        <f>轉向量!F318</f>
        <v>0</v>
      </c>
      <c r="AI39" s="257">
        <f>轉向量!H318</f>
        <v>0</v>
      </c>
      <c r="AJ39" s="257">
        <f>轉向量!I318</f>
        <v>0</v>
      </c>
      <c r="AK39" s="258">
        <f>轉向量!J318</f>
        <v>0</v>
      </c>
      <c r="AL39" s="259">
        <f>轉向量!L318</f>
        <v>0</v>
      </c>
      <c r="AM39" s="257">
        <f>轉向量!M318</f>
        <v>0</v>
      </c>
      <c r="AN39" s="257">
        <f>轉向量!O318</f>
        <v>0</v>
      </c>
      <c r="AO39" s="260">
        <f>轉向量!Q318</f>
        <v>0</v>
      </c>
      <c r="AP39" s="34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I39" s="66"/>
    </row>
    <row r="40" spans="1:61">
      <c r="A40" s="423">
        <v>715</v>
      </c>
      <c r="B40" s="248">
        <f>轉向量!E31</f>
        <v>0</v>
      </c>
      <c r="C40" s="248">
        <f>轉向量!F31</f>
        <v>0</v>
      </c>
      <c r="D40" s="250">
        <f>轉向量!G31</f>
        <v>0</v>
      </c>
      <c r="E40" s="248">
        <f>轉向量!I31</f>
        <v>0</v>
      </c>
      <c r="F40" s="248">
        <f>轉向量!J31</f>
        <v>0</v>
      </c>
      <c r="G40" s="250">
        <f>轉向量!K31</f>
        <v>0</v>
      </c>
      <c r="H40" s="249">
        <f>轉向量!N31</f>
        <v>0</v>
      </c>
      <c r="I40" s="248">
        <f>轉向量!O31</f>
        <v>0</v>
      </c>
      <c r="J40" s="248">
        <f>轉向量!Q31</f>
        <v>0</v>
      </c>
      <c r="K40" s="250">
        <f>轉向量!S31</f>
        <v>0</v>
      </c>
      <c r="L40" s="251">
        <f>轉向量!F127</f>
        <v>0</v>
      </c>
      <c r="M40" s="251">
        <f>轉向量!G127</f>
        <v>0</v>
      </c>
      <c r="N40" s="252">
        <f>轉向量!D127</f>
        <v>0</v>
      </c>
      <c r="O40" s="251">
        <f>轉向量!J127</f>
        <v>0</v>
      </c>
      <c r="P40" s="251">
        <f>轉向量!K127</f>
        <v>0</v>
      </c>
      <c r="Q40" s="252">
        <f>轉向量!H127</f>
        <v>0</v>
      </c>
      <c r="R40" s="253">
        <f>轉向量!P127</f>
        <v>0</v>
      </c>
      <c r="S40" s="251">
        <f>轉向量!Q127</f>
        <v>0</v>
      </c>
      <c r="T40" s="251">
        <f>轉向量!S127</f>
        <v>0</v>
      </c>
      <c r="U40" s="252">
        <f>轉向量!M127</f>
        <v>0</v>
      </c>
      <c r="V40" s="254">
        <f>轉向量!G223</f>
        <v>0</v>
      </c>
      <c r="W40" s="254">
        <f>轉向量!D223</f>
        <v>0</v>
      </c>
      <c r="X40" s="255">
        <f>轉向量!E223</f>
        <v>0</v>
      </c>
      <c r="Y40" s="254">
        <f>轉向量!K223</f>
        <v>0</v>
      </c>
      <c r="Z40" s="254">
        <f>轉向量!H223</f>
        <v>0</v>
      </c>
      <c r="AA40" s="255">
        <f>轉向量!I223</f>
        <v>0</v>
      </c>
      <c r="AB40" s="256">
        <f>轉向量!R223</f>
        <v>0</v>
      </c>
      <c r="AC40" s="254">
        <f>轉向量!S223</f>
        <v>0</v>
      </c>
      <c r="AD40" s="254">
        <f>轉向量!M223</f>
        <v>0</v>
      </c>
      <c r="AE40" s="255">
        <f>轉向量!O223</f>
        <v>0</v>
      </c>
      <c r="AF40" s="257">
        <f>轉向量!D319</f>
        <v>0</v>
      </c>
      <c r="AG40" s="257">
        <f>轉向量!E319</f>
        <v>0</v>
      </c>
      <c r="AH40" s="258">
        <f>轉向量!F319</f>
        <v>0</v>
      </c>
      <c r="AI40" s="257">
        <f>轉向量!H319</f>
        <v>0</v>
      </c>
      <c r="AJ40" s="257">
        <f>轉向量!I319</f>
        <v>0</v>
      </c>
      <c r="AK40" s="258">
        <f>轉向量!J319</f>
        <v>0</v>
      </c>
      <c r="AL40" s="259">
        <f>轉向量!L319</f>
        <v>0</v>
      </c>
      <c r="AM40" s="257">
        <f>轉向量!M319</f>
        <v>0</v>
      </c>
      <c r="AN40" s="257">
        <f>轉向量!O319</f>
        <v>0</v>
      </c>
      <c r="AO40" s="260">
        <f>轉向量!Q319</f>
        <v>0</v>
      </c>
      <c r="AP40" s="34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I40" s="66"/>
    </row>
    <row r="41" spans="1:61">
      <c r="A41" s="423">
        <v>730</v>
      </c>
      <c r="B41" s="248">
        <f>轉向量!E32</f>
        <v>0</v>
      </c>
      <c r="C41" s="248">
        <f>轉向量!F32</f>
        <v>0</v>
      </c>
      <c r="D41" s="250">
        <f>轉向量!G32</f>
        <v>0</v>
      </c>
      <c r="E41" s="248">
        <f>轉向量!I32</f>
        <v>0</v>
      </c>
      <c r="F41" s="248">
        <f>轉向量!J32</f>
        <v>0</v>
      </c>
      <c r="G41" s="250">
        <f>轉向量!K32</f>
        <v>0</v>
      </c>
      <c r="H41" s="249">
        <f>轉向量!N32</f>
        <v>0</v>
      </c>
      <c r="I41" s="248">
        <f>轉向量!O32</f>
        <v>0</v>
      </c>
      <c r="J41" s="248">
        <f>轉向量!Q32</f>
        <v>0</v>
      </c>
      <c r="K41" s="250">
        <f>轉向量!S32</f>
        <v>0</v>
      </c>
      <c r="L41" s="251">
        <f>轉向量!F128</f>
        <v>0</v>
      </c>
      <c r="M41" s="251">
        <f>轉向量!G128</f>
        <v>0</v>
      </c>
      <c r="N41" s="252">
        <f>轉向量!D128</f>
        <v>0</v>
      </c>
      <c r="O41" s="251">
        <f>轉向量!J128</f>
        <v>0</v>
      </c>
      <c r="P41" s="251">
        <f>轉向量!K128</f>
        <v>0</v>
      </c>
      <c r="Q41" s="252">
        <f>轉向量!H128</f>
        <v>0</v>
      </c>
      <c r="R41" s="253">
        <f>轉向量!P128</f>
        <v>0</v>
      </c>
      <c r="S41" s="251">
        <f>轉向量!Q128</f>
        <v>0</v>
      </c>
      <c r="T41" s="251">
        <f>轉向量!S128</f>
        <v>0</v>
      </c>
      <c r="U41" s="252">
        <f>轉向量!M128</f>
        <v>0</v>
      </c>
      <c r="V41" s="254">
        <f>轉向量!G224</f>
        <v>0</v>
      </c>
      <c r="W41" s="254">
        <f>轉向量!D224</f>
        <v>0</v>
      </c>
      <c r="X41" s="255">
        <f>轉向量!E224</f>
        <v>0</v>
      </c>
      <c r="Y41" s="254">
        <f>轉向量!K224</f>
        <v>0</v>
      </c>
      <c r="Z41" s="254">
        <f>轉向量!H224</f>
        <v>0</v>
      </c>
      <c r="AA41" s="255">
        <f>轉向量!I224</f>
        <v>0</v>
      </c>
      <c r="AB41" s="256">
        <f>轉向量!R224</f>
        <v>0</v>
      </c>
      <c r="AC41" s="254">
        <f>轉向量!S224</f>
        <v>0</v>
      </c>
      <c r="AD41" s="254">
        <f>轉向量!M224</f>
        <v>0</v>
      </c>
      <c r="AE41" s="255">
        <f>轉向量!O224</f>
        <v>0</v>
      </c>
      <c r="AF41" s="257">
        <f>轉向量!D320</f>
        <v>0</v>
      </c>
      <c r="AG41" s="257">
        <f>轉向量!E320</f>
        <v>0</v>
      </c>
      <c r="AH41" s="258">
        <f>轉向量!F320</f>
        <v>0</v>
      </c>
      <c r="AI41" s="257">
        <f>轉向量!H320</f>
        <v>0</v>
      </c>
      <c r="AJ41" s="257">
        <f>轉向量!I320</f>
        <v>0</v>
      </c>
      <c r="AK41" s="258">
        <f>轉向量!J320</f>
        <v>0</v>
      </c>
      <c r="AL41" s="259">
        <f>轉向量!L320</f>
        <v>0</v>
      </c>
      <c r="AM41" s="257">
        <f>轉向量!M320</f>
        <v>0</v>
      </c>
      <c r="AN41" s="257">
        <f>轉向量!O320</f>
        <v>0</v>
      </c>
      <c r="AO41" s="260">
        <f>轉向量!Q320</f>
        <v>0</v>
      </c>
      <c r="AP41" s="34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I41" s="66"/>
    </row>
    <row r="42" spans="1:61">
      <c r="A42" s="423">
        <v>745</v>
      </c>
      <c r="B42" s="248">
        <f>轉向量!E33</f>
        <v>0</v>
      </c>
      <c r="C42" s="248">
        <f>轉向量!F33</f>
        <v>0</v>
      </c>
      <c r="D42" s="250">
        <f>轉向量!G33</f>
        <v>0</v>
      </c>
      <c r="E42" s="248">
        <f>轉向量!I33</f>
        <v>0</v>
      </c>
      <c r="F42" s="248">
        <f>轉向量!J33</f>
        <v>0</v>
      </c>
      <c r="G42" s="250">
        <f>轉向量!K33</f>
        <v>0</v>
      </c>
      <c r="H42" s="249">
        <f>轉向量!N33</f>
        <v>0</v>
      </c>
      <c r="I42" s="248">
        <f>轉向量!O33</f>
        <v>0</v>
      </c>
      <c r="J42" s="248">
        <f>轉向量!Q33</f>
        <v>0</v>
      </c>
      <c r="K42" s="250">
        <f>轉向量!S33</f>
        <v>0</v>
      </c>
      <c r="L42" s="251">
        <f>轉向量!F129</f>
        <v>0</v>
      </c>
      <c r="M42" s="251">
        <f>轉向量!G129</f>
        <v>0</v>
      </c>
      <c r="N42" s="252">
        <f>轉向量!D129</f>
        <v>0</v>
      </c>
      <c r="O42" s="251">
        <f>轉向量!J129</f>
        <v>0</v>
      </c>
      <c r="P42" s="251">
        <f>轉向量!K129</f>
        <v>0</v>
      </c>
      <c r="Q42" s="252">
        <f>轉向量!H129</f>
        <v>0</v>
      </c>
      <c r="R42" s="253">
        <f>轉向量!P129</f>
        <v>0</v>
      </c>
      <c r="S42" s="251">
        <f>轉向量!Q129</f>
        <v>0</v>
      </c>
      <c r="T42" s="251">
        <f>轉向量!S129</f>
        <v>0</v>
      </c>
      <c r="U42" s="252">
        <f>轉向量!M129</f>
        <v>0</v>
      </c>
      <c r="V42" s="254">
        <f>轉向量!G225</f>
        <v>0</v>
      </c>
      <c r="W42" s="254">
        <f>轉向量!D225</f>
        <v>0</v>
      </c>
      <c r="X42" s="255">
        <f>轉向量!E225</f>
        <v>0</v>
      </c>
      <c r="Y42" s="254">
        <f>轉向量!K225</f>
        <v>0</v>
      </c>
      <c r="Z42" s="254">
        <f>轉向量!H225</f>
        <v>0</v>
      </c>
      <c r="AA42" s="255">
        <f>轉向量!I225</f>
        <v>0</v>
      </c>
      <c r="AB42" s="256">
        <f>轉向量!R225</f>
        <v>0</v>
      </c>
      <c r="AC42" s="254">
        <f>轉向量!S225</f>
        <v>0</v>
      </c>
      <c r="AD42" s="254">
        <f>轉向量!M225</f>
        <v>0</v>
      </c>
      <c r="AE42" s="255">
        <f>轉向量!O225</f>
        <v>0</v>
      </c>
      <c r="AF42" s="257">
        <f>轉向量!D321</f>
        <v>0</v>
      </c>
      <c r="AG42" s="257">
        <f>轉向量!E321</f>
        <v>0</v>
      </c>
      <c r="AH42" s="258">
        <f>轉向量!F321</f>
        <v>0</v>
      </c>
      <c r="AI42" s="257">
        <f>轉向量!H321</f>
        <v>0</v>
      </c>
      <c r="AJ42" s="257">
        <f>轉向量!I321</f>
        <v>0</v>
      </c>
      <c r="AK42" s="258">
        <f>轉向量!J321</f>
        <v>0</v>
      </c>
      <c r="AL42" s="259">
        <f>轉向量!L321</f>
        <v>0</v>
      </c>
      <c r="AM42" s="257">
        <f>轉向量!M321</f>
        <v>0</v>
      </c>
      <c r="AN42" s="257">
        <f>轉向量!O321</f>
        <v>0</v>
      </c>
      <c r="AO42" s="260">
        <f>轉向量!Q321</f>
        <v>0</v>
      </c>
      <c r="AP42" s="34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I42" s="66"/>
    </row>
    <row r="43" spans="1:61">
      <c r="A43" s="423">
        <v>800</v>
      </c>
      <c r="B43" s="248">
        <f>轉向量!E34</f>
        <v>0</v>
      </c>
      <c r="C43" s="248">
        <f>轉向量!F34</f>
        <v>0</v>
      </c>
      <c r="D43" s="250">
        <f>轉向量!G34</f>
        <v>0</v>
      </c>
      <c r="E43" s="248">
        <f>轉向量!I34</f>
        <v>0</v>
      </c>
      <c r="F43" s="248">
        <f>轉向量!J34</f>
        <v>0</v>
      </c>
      <c r="G43" s="250">
        <f>轉向量!K34</f>
        <v>0</v>
      </c>
      <c r="H43" s="249">
        <f>轉向量!N34</f>
        <v>0</v>
      </c>
      <c r="I43" s="248">
        <f>轉向量!O34</f>
        <v>0</v>
      </c>
      <c r="J43" s="248">
        <f>轉向量!Q34</f>
        <v>0</v>
      </c>
      <c r="K43" s="250">
        <f>轉向量!S34</f>
        <v>0</v>
      </c>
      <c r="L43" s="251">
        <f>轉向量!F130</f>
        <v>0</v>
      </c>
      <c r="M43" s="251">
        <f>轉向量!G130</f>
        <v>0</v>
      </c>
      <c r="N43" s="252">
        <f>轉向量!D130</f>
        <v>0</v>
      </c>
      <c r="O43" s="251">
        <f>轉向量!J130</f>
        <v>0</v>
      </c>
      <c r="P43" s="251">
        <f>轉向量!K130</f>
        <v>0</v>
      </c>
      <c r="Q43" s="252">
        <f>轉向量!H130</f>
        <v>0</v>
      </c>
      <c r="R43" s="253">
        <f>轉向量!P130</f>
        <v>0</v>
      </c>
      <c r="S43" s="251">
        <f>轉向量!Q130</f>
        <v>0</v>
      </c>
      <c r="T43" s="251">
        <f>轉向量!S130</f>
        <v>0</v>
      </c>
      <c r="U43" s="252">
        <f>轉向量!M130</f>
        <v>0</v>
      </c>
      <c r="V43" s="254">
        <f>轉向量!G226</f>
        <v>0</v>
      </c>
      <c r="W43" s="254">
        <f>轉向量!D226</f>
        <v>0</v>
      </c>
      <c r="X43" s="255">
        <f>轉向量!E226</f>
        <v>0</v>
      </c>
      <c r="Y43" s="254">
        <f>轉向量!K226</f>
        <v>0</v>
      </c>
      <c r="Z43" s="254">
        <f>轉向量!H226</f>
        <v>0</v>
      </c>
      <c r="AA43" s="255">
        <f>轉向量!I226</f>
        <v>0</v>
      </c>
      <c r="AB43" s="256">
        <f>轉向量!R226</f>
        <v>0</v>
      </c>
      <c r="AC43" s="254">
        <f>轉向量!S226</f>
        <v>0</v>
      </c>
      <c r="AD43" s="254">
        <f>轉向量!M226</f>
        <v>0</v>
      </c>
      <c r="AE43" s="255">
        <f>轉向量!O226</f>
        <v>0</v>
      </c>
      <c r="AF43" s="257">
        <f>轉向量!D322</f>
        <v>0</v>
      </c>
      <c r="AG43" s="257">
        <f>轉向量!E322</f>
        <v>0</v>
      </c>
      <c r="AH43" s="258">
        <f>轉向量!F322</f>
        <v>0</v>
      </c>
      <c r="AI43" s="257">
        <f>轉向量!H322</f>
        <v>0</v>
      </c>
      <c r="AJ43" s="257">
        <f>轉向量!I322</f>
        <v>0</v>
      </c>
      <c r="AK43" s="258">
        <f>轉向量!J322</f>
        <v>0</v>
      </c>
      <c r="AL43" s="259">
        <f>轉向量!L322</f>
        <v>0</v>
      </c>
      <c r="AM43" s="257">
        <f>轉向量!M322</f>
        <v>0</v>
      </c>
      <c r="AN43" s="257">
        <f>轉向量!O322</f>
        <v>0</v>
      </c>
      <c r="AO43" s="260">
        <f>轉向量!Q322</f>
        <v>0</v>
      </c>
      <c r="AP43" s="34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I43" s="66"/>
    </row>
    <row r="44" spans="1:61">
      <c r="A44" s="423">
        <v>815</v>
      </c>
      <c r="B44" s="248">
        <f>轉向量!E35</f>
        <v>0</v>
      </c>
      <c r="C44" s="248">
        <f>轉向量!F35</f>
        <v>0</v>
      </c>
      <c r="D44" s="250">
        <f>轉向量!G35</f>
        <v>0</v>
      </c>
      <c r="E44" s="248">
        <f>轉向量!I35</f>
        <v>0</v>
      </c>
      <c r="F44" s="248">
        <f>轉向量!J35</f>
        <v>0</v>
      </c>
      <c r="G44" s="250">
        <f>轉向量!K35</f>
        <v>0</v>
      </c>
      <c r="H44" s="249">
        <f>轉向量!N35</f>
        <v>0</v>
      </c>
      <c r="I44" s="248">
        <f>轉向量!O35</f>
        <v>0</v>
      </c>
      <c r="J44" s="248">
        <f>轉向量!Q35</f>
        <v>0</v>
      </c>
      <c r="K44" s="250">
        <f>轉向量!S35</f>
        <v>0</v>
      </c>
      <c r="L44" s="251">
        <f>轉向量!F131</f>
        <v>0</v>
      </c>
      <c r="M44" s="251">
        <f>轉向量!G131</f>
        <v>0</v>
      </c>
      <c r="N44" s="252">
        <f>轉向量!D131</f>
        <v>0</v>
      </c>
      <c r="O44" s="251">
        <f>轉向量!J131</f>
        <v>0</v>
      </c>
      <c r="P44" s="251">
        <f>轉向量!K131</f>
        <v>0</v>
      </c>
      <c r="Q44" s="252">
        <f>轉向量!H131</f>
        <v>0</v>
      </c>
      <c r="R44" s="253">
        <f>轉向量!P131</f>
        <v>0</v>
      </c>
      <c r="S44" s="251">
        <f>轉向量!Q131</f>
        <v>0</v>
      </c>
      <c r="T44" s="251">
        <f>轉向量!S131</f>
        <v>0</v>
      </c>
      <c r="U44" s="252">
        <f>轉向量!M131</f>
        <v>0</v>
      </c>
      <c r="V44" s="254">
        <f>轉向量!G227</f>
        <v>0</v>
      </c>
      <c r="W44" s="254">
        <f>轉向量!D227</f>
        <v>0</v>
      </c>
      <c r="X44" s="255">
        <f>轉向量!E227</f>
        <v>0</v>
      </c>
      <c r="Y44" s="254">
        <f>轉向量!K227</f>
        <v>0</v>
      </c>
      <c r="Z44" s="254">
        <f>轉向量!H227</f>
        <v>0</v>
      </c>
      <c r="AA44" s="255">
        <f>轉向量!I227</f>
        <v>0</v>
      </c>
      <c r="AB44" s="256">
        <f>轉向量!R227</f>
        <v>0</v>
      </c>
      <c r="AC44" s="254">
        <f>轉向量!S227</f>
        <v>0</v>
      </c>
      <c r="AD44" s="254">
        <f>轉向量!M227</f>
        <v>0</v>
      </c>
      <c r="AE44" s="255">
        <f>轉向量!O227</f>
        <v>0</v>
      </c>
      <c r="AF44" s="257">
        <f>轉向量!D323</f>
        <v>0</v>
      </c>
      <c r="AG44" s="257">
        <f>轉向量!E323</f>
        <v>0</v>
      </c>
      <c r="AH44" s="258">
        <f>轉向量!F323</f>
        <v>0</v>
      </c>
      <c r="AI44" s="257">
        <f>轉向量!H323</f>
        <v>0</v>
      </c>
      <c r="AJ44" s="257">
        <f>轉向量!I323</f>
        <v>0</v>
      </c>
      <c r="AK44" s="258">
        <f>轉向量!J323</f>
        <v>0</v>
      </c>
      <c r="AL44" s="259">
        <f>轉向量!L323</f>
        <v>0</v>
      </c>
      <c r="AM44" s="257">
        <f>轉向量!M323</f>
        <v>0</v>
      </c>
      <c r="AN44" s="257">
        <f>轉向量!O323</f>
        <v>0</v>
      </c>
      <c r="AO44" s="260">
        <f>轉向量!Q323</f>
        <v>0</v>
      </c>
      <c r="AP44" s="34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I44" s="66"/>
    </row>
    <row r="45" spans="1:61">
      <c r="A45" s="423">
        <v>830</v>
      </c>
      <c r="B45" s="248">
        <f>轉向量!E36</f>
        <v>0</v>
      </c>
      <c r="C45" s="248">
        <f>轉向量!F36</f>
        <v>0</v>
      </c>
      <c r="D45" s="250">
        <f>轉向量!G36</f>
        <v>0</v>
      </c>
      <c r="E45" s="248">
        <f>轉向量!I36</f>
        <v>0</v>
      </c>
      <c r="F45" s="248">
        <f>轉向量!J36</f>
        <v>0</v>
      </c>
      <c r="G45" s="250">
        <f>轉向量!K36</f>
        <v>0</v>
      </c>
      <c r="H45" s="249">
        <f>轉向量!N36</f>
        <v>0</v>
      </c>
      <c r="I45" s="248">
        <f>轉向量!O36</f>
        <v>0</v>
      </c>
      <c r="J45" s="248">
        <f>轉向量!Q36</f>
        <v>0</v>
      </c>
      <c r="K45" s="250">
        <f>轉向量!S36</f>
        <v>0</v>
      </c>
      <c r="L45" s="251">
        <f>轉向量!F132</f>
        <v>0</v>
      </c>
      <c r="M45" s="251">
        <f>轉向量!G132</f>
        <v>0</v>
      </c>
      <c r="N45" s="252">
        <f>轉向量!D132</f>
        <v>0</v>
      </c>
      <c r="O45" s="251">
        <f>轉向量!J132</f>
        <v>0</v>
      </c>
      <c r="P45" s="251">
        <f>轉向量!K132</f>
        <v>0</v>
      </c>
      <c r="Q45" s="252">
        <f>轉向量!H132</f>
        <v>0</v>
      </c>
      <c r="R45" s="253">
        <f>轉向量!P132</f>
        <v>0</v>
      </c>
      <c r="S45" s="251">
        <f>轉向量!Q132</f>
        <v>0</v>
      </c>
      <c r="T45" s="251">
        <f>轉向量!S132</f>
        <v>0</v>
      </c>
      <c r="U45" s="252">
        <f>轉向量!M132</f>
        <v>0</v>
      </c>
      <c r="V45" s="254">
        <f>轉向量!G228</f>
        <v>0</v>
      </c>
      <c r="W45" s="254">
        <f>轉向量!D228</f>
        <v>0</v>
      </c>
      <c r="X45" s="255">
        <f>轉向量!E228</f>
        <v>0</v>
      </c>
      <c r="Y45" s="254">
        <f>轉向量!K228</f>
        <v>0</v>
      </c>
      <c r="Z45" s="254">
        <f>轉向量!H228</f>
        <v>0</v>
      </c>
      <c r="AA45" s="255">
        <f>轉向量!I228</f>
        <v>0</v>
      </c>
      <c r="AB45" s="256">
        <f>轉向量!R228</f>
        <v>0</v>
      </c>
      <c r="AC45" s="254">
        <f>轉向量!S228</f>
        <v>0</v>
      </c>
      <c r="AD45" s="254">
        <f>轉向量!M228</f>
        <v>0</v>
      </c>
      <c r="AE45" s="255">
        <f>轉向量!O228</f>
        <v>0</v>
      </c>
      <c r="AF45" s="257">
        <f>轉向量!D324</f>
        <v>0</v>
      </c>
      <c r="AG45" s="257">
        <f>轉向量!E324</f>
        <v>0</v>
      </c>
      <c r="AH45" s="258">
        <f>轉向量!F324</f>
        <v>0</v>
      </c>
      <c r="AI45" s="257">
        <f>轉向量!H324</f>
        <v>0</v>
      </c>
      <c r="AJ45" s="257">
        <f>轉向量!I324</f>
        <v>0</v>
      </c>
      <c r="AK45" s="258">
        <f>轉向量!J324</f>
        <v>0</v>
      </c>
      <c r="AL45" s="259">
        <f>轉向量!L324</f>
        <v>0</v>
      </c>
      <c r="AM45" s="257">
        <f>轉向量!M324</f>
        <v>0</v>
      </c>
      <c r="AN45" s="257">
        <f>轉向量!O324</f>
        <v>0</v>
      </c>
      <c r="AO45" s="260">
        <f>轉向量!Q324</f>
        <v>0</v>
      </c>
      <c r="AP45" s="34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I45" s="66"/>
    </row>
    <row r="46" spans="1:61">
      <c r="A46" s="423">
        <v>845</v>
      </c>
      <c r="B46" s="248">
        <f>轉向量!E37</f>
        <v>0</v>
      </c>
      <c r="C46" s="248">
        <f>轉向量!F37</f>
        <v>0</v>
      </c>
      <c r="D46" s="250">
        <f>轉向量!G37</f>
        <v>0</v>
      </c>
      <c r="E46" s="248">
        <f>轉向量!I37</f>
        <v>0</v>
      </c>
      <c r="F46" s="248">
        <f>轉向量!J37</f>
        <v>0</v>
      </c>
      <c r="G46" s="250">
        <f>轉向量!K37</f>
        <v>0</v>
      </c>
      <c r="H46" s="249">
        <f>轉向量!N37</f>
        <v>0</v>
      </c>
      <c r="I46" s="248">
        <f>轉向量!O37</f>
        <v>0</v>
      </c>
      <c r="J46" s="248">
        <f>轉向量!Q37</f>
        <v>0</v>
      </c>
      <c r="K46" s="250">
        <f>轉向量!S37</f>
        <v>0</v>
      </c>
      <c r="L46" s="251">
        <f>轉向量!F133</f>
        <v>0</v>
      </c>
      <c r="M46" s="251">
        <f>轉向量!G133</f>
        <v>0</v>
      </c>
      <c r="N46" s="252">
        <f>轉向量!D133</f>
        <v>0</v>
      </c>
      <c r="O46" s="251">
        <f>轉向量!J133</f>
        <v>0</v>
      </c>
      <c r="P46" s="251">
        <f>轉向量!K133</f>
        <v>0</v>
      </c>
      <c r="Q46" s="252">
        <f>轉向量!H133</f>
        <v>0</v>
      </c>
      <c r="R46" s="253">
        <f>轉向量!P133</f>
        <v>0</v>
      </c>
      <c r="S46" s="251">
        <f>轉向量!Q133</f>
        <v>0</v>
      </c>
      <c r="T46" s="251">
        <f>轉向量!S133</f>
        <v>0</v>
      </c>
      <c r="U46" s="252">
        <f>轉向量!M133</f>
        <v>0</v>
      </c>
      <c r="V46" s="254">
        <f>轉向量!G229</f>
        <v>0</v>
      </c>
      <c r="W46" s="254">
        <f>轉向量!D229</f>
        <v>0</v>
      </c>
      <c r="X46" s="255">
        <f>轉向量!E229</f>
        <v>0</v>
      </c>
      <c r="Y46" s="254">
        <f>轉向量!K229</f>
        <v>0</v>
      </c>
      <c r="Z46" s="254">
        <f>轉向量!H229</f>
        <v>0</v>
      </c>
      <c r="AA46" s="255">
        <f>轉向量!I229</f>
        <v>0</v>
      </c>
      <c r="AB46" s="256">
        <f>轉向量!R229</f>
        <v>0</v>
      </c>
      <c r="AC46" s="254">
        <f>轉向量!S229</f>
        <v>0</v>
      </c>
      <c r="AD46" s="254">
        <f>轉向量!M229</f>
        <v>0</v>
      </c>
      <c r="AE46" s="255">
        <f>轉向量!O229</f>
        <v>0</v>
      </c>
      <c r="AF46" s="257">
        <f>轉向量!D325</f>
        <v>0</v>
      </c>
      <c r="AG46" s="257">
        <f>轉向量!E325</f>
        <v>0</v>
      </c>
      <c r="AH46" s="258">
        <f>轉向量!F325</f>
        <v>0</v>
      </c>
      <c r="AI46" s="257">
        <f>轉向量!H325</f>
        <v>0</v>
      </c>
      <c r="AJ46" s="257">
        <f>轉向量!I325</f>
        <v>0</v>
      </c>
      <c r="AK46" s="258">
        <f>轉向量!J325</f>
        <v>0</v>
      </c>
      <c r="AL46" s="259">
        <f>轉向量!L325</f>
        <v>0</v>
      </c>
      <c r="AM46" s="257">
        <f>轉向量!M325</f>
        <v>0</v>
      </c>
      <c r="AN46" s="257">
        <f>轉向量!O325</f>
        <v>0</v>
      </c>
      <c r="AO46" s="260">
        <f>轉向量!Q325</f>
        <v>0</v>
      </c>
      <c r="AP46" s="34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I46" s="66"/>
    </row>
    <row r="47" spans="1:61">
      <c r="A47" s="423">
        <v>900</v>
      </c>
      <c r="B47" s="248">
        <f>轉向量!E38</f>
        <v>0</v>
      </c>
      <c r="C47" s="248">
        <f>轉向量!F38</f>
        <v>0</v>
      </c>
      <c r="D47" s="250">
        <f>轉向量!G38</f>
        <v>0</v>
      </c>
      <c r="E47" s="248">
        <f>轉向量!I38</f>
        <v>0</v>
      </c>
      <c r="F47" s="248">
        <f>轉向量!J38</f>
        <v>0</v>
      </c>
      <c r="G47" s="250">
        <f>轉向量!K38</f>
        <v>0</v>
      </c>
      <c r="H47" s="249">
        <f>轉向量!N38</f>
        <v>0</v>
      </c>
      <c r="I47" s="248">
        <f>轉向量!O38</f>
        <v>0</v>
      </c>
      <c r="J47" s="248">
        <f>轉向量!Q38</f>
        <v>0</v>
      </c>
      <c r="K47" s="250">
        <f>轉向量!S38</f>
        <v>0</v>
      </c>
      <c r="L47" s="251">
        <f>轉向量!F134</f>
        <v>0</v>
      </c>
      <c r="M47" s="251">
        <f>轉向量!G134</f>
        <v>0</v>
      </c>
      <c r="N47" s="252">
        <f>轉向量!D134</f>
        <v>0</v>
      </c>
      <c r="O47" s="251">
        <f>轉向量!J134</f>
        <v>0</v>
      </c>
      <c r="P47" s="251">
        <f>轉向量!K134</f>
        <v>0</v>
      </c>
      <c r="Q47" s="252">
        <f>轉向量!H134</f>
        <v>0</v>
      </c>
      <c r="R47" s="253">
        <f>轉向量!P134</f>
        <v>0</v>
      </c>
      <c r="S47" s="251">
        <f>轉向量!Q134</f>
        <v>0</v>
      </c>
      <c r="T47" s="251">
        <f>轉向量!S134</f>
        <v>0</v>
      </c>
      <c r="U47" s="252">
        <f>轉向量!M134</f>
        <v>0</v>
      </c>
      <c r="V47" s="254">
        <f>轉向量!G230</f>
        <v>0</v>
      </c>
      <c r="W47" s="254">
        <f>轉向量!D230</f>
        <v>0</v>
      </c>
      <c r="X47" s="255">
        <f>轉向量!E230</f>
        <v>0</v>
      </c>
      <c r="Y47" s="254">
        <f>轉向量!K230</f>
        <v>0</v>
      </c>
      <c r="Z47" s="254">
        <f>轉向量!H230</f>
        <v>0</v>
      </c>
      <c r="AA47" s="255">
        <f>轉向量!I230</f>
        <v>0</v>
      </c>
      <c r="AB47" s="256">
        <f>轉向量!R230</f>
        <v>0</v>
      </c>
      <c r="AC47" s="254">
        <f>轉向量!S230</f>
        <v>0</v>
      </c>
      <c r="AD47" s="254">
        <f>轉向量!M230</f>
        <v>0</v>
      </c>
      <c r="AE47" s="255">
        <f>轉向量!O230</f>
        <v>0</v>
      </c>
      <c r="AF47" s="257">
        <f>轉向量!D326</f>
        <v>0</v>
      </c>
      <c r="AG47" s="257">
        <f>轉向量!E326</f>
        <v>0</v>
      </c>
      <c r="AH47" s="258">
        <f>轉向量!F326</f>
        <v>0</v>
      </c>
      <c r="AI47" s="257">
        <f>轉向量!H326</f>
        <v>0</v>
      </c>
      <c r="AJ47" s="257">
        <f>轉向量!I326</f>
        <v>0</v>
      </c>
      <c r="AK47" s="258">
        <f>轉向量!J326</f>
        <v>0</v>
      </c>
      <c r="AL47" s="259">
        <f>轉向量!L326</f>
        <v>0</v>
      </c>
      <c r="AM47" s="257">
        <f>轉向量!M326</f>
        <v>0</v>
      </c>
      <c r="AN47" s="257">
        <f>轉向量!O326</f>
        <v>0</v>
      </c>
      <c r="AO47" s="260">
        <f>轉向量!Q326</f>
        <v>0</v>
      </c>
      <c r="AP47" s="34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I47" s="66"/>
    </row>
    <row r="48" spans="1:61">
      <c r="A48" s="423">
        <v>915</v>
      </c>
      <c r="B48" s="248">
        <f>轉向量!E39</f>
        <v>0</v>
      </c>
      <c r="C48" s="248">
        <f>轉向量!F39</f>
        <v>0</v>
      </c>
      <c r="D48" s="250">
        <f>轉向量!G39</f>
        <v>0</v>
      </c>
      <c r="E48" s="248">
        <f>轉向量!I39</f>
        <v>0</v>
      </c>
      <c r="F48" s="248">
        <f>轉向量!J39</f>
        <v>0</v>
      </c>
      <c r="G48" s="250">
        <f>轉向量!K39</f>
        <v>0</v>
      </c>
      <c r="H48" s="249">
        <f>轉向量!N39</f>
        <v>0</v>
      </c>
      <c r="I48" s="248">
        <f>轉向量!O39</f>
        <v>0</v>
      </c>
      <c r="J48" s="248">
        <f>轉向量!Q39</f>
        <v>0</v>
      </c>
      <c r="K48" s="250">
        <f>轉向量!S39</f>
        <v>0</v>
      </c>
      <c r="L48" s="251">
        <f>轉向量!F135</f>
        <v>0</v>
      </c>
      <c r="M48" s="251">
        <f>轉向量!G135</f>
        <v>0</v>
      </c>
      <c r="N48" s="252">
        <f>轉向量!D135</f>
        <v>0</v>
      </c>
      <c r="O48" s="251">
        <f>轉向量!J135</f>
        <v>0</v>
      </c>
      <c r="P48" s="251">
        <f>轉向量!K135</f>
        <v>0</v>
      </c>
      <c r="Q48" s="252">
        <f>轉向量!H135</f>
        <v>0</v>
      </c>
      <c r="R48" s="253">
        <f>轉向量!P135</f>
        <v>0</v>
      </c>
      <c r="S48" s="251">
        <f>轉向量!Q135</f>
        <v>0</v>
      </c>
      <c r="T48" s="251">
        <f>轉向量!S135</f>
        <v>0</v>
      </c>
      <c r="U48" s="252">
        <f>轉向量!M135</f>
        <v>0</v>
      </c>
      <c r="V48" s="254">
        <f>轉向量!G231</f>
        <v>0</v>
      </c>
      <c r="W48" s="254">
        <f>轉向量!D231</f>
        <v>0</v>
      </c>
      <c r="X48" s="255">
        <f>轉向量!E231</f>
        <v>0</v>
      </c>
      <c r="Y48" s="254">
        <f>轉向量!K231</f>
        <v>0</v>
      </c>
      <c r="Z48" s="254">
        <f>轉向量!H231</f>
        <v>0</v>
      </c>
      <c r="AA48" s="255">
        <f>轉向量!I231</f>
        <v>0</v>
      </c>
      <c r="AB48" s="256">
        <f>轉向量!R231</f>
        <v>0</v>
      </c>
      <c r="AC48" s="254">
        <f>轉向量!S231</f>
        <v>0</v>
      </c>
      <c r="AD48" s="254">
        <f>轉向量!M231</f>
        <v>0</v>
      </c>
      <c r="AE48" s="255">
        <f>轉向量!O231</f>
        <v>0</v>
      </c>
      <c r="AF48" s="257">
        <f>轉向量!D327</f>
        <v>0</v>
      </c>
      <c r="AG48" s="257">
        <f>轉向量!E327</f>
        <v>0</v>
      </c>
      <c r="AH48" s="258">
        <f>轉向量!F327</f>
        <v>0</v>
      </c>
      <c r="AI48" s="257">
        <f>轉向量!H327</f>
        <v>0</v>
      </c>
      <c r="AJ48" s="257">
        <f>轉向量!I327</f>
        <v>0</v>
      </c>
      <c r="AK48" s="258">
        <f>轉向量!J327</f>
        <v>0</v>
      </c>
      <c r="AL48" s="259">
        <f>轉向量!L327</f>
        <v>0</v>
      </c>
      <c r="AM48" s="257">
        <f>轉向量!M327</f>
        <v>0</v>
      </c>
      <c r="AN48" s="257">
        <f>轉向量!O327</f>
        <v>0</v>
      </c>
      <c r="AO48" s="260">
        <f>轉向量!Q327</f>
        <v>0</v>
      </c>
      <c r="AP48" s="34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I48" s="66"/>
    </row>
    <row r="49" spans="1:61">
      <c r="A49" s="423">
        <v>930</v>
      </c>
      <c r="B49" s="248">
        <f>轉向量!E40</f>
        <v>0</v>
      </c>
      <c r="C49" s="248">
        <f>轉向量!F40</f>
        <v>0</v>
      </c>
      <c r="D49" s="250">
        <f>轉向量!G40</f>
        <v>0</v>
      </c>
      <c r="E49" s="248">
        <f>轉向量!I40</f>
        <v>0</v>
      </c>
      <c r="F49" s="248">
        <f>轉向量!J40</f>
        <v>0</v>
      </c>
      <c r="G49" s="250">
        <f>轉向量!K40</f>
        <v>0</v>
      </c>
      <c r="H49" s="249">
        <f>轉向量!N40</f>
        <v>0</v>
      </c>
      <c r="I49" s="248">
        <f>轉向量!O40</f>
        <v>0</v>
      </c>
      <c r="J49" s="248">
        <f>轉向量!Q40</f>
        <v>0</v>
      </c>
      <c r="K49" s="250">
        <f>轉向量!S40</f>
        <v>0</v>
      </c>
      <c r="L49" s="251">
        <f>轉向量!F136</f>
        <v>0</v>
      </c>
      <c r="M49" s="251">
        <f>轉向量!G136</f>
        <v>0</v>
      </c>
      <c r="N49" s="252">
        <f>轉向量!D136</f>
        <v>0</v>
      </c>
      <c r="O49" s="251">
        <f>轉向量!J136</f>
        <v>0</v>
      </c>
      <c r="P49" s="251">
        <f>轉向量!K136</f>
        <v>0</v>
      </c>
      <c r="Q49" s="252">
        <f>轉向量!H136</f>
        <v>0</v>
      </c>
      <c r="R49" s="253">
        <f>轉向量!P136</f>
        <v>0</v>
      </c>
      <c r="S49" s="251">
        <f>轉向量!Q136</f>
        <v>0</v>
      </c>
      <c r="T49" s="251">
        <f>轉向量!S136</f>
        <v>0</v>
      </c>
      <c r="U49" s="252">
        <f>轉向量!M136</f>
        <v>0</v>
      </c>
      <c r="V49" s="254">
        <f>轉向量!G232</f>
        <v>0</v>
      </c>
      <c r="W49" s="254">
        <f>轉向量!D232</f>
        <v>0</v>
      </c>
      <c r="X49" s="255">
        <f>轉向量!E232</f>
        <v>0</v>
      </c>
      <c r="Y49" s="254">
        <f>轉向量!K232</f>
        <v>0</v>
      </c>
      <c r="Z49" s="254">
        <f>轉向量!H232</f>
        <v>0</v>
      </c>
      <c r="AA49" s="255">
        <f>轉向量!I232</f>
        <v>0</v>
      </c>
      <c r="AB49" s="256">
        <f>轉向量!R232</f>
        <v>0</v>
      </c>
      <c r="AC49" s="254">
        <f>轉向量!S232</f>
        <v>0</v>
      </c>
      <c r="AD49" s="254">
        <f>轉向量!M232</f>
        <v>0</v>
      </c>
      <c r="AE49" s="255">
        <f>轉向量!O232</f>
        <v>0</v>
      </c>
      <c r="AF49" s="257">
        <f>轉向量!D328</f>
        <v>0</v>
      </c>
      <c r="AG49" s="257">
        <f>轉向量!E328</f>
        <v>0</v>
      </c>
      <c r="AH49" s="258">
        <f>轉向量!F328</f>
        <v>0</v>
      </c>
      <c r="AI49" s="257">
        <f>轉向量!H328</f>
        <v>0</v>
      </c>
      <c r="AJ49" s="257">
        <f>轉向量!I328</f>
        <v>0</v>
      </c>
      <c r="AK49" s="258">
        <f>轉向量!J328</f>
        <v>0</v>
      </c>
      <c r="AL49" s="259">
        <f>轉向量!L328</f>
        <v>0</v>
      </c>
      <c r="AM49" s="257">
        <f>轉向量!M328</f>
        <v>0</v>
      </c>
      <c r="AN49" s="257">
        <f>轉向量!O328</f>
        <v>0</v>
      </c>
      <c r="AO49" s="260">
        <f>轉向量!Q328</f>
        <v>0</v>
      </c>
      <c r="AP49" s="34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I49" s="66"/>
    </row>
    <row r="50" spans="1:61">
      <c r="A50" s="423">
        <v>945</v>
      </c>
      <c r="B50" s="248">
        <f>轉向量!E41</f>
        <v>0</v>
      </c>
      <c r="C50" s="248">
        <f>轉向量!F41</f>
        <v>0</v>
      </c>
      <c r="D50" s="250">
        <f>轉向量!G41</f>
        <v>0</v>
      </c>
      <c r="E50" s="248">
        <f>轉向量!I41</f>
        <v>0</v>
      </c>
      <c r="F50" s="248">
        <f>轉向量!J41</f>
        <v>0</v>
      </c>
      <c r="G50" s="250">
        <f>轉向量!K41</f>
        <v>0</v>
      </c>
      <c r="H50" s="249">
        <f>轉向量!N41</f>
        <v>0</v>
      </c>
      <c r="I50" s="248">
        <f>轉向量!O41</f>
        <v>0</v>
      </c>
      <c r="J50" s="248">
        <f>轉向量!Q41</f>
        <v>0</v>
      </c>
      <c r="K50" s="250">
        <f>轉向量!S41</f>
        <v>0</v>
      </c>
      <c r="L50" s="251">
        <f>轉向量!F137</f>
        <v>0</v>
      </c>
      <c r="M50" s="251">
        <f>轉向量!G137</f>
        <v>0</v>
      </c>
      <c r="N50" s="252">
        <f>轉向量!D137</f>
        <v>0</v>
      </c>
      <c r="O50" s="251">
        <f>轉向量!J137</f>
        <v>0</v>
      </c>
      <c r="P50" s="251">
        <f>轉向量!K137</f>
        <v>0</v>
      </c>
      <c r="Q50" s="252">
        <f>轉向量!H137</f>
        <v>0</v>
      </c>
      <c r="R50" s="253">
        <f>轉向量!P137</f>
        <v>0</v>
      </c>
      <c r="S50" s="251">
        <f>轉向量!Q137</f>
        <v>0</v>
      </c>
      <c r="T50" s="251">
        <f>轉向量!S137</f>
        <v>0</v>
      </c>
      <c r="U50" s="252">
        <f>轉向量!M137</f>
        <v>0</v>
      </c>
      <c r="V50" s="254">
        <f>轉向量!G233</f>
        <v>0</v>
      </c>
      <c r="W50" s="254">
        <f>轉向量!D233</f>
        <v>0</v>
      </c>
      <c r="X50" s="255">
        <f>轉向量!E233</f>
        <v>0</v>
      </c>
      <c r="Y50" s="254">
        <f>轉向量!K233</f>
        <v>0</v>
      </c>
      <c r="Z50" s="254">
        <f>轉向量!H233</f>
        <v>0</v>
      </c>
      <c r="AA50" s="255">
        <f>轉向量!I233</f>
        <v>0</v>
      </c>
      <c r="AB50" s="256">
        <f>轉向量!R233</f>
        <v>0</v>
      </c>
      <c r="AC50" s="254">
        <f>轉向量!S233</f>
        <v>0</v>
      </c>
      <c r="AD50" s="254">
        <f>轉向量!M233</f>
        <v>0</v>
      </c>
      <c r="AE50" s="255">
        <f>轉向量!O233</f>
        <v>0</v>
      </c>
      <c r="AF50" s="257">
        <f>轉向量!D329</f>
        <v>0</v>
      </c>
      <c r="AG50" s="257">
        <f>轉向量!E329</f>
        <v>0</v>
      </c>
      <c r="AH50" s="258">
        <f>轉向量!F329</f>
        <v>0</v>
      </c>
      <c r="AI50" s="257">
        <f>轉向量!H329</f>
        <v>0</v>
      </c>
      <c r="AJ50" s="257">
        <f>轉向量!I329</f>
        <v>0</v>
      </c>
      <c r="AK50" s="258">
        <f>轉向量!J329</f>
        <v>0</v>
      </c>
      <c r="AL50" s="259">
        <f>轉向量!L329</f>
        <v>0</v>
      </c>
      <c r="AM50" s="257">
        <f>轉向量!M329</f>
        <v>0</v>
      </c>
      <c r="AN50" s="257">
        <f>轉向量!O329</f>
        <v>0</v>
      </c>
      <c r="AO50" s="260">
        <f>轉向量!Q329</f>
        <v>0</v>
      </c>
      <c r="AP50" s="34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I50" s="66"/>
    </row>
    <row r="51" spans="1:61">
      <c r="A51" s="423">
        <v>1000</v>
      </c>
      <c r="B51" s="248">
        <f>轉向量!E42</f>
        <v>0</v>
      </c>
      <c r="C51" s="248">
        <f>轉向量!F42</f>
        <v>0</v>
      </c>
      <c r="D51" s="250">
        <f>轉向量!G42</f>
        <v>0</v>
      </c>
      <c r="E51" s="248">
        <f>轉向量!I42</f>
        <v>0</v>
      </c>
      <c r="F51" s="248">
        <f>轉向量!J42</f>
        <v>0</v>
      </c>
      <c r="G51" s="250">
        <f>轉向量!K42</f>
        <v>0</v>
      </c>
      <c r="H51" s="249">
        <f>轉向量!N42</f>
        <v>0</v>
      </c>
      <c r="I51" s="248">
        <f>轉向量!O42</f>
        <v>0</v>
      </c>
      <c r="J51" s="248">
        <f>轉向量!Q42</f>
        <v>0</v>
      </c>
      <c r="K51" s="250">
        <f>轉向量!S42</f>
        <v>0</v>
      </c>
      <c r="L51" s="251">
        <f>轉向量!F138</f>
        <v>0</v>
      </c>
      <c r="M51" s="251">
        <f>轉向量!G138</f>
        <v>0</v>
      </c>
      <c r="N51" s="252">
        <f>轉向量!D138</f>
        <v>0</v>
      </c>
      <c r="O51" s="251">
        <f>轉向量!J138</f>
        <v>0</v>
      </c>
      <c r="P51" s="251">
        <f>轉向量!K138</f>
        <v>0</v>
      </c>
      <c r="Q51" s="252">
        <f>轉向量!H138</f>
        <v>0</v>
      </c>
      <c r="R51" s="253">
        <f>轉向量!P138</f>
        <v>0</v>
      </c>
      <c r="S51" s="251">
        <f>轉向量!Q138</f>
        <v>0</v>
      </c>
      <c r="T51" s="251">
        <f>轉向量!S138</f>
        <v>0</v>
      </c>
      <c r="U51" s="252">
        <f>轉向量!M138</f>
        <v>0</v>
      </c>
      <c r="V51" s="254">
        <f>轉向量!G234</f>
        <v>0</v>
      </c>
      <c r="W51" s="254">
        <f>轉向量!D234</f>
        <v>0</v>
      </c>
      <c r="X51" s="255">
        <f>轉向量!E234</f>
        <v>0</v>
      </c>
      <c r="Y51" s="254">
        <f>轉向量!K234</f>
        <v>0</v>
      </c>
      <c r="Z51" s="254">
        <f>轉向量!H234</f>
        <v>0</v>
      </c>
      <c r="AA51" s="255">
        <f>轉向量!I234</f>
        <v>0</v>
      </c>
      <c r="AB51" s="256">
        <f>轉向量!R234</f>
        <v>0</v>
      </c>
      <c r="AC51" s="254">
        <f>轉向量!S234</f>
        <v>0</v>
      </c>
      <c r="AD51" s="254">
        <f>轉向量!M234</f>
        <v>0</v>
      </c>
      <c r="AE51" s="255">
        <f>轉向量!O234</f>
        <v>0</v>
      </c>
      <c r="AF51" s="257">
        <f>轉向量!D330</f>
        <v>0</v>
      </c>
      <c r="AG51" s="257">
        <f>轉向量!E330</f>
        <v>0</v>
      </c>
      <c r="AH51" s="258">
        <f>轉向量!F330</f>
        <v>0</v>
      </c>
      <c r="AI51" s="257">
        <f>轉向量!H330</f>
        <v>0</v>
      </c>
      <c r="AJ51" s="257">
        <f>轉向量!I330</f>
        <v>0</v>
      </c>
      <c r="AK51" s="258">
        <f>轉向量!J330</f>
        <v>0</v>
      </c>
      <c r="AL51" s="259">
        <f>轉向量!L330</f>
        <v>0</v>
      </c>
      <c r="AM51" s="257">
        <f>轉向量!M330</f>
        <v>0</v>
      </c>
      <c r="AN51" s="257">
        <f>轉向量!O330</f>
        <v>0</v>
      </c>
      <c r="AO51" s="260">
        <f>轉向量!Q330</f>
        <v>0</v>
      </c>
      <c r="AP51" s="34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I51" s="66"/>
    </row>
    <row r="52" spans="1:61">
      <c r="A52" s="423">
        <v>1015</v>
      </c>
      <c r="B52" s="248">
        <f>轉向量!E43</f>
        <v>0</v>
      </c>
      <c r="C52" s="248">
        <f>轉向量!F43</f>
        <v>0</v>
      </c>
      <c r="D52" s="250">
        <f>轉向量!G43</f>
        <v>0</v>
      </c>
      <c r="E52" s="248">
        <f>轉向量!I43</f>
        <v>0</v>
      </c>
      <c r="F52" s="248">
        <f>轉向量!J43</f>
        <v>0</v>
      </c>
      <c r="G52" s="250">
        <f>轉向量!K43</f>
        <v>0</v>
      </c>
      <c r="H52" s="249">
        <f>轉向量!N43</f>
        <v>0</v>
      </c>
      <c r="I52" s="248">
        <f>轉向量!O43</f>
        <v>0</v>
      </c>
      <c r="J52" s="248">
        <f>轉向量!Q43</f>
        <v>0</v>
      </c>
      <c r="K52" s="250">
        <f>轉向量!S43</f>
        <v>0</v>
      </c>
      <c r="L52" s="251">
        <f>轉向量!F139</f>
        <v>0</v>
      </c>
      <c r="M52" s="251">
        <f>轉向量!G139</f>
        <v>0</v>
      </c>
      <c r="N52" s="252">
        <f>轉向量!D139</f>
        <v>0</v>
      </c>
      <c r="O52" s="251">
        <f>轉向量!J139</f>
        <v>0</v>
      </c>
      <c r="P52" s="251">
        <f>轉向量!K139</f>
        <v>0</v>
      </c>
      <c r="Q52" s="252">
        <f>轉向量!H139</f>
        <v>0</v>
      </c>
      <c r="R52" s="253">
        <f>轉向量!P139</f>
        <v>0</v>
      </c>
      <c r="S52" s="251">
        <f>轉向量!Q139</f>
        <v>0</v>
      </c>
      <c r="T52" s="251">
        <f>轉向量!S139</f>
        <v>0</v>
      </c>
      <c r="U52" s="252">
        <f>轉向量!M139</f>
        <v>0</v>
      </c>
      <c r="V52" s="254">
        <f>轉向量!G235</f>
        <v>0</v>
      </c>
      <c r="W52" s="254">
        <f>轉向量!D235</f>
        <v>0</v>
      </c>
      <c r="X52" s="255">
        <f>轉向量!E235</f>
        <v>0</v>
      </c>
      <c r="Y52" s="254">
        <f>轉向量!K235</f>
        <v>0</v>
      </c>
      <c r="Z52" s="254">
        <f>轉向量!H235</f>
        <v>0</v>
      </c>
      <c r="AA52" s="255">
        <f>轉向量!I235</f>
        <v>0</v>
      </c>
      <c r="AB52" s="256">
        <f>轉向量!R235</f>
        <v>0</v>
      </c>
      <c r="AC52" s="254">
        <f>轉向量!S235</f>
        <v>0</v>
      </c>
      <c r="AD52" s="254">
        <f>轉向量!M235</f>
        <v>0</v>
      </c>
      <c r="AE52" s="255">
        <f>轉向量!O235</f>
        <v>0</v>
      </c>
      <c r="AF52" s="257">
        <f>轉向量!D331</f>
        <v>0</v>
      </c>
      <c r="AG52" s="257">
        <f>轉向量!E331</f>
        <v>0</v>
      </c>
      <c r="AH52" s="258">
        <f>轉向量!F331</f>
        <v>0</v>
      </c>
      <c r="AI52" s="257">
        <f>轉向量!H331</f>
        <v>0</v>
      </c>
      <c r="AJ52" s="257">
        <f>轉向量!I331</f>
        <v>0</v>
      </c>
      <c r="AK52" s="258">
        <f>轉向量!J331</f>
        <v>0</v>
      </c>
      <c r="AL52" s="259">
        <f>轉向量!L331</f>
        <v>0</v>
      </c>
      <c r="AM52" s="257">
        <f>轉向量!M331</f>
        <v>0</v>
      </c>
      <c r="AN52" s="257">
        <f>轉向量!O331</f>
        <v>0</v>
      </c>
      <c r="AO52" s="260">
        <f>轉向量!Q331</f>
        <v>0</v>
      </c>
      <c r="AP52" s="34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I52" s="66"/>
    </row>
    <row r="53" spans="1:61">
      <c r="A53" s="423">
        <v>1030</v>
      </c>
      <c r="B53" s="248">
        <f>轉向量!E44</f>
        <v>0</v>
      </c>
      <c r="C53" s="248">
        <f>轉向量!F44</f>
        <v>0</v>
      </c>
      <c r="D53" s="250">
        <f>轉向量!G44</f>
        <v>0</v>
      </c>
      <c r="E53" s="248">
        <f>轉向量!I44</f>
        <v>0</v>
      </c>
      <c r="F53" s="248">
        <f>轉向量!J44</f>
        <v>0</v>
      </c>
      <c r="G53" s="250">
        <f>轉向量!K44</f>
        <v>0</v>
      </c>
      <c r="H53" s="249">
        <f>轉向量!N44</f>
        <v>0</v>
      </c>
      <c r="I53" s="248">
        <f>轉向量!O44</f>
        <v>0</v>
      </c>
      <c r="J53" s="248">
        <f>轉向量!Q44</f>
        <v>0</v>
      </c>
      <c r="K53" s="250">
        <f>轉向量!S44</f>
        <v>0</v>
      </c>
      <c r="L53" s="251">
        <f>轉向量!F140</f>
        <v>0</v>
      </c>
      <c r="M53" s="251">
        <f>轉向量!G140</f>
        <v>0</v>
      </c>
      <c r="N53" s="252">
        <f>轉向量!D140</f>
        <v>0</v>
      </c>
      <c r="O53" s="251">
        <f>轉向量!J140</f>
        <v>0</v>
      </c>
      <c r="P53" s="251">
        <f>轉向量!K140</f>
        <v>0</v>
      </c>
      <c r="Q53" s="252">
        <f>轉向量!H140</f>
        <v>0</v>
      </c>
      <c r="R53" s="253">
        <f>轉向量!P140</f>
        <v>0</v>
      </c>
      <c r="S53" s="251">
        <f>轉向量!Q140</f>
        <v>0</v>
      </c>
      <c r="T53" s="251">
        <f>轉向量!S140</f>
        <v>0</v>
      </c>
      <c r="U53" s="252">
        <f>轉向量!M140</f>
        <v>0</v>
      </c>
      <c r="V53" s="254">
        <f>轉向量!G236</f>
        <v>0</v>
      </c>
      <c r="W53" s="254">
        <f>轉向量!D236</f>
        <v>0</v>
      </c>
      <c r="X53" s="255">
        <f>轉向量!E236</f>
        <v>0</v>
      </c>
      <c r="Y53" s="254">
        <f>轉向量!K236</f>
        <v>0</v>
      </c>
      <c r="Z53" s="254">
        <f>轉向量!H236</f>
        <v>0</v>
      </c>
      <c r="AA53" s="255">
        <f>轉向量!I236</f>
        <v>0</v>
      </c>
      <c r="AB53" s="256">
        <f>轉向量!R236</f>
        <v>0</v>
      </c>
      <c r="AC53" s="254">
        <f>轉向量!S236</f>
        <v>0</v>
      </c>
      <c r="AD53" s="254">
        <f>轉向量!M236</f>
        <v>0</v>
      </c>
      <c r="AE53" s="255">
        <f>轉向量!O236</f>
        <v>0</v>
      </c>
      <c r="AF53" s="257">
        <f>轉向量!D332</f>
        <v>0</v>
      </c>
      <c r="AG53" s="257">
        <f>轉向量!E332</f>
        <v>0</v>
      </c>
      <c r="AH53" s="258">
        <f>轉向量!F332</f>
        <v>0</v>
      </c>
      <c r="AI53" s="257">
        <f>轉向量!H332</f>
        <v>0</v>
      </c>
      <c r="AJ53" s="257">
        <f>轉向量!I332</f>
        <v>0</v>
      </c>
      <c r="AK53" s="258">
        <f>轉向量!J332</f>
        <v>0</v>
      </c>
      <c r="AL53" s="259">
        <f>轉向量!L332</f>
        <v>0</v>
      </c>
      <c r="AM53" s="257">
        <f>轉向量!M332</f>
        <v>0</v>
      </c>
      <c r="AN53" s="257">
        <f>轉向量!O332</f>
        <v>0</v>
      </c>
      <c r="AO53" s="260">
        <f>轉向量!Q332</f>
        <v>0</v>
      </c>
      <c r="AP53" s="34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I53" s="66"/>
    </row>
    <row r="54" spans="1:61">
      <c r="A54" s="423">
        <v>1045</v>
      </c>
      <c r="B54" s="248">
        <f>轉向量!E45</f>
        <v>0</v>
      </c>
      <c r="C54" s="248">
        <f>轉向量!F45</f>
        <v>0</v>
      </c>
      <c r="D54" s="250">
        <f>轉向量!G45</f>
        <v>0</v>
      </c>
      <c r="E54" s="248">
        <f>轉向量!I45</f>
        <v>0</v>
      </c>
      <c r="F54" s="248">
        <f>轉向量!J45</f>
        <v>0</v>
      </c>
      <c r="G54" s="250">
        <f>轉向量!K45</f>
        <v>0</v>
      </c>
      <c r="H54" s="249">
        <f>轉向量!N45</f>
        <v>0</v>
      </c>
      <c r="I54" s="248">
        <f>轉向量!O45</f>
        <v>0</v>
      </c>
      <c r="J54" s="248">
        <f>轉向量!Q45</f>
        <v>0</v>
      </c>
      <c r="K54" s="250">
        <f>轉向量!S45</f>
        <v>0</v>
      </c>
      <c r="L54" s="251">
        <f>轉向量!F141</f>
        <v>0</v>
      </c>
      <c r="M54" s="251">
        <f>轉向量!G141</f>
        <v>0</v>
      </c>
      <c r="N54" s="252">
        <f>轉向量!D141</f>
        <v>0</v>
      </c>
      <c r="O54" s="251">
        <f>轉向量!J141</f>
        <v>0</v>
      </c>
      <c r="P54" s="251">
        <f>轉向量!K141</f>
        <v>0</v>
      </c>
      <c r="Q54" s="252">
        <f>轉向量!H141</f>
        <v>0</v>
      </c>
      <c r="R54" s="253">
        <f>轉向量!P141</f>
        <v>0</v>
      </c>
      <c r="S54" s="251">
        <f>轉向量!Q141</f>
        <v>0</v>
      </c>
      <c r="T54" s="251">
        <f>轉向量!S141</f>
        <v>0</v>
      </c>
      <c r="U54" s="252">
        <f>轉向量!M141</f>
        <v>0</v>
      </c>
      <c r="V54" s="254">
        <f>轉向量!G237</f>
        <v>0</v>
      </c>
      <c r="W54" s="254">
        <f>轉向量!D237</f>
        <v>0</v>
      </c>
      <c r="X54" s="255">
        <f>轉向量!E237</f>
        <v>0</v>
      </c>
      <c r="Y54" s="254">
        <f>轉向量!K237</f>
        <v>0</v>
      </c>
      <c r="Z54" s="254">
        <f>轉向量!H237</f>
        <v>0</v>
      </c>
      <c r="AA54" s="255">
        <f>轉向量!I237</f>
        <v>0</v>
      </c>
      <c r="AB54" s="256">
        <f>轉向量!R237</f>
        <v>0</v>
      </c>
      <c r="AC54" s="254">
        <f>轉向量!S237</f>
        <v>0</v>
      </c>
      <c r="AD54" s="254">
        <f>轉向量!M237</f>
        <v>0</v>
      </c>
      <c r="AE54" s="255">
        <f>轉向量!O237</f>
        <v>0</v>
      </c>
      <c r="AF54" s="257">
        <f>轉向量!D333</f>
        <v>0</v>
      </c>
      <c r="AG54" s="257">
        <f>轉向量!E333</f>
        <v>0</v>
      </c>
      <c r="AH54" s="258">
        <f>轉向量!F333</f>
        <v>0</v>
      </c>
      <c r="AI54" s="257">
        <f>轉向量!H333</f>
        <v>0</v>
      </c>
      <c r="AJ54" s="257">
        <f>轉向量!I333</f>
        <v>0</v>
      </c>
      <c r="AK54" s="258">
        <f>轉向量!J333</f>
        <v>0</v>
      </c>
      <c r="AL54" s="259">
        <f>轉向量!L333</f>
        <v>0</v>
      </c>
      <c r="AM54" s="257">
        <f>轉向量!M333</f>
        <v>0</v>
      </c>
      <c r="AN54" s="257">
        <f>轉向量!O333</f>
        <v>0</v>
      </c>
      <c r="AO54" s="260">
        <f>轉向量!Q333</f>
        <v>0</v>
      </c>
      <c r="AP54" s="34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I54" s="66"/>
    </row>
    <row r="55" spans="1:61">
      <c r="A55" s="423">
        <v>1100</v>
      </c>
      <c r="B55" s="248">
        <f>轉向量!E46</f>
        <v>0</v>
      </c>
      <c r="C55" s="248">
        <f>轉向量!F46</f>
        <v>0</v>
      </c>
      <c r="D55" s="250">
        <f>轉向量!G46</f>
        <v>0</v>
      </c>
      <c r="E55" s="248">
        <f>轉向量!I46</f>
        <v>0</v>
      </c>
      <c r="F55" s="248">
        <f>轉向量!J46</f>
        <v>0</v>
      </c>
      <c r="G55" s="250">
        <f>轉向量!K46</f>
        <v>0</v>
      </c>
      <c r="H55" s="249">
        <f>轉向量!N46</f>
        <v>0</v>
      </c>
      <c r="I55" s="248">
        <f>轉向量!O46</f>
        <v>0</v>
      </c>
      <c r="J55" s="248">
        <f>轉向量!Q46</f>
        <v>0</v>
      </c>
      <c r="K55" s="250">
        <f>轉向量!S46</f>
        <v>0</v>
      </c>
      <c r="L55" s="251">
        <f>轉向量!F142</f>
        <v>0</v>
      </c>
      <c r="M55" s="251">
        <f>轉向量!G142</f>
        <v>0</v>
      </c>
      <c r="N55" s="252">
        <f>轉向量!D142</f>
        <v>0</v>
      </c>
      <c r="O55" s="251">
        <f>轉向量!J142</f>
        <v>0</v>
      </c>
      <c r="P55" s="251">
        <f>轉向量!K142</f>
        <v>0</v>
      </c>
      <c r="Q55" s="252">
        <f>轉向量!H142</f>
        <v>0</v>
      </c>
      <c r="R55" s="253">
        <f>轉向量!P142</f>
        <v>0</v>
      </c>
      <c r="S55" s="251">
        <f>轉向量!Q142</f>
        <v>0</v>
      </c>
      <c r="T55" s="251">
        <f>轉向量!S142</f>
        <v>0</v>
      </c>
      <c r="U55" s="252">
        <f>轉向量!M142</f>
        <v>0</v>
      </c>
      <c r="V55" s="254">
        <f>轉向量!G238</f>
        <v>0</v>
      </c>
      <c r="W55" s="254">
        <f>轉向量!D238</f>
        <v>0</v>
      </c>
      <c r="X55" s="255">
        <f>轉向量!E238</f>
        <v>0</v>
      </c>
      <c r="Y55" s="254">
        <f>轉向量!K238</f>
        <v>0</v>
      </c>
      <c r="Z55" s="254">
        <f>轉向量!H238</f>
        <v>0</v>
      </c>
      <c r="AA55" s="255">
        <f>轉向量!I238</f>
        <v>0</v>
      </c>
      <c r="AB55" s="256">
        <f>轉向量!R238</f>
        <v>0</v>
      </c>
      <c r="AC55" s="254">
        <f>轉向量!S238</f>
        <v>0</v>
      </c>
      <c r="AD55" s="254">
        <f>轉向量!M238</f>
        <v>0</v>
      </c>
      <c r="AE55" s="255">
        <f>轉向量!O238</f>
        <v>0</v>
      </c>
      <c r="AF55" s="257">
        <f>轉向量!D334</f>
        <v>0</v>
      </c>
      <c r="AG55" s="257">
        <f>轉向量!E334</f>
        <v>0</v>
      </c>
      <c r="AH55" s="258">
        <f>轉向量!F334</f>
        <v>0</v>
      </c>
      <c r="AI55" s="257">
        <f>轉向量!H334</f>
        <v>0</v>
      </c>
      <c r="AJ55" s="257">
        <f>轉向量!I334</f>
        <v>0</v>
      </c>
      <c r="AK55" s="258">
        <f>轉向量!J334</f>
        <v>0</v>
      </c>
      <c r="AL55" s="259">
        <f>轉向量!L334</f>
        <v>0</v>
      </c>
      <c r="AM55" s="257">
        <f>轉向量!M334</f>
        <v>0</v>
      </c>
      <c r="AN55" s="257">
        <f>轉向量!O334</f>
        <v>0</v>
      </c>
      <c r="AO55" s="260">
        <f>轉向量!Q334</f>
        <v>0</v>
      </c>
      <c r="AP55" s="34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I55" s="66"/>
    </row>
    <row r="56" spans="1:61">
      <c r="A56" s="423">
        <v>1115</v>
      </c>
      <c r="B56" s="248">
        <f>轉向量!E47</f>
        <v>0</v>
      </c>
      <c r="C56" s="248">
        <f>轉向量!F47</f>
        <v>0</v>
      </c>
      <c r="D56" s="250">
        <f>轉向量!G47</f>
        <v>0</v>
      </c>
      <c r="E56" s="248">
        <f>轉向量!I47</f>
        <v>0</v>
      </c>
      <c r="F56" s="248">
        <f>轉向量!J47</f>
        <v>0</v>
      </c>
      <c r="G56" s="250">
        <f>轉向量!K47</f>
        <v>0</v>
      </c>
      <c r="H56" s="249">
        <f>轉向量!N47</f>
        <v>0</v>
      </c>
      <c r="I56" s="248">
        <f>轉向量!O47</f>
        <v>0</v>
      </c>
      <c r="J56" s="248">
        <f>轉向量!Q47</f>
        <v>0</v>
      </c>
      <c r="K56" s="250">
        <f>轉向量!S47</f>
        <v>0</v>
      </c>
      <c r="L56" s="251">
        <f>轉向量!F143</f>
        <v>0</v>
      </c>
      <c r="M56" s="251">
        <f>轉向量!G143</f>
        <v>0</v>
      </c>
      <c r="N56" s="252">
        <f>轉向量!D143</f>
        <v>0</v>
      </c>
      <c r="O56" s="251">
        <f>轉向量!J143</f>
        <v>0</v>
      </c>
      <c r="P56" s="251">
        <f>轉向量!K143</f>
        <v>0</v>
      </c>
      <c r="Q56" s="252">
        <f>轉向量!H143</f>
        <v>0</v>
      </c>
      <c r="R56" s="253">
        <f>轉向量!P143</f>
        <v>0</v>
      </c>
      <c r="S56" s="251">
        <f>轉向量!Q143</f>
        <v>0</v>
      </c>
      <c r="T56" s="251">
        <f>轉向量!S143</f>
        <v>0</v>
      </c>
      <c r="U56" s="252">
        <f>轉向量!M143</f>
        <v>0</v>
      </c>
      <c r="V56" s="254">
        <f>轉向量!G239</f>
        <v>0</v>
      </c>
      <c r="W56" s="254">
        <f>轉向量!D239</f>
        <v>0</v>
      </c>
      <c r="X56" s="255">
        <f>轉向量!E239</f>
        <v>0</v>
      </c>
      <c r="Y56" s="254">
        <f>轉向量!K239</f>
        <v>0</v>
      </c>
      <c r="Z56" s="254">
        <f>轉向量!H239</f>
        <v>0</v>
      </c>
      <c r="AA56" s="255">
        <f>轉向量!I239</f>
        <v>0</v>
      </c>
      <c r="AB56" s="256">
        <f>轉向量!R239</f>
        <v>0</v>
      </c>
      <c r="AC56" s="254">
        <f>轉向量!S239</f>
        <v>0</v>
      </c>
      <c r="AD56" s="254">
        <f>轉向量!M239</f>
        <v>0</v>
      </c>
      <c r="AE56" s="255">
        <f>轉向量!O239</f>
        <v>0</v>
      </c>
      <c r="AF56" s="257">
        <f>轉向量!D335</f>
        <v>0</v>
      </c>
      <c r="AG56" s="257">
        <f>轉向量!E335</f>
        <v>0</v>
      </c>
      <c r="AH56" s="258">
        <f>轉向量!F335</f>
        <v>0</v>
      </c>
      <c r="AI56" s="257">
        <f>轉向量!H335</f>
        <v>0</v>
      </c>
      <c r="AJ56" s="257">
        <f>轉向量!I335</f>
        <v>0</v>
      </c>
      <c r="AK56" s="258">
        <f>轉向量!J335</f>
        <v>0</v>
      </c>
      <c r="AL56" s="259">
        <f>轉向量!L335</f>
        <v>0</v>
      </c>
      <c r="AM56" s="257">
        <f>轉向量!M335</f>
        <v>0</v>
      </c>
      <c r="AN56" s="257">
        <f>轉向量!O335</f>
        <v>0</v>
      </c>
      <c r="AO56" s="260">
        <f>轉向量!Q335</f>
        <v>0</v>
      </c>
      <c r="AP56" s="34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I56" s="66"/>
    </row>
    <row r="57" spans="1:61">
      <c r="A57" s="423">
        <v>1130</v>
      </c>
      <c r="B57" s="248">
        <f>轉向量!E48</f>
        <v>0</v>
      </c>
      <c r="C57" s="248">
        <f>轉向量!F48</f>
        <v>0</v>
      </c>
      <c r="D57" s="250">
        <f>轉向量!G48</f>
        <v>0</v>
      </c>
      <c r="E57" s="248">
        <f>轉向量!I48</f>
        <v>0</v>
      </c>
      <c r="F57" s="248">
        <f>轉向量!J48</f>
        <v>0</v>
      </c>
      <c r="G57" s="250">
        <f>轉向量!K48</f>
        <v>0</v>
      </c>
      <c r="H57" s="249">
        <f>轉向量!N48</f>
        <v>0</v>
      </c>
      <c r="I57" s="248">
        <f>轉向量!O48</f>
        <v>0</v>
      </c>
      <c r="J57" s="248">
        <f>轉向量!Q48</f>
        <v>0</v>
      </c>
      <c r="K57" s="250">
        <f>轉向量!S48</f>
        <v>0</v>
      </c>
      <c r="L57" s="251">
        <f>轉向量!F144</f>
        <v>0</v>
      </c>
      <c r="M57" s="251">
        <f>轉向量!G144</f>
        <v>0</v>
      </c>
      <c r="N57" s="252">
        <f>轉向量!D144</f>
        <v>0</v>
      </c>
      <c r="O57" s="251">
        <f>轉向量!J144</f>
        <v>0</v>
      </c>
      <c r="P57" s="251">
        <f>轉向量!K144</f>
        <v>0</v>
      </c>
      <c r="Q57" s="252">
        <f>轉向量!H144</f>
        <v>0</v>
      </c>
      <c r="R57" s="253">
        <f>轉向量!P144</f>
        <v>0</v>
      </c>
      <c r="S57" s="251">
        <f>轉向量!Q144</f>
        <v>0</v>
      </c>
      <c r="T57" s="251">
        <f>轉向量!S144</f>
        <v>0</v>
      </c>
      <c r="U57" s="252">
        <f>轉向量!M144</f>
        <v>0</v>
      </c>
      <c r="V57" s="254">
        <f>轉向量!G240</f>
        <v>0</v>
      </c>
      <c r="W57" s="254">
        <f>轉向量!D240</f>
        <v>0</v>
      </c>
      <c r="X57" s="255">
        <f>轉向量!E240</f>
        <v>0</v>
      </c>
      <c r="Y57" s="254">
        <f>轉向量!K240</f>
        <v>0</v>
      </c>
      <c r="Z57" s="254">
        <f>轉向量!H240</f>
        <v>0</v>
      </c>
      <c r="AA57" s="255">
        <f>轉向量!I240</f>
        <v>0</v>
      </c>
      <c r="AB57" s="256">
        <f>轉向量!R240</f>
        <v>0</v>
      </c>
      <c r="AC57" s="254">
        <f>轉向量!S240</f>
        <v>0</v>
      </c>
      <c r="AD57" s="254">
        <f>轉向量!M240</f>
        <v>0</v>
      </c>
      <c r="AE57" s="255">
        <f>轉向量!O240</f>
        <v>0</v>
      </c>
      <c r="AF57" s="257">
        <f>轉向量!D336</f>
        <v>0</v>
      </c>
      <c r="AG57" s="257">
        <f>轉向量!E336</f>
        <v>0</v>
      </c>
      <c r="AH57" s="258">
        <f>轉向量!F336</f>
        <v>0</v>
      </c>
      <c r="AI57" s="257">
        <f>轉向量!H336</f>
        <v>0</v>
      </c>
      <c r="AJ57" s="257">
        <f>轉向量!I336</f>
        <v>0</v>
      </c>
      <c r="AK57" s="258">
        <f>轉向量!J336</f>
        <v>0</v>
      </c>
      <c r="AL57" s="259">
        <f>轉向量!L336</f>
        <v>0</v>
      </c>
      <c r="AM57" s="257">
        <f>轉向量!M336</f>
        <v>0</v>
      </c>
      <c r="AN57" s="257">
        <f>轉向量!O336</f>
        <v>0</v>
      </c>
      <c r="AO57" s="260">
        <f>轉向量!Q336</f>
        <v>0</v>
      </c>
      <c r="AP57" s="34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I57" s="66"/>
    </row>
    <row r="58" spans="1:61">
      <c r="A58" s="423">
        <v>1145</v>
      </c>
      <c r="B58" s="248">
        <f>轉向量!E49</f>
        <v>0</v>
      </c>
      <c r="C58" s="248">
        <f>轉向量!F49</f>
        <v>0</v>
      </c>
      <c r="D58" s="250">
        <f>轉向量!G49</f>
        <v>0</v>
      </c>
      <c r="E58" s="248">
        <f>轉向量!I49</f>
        <v>0</v>
      </c>
      <c r="F58" s="248">
        <f>轉向量!J49</f>
        <v>0</v>
      </c>
      <c r="G58" s="250">
        <f>轉向量!K49</f>
        <v>0</v>
      </c>
      <c r="H58" s="249">
        <f>轉向量!N49</f>
        <v>0</v>
      </c>
      <c r="I58" s="248">
        <f>轉向量!O49</f>
        <v>0</v>
      </c>
      <c r="J58" s="248">
        <f>轉向量!Q49</f>
        <v>0</v>
      </c>
      <c r="K58" s="250">
        <f>轉向量!S49</f>
        <v>0</v>
      </c>
      <c r="L58" s="251">
        <f>轉向量!F145</f>
        <v>0</v>
      </c>
      <c r="M58" s="251">
        <f>轉向量!G145</f>
        <v>0</v>
      </c>
      <c r="N58" s="252">
        <f>轉向量!D145</f>
        <v>0</v>
      </c>
      <c r="O58" s="251">
        <f>轉向量!J145</f>
        <v>0</v>
      </c>
      <c r="P58" s="251">
        <f>轉向量!K145</f>
        <v>0</v>
      </c>
      <c r="Q58" s="252">
        <f>轉向量!H145</f>
        <v>0</v>
      </c>
      <c r="R58" s="253">
        <f>轉向量!P145</f>
        <v>0</v>
      </c>
      <c r="S58" s="251">
        <f>轉向量!Q145</f>
        <v>0</v>
      </c>
      <c r="T58" s="251">
        <f>轉向量!S145</f>
        <v>0</v>
      </c>
      <c r="U58" s="252">
        <f>轉向量!M145</f>
        <v>0</v>
      </c>
      <c r="V58" s="254">
        <f>轉向量!G241</f>
        <v>0</v>
      </c>
      <c r="W58" s="254">
        <f>轉向量!D241</f>
        <v>0</v>
      </c>
      <c r="X58" s="255">
        <f>轉向量!E241</f>
        <v>0</v>
      </c>
      <c r="Y58" s="254">
        <f>轉向量!K241</f>
        <v>0</v>
      </c>
      <c r="Z58" s="254">
        <f>轉向量!H241</f>
        <v>0</v>
      </c>
      <c r="AA58" s="255">
        <f>轉向量!I241</f>
        <v>0</v>
      </c>
      <c r="AB58" s="256">
        <f>轉向量!R241</f>
        <v>0</v>
      </c>
      <c r="AC58" s="254">
        <f>轉向量!S241</f>
        <v>0</v>
      </c>
      <c r="AD58" s="254">
        <f>轉向量!M241</f>
        <v>0</v>
      </c>
      <c r="AE58" s="255">
        <f>轉向量!O241</f>
        <v>0</v>
      </c>
      <c r="AF58" s="257">
        <f>轉向量!D337</f>
        <v>0</v>
      </c>
      <c r="AG58" s="257">
        <f>轉向量!E337</f>
        <v>0</v>
      </c>
      <c r="AH58" s="258">
        <f>轉向量!F337</f>
        <v>0</v>
      </c>
      <c r="AI58" s="257">
        <f>轉向量!H337</f>
        <v>0</v>
      </c>
      <c r="AJ58" s="257">
        <f>轉向量!I337</f>
        <v>0</v>
      </c>
      <c r="AK58" s="258">
        <f>轉向量!J337</f>
        <v>0</v>
      </c>
      <c r="AL58" s="259">
        <f>轉向量!L337</f>
        <v>0</v>
      </c>
      <c r="AM58" s="257">
        <f>轉向量!M337</f>
        <v>0</v>
      </c>
      <c r="AN58" s="257">
        <f>轉向量!O337</f>
        <v>0</v>
      </c>
      <c r="AO58" s="260">
        <f>轉向量!Q337</f>
        <v>0</v>
      </c>
      <c r="AP58" s="34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I58" s="66"/>
    </row>
    <row r="59" spans="1:61">
      <c r="A59" s="423">
        <v>1200</v>
      </c>
      <c r="B59" s="248">
        <f>轉向量!E50</f>
        <v>0</v>
      </c>
      <c r="C59" s="248">
        <f>轉向量!F50</f>
        <v>0</v>
      </c>
      <c r="D59" s="250">
        <f>轉向量!G50</f>
        <v>0</v>
      </c>
      <c r="E59" s="248">
        <f>轉向量!I50</f>
        <v>0</v>
      </c>
      <c r="F59" s="248">
        <f>轉向量!J50</f>
        <v>0</v>
      </c>
      <c r="G59" s="250">
        <f>轉向量!K50</f>
        <v>0</v>
      </c>
      <c r="H59" s="249">
        <f>轉向量!N50</f>
        <v>0</v>
      </c>
      <c r="I59" s="248">
        <f>轉向量!O50</f>
        <v>0</v>
      </c>
      <c r="J59" s="248">
        <f>轉向量!Q50</f>
        <v>0</v>
      </c>
      <c r="K59" s="250">
        <f>轉向量!S50</f>
        <v>0</v>
      </c>
      <c r="L59" s="251">
        <f>轉向量!F146</f>
        <v>0</v>
      </c>
      <c r="M59" s="251">
        <f>轉向量!G146</f>
        <v>0</v>
      </c>
      <c r="N59" s="252">
        <f>轉向量!D146</f>
        <v>0</v>
      </c>
      <c r="O59" s="251">
        <f>轉向量!J146</f>
        <v>0</v>
      </c>
      <c r="P59" s="251">
        <f>轉向量!K146</f>
        <v>0</v>
      </c>
      <c r="Q59" s="252">
        <f>轉向量!H146</f>
        <v>0</v>
      </c>
      <c r="R59" s="253">
        <f>轉向量!P146</f>
        <v>0</v>
      </c>
      <c r="S59" s="251">
        <f>轉向量!Q146</f>
        <v>0</v>
      </c>
      <c r="T59" s="251">
        <f>轉向量!S146</f>
        <v>0</v>
      </c>
      <c r="U59" s="252">
        <f>轉向量!M146</f>
        <v>0</v>
      </c>
      <c r="V59" s="254">
        <f>轉向量!G242</f>
        <v>0</v>
      </c>
      <c r="W59" s="254">
        <f>轉向量!D242</f>
        <v>0</v>
      </c>
      <c r="X59" s="255">
        <f>轉向量!E242</f>
        <v>0</v>
      </c>
      <c r="Y59" s="254">
        <f>轉向量!K242</f>
        <v>0</v>
      </c>
      <c r="Z59" s="254">
        <f>轉向量!H242</f>
        <v>0</v>
      </c>
      <c r="AA59" s="255">
        <f>轉向量!I242</f>
        <v>0</v>
      </c>
      <c r="AB59" s="256">
        <f>轉向量!R242</f>
        <v>0</v>
      </c>
      <c r="AC59" s="254">
        <f>轉向量!S242</f>
        <v>0</v>
      </c>
      <c r="AD59" s="254">
        <f>轉向量!M242</f>
        <v>0</v>
      </c>
      <c r="AE59" s="255">
        <f>轉向量!O242</f>
        <v>0</v>
      </c>
      <c r="AF59" s="257">
        <f>轉向量!D338</f>
        <v>0</v>
      </c>
      <c r="AG59" s="257">
        <f>轉向量!E338</f>
        <v>0</v>
      </c>
      <c r="AH59" s="258">
        <f>轉向量!F338</f>
        <v>0</v>
      </c>
      <c r="AI59" s="257">
        <f>轉向量!H338</f>
        <v>0</v>
      </c>
      <c r="AJ59" s="257">
        <f>轉向量!I338</f>
        <v>0</v>
      </c>
      <c r="AK59" s="258">
        <f>轉向量!J338</f>
        <v>0</v>
      </c>
      <c r="AL59" s="259">
        <f>轉向量!L338</f>
        <v>0</v>
      </c>
      <c r="AM59" s="257">
        <f>轉向量!M338</f>
        <v>0</v>
      </c>
      <c r="AN59" s="257">
        <f>轉向量!O338</f>
        <v>0</v>
      </c>
      <c r="AO59" s="260">
        <f>轉向量!Q338</f>
        <v>0</v>
      </c>
      <c r="AP59" s="34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I59" s="66"/>
    </row>
    <row r="60" spans="1:61">
      <c r="A60" s="423">
        <v>1215</v>
      </c>
      <c r="B60" s="248">
        <f>轉向量!E51</f>
        <v>0</v>
      </c>
      <c r="C60" s="248">
        <f>轉向量!F51</f>
        <v>0</v>
      </c>
      <c r="D60" s="250">
        <f>轉向量!G51</f>
        <v>0</v>
      </c>
      <c r="E60" s="248">
        <f>轉向量!I51</f>
        <v>0</v>
      </c>
      <c r="F60" s="248">
        <f>轉向量!J51</f>
        <v>0</v>
      </c>
      <c r="G60" s="250">
        <f>轉向量!K51</f>
        <v>0</v>
      </c>
      <c r="H60" s="249">
        <f>轉向量!N51</f>
        <v>0</v>
      </c>
      <c r="I60" s="248">
        <f>轉向量!O51</f>
        <v>0</v>
      </c>
      <c r="J60" s="248">
        <f>轉向量!Q51</f>
        <v>0</v>
      </c>
      <c r="K60" s="250">
        <f>轉向量!S51</f>
        <v>0</v>
      </c>
      <c r="L60" s="251">
        <f>轉向量!F147</f>
        <v>0</v>
      </c>
      <c r="M60" s="251">
        <f>轉向量!G147</f>
        <v>0</v>
      </c>
      <c r="N60" s="252">
        <f>轉向量!D147</f>
        <v>0</v>
      </c>
      <c r="O60" s="251">
        <f>轉向量!J147</f>
        <v>0</v>
      </c>
      <c r="P60" s="251">
        <f>轉向量!K147</f>
        <v>0</v>
      </c>
      <c r="Q60" s="252">
        <f>轉向量!H147</f>
        <v>0</v>
      </c>
      <c r="R60" s="253">
        <f>轉向量!P147</f>
        <v>0</v>
      </c>
      <c r="S60" s="251">
        <f>轉向量!Q147</f>
        <v>0</v>
      </c>
      <c r="T60" s="251">
        <f>轉向量!S147</f>
        <v>0</v>
      </c>
      <c r="U60" s="252">
        <f>轉向量!M147</f>
        <v>0</v>
      </c>
      <c r="V60" s="254">
        <f>轉向量!G243</f>
        <v>0</v>
      </c>
      <c r="W60" s="254">
        <f>轉向量!D243</f>
        <v>0</v>
      </c>
      <c r="X60" s="255">
        <f>轉向量!E243</f>
        <v>0</v>
      </c>
      <c r="Y60" s="254">
        <f>轉向量!K243</f>
        <v>0</v>
      </c>
      <c r="Z60" s="254">
        <f>轉向量!H243</f>
        <v>0</v>
      </c>
      <c r="AA60" s="255">
        <f>轉向量!I243</f>
        <v>0</v>
      </c>
      <c r="AB60" s="256">
        <f>轉向量!R243</f>
        <v>0</v>
      </c>
      <c r="AC60" s="254">
        <f>轉向量!S243</f>
        <v>0</v>
      </c>
      <c r="AD60" s="254">
        <f>轉向量!M243</f>
        <v>0</v>
      </c>
      <c r="AE60" s="255">
        <f>轉向量!O243</f>
        <v>0</v>
      </c>
      <c r="AF60" s="257">
        <f>轉向量!D339</f>
        <v>0</v>
      </c>
      <c r="AG60" s="257">
        <f>轉向量!E339</f>
        <v>0</v>
      </c>
      <c r="AH60" s="258">
        <f>轉向量!F339</f>
        <v>0</v>
      </c>
      <c r="AI60" s="257">
        <f>轉向量!H339</f>
        <v>0</v>
      </c>
      <c r="AJ60" s="257">
        <f>轉向量!I339</f>
        <v>0</v>
      </c>
      <c r="AK60" s="258">
        <f>轉向量!J339</f>
        <v>0</v>
      </c>
      <c r="AL60" s="259">
        <f>轉向量!L339</f>
        <v>0</v>
      </c>
      <c r="AM60" s="257">
        <f>轉向量!M339</f>
        <v>0</v>
      </c>
      <c r="AN60" s="257">
        <f>轉向量!O339</f>
        <v>0</v>
      </c>
      <c r="AO60" s="260">
        <f>轉向量!Q339</f>
        <v>0</v>
      </c>
      <c r="AP60" s="34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I60" s="66"/>
    </row>
    <row r="61" spans="1:61">
      <c r="A61" s="423">
        <v>1230</v>
      </c>
      <c r="B61" s="248">
        <f>轉向量!E52</f>
        <v>0</v>
      </c>
      <c r="C61" s="248">
        <f>轉向量!F52</f>
        <v>0</v>
      </c>
      <c r="D61" s="250">
        <f>轉向量!G52</f>
        <v>0</v>
      </c>
      <c r="E61" s="248">
        <f>轉向量!I52</f>
        <v>0</v>
      </c>
      <c r="F61" s="248">
        <f>轉向量!J52</f>
        <v>0</v>
      </c>
      <c r="G61" s="250">
        <f>轉向量!K52</f>
        <v>0</v>
      </c>
      <c r="H61" s="249">
        <f>轉向量!N52</f>
        <v>0</v>
      </c>
      <c r="I61" s="248">
        <f>轉向量!O52</f>
        <v>0</v>
      </c>
      <c r="J61" s="248">
        <f>轉向量!Q52</f>
        <v>0</v>
      </c>
      <c r="K61" s="250">
        <f>轉向量!S52</f>
        <v>0</v>
      </c>
      <c r="L61" s="251">
        <f>轉向量!F148</f>
        <v>0</v>
      </c>
      <c r="M61" s="251">
        <f>轉向量!G148</f>
        <v>0</v>
      </c>
      <c r="N61" s="252">
        <f>轉向量!D148</f>
        <v>0</v>
      </c>
      <c r="O61" s="251">
        <f>轉向量!J148</f>
        <v>0</v>
      </c>
      <c r="P61" s="251">
        <f>轉向量!K148</f>
        <v>0</v>
      </c>
      <c r="Q61" s="252">
        <f>轉向量!H148</f>
        <v>0</v>
      </c>
      <c r="R61" s="253">
        <f>轉向量!P148</f>
        <v>0</v>
      </c>
      <c r="S61" s="251">
        <f>轉向量!Q148</f>
        <v>0</v>
      </c>
      <c r="T61" s="251">
        <f>轉向量!S148</f>
        <v>0</v>
      </c>
      <c r="U61" s="252">
        <f>轉向量!M148</f>
        <v>0</v>
      </c>
      <c r="V61" s="254">
        <f>轉向量!G244</f>
        <v>0</v>
      </c>
      <c r="W61" s="254">
        <f>轉向量!D244</f>
        <v>0</v>
      </c>
      <c r="X61" s="255">
        <f>轉向量!E244</f>
        <v>0</v>
      </c>
      <c r="Y61" s="254">
        <f>轉向量!K244</f>
        <v>0</v>
      </c>
      <c r="Z61" s="254">
        <f>轉向量!H244</f>
        <v>0</v>
      </c>
      <c r="AA61" s="255">
        <f>轉向量!I244</f>
        <v>0</v>
      </c>
      <c r="AB61" s="256">
        <f>轉向量!R244</f>
        <v>0</v>
      </c>
      <c r="AC61" s="254">
        <f>轉向量!S244</f>
        <v>0</v>
      </c>
      <c r="AD61" s="254">
        <f>轉向量!M244</f>
        <v>0</v>
      </c>
      <c r="AE61" s="255">
        <f>轉向量!O244</f>
        <v>0</v>
      </c>
      <c r="AF61" s="257">
        <f>轉向量!D340</f>
        <v>0</v>
      </c>
      <c r="AG61" s="257">
        <f>轉向量!E340</f>
        <v>0</v>
      </c>
      <c r="AH61" s="258">
        <f>轉向量!F340</f>
        <v>0</v>
      </c>
      <c r="AI61" s="257">
        <f>轉向量!H340</f>
        <v>0</v>
      </c>
      <c r="AJ61" s="257">
        <f>轉向量!I340</f>
        <v>0</v>
      </c>
      <c r="AK61" s="258">
        <f>轉向量!J340</f>
        <v>0</v>
      </c>
      <c r="AL61" s="259">
        <f>轉向量!L340</f>
        <v>0</v>
      </c>
      <c r="AM61" s="257">
        <f>轉向量!M340</f>
        <v>0</v>
      </c>
      <c r="AN61" s="257">
        <f>轉向量!O340</f>
        <v>0</v>
      </c>
      <c r="AO61" s="260">
        <f>轉向量!Q340</f>
        <v>0</v>
      </c>
      <c r="AP61" s="34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I61" s="66"/>
    </row>
    <row r="62" spans="1:61">
      <c r="A62" s="423">
        <v>1245</v>
      </c>
      <c r="B62" s="248">
        <f>轉向量!E53</f>
        <v>0</v>
      </c>
      <c r="C62" s="248">
        <f>轉向量!F53</f>
        <v>0</v>
      </c>
      <c r="D62" s="250">
        <f>轉向量!G53</f>
        <v>0</v>
      </c>
      <c r="E62" s="248">
        <f>轉向量!I53</f>
        <v>0</v>
      </c>
      <c r="F62" s="248">
        <f>轉向量!J53</f>
        <v>0</v>
      </c>
      <c r="G62" s="250">
        <f>轉向量!K53</f>
        <v>0</v>
      </c>
      <c r="H62" s="249">
        <f>轉向量!N53</f>
        <v>0</v>
      </c>
      <c r="I62" s="248">
        <f>轉向量!O53</f>
        <v>0</v>
      </c>
      <c r="J62" s="248">
        <f>轉向量!Q53</f>
        <v>0</v>
      </c>
      <c r="K62" s="250">
        <f>轉向量!S53</f>
        <v>0</v>
      </c>
      <c r="L62" s="251">
        <f>轉向量!F149</f>
        <v>0</v>
      </c>
      <c r="M62" s="251">
        <f>轉向量!G149</f>
        <v>0</v>
      </c>
      <c r="N62" s="252">
        <f>轉向量!D149</f>
        <v>0</v>
      </c>
      <c r="O62" s="251">
        <f>轉向量!J149</f>
        <v>0</v>
      </c>
      <c r="P62" s="251">
        <f>轉向量!K149</f>
        <v>0</v>
      </c>
      <c r="Q62" s="252">
        <f>轉向量!H149</f>
        <v>0</v>
      </c>
      <c r="R62" s="253">
        <f>轉向量!P149</f>
        <v>0</v>
      </c>
      <c r="S62" s="251">
        <f>轉向量!Q149</f>
        <v>0</v>
      </c>
      <c r="T62" s="251">
        <f>轉向量!S149</f>
        <v>0</v>
      </c>
      <c r="U62" s="252">
        <f>轉向量!M149</f>
        <v>0</v>
      </c>
      <c r="V62" s="254">
        <f>轉向量!G245</f>
        <v>0</v>
      </c>
      <c r="W62" s="254">
        <f>轉向量!D245</f>
        <v>0</v>
      </c>
      <c r="X62" s="255">
        <f>轉向量!E245</f>
        <v>0</v>
      </c>
      <c r="Y62" s="254">
        <f>轉向量!K245</f>
        <v>0</v>
      </c>
      <c r="Z62" s="254">
        <f>轉向量!H245</f>
        <v>0</v>
      </c>
      <c r="AA62" s="255">
        <f>轉向量!I245</f>
        <v>0</v>
      </c>
      <c r="AB62" s="256">
        <f>轉向量!R245</f>
        <v>0</v>
      </c>
      <c r="AC62" s="254">
        <f>轉向量!S245</f>
        <v>0</v>
      </c>
      <c r="AD62" s="254">
        <f>轉向量!M245</f>
        <v>0</v>
      </c>
      <c r="AE62" s="255">
        <f>轉向量!O245</f>
        <v>0</v>
      </c>
      <c r="AF62" s="257">
        <f>轉向量!D341</f>
        <v>0</v>
      </c>
      <c r="AG62" s="257">
        <f>轉向量!E341</f>
        <v>0</v>
      </c>
      <c r="AH62" s="258">
        <f>轉向量!F341</f>
        <v>0</v>
      </c>
      <c r="AI62" s="257">
        <f>轉向量!H341</f>
        <v>0</v>
      </c>
      <c r="AJ62" s="257">
        <f>轉向量!I341</f>
        <v>0</v>
      </c>
      <c r="AK62" s="258">
        <f>轉向量!J341</f>
        <v>0</v>
      </c>
      <c r="AL62" s="259">
        <f>轉向量!L341</f>
        <v>0</v>
      </c>
      <c r="AM62" s="257">
        <f>轉向量!M341</f>
        <v>0</v>
      </c>
      <c r="AN62" s="257">
        <f>轉向量!O341</f>
        <v>0</v>
      </c>
      <c r="AO62" s="260">
        <f>轉向量!Q341</f>
        <v>0</v>
      </c>
      <c r="AP62" s="34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I62" s="66"/>
    </row>
    <row r="63" spans="1:61">
      <c r="A63" s="423">
        <v>1300</v>
      </c>
      <c r="B63" s="248">
        <f>轉向量!E54</f>
        <v>0</v>
      </c>
      <c r="C63" s="248">
        <f>轉向量!F54</f>
        <v>0</v>
      </c>
      <c r="D63" s="250">
        <f>轉向量!G54</f>
        <v>0</v>
      </c>
      <c r="E63" s="248">
        <f>轉向量!I54</f>
        <v>0</v>
      </c>
      <c r="F63" s="248">
        <f>轉向量!J54</f>
        <v>0</v>
      </c>
      <c r="G63" s="250">
        <f>轉向量!K54</f>
        <v>0</v>
      </c>
      <c r="H63" s="249">
        <f>轉向量!N54</f>
        <v>0</v>
      </c>
      <c r="I63" s="248">
        <f>轉向量!O54</f>
        <v>0</v>
      </c>
      <c r="J63" s="248">
        <f>轉向量!Q54</f>
        <v>0</v>
      </c>
      <c r="K63" s="250">
        <f>轉向量!S54</f>
        <v>0</v>
      </c>
      <c r="L63" s="251">
        <f>轉向量!F150</f>
        <v>0</v>
      </c>
      <c r="M63" s="251">
        <f>轉向量!G150</f>
        <v>0</v>
      </c>
      <c r="N63" s="252">
        <f>轉向量!D150</f>
        <v>0</v>
      </c>
      <c r="O63" s="251">
        <f>轉向量!J150</f>
        <v>0</v>
      </c>
      <c r="P63" s="251">
        <f>轉向量!K150</f>
        <v>0</v>
      </c>
      <c r="Q63" s="252">
        <f>轉向量!H150</f>
        <v>0</v>
      </c>
      <c r="R63" s="253">
        <f>轉向量!P150</f>
        <v>0</v>
      </c>
      <c r="S63" s="251">
        <f>轉向量!Q150</f>
        <v>0</v>
      </c>
      <c r="T63" s="251">
        <f>轉向量!S150</f>
        <v>0</v>
      </c>
      <c r="U63" s="252">
        <f>轉向量!M150</f>
        <v>0</v>
      </c>
      <c r="V63" s="254">
        <f>轉向量!G246</f>
        <v>0</v>
      </c>
      <c r="W63" s="254">
        <f>轉向量!D246</f>
        <v>0</v>
      </c>
      <c r="X63" s="255">
        <f>轉向量!E246</f>
        <v>0</v>
      </c>
      <c r="Y63" s="254">
        <f>轉向量!K246</f>
        <v>0</v>
      </c>
      <c r="Z63" s="254">
        <f>轉向量!H246</f>
        <v>0</v>
      </c>
      <c r="AA63" s="255">
        <f>轉向量!I246</f>
        <v>0</v>
      </c>
      <c r="AB63" s="256">
        <f>轉向量!R246</f>
        <v>0</v>
      </c>
      <c r="AC63" s="254">
        <f>轉向量!S246</f>
        <v>0</v>
      </c>
      <c r="AD63" s="254">
        <f>轉向量!M246</f>
        <v>0</v>
      </c>
      <c r="AE63" s="255">
        <f>轉向量!O246</f>
        <v>0</v>
      </c>
      <c r="AF63" s="257">
        <f>轉向量!D342</f>
        <v>0</v>
      </c>
      <c r="AG63" s="257">
        <f>轉向量!E342</f>
        <v>0</v>
      </c>
      <c r="AH63" s="258">
        <f>轉向量!F342</f>
        <v>0</v>
      </c>
      <c r="AI63" s="257">
        <f>轉向量!H342</f>
        <v>0</v>
      </c>
      <c r="AJ63" s="257">
        <f>轉向量!I342</f>
        <v>0</v>
      </c>
      <c r="AK63" s="258">
        <f>轉向量!J342</f>
        <v>0</v>
      </c>
      <c r="AL63" s="259">
        <f>轉向量!L342</f>
        <v>0</v>
      </c>
      <c r="AM63" s="257">
        <f>轉向量!M342</f>
        <v>0</v>
      </c>
      <c r="AN63" s="257">
        <f>轉向量!O342</f>
        <v>0</v>
      </c>
      <c r="AO63" s="260">
        <f>轉向量!Q342</f>
        <v>0</v>
      </c>
      <c r="AP63" s="34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I63" s="66"/>
    </row>
    <row r="64" spans="1:61">
      <c r="A64" s="423">
        <v>1315</v>
      </c>
      <c r="B64" s="248">
        <f>轉向量!E55</f>
        <v>0</v>
      </c>
      <c r="C64" s="248">
        <f>轉向量!F55</f>
        <v>0</v>
      </c>
      <c r="D64" s="250">
        <f>轉向量!G55</f>
        <v>0</v>
      </c>
      <c r="E64" s="248">
        <f>轉向量!I55</f>
        <v>0</v>
      </c>
      <c r="F64" s="248">
        <f>轉向量!J55</f>
        <v>0</v>
      </c>
      <c r="G64" s="250">
        <f>轉向量!K55</f>
        <v>0</v>
      </c>
      <c r="H64" s="249">
        <f>轉向量!N55</f>
        <v>0</v>
      </c>
      <c r="I64" s="248">
        <f>轉向量!O55</f>
        <v>0</v>
      </c>
      <c r="J64" s="248">
        <f>轉向量!Q55</f>
        <v>0</v>
      </c>
      <c r="K64" s="250">
        <f>轉向量!S55</f>
        <v>0</v>
      </c>
      <c r="L64" s="251">
        <f>轉向量!F151</f>
        <v>0</v>
      </c>
      <c r="M64" s="251">
        <f>轉向量!G151</f>
        <v>0</v>
      </c>
      <c r="N64" s="252">
        <f>轉向量!D151</f>
        <v>0</v>
      </c>
      <c r="O64" s="251">
        <f>轉向量!J151</f>
        <v>0</v>
      </c>
      <c r="P64" s="251">
        <f>轉向量!K151</f>
        <v>0</v>
      </c>
      <c r="Q64" s="252">
        <f>轉向量!H151</f>
        <v>0</v>
      </c>
      <c r="R64" s="253">
        <f>轉向量!P151</f>
        <v>0</v>
      </c>
      <c r="S64" s="251">
        <f>轉向量!Q151</f>
        <v>0</v>
      </c>
      <c r="T64" s="251">
        <f>轉向量!S151</f>
        <v>0</v>
      </c>
      <c r="U64" s="252">
        <f>轉向量!M151</f>
        <v>0</v>
      </c>
      <c r="V64" s="254">
        <f>轉向量!G247</f>
        <v>0</v>
      </c>
      <c r="W64" s="254">
        <f>轉向量!D247</f>
        <v>0</v>
      </c>
      <c r="X64" s="255">
        <f>轉向量!E247</f>
        <v>0</v>
      </c>
      <c r="Y64" s="254">
        <f>轉向量!K247</f>
        <v>0</v>
      </c>
      <c r="Z64" s="254">
        <f>轉向量!H247</f>
        <v>0</v>
      </c>
      <c r="AA64" s="255">
        <f>轉向量!I247</f>
        <v>0</v>
      </c>
      <c r="AB64" s="256">
        <f>轉向量!R247</f>
        <v>0</v>
      </c>
      <c r="AC64" s="254">
        <f>轉向量!S247</f>
        <v>0</v>
      </c>
      <c r="AD64" s="254">
        <f>轉向量!M247</f>
        <v>0</v>
      </c>
      <c r="AE64" s="255">
        <f>轉向量!O247</f>
        <v>0</v>
      </c>
      <c r="AF64" s="257">
        <f>轉向量!D343</f>
        <v>0</v>
      </c>
      <c r="AG64" s="257">
        <f>轉向量!E343</f>
        <v>0</v>
      </c>
      <c r="AH64" s="258">
        <f>轉向量!F343</f>
        <v>0</v>
      </c>
      <c r="AI64" s="257">
        <f>轉向量!H343</f>
        <v>0</v>
      </c>
      <c r="AJ64" s="257">
        <f>轉向量!I343</f>
        <v>0</v>
      </c>
      <c r="AK64" s="258">
        <f>轉向量!J343</f>
        <v>0</v>
      </c>
      <c r="AL64" s="259">
        <f>轉向量!L343</f>
        <v>0</v>
      </c>
      <c r="AM64" s="257">
        <f>轉向量!M343</f>
        <v>0</v>
      </c>
      <c r="AN64" s="257">
        <f>轉向量!O343</f>
        <v>0</v>
      </c>
      <c r="AO64" s="260">
        <f>轉向量!Q343</f>
        <v>0</v>
      </c>
      <c r="AP64" s="34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I64" s="66"/>
    </row>
    <row r="65" spans="1:61">
      <c r="A65" s="423">
        <v>1330</v>
      </c>
      <c r="B65" s="248">
        <f>轉向量!E56</f>
        <v>0</v>
      </c>
      <c r="C65" s="248">
        <f>轉向量!F56</f>
        <v>0</v>
      </c>
      <c r="D65" s="250">
        <f>轉向量!G56</f>
        <v>0</v>
      </c>
      <c r="E65" s="248">
        <f>轉向量!I56</f>
        <v>0</v>
      </c>
      <c r="F65" s="248">
        <f>轉向量!J56</f>
        <v>0</v>
      </c>
      <c r="G65" s="250">
        <f>轉向量!K56</f>
        <v>0</v>
      </c>
      <c r="H65" s="249">
        <f>轉向量!N56</f>
        <v>0</v>
      </c>
      <c r="I65" s="248">
        <f>轉向量!O56</f>
        <v>0</v>
      </c>
      <c r="J65" s="248">
        <f>轉向量!Q56</f>
        <v>0</v>
      </c>
      <c r="K65" s="250">
        <f>轉向量!S56</f>
        <v>0</v>
      </c>
      <c r="L65" s="251">
        <f>轉向量!F152</f>
        <v>0</v>
      </c>
      <c r="M65" s="251">
        <f>轉向量!G152</f>
        <v>0</v>
      </c>
      <c r="N65" s="252">
        <f>轉向量!D152</f>
        <v>0</v>
      </c>
      <c r="O65" s="251">
        <f>轉向量!J152</f>
        <v>0</v>
      </c>
      <c r="P65" s="251">
        <f>轉向量!K152</f>
        <v>0</v>
      </c>
      <c r="Q65" s="252">
        <f>轉向量!H152</f>
        <v>0</v>
      </c>
      <c r="R65" s="253">
        <f>轉向量!P152</f>
        <v>0</v>
      </c>
      <c r="S65" s="251">
        <f>轉向量!Q152</f>
        <v>0</v>
      </c>
      <c r="T65" s="251">
        <f>轉向量!S152</f>
        <v>0</v>
      </c>
      <c r="U65" s="252">
        <f>轉向量!M152</f>
        <v>0</v>
      </c>
      <c r="V65" s="254">
        <f>轉向量!G248</f>
        <v>0</v>
      </c>
      <c r="W65" s="254">
        <f>轉向量!D248</f>
        <v>0</v>
      </c>
      <c r="X65" s="255">
        <f>轉向量!E248</f>
        <v>0</v>
      </c>
      <c r="Y65" s="254">
        <f>轉向量!K248</f>
        <v>0</v>
      </c>
      <c r="Z65" s="254">
        <f>轉向量!H248</f>
        <v>0</v>
      </c>
      <c r="AA65" s="255">
        <f>轉向量!I248</f>
        <v>0</v>
      </c>
      <c r="AB65" s="256">
        <f>轉向量!R248</f>
        <v>0</v>
      </c>
      <c r="AC65" s="254">
        <f>轉向量!S248</f>
        <v>0</v>
      </c>
      <c r="AD65" s="254">
        <f>轉向量!M248</f>
        <v>0</v>
      </c>
      <c r="AE65" s="255">
        <f>轉向量!O248</f>
        <v>0</v>
      </c>
      <c r="AF65" s="257">
        <f>轉向量!D344</f>
        <v>0</v>
      </c>
      <c r="AG65" s="257">
        <f>轉向量!E344</f>
        <v>0</v>
      </c>
      <c r="AH65" s="258">
        <f>轉向量!F344</f>
        <v>0</v>
      </c>
      <c r="AI65" s="257">
        <f>轉向量!H344</f>
        <v>0</v>
      </c>
      <c r="AJ65" s="257">
        <f>轉向量!I344</f>
        <v>0</v>
      </c>
      <c r="AK65" s="258">
        <f>轉向量!J344</f>
        <v>0</v>
      </c>
      <c r="AL65" s="259">
        <f>轉向量!L344</f>
        <v>0</v>
      </c>
      <c r="AM65" s="257">
        <f>轉向量!M344</f>
        <v>0</v>
      </c>
      <c r="AN65" s="257">
        <f>轉向量!O344</f>
        <v>0</v>
      </c>
      <c r="AO65" s="260">
        <f>轉向量!Q344</f>
        <v>0</v>
      </c>
      <c r="AP65" s="34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I65" s="66"/>
    </row>
    <row r="66" spans="1:61">
      <c r="A66" s="423">
        <v>1345</v>
      </c>
      <c r="B66" s="248">
        <f>轉向量!E57</f>
        <v>0</v>
      </c>
      <c r="C66" s="248">
        <f>轉向量!F57</f>
        <v>0</v>
      </c>
      <c r="D66" s="250">
        <f>轉向量!G57</f>
        <v>0</v>
      </c>
      <c r="E66" s="248">
        <f>轉向量!I57</f>
        <v>0</v>
      </c>
      <c r="F66" s="248">
        <f>轉向量!J57</f>
        <v>0</v>
      </c>
      <c r="G66" s="250">
        <f>轉向量!K57</f>
        <v>0</v>
      </c>
      <c r="H66" s="249">
        <f>轉向量!N57</f>
        <v>0</v>
      </c>
      <c r="I66" s="248">
        <f>轉向量!O57</f>
        <v>0</v>
      </c>
      <c r="J66" s="248">
        <f>轉向量!Q57</f>
        <v>0</v>
      </c>
      <c r="K66" s="250">
        <f>轉向量!S57</f>
        <v>0</v>
      </c>
      <c r="L66" s="251">
        <f>轉向量!F153</f>
        <v>0</v>
      </c>
      <c r="M66" s="251">
        <f>轉向量!G153</f>
        <v>0</v>
      </c>
      <c r="N66" s="252">
        <f>轉向量!D153</f>
        <v>0</v>
      </c>
      <c r="O66" s="251">
        <f>轉向量!J153</f>
        <v>0</v>
      </c>
      <c r="P66" s="251">
        <f>轉向量!K153</f>
        <v>0</v>
      </c>
      <c r="Q66" s="252">
        <f>轉向量!H153</f>
        <v>0</v>
      </c>
      <c r="R66" s="253">
        <f>轉向量!P153</f>
        <v>0</v>
      </c>
      <c r="S66" s="251">
        <f>轉向量!Q153</f>
        <v>0</v>
      </c>
      <c r="T66" s="251">
        <f>轉向量!S153</f>
        <v>0</v>
      </c>
      <c r="U66" s="252">
        <f>轉向量!M153</f>
        <v>0</v>
      </c>
      <c r="V66" s="254">
        <f>轉向量!G249</f>
        <v>0</v>
      </c>
      <c r="W66" s="254">
        <f>轉向量!D249</f>
        <v>0</v>
      </c>
      <c r="X66" s="255">
        <f>轉向量!E249</f>
        <v>0</v>
      </c>
      <c r="Y66" s="254">
        <f>轉向量!K249</f>
        <v>0</v>
      </c>
      <c r="Z66" s="254">
        <f>轉向量!H249</f>
        <v>0</v>
      </c>
      <c r="AA66" s="255">
        <f>轉向量!I249</f>
        <v>0</v>
      </c>
      <c r="AB66" s="256">
        <f>轉向量!R249</f>
        <v>0</v>
      </c>
      <c r="AC66" s="254">
        <f>轉向量!S249</f>
        <v>0</v>
      </c>
      <c r="AD66" s="254">
        <f>轉向量!M249</f>
        <v>0</v>
      </c>
      <c r="AE66" s="255">
        <f>轉向量!O249</f>
        <v>0</v>
      </c>
      <c r="AF66" s="257">
        <f>轉向量!D345</f>
        <v>0</v>
      </c>
      <c r="AG66" s="257">
        <f>轉向量!E345</f>
        <v>0</v>
      </c>
      <c r="AH66" s="258">
        <f>轉向量!F345</f>
        <v>0</v>
      </c>
      <c r="AI66" s="257">
        <f>轉向量!H345</f>
        <v>0</v>
      </c>
      <c r="AJ66" s="257">
        <f>轉向量!I345</f>
        <v>0</v>
      </c>
      <c r="AK66" s="258">
        <f>轉向量!J345</f>
        <v>0</v>
      </c>
      <c r="AL66" s="259">
        <f>轉向量!L345</f>
        <v>0</v>
      </c>
      <c r="AM66" s="257">
        <f>轉向量!M345</f>
        <v>0</v>
      </c>
      <c r="AN66" s="257">
        <f>轉向量!O345</f>
        <v>0</v>
      </c>
      <c r="AO66" s="260">
        <f>轉向量!Q345</f>
        <v>0</v>
      </c>
      <c r="AP66" s="34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I66" s="66"/>
    </row>
    <row r="67" spans="1:61">
      <c r="A67" s="423">
        <v>1400</v>
      </c>
      <c r="B67" s="248">
        <f>轉向量!E58</f>
        <v>0</v>
      </c>
      <c r="C67" s="248">
        <f>轉向量!F58</f>
        <v>0</v>
      </c>
      <c r="D67" s="250">
        <f>轉向量!G58</f>
        <v>0</v>
      </c>
      <c r="E67" s="248">
        <f>轉向量!I58</f>
        <v>0</v>
      </c>
      <c r="F67" s="248">
        <f>轉向量!J58</f>
        <v>0</v>
      </c>
      <c r="G67" s="250">
        <f>轉向量!K58</f>
        <v>0</v>
      </c>
      <c r="H67" s="249">
        <f>轉向量!N58</f>
        <v>0</v>
      </c>
      <c r="I67" s="248">
        <f>轉向量!O58</f>
        <v>0</v>
      </c>
      <c r="J67" s="248">
        <f>轉向量!Q58</f>
        <v>0</v>
      </c>
      <c r="K67" s="250">
        <f>轉向量!S58</f>
        <v>0</v>
      </c>
      <c r="L67" s="251">
        <f>轉向量!F154</f>
        <v>0</v>
      </c>
      <c r="M67" s="251">
        <f>轉向量!G154</f>
        <v>0</v>
      </c>
      <c r="N67" s="252">
        <f>轉向量!D154</f>
        <v>0</v>
      </c>
      <c r="O67" s="251">
        <f>轉向量!J154</f>
        <v>0</v>
      </c>
      <c r="P67" s="251">
        <f>轉向量!K154</f>
        <v>0</v>
      </c>
      <c r="Q67" s="252">
        <f>轉向量!H154</f>
        <v>0</v>
      </c>
      <c r="R67" s="253">
        <f>轉向量!P154</f>
        <v>0</v>
      </c>
      <c r="S67" s="251">
        <f>轉向量!Q154</f>
        <v>0</v>
      </c>
      <c r="T67" s="251">
        <f>轉向量!S154</f>
        <v>0</v>
      </c>
      <c r="U67" s="252">
        <f>轉向量!M154</f>
        <v>0</v>
      </c>
      <c r="V67" s="254">
        <f>轉向量!G250</f>
        <v>0</v>
      </c>
      <c r="W67" s="254">
        <f>轉向量!D250</f>
        <v>0</v>
      </c>
      <c r="X67" s="255">
        <f>轉向量!E250</f>
        <v>0</v>
      </c>
      <c r="Y67" s="254">
        <f>轉向量!K250</f>
        <v>0</v>
      </c>
      <c r="Z67" s="254">
        <f>轉向量!H250</f>
        <v>0</v>
      </c>
      <c r="AA67" s="255">
        <f>轉向量!I250</f>
        <v>0</v>
      </c>
      <c r="AB67" s="256">
        <f>轉向量!R250</f>
        <v>0</v>
      </c>
      <c r="AC67" s="254">
        <f>轉向量!S250</f>
        <v>0</v>
      </c>
      <c r="AD67" s="254">
        <f>轉向量!M250</f>
        <v>0</v>
      </c>
      <c r="AE67" s="255">
        <f>轉向量!O250</f>
        <v>0</v>
      </c>
      <c r="AF67" s="257">
        <f>轉向量!D346</f>
        <v>0</v>
      </c>
      <c r="AG67" s="257">
        <f>轉向量!E346</f>
        <v>0</v>
      </c>
      <c r="AH67" s="258">
        <f>轉向量!F346</f>
        <v>0</v>
      </c>
      <c r="AI67" s="257">
        <f>轉向量!H346</f>
        <v>0</v>
      </c>
      <c r="AJ67" s="257">
        <f>轉向量!I346</f>
        <v>0</v>
      </c>
      <c r="AK67" s="258">
        <f>轉向量!J346</f>
        <v>0</v>
      </c>
      <c r="AL67" s="259">
        <f>轉向量!L346</f>
        <v>0</v>
      </c>
      <c r="AM67" s="257">
        <f>轉向量!M346</f>
        <v>0</v>
      </c>
      <c r="AN67" s="257">
        <f>轉向量!O346</f>
        <v>0</v>
      </c>
      <c r="AO67" s="260">
        <f>轉向量!Q346</f>
        <v>0</v>
      </c>
      <c r="AP67" s="67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I67" s="66"/>
    </row>
    <row r="68" spans="1:61">
      <c r="A68" s="423">
        <v>1415</v>
      </c>
      <c r="B68" s="248">
        <f>轉向量!E59</f>
        <v>0</v>
      </c>
      <c r="C68" s="248">
        <f>轉向量!F59</f>
        <v>0</v>
      </c>
      <c r="D68" s="250">
        <f>轉向量!G59</f>
        <v>0</v>
      </c>
      <c r="E68" s="248">
        <f>轉向量!I59</f>
        <v>0</v>
      </c>
      <c r="F68" s="248">
        <f>轉向量!J59</f>
        <v>0</v>
      </c>
      <c r="G68" s="250">
        <f>轉向量!K59</f>
        <v>0</v>
      </c>
      <c r="H68" s="249">
        <f>轉向量!N59</f>
        <v>0</v>
      </c>
      <c r="I68" s="248">
        <f>轉向量!O59</f>
        <v>0</v>
      </c>
      <c r="J68" s="248">
        <f>轉向量!Q59</f>
        <v>0</v>
      </c>
      <c r="K68" s="250">
        <f>轉向量!S59</f>
        <v>0</v>
      </c>
      <c r="L68" s="251">
        <f>轉向量!F155</f>
        <v>0</v>
      </c>
      <c r="M68" s="251">
        <f>轉向量!G155</f>
        <v>0</v>
      </c>
      <c r="N68" s="252">
        <f>轉向量!D155</f>
        <v>0</v>
      </c>
      <c r="O68" s="251">
        <f>轉向量!J155</f>
        <v>0</v>
      </c>
      <c r="P68" s="251">
        <f>轉向量!K155</f>
        <v>0</v>
      </c>
      <c r="Q68" s="252">
        <f>轉向量!H155</f>
        <v>0</v>
      </c>
      <c r="R68" s="253">
        <f>轉向量!P155</f>
        <v>0</v>
      </c>
      <c r="S68" s="251">
        <f>轉向量!Q155</f>
        <v>0</v>
      </c>
      <c r="T68" s="251">
        <f>轉向量!S155</f>
        <v>0</v>
      </c>
      <c r="U68" s="252">
        <f>轉向量!M155</f>
        <v>0</v>
      </c>
      <c r="V68" s="254">
        <f>轉向量!G251</f>
        <v>0</v>
      </c>
      <c r="W68" s="254">
        <f>轉向量!D251</f>
        <v>0</v>
      </c>
      <c r="X68" s="255">
        <f>轉向量!E251</f>
        <v>0</v>
      </c>
      <c r="Y68" s="254">
        <f>轉向量!K251</f>
        <v>0</v>
      </c>
      <c r="Z68" s="254">
        <f>轉向量!H251</f>
        <v>0</v>
      </c>
      <c r="AA68" s="255">
        <f>轉向量!I251</f>
        <v>0</v>
      </c>
      <c r="AB68" s="256">
        <f>轉向量!R251</f>
        <v>0</v>
      </c>
      <c r="AC68" s="254">
        <f>轉向量!S251</f>
        <v>0</v>
      </c>
      <c r="AD68" s="254">
        <f>轉向量!M251</f>
        <v>0</v>
      </c>
      <c r="AE68" s="255">
        <f>轉向量!O251</f>
        <v>0</v>
      </c>
      <c r="AF68" s="257">
        <f>轉向量!D347</f>
        <v>0</v>
      </c>
      <c r="AG68" s="257">
        <f>轉向量!E347</f>
        <v>0</v>
      </c>
      <c r="AH68" s="258">
        <f>轉向量!F347</f>
        <v>0</v>
      </c>
      <c r="AI68" s="257">
        <f>轉向量!H347</f>
        <v>0</v>
      </c>
      <c r="AJ68" s="257">
        <f>轉向量!I347</f>
        <v>0</v>
      </c>
      <c r="AK68" s="258">
        <f>轉向量!J347</f>
        <v>0</v>
      </c>
      <c r="AL68" s="259">
        <f>轉向量!L347</f>
        <v>0</v>
      </c>
      <c r="AM68" s="257">
        <f>轉向量!M347</f>
        <v>0</v>
      </c>
      <c r="AN68" s="257">
        <f>轉向量!O347</f>
        <v>0</v>
      </c>
      <c r="AO68" s="260">
        <f>轉向量!Q347</f>
        <v>0</v>
      </c>
      <c r="AP68" s="67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I68" s="66"/>
    </row>
    <row r="69" spans="1:61">
      <c r="A69" s="423">
        <v>1430</v>
      </c>
      <c r="B69" s="248">
        <f>轉向量!E60</f>
        <v>0</v>
      </c>
      <c r="C69" s="248">
        <f>轉向量!F60</f>
        <v>0</v>
      </c>
      <c r="D69" s="250">
        <f>轉向量!G60</f>
        <v>0</v>
      </c>
      <c r="E69" s="248">
        <f>轉向量!I60</f>
        <v>0</v>
      </c>
      <c r="F69" s="248">
        <f>轉向量!J60</f>
        <v>0</v>
      </c>
      <c r="G69" s="250">
        <f>轉向量!K60</f>
        <v>0</v>
      </c>
      <c r="H69" s="249">
        <f>轉向量!N60</f>
        <v>0</v>
      </c>
      <c r="I69" s="248">
        <f>轉向量!O60</f>
        <v>0</v>
      </c>
      <c r="J69" s="248">
        <f>轉向量!Q60</f>
        <v>0</v>
      </c>
      <c r="K69" s="250">
        <f>轉向量!S60</f>
        <v>0</v>
      </c>
      <c r="L69" s="251">
        <f>轉向量!F156</f>
        <v>0</v>
      </c>
      <c r="M69" s="251">
        <f>轉向量!G156</f>
        <v>0</v>
      </c>
      <c r="N69" s="252">
        <f>轉向量!D156</f>
        <v>0</v>
      </c>
      <c r="O69" s="251">
        <f>轉向量!J156</f>
        <v>0</v>
      </c>
      <c r="P69" s="251">
        <f>轉向量!K156</f>
        <v>0</v>
      </c>
      <c r="Q69" s="252">
        <f>轉向量!H156</f>
        <v>0</v>
      </c>
      <c r="R69" s="253">
        <f>轉向量!P156</f>
        <v>0</v>
      </c>
      <c r="S69" s="251">
        <f>轉向量!Q156</f>
        <v>0</v>
      </c>
      <c r="T69" s="251">
        <f>轉向量!S156</f>
        <v>0</v>
      </c>
      <c r="U69" s="252">
        <f>轉向量!M156</f>
        <v>0</v>
      </c>
      <c r="V69" s="254">
        <f>轉向量!G252</f>
        <v>0</v>
      </c>
      <c r="W69" s="254">
        <f>轉向量!D252</f>
        <v>0</v>
      </c>
      <c r="X69" s="255">
        <f>轉向量!E252</f>
        <v>0</v>
      </c>
      <c r="Y69" s="254">
        <f>轉向量!K252</f>
        <v>0</v>
      </c>
      <c r="Z69" s="254">
        <f>轉向量!H252</f>
        <v>0</v>
      </c>
      <c r="AA69" s="255">
        <f>轉向量!I252</f>
        <v>0</v>
      </c>
      <c r="AB69" s="256">
        <f>轉向量!R252</f>
        <v>0</v>
      </c>
      <c r="AC69" s="254">
        <f>轉向量!S252</f>
        <v>0</v>
      </c>
      <c r="AD69" s="254">
        <f>轉向量!M252</f>
        <v>0</v>
      </c>
      <c r="AE69" s="255">
        <f>轉向量!O252</f>
        <v>0</v>
      </c>
      <c r="AF69" s="257">
        <f>轉向量!D348</f>
        <v>0</v>
      </c>
      <c r="AG69" s="257">
        <f>轉向量!E348</f>
        <v>0</v>
      </c>
      <c r="AH69" s="258">
        <f>轉向量!F348</f>
        <v>0</v>
      </c>
      <c r="AI69" s="257">
        <f>轉向量!H348</f>
        <v>0</v>
      </c>
      <c r="AJ69" s="257">
        <f>轉向量!I348</f>
        <v>0</v>
      </c>
      <c r="AK69" s="258">
        <f>轉向量!J348</f>
        <v>0</v>
      </c>
      <c r="AL69" s="259">
        <f>轉向量!L348</f>
        <v>0</v>
      </c>
      <c r="AM69" s="257">
        <f>轉向量!M348</f>
        <v>0</v>
      </c>
      <c r="AN69" s="257">
        <f>轉向量!O348</f>
        <v>0</v>
      </c>
      <c r="AO69" s="260">
        <f>轉向量!Q348</f>
        <v>0</v>
      </c>
      <c r="AP69" s="67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I69" s="66"/>
    </row>
    <row r="70" spans="1:61">
      <c r="A70" s="423">
        <v>1445</v>
      </c>
      <c r="B70" s="248">
        <f>轉向量!E61</f>
        <v>0</v>
      </c>
      <c r="C70" s="248">
        <f>轉向量!F61</f>
        <v>0</v>
      </c>
      <c r="D70" s="250">
        <f>轉向量!G61</f>
        <v>0</v>
      </c>
      <c r="E70" s="248">
        <f>轉向量!I61</f>
        <v>0</v>
      </c>
      <c r="F70" s="248">
        <f>轉向量!J61</f>
        <v>0</v>
      </c>
      <c r="G70" s="250">
        <f>轉向量!K61</f>
        <v>0</v>
      </c>
      <c r="H70" s="249">
        <f>轉向量!N61</f>
        <v>0</v>
      </c>
      <c r="I70" s="248">
        <f>轉向量!O61</f>
        <v>0</v>
      </c>
      <c r="J70" s="248">
        <f>轉向量!Q61</f>
        <v>0</v>
      </c>
      <c r="K70" s="250">
        <f>轉向量!S61</f>
        <v>0</v>
      </c>
      <c r="L70" s="251">
        <f>轉向量!F157</f>
        <v>0</v>
      </c>
      <c r="M70" s="251">
        <f>轉向量!G157</f>
        <v>0</v>
      </c>
      <c r="N70" s="252">
        <f>轉向量!D157</f>
        <v>0</v>
      </c>
      <c r="O70" s="251">
        <f>轉向量!J157</f>
        <v>0</v>
      </c>
      <c r="P70" s="251">
        <f>轉向量!K157</f>
        <v>0</v>
      </c>
      <c r="Q70" s="252">
        <f>轉向量!H157</f>
        <v>0</v>
      </c>
      <c r="R70" s="253">
        <f>轉向量!P157</f>
        <v>0</v>
      </c>
      <c r="S70" s="251">
        <f>轉向量!Q157</f>
        <v>0</v>
      </c>
      <c r="T70" s="251">
        <f>轉向量!S157</f>
        <v>0</v>
      </c>
      <c r="U70" s="252">
        <f>轉向量!M157</f>
        <v>0</v>
      </c>
      <c r="V70" s="254">
        <f>轉向量!G253</f>
        <v>0</v>
      </c>
      <c r="W70" s="254">
        <f>轉向量!D253</f>
        <v>0</v>
      </c>
      <c r="X70" s="255">
        <f>轉向量!E253</f>
        <v>0</v>
      </c>
      <c r="Y70" s="254">
        <f>轉向量!K253</f>
        <v>0</v>
      </c>
      <c r="Z70" s="254">
        <f>轉向量!H253</f>
        <v>0</v>
      </c>
      <c r="AA70" s="255">
        <f>轉向量!I253</f>
        <v>0</v>
      </c>
      <c r="AB70" s="256">
        <f>轉向量!R253</f>
        <v>0</v>
      </c>
      <c r="AC70" s="254">
        <f>轉向量!S253</f>
        <v>0</v>
      </c>
      <c r="AD70" s="254">
        <f>轉向量!M253</f>
        <v>0</v>
      </c>
      <c r="AE70" s="255">
        <f>轉向量!O253</f>
        <v>0</v>
      </c>
      <c r="AF70" s="257">
        <f>轉向量!D349</f>
        <v>0</v>
      </c>
      <c r="AG70" s="257">
        <f>轉向量!E349</f>
        <v>0</v>
      </c>
      <c r="AH70" s="258">
        <f>轉向量!F349</f>
        <v>0</v>
      </c>
      <c r="AI70" s="257">
        <f>轉向量!H349</f>
        <v>0</v>
      </c>
      <c r="AJ70" s="257">
        <f>轉向量!I349</f>
        <v>0</v>
      </c>
      <c r="AK70" s="258">
        <f>轉向量!J349</f>
        <v>0</v>
      </c>
      <c r="AL70" s="259">
        <f>轉向量!L349</f>
        <v>0</v>
      </c>
      <c r="AM70" s="257">
        <f>轉向量!M349</f>
        <v>0</v>
      </c>
      <c r="AN70" s="257">
        <f>轉向量!O349</f>
        <v>0</v>
      </c>
      <c r="AO70" s="260">
        <f>轉向量!Q349</f>
        <v>0</v>
      </c>
      <c r="AP70" s="67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I70" s="66"/>
    </row>
    <row r="71" spans="1:61">
      <c r="A71" s="423">
        <v>1500</v>
      </c>
      <c r="B71" s="248">
        <f>轉向量!E62</f>
        <v>0</v>
      </c>
      <c r="C71" s="248">
        <f>轉向量!F62</f>
        <v>0</v>
      </c>
      <c r="D71" s="250">
        <f>轉向量!G62</f>
        <v>0</v>
      </c>
      <c r="E71" s="248">
        <f>轉向量!I62</f>
        <v>0</v>
      </c>
      <c r="F71" s="248">
        <f>轉向量!J62</f>
        <v>0</v>
      </c>
      <c r="G71" s="250">
        <f>轉向量!K62</f>
        <v>0</v>
      </c>
      <c r="H71" s="249">
        <f>轉向量!N62</f>
        <v>0</v>
      </c>
      <c r="I71" s="248">
        <f>轉向量!O62</f>
        <v>0</v>
      </c>
      <c r="J71" s="248">
        <f>轉向量!Q62</f>
        <v>0</v>
      </c>
      <c r="K71" s="250">
        <f>轉向量!S62</f>
        <v>0</v>
      </c>
      <c r="L71" s="251">
        <f>轉向量!F158</f>
        <v>0</v>
      </c>
      <c r="M71" s="251">
        <f>轉向量!G158</f>
        <v>0</v>
      </c>
      <c r="N71" s="252">
        <f>轉向量!D158</f>
        <v>0</v>
      </c>
      <c r="O71" s="251">
        <f>轉向量!J158</f>
        <v>0</v>
      </c>
      <c r="P71" s="251">
        <f>轉向量!K158</f>
        <v>0</v>
      </c>
      <c r="Q71" s="252">
        <f>轉向量!H158</f>
        <v>0</v>
      </c>
      <c r="R71" s="253">
        <f>轉向量!P158</f>
        <v>0</v>
      </c>
      <c r="S71" s="251">
        <f>轉向量!Q158</f>
        <v>0</v>
      </c>
      <c r="T71" s="251">
        <f>轉向量!S158</f>
        <v>0</v>
      </c>
      <c r="U71" s="252">
        <f>轉向量!M158</f>
        <v>0</v>
      </c>
      <c r="V71" s="254">
        <f>轉向量!G254</f>
        <v>0</v>
      </c>
      <c r="W71" s="254">
        <f>轉向量!D254</f>
        <v>0</v>
      </c>
      <c r="X71" s="255">
        <f>轉向量!E254</f>
        <v>0</v>
      </c>
      <c r="Y71" s="254">
        <f>轉向量!K254</f>
        <v>0</v>
      </c>
      <c r="Z71" s="254">
        <f>轉向量!H254</f>
        <v>0</v>
      </c>
      <c r="AA71" s="255">
        <f>轉向量!I254</f>
        <v>0</v>
      </c>
      <c r="AB71" s="256">
        <f>轉向量!R254</f>
        <v>0</v>
      </c>
      <c r="AC71" s="254">
        <f>轉向量!S254</f>
        <v>0</v>
      </c>
      <c r="AD71" s="254">
        <f>轉向量!M254</f>
        <v>0</v>
      </c>
      <c r="AE71" s="255">
        <f>轉向量!O254</f>
        <v>0</v>
      </c>
      <c r="AF71" s="257">
        <f>轉向量!D350</f>
        <v>0</v>
      </c>
      <c r="AG71" s="257">
        <f>轉向量!E350</f>
        <v>0</v>
      </c>
      <c r="AH71" s="258">
        <f>轉向量!F350</f>
        <v>0</v>
      </c>
      <c r="AI71" s="257">
        <f>轉向量!H350</f>
        <v>0</v>
      </c>
      <c r="AJ71" s="257">
        <f>轉向量!I350</f>
        <v>0</v>
      </c>
      <c r="AK71" s="258">
        <f>轉向量!J350</f>
        <v>0</v>
      </c>
      <c r="AL71" s="259">
        <f>轉向量!L350</f>
        <v>0</v>
      </c>
      <c r="AM71" s="257">
        <f>轉向量!M350</f>
        <v>0</v>
      </c>
      <c r="AN71" s="257">
        <f>轉向量!O350</f>
        <v>0</v>
      </c>
      <c r="AO71" s="260">
        <f>轉向量!Q350</f>
        <v>0</v>
      </c>
      <c r="AP71" s="67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I71" s="66"/>
    </row>
    <row r="72" spans="1:61">
      <c r="A72" s="423">
        <v>1515</v>
      </c>
      <c r="B72" s="248">
        <f>轉向量!E63</f>
        <v>0</v>
      </c>
      <c r="C72" s="248">
        <f>轉向量!F63</f>
        <v>0</v>
      </c>
      <c r="D72" s="250">
        <f>轉向量!G63</f>
        <v>0</v>
      </c>
      <c r="E72" s="248">
        <f>轉向量!I63</f>
        <v>0</v>
      </c>
      <c r="F72" s="248">
        <f>轉向量!J63</f>
        <v>0</v>
      </c>
      <c r="G72" s="250">
        <f>轉向量!K63</f>
        <v>0</v>
      </c>
      <c r="H72" s="249">
        <f>轉向量!N63</f>
        <v>0</v>
      </c>
      <c r="I72" s="248">
        <f>轉向量!O63</f>
        <v>0</v>
      </c>
      <c r="J72" s="248">
        <f>轉向量!Q63</f>
        <v>0</v>
      </c>
      <c r="K72" s="250">
        <f>轉向量!S63</f>
        <v>0</v>
      </c>
      <c r="L72" s="251">
        <f>轉向量!F159</f>
        <v>0</v>
      </c>
      <c r="M72" s="251">
        <f>轉向量!G159</f>
        <v>0</v>
      </c>
      <c r="N72" s="252">
        <f>轉向量!D159</f>
        <v>0</v>
      </c>
      <c r="O72" s="251">
        <f>轉向量!J159</f>
        <v>0</v>
      </c>
      <c r="P72" s="251">
        <f>轉向量!K159</f>
        <v>0</v>
      </c>
      <c r="Q72" s="252">
        <f>轉向量!H159</f>
        <v>0</v>
      </c>
      <c r="R72" s="253">
        <f>轉向量!P159</f>
        <v>0</v>
      </c>
      <c r="S72" s="251">
        <f>轉向量!Q159</f>
        <v>0</v>
      </c>
      <c r="T72" s="251">
        <f>轉向量!S159</f>
        <v>0</v>
      </c>
      <c r="U72" s="252">
        <f>轉向量!M159</f>
        <v>0</v>
      </c>
      <c r="V72" s="254">
        <f>轉向量!G255</f>
        <v>0</v>
      </c>
      <c r="W72" s="254">
        <f>轉向量!D255</f>
        <v>0</v>
      </c>
      <c r="X72" s="255">
        <f>轉向量!E255</f>
        <v>0</v>
      </c>
      <c r="Y72" s="254">
        <f>轉向量!K255</f>
        <v>0</v>
      </c>
      <c r="Z72" s="254">
        <f>轉向量!H255</f>
        <v>0</v>
      </c>
      <c r="AA72" s="255">
        <f>轉向量!I255</f>
        <v>0</v>
      </c>
      <c r="AB72" s="256">
        <f>轉向量!R255</f>
        <v>0</v>
      </c>
      <c r="AC72" s="254">
        <f>轉向量!S255</f>
        <v>0</v>
      </c>
      <c r="AD72" s="254">
        <f>轉向量!M255</f>
        <v>0</v>
      </c>
      <c r="AE72" s="255">
        <f>轉向量!O255</f>
        <v>0</v>
      </c>
      <c r="AF72" s="257">
        <f>轉向量!D351</f>
        <v>0</v>
      </c>
      <c r="AG72" s="257">
        <f>轉向量!E351</f>
        <v>0</v>
      </c>
      <c r="AH72" s="258">
        <f>轉向量!F351</f>
        <v>0</v>
      </c>
      <c r="AI72" s="257">
        <f>轉向量!H351</f>
        <v>0</v>
      </c>
      <c r="AJ72" s="257">
        <f>轉向量!I351</f>
        <v>0</v>
      </c>
      <c r="AK72" s="258">
        <f>轉向量!J351</f>
        <v>0</v>
      </c>
      <c r="AL72" s="259">
        <f>轉向量!L351</f>
        <v>0</v>
      </c>
      <c r="AM72" s="257">
        <f>轉向量!M351</f>
        <v>0</v>
      </c>
      <c r="AN72" s="257">
        <f>轉向量!O351</f>
        <v>0</v>
      </c>
      <c r="AO72" s="260">
        <f>轉向量!Q351</f>
        <v>0</v>
      </c>
      <c r="AP72" s="67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I72" s="66"/>
    </row>
    <row r="73" spans="1:61">
      <c r="A73" s="423">
        <v>1530</v>
      </c>
      <c r="B73" s="248">
        <f>轉向量!E64</f>
        <v>0</v>
      </c>
      <c r="C73" s="248">
        <f>轉向量!F64</f>
        <v>0</v>
      </c>
      <c r="D73" s="250">
        <f>轉向量!G64</f>
        <v>0</v>
      </c>
      <c r="E73" s="248">
        <f>轉向量!I64</f>
        <v>0</v>
      </c>
      <c r="F73" s="248">
        <f>轉向量!J64</f>
        <v>0</v>
      </c>
      <c r="G73" s="250">
        <f>轉向量!K64</f>
        <v>0</v>
      </c>
      <c r="H73" s="249">
        <f>轉向量!N64</f>
        <v>0</v>
      </c>
      <c r="I73" s="248">
        <f>轉向量!O64</f>
        <v>0</v>
      </c>
      <c r="J73" s="248">
        <f>轉向量!Q64</f>
        <v>0</v>
      </c>
      <c r="K73" s="250">
        <f>轉向量!S64</f>
        <v>0</v>
      </c>
      <c r="L73" s="251">
        <f>轉向量!F160</f>
        <v>0</v>
      </c>
      <c r="M73" s="251">
        <f>轉向量!G160</f>
        <v>0</v>
      </c>
      <c r="N73" s="252">
        <f>轉向量!D160</f>
        <v>0</v>
      </c>
      <c r="O73" s="251">
        <f>轉向量!J160</f>
        <v>0</v>
      </c>
      <c r="P73" s="251">
        <f>轉向量!K160</f>
        <v>0</v>
      </c>
      <c r="Q73" s="252">
        <f>轉向量!H160</f>
        <v>0</v>
      </c>
      <c r="R73" s="253">
        <f>轉向量!P160</f>
        <v>0</v>
      </c>
      <c r="S73" s="251">
        <f>轉向量!Q160</f>
        <v>0</v>
      </c>
      <c r="T73" s="251">
        <f>轉向量!S160</f>
        <v>0</v>
      </c>
      <c r="U73" s="252">
        <f>轉向量!M160</f>
        <v>0</v>
      </c>
      <c r="V73" s="254">
        <f>轉向量!G256</f>
        <v>0</v>
      </c>
      <c r="W73" s="254">
        <f>轉向量!D256</f>
        <v>0</v>
      </c>
      <c r="X73" s="255">
        <f>轉向量!E256</f>
        <v>0</v>
      </c>
      <c r="Y73" s="254">
        <f>轉向量!K256</f>
        <v>0</v>
      </c>
      <c r="Z73" s="254">
        <f>轉向量!H256</f>
        <v>0</v>
      </c>
      <c r="AA73" s="255">
        <f>轉向量!I256</f>
        <v>0</v>
      </c>
      <c r="AB73" s="256">
        <f>轉向量!R256</f>
        <v>0</v>
      </c>
      <c r="AC73" s="254">
        <f>轉向量!S256</f>
        <v>0</v>
      </c>
      <c r="AD73" s="254">
        <f>轉向量!M256</f>
        <v>0</v>
      </c>
      <c r="AE73" s="255">
        <f>轉向量!O256</f>
        <v>0</v>
      </c>
      <c r="AF73" s="257">
        <f>轉向量!D352</f>
        <v>0</v>
      </c>
      <c r="AG73" s="257">
        <f>轉向量!E352</f>
        <v>0</v>
      </c>
      <c r="AH73" s="258">
        <f>轉向量!F352</f>
        <v>0</v>
      </c>
      <c r="AI73" s="257">
        <f>轉向量!H352</f>
        <v>0</v>
      </c>
      <c r="AJ73" s="257">
        <f>轉向量!I352</f>
        <v>0</v>
      </c>
      <c r="AK73" s="258">
        <f>轉向量!J352</f>
        <v>0</v>
      </c>
      <c r="AL73" s="259">
        <f>轉向量!L352</f>
        <v>0</v>
      </c>
      <c r="AM73" s="257">
        <f>轉向量!M352</f>
        <v>0</v>
      </c>
      <c r="AN73" s="257">
        <f>轉向量!O352</f>
        <v>0</v>
      </c>
      <c r="AO73" s="260">
        <f>轉向量!Q352</f>
        <v>0</v>
      </c>
      <c r="AP73" s="67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I73" s="66"/>
    </row>
    <row r="74" spans="1:61">
      <c r="A74" s="19">
        <v>1545</v>
      </c>
      <c r="B74" s="248">
        <f>轉向量!E65</f>
        <v>0</v>
      </c>
      <c r="C74" s="248">
        <f>轉向量!F65</f>
        <v>0</v>
      </c>
      <c r="D74" s="250">
        <f>轉向量!G65</f>
        <v>0</v>
      </c>
      <c r="E74" s="248">
        <f>轉向量!I65</f>
        <v>0</v>
      </c>
      <c r="F74" s="248">
        <f>轉向量!J65</f>
        <v>0</v>
      </c>
      <c r="G74" s="250">
        <f>轉向量!K65</f>
        <v>0</v>
      </c>
      <c r="H74" s="249">
        <f>轉向量!N65</f>
        <v>0</v>
      </c>
      <c r="I74" s="248">
        <f>轉向量!O65</f>
        <v>0</v>
      </c>
      <c r="J74" s="248">
        <f>轉向量!Q65</f>
        <v>0</v>
      </c>
      <c r="K74" s="250">
        <f>轉向量!S65</f>
        <v>0</v>
      </c>
      <c r="L74" s="251">
        <f>轉向量!F161</f>
        <v>0</v>
      </c>
      <c r="M74" s="251">
        <f>轉向量!G161</f>
        <v>0</v>
      </c>
      <c r="N74" s="252">
        <f>轉向量!D161</f>
        <v>0</v>
      </c>
      <c r="O74" s="251">
        <f>轉向量!J161</f>
        <v>0</v>
      </c>
      <c r="P74" s="251">
        <f>轉向量!K161</f>
        <v>0</v>
      </c>
      <c r="Q74" s="252">
        <f>轉向量!H161</f>
        <v>0</v>
      </c>
      <c r="R74" s="253">
        <f>轉向量!P161</f>
        <v>0</v>
      </c>
      <c r="S74" s="251">
        <f>轉向量!Q161</f>
        <v>0</v>
      </c>
      <c r="T74" s="251">
        <f>轉向量!S161</f>
        <v>0</v>
      </c>
      <c r="U74" s="252">
        <f>轉向量!M161</f>
        <v>0</v>
      </c>
      <c r="V74" s="254">
        <f>轉向量!G257</f>
        <v>0</v>
      </c>
      <c r="W74" s="254">
        <f>轉向量!D257</f>
        <v>0</v>
      </c>
      <c r="X74" s="255">
        <f>轉向量!E257</f>
        <v>0</v>
      </c>
      <c r="Y74" s="254">
        <f>轉向量!K257</f>
        <v>0</v>
      </c>
      <c r="Z74" s="254">
        <f>轉向量!H257</f>
        <v>0</v>
      </c>
      <c r="AA74" s="255">
        <f>轉向量!I257</f>
        <v>0</v>
      </c>
      <c r="AB74" s="256">
        <f>轉向量!R257</f>
        <v>0</v>
      </c>
      <c r="AC74" s="254">
        <f>轉向量!S257</f>
        <v>0</v>
      </c>
      <c r="AD74" s="254">
        <f>轉向量!M257</f>
        <v>0</v>
      </c>
      <c r="AE74" s="255">
        <f>轉向量!O257</f>
        <v>0</v>
      </c>
      <c r="AF74" s="257">
        <f>轉向量!D353</f>
        <v>0</v>
      </c>
      <c r="AG74" s="257">
        <f>轉向量!E353</f>
        <v>0</v>
      </c>
      <c r="AH74" s="258">
        <f>轉向量!F353</f>
        <v>0</v>
      </c>
      <c r="AI74" s="257">
        <f>轉向量!H353</f>
        <v>0</v>
      </c>
      <c r="AJ74" s="257">
        <f>轉向量!I353</f>
        <v>0</v>
      </c>
      <c r="AK74" s="258">
        <f>轉向量!J353</f>
        <v>0</v>
      </c>
      <c r="AL74" s="259">
        <f>轉向量!L353</f>
        <v>0</v>
      </c>
      <c r="AM74" s="257">
        <f>轉向量!M353</f>
        <v>0</v>
      </c>
      <c r="AN74" s="257">
        <f>轉向量!O353</f>
        <v>0</v>
      </c>
      <c r="AO74" s="260">
        <f>轉向量!Q353</f>
        <v>0</v>
      </c>
      <c r="AP74" s="67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I74" s="66"/>
    </row>
    <row r="75" spans="1:61">
      <c r="A75" s="19">
        <v>1600</v>
      </c>
      <c r="B75" s="248">
        <f>轉向量!E66</f>
        <v>0</v>
      </c>
      <c r="C75" s="248">
        <f>轉向量!F66</f>
        <v>0</v>
      </c>
      <c r="D75" s="250">
        <f>轉向量!G66</f>
        <v>0</v>
      </c>
      <c r="E75" s="248">
        <f>轉向量!I66</f>
        <v>0</v>
      </c>
      <c r="F75" s="248">
        <f>轉向量!J66</f>
        <v>0</v>
      </c>
      <c r="G75" s="250">
        <f>轉向量!K66</f>
        <v>0</v>
      </c>
      <c r="H75" s="249">
        <f>轉向量!N66</f>
        <v>0</v>
      </c>
      <c r="I75" s="248">
        <f>轉向量!O66</f>
        <v>0</v>
      </c>
      <c r="J75" s="248">
        <f>轉向量!Q66</f>
        <v>0</v>
      </c>
      <c r="K75" s="250">
        <f>轉向量!S66</f>
        <v>0</v>
      </c>
      <c r="L75" s="251">
        <f>轉向量!F162</f>
        <v>0</v>
      </c>
      <c r="M75" s="251">
        <f>轉向量!G162</f>
        <v>0</v>
      </c>
      <c r="N75" s="252">
        <f>轉向量!D162</f>
        <v>0</v>
      </c>
      <c r="O75" s="251">
        <f>轉向量!J162</f>
        <v>0</v>
      </c>
      <c r="P75" s="251">
        <f>轉向量!K162</f>
        <v>0</v>
      </c>
      <c r="Q75" s="252">
        <f>轉向量!H162</f>
        <v>0</v>
      </c>
      <c r="R75" s="253">
        <f>轉向量!P162</f>
        <v>0</v>
      </c>
      <c r="S75" s="251">
        <f>轉向量!Q162</f>
        <v>0</v>
      </c>
      <c r="T75" s="251">
        <f>轉向量!S162</f>
        <v>0</v>
      </c>
      <c r="U75" s="252">
        <f>轉向量!M162</f>
        <v>0</v>
      </c>
      <c r="V75" s="254">
        <f>轉向量!G258</f>
        <v>0</v>
      </c>
      <c r="W75" s="254">
        <f>轉向量!D258</f>
        <v>0</v>
      </c>
      <c r="X75" s="255">
        <f>轉向量!E258</f>
        <v>0</v>
      </c>
      <c r="Y75" s="254">
        <f>轉向量!K258</f>
        <v>0</v>
      </c>
      <c r="Z75" s="254">
        <f>轉向量!H258</f>
        <v>0</v>
      </c>
      <c r="AA75" s="255">
        <f>轉向量!I258</f>
        <v>0</v>
      </c>
      <c r="AB75" s="256">
        <f>轉向量!R258</f>
        <v>0</v>
      </c>
      <c r="AC75" s="254">
        <f>轉向量!S258</f>
        <v>0</v>
      </c>
      <c r="AD75" s="254">
        <f>轉向量!M258</f>
        <v>0</v>
      </c>
      <c r="AE75" s="255">
        <f>轉向量!O258</f>
        <v>0</v>
      </c>
      <c r="AF75" s="257">
        <f>轉向量!D354</f>
        <v>0</v>
      </c>
      <c r="AG75" s="257">
        <f>轉向量!E354</f>
        <v>0</v>
      </c>
      <c r="AH75" s="258">
        <f>轉向量!F354</f>
        <v>0</v>
      </c>
      <c r="AI75" s="257">
        <f>轉向量!H354</f>
        <v>0</v>
      </c>
      <c r="AJ75" s="257">
        <f>轉向量!I354</f>
        <v>0</v>
      </c>
      <c r="AK75" s="258">
        <f>轉向量!J354</f>
        <v>0</v>
      </c>
      <c r="AL75" s="259">
        <f>轉向量!L354</f>
        <v>0</v>
      </c>
      <c r="AM75" s="257">
        <f>轉向量!M354</f>
        <v>0</v>
      </c>
      <c r="AN75" s="257">
        <f>轉向量!O354</f>
        <v>0</v>
      </c>
      <c r="AO75" s="260">
        <f>轉向量!Q354</f>
        <v>0</v>
      </c>
      <c r="AP75" s="67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I75" s="66"/>
    </row>
    <row r="76" spans="1:61">
      <c r="A76" s="19">
        <v>1615</v>
      </c>
      <c r="B76" s="248">
        <f>轉向量!E67</f>
        <v>0</v>
      </c>
      <c r="C76" s="248">
        <f>轉向量!F67</f>
        <v>0</v>
      </c>
      <c r="D76" s="250">
        <f>轉向量!G67</f>
        <v>0</v>
      </c>
      <c r="E76" s="248">
        <f>轉向量!I67</f>
        <v>0</v>
      </c>
      <c r="F76" s="248">
        <f>轉向量!J67</f>
        <v>0</v>
      </c>
      <c r="G76" s="250">
        <f>轉向量!K67</f>
        <v>0</v>
      </c>
      <c r="H76" s="249">
        <f>轉向量!N67</f>
        <v>0</v>
      </c>
      <c r="I76" s="248">
        <f>轉向量!O67</f>
        <v>0</v>
      </c>
      <c r="J76" s="248">
        <f>轉向量!Q67</f>
        <v>0</v>
      </c>
      <c r="K76" s="250">
        <f>轉向量!S67</f>
        <v>0</v>
      </c>
      <c r="L76" s="251">
        <f>轉向量!F163</f>
        <v>0</v>
      </c>
      <c r="M76" s="251">
        <f>轉向量!G163</f>
        <v>0</v>
      </c>
      <c r="N76" s="252">
        <f>轉向量!D163</f>
        <v>0</v>
      </c>
      <c r="O76" s="251">
        <f>轉向量!J163</f>
        <v>0</v>
      </c>
      <c r="P76" s="251">
        <f>轉向量!K163</f>
        <v>0</v>
      </c>
      <c r="Q76" s="252">
        <f>轉向量!H163</f>
        <v>0</v>
      </c>
      <c r="R76" s="253">
        <f>轉向量!P163</f>
        <v>0</v>
      </c>
      <c r="S76" s="251">
        <f>轉向量!Q163</f>
        <v>0</v>
      </c>
      <c r="T76" s="251">
        <f>轉向量!S163</f>
        <v>0</v>
      </c>
      <c r="U76" s="252">
        <f>轉向量!M163</f>
        <v>0</v>
      </c>
      <c r="V76" s="254">
        <f>轉向量!G259</f>
        <v>0</v>
      </c>
      <c r="W76" s="254">
        <f>轉向量!D259</f>
        <v>0</v>
      </c>
      <c r="X76" s="255">
        <f>轉向量!E259</f>
        <v>0</v>
      </c>
      <c r="Y76" s="254">
        <f>轉向量!K259</f>
        <v>0</v>
      </c>
      <c r="Z76" s="254">
        <f>轉向量!H259</f>
        <v>0</v>
      </c>
      <c r="AA76" s="255">
        <f>轉向量!I259</f>
        <v>0</v>
      </c>
      <c r="AB76" s="256">
        <f>轉向量!R259</f>
        <v>0</v>
      </c>
      <c r="AC76" s="254">
        <f>轉向量!S259</f>
        <v>0</v>
      </c>
      <c r="AD76" s="254">
        <f>轉向量!M259</f>
        <v>0</v>
      </c>
      <c r="AE76" s="255">
        <f>轉向量!O259</f>
        <v>0</v>
      </c>
      <c r="AF76" s="257">
        <f>轉向量!D355</f>
        <v>0</v>
      </c>
      <c r="AG76" s="257">
        <f>轉向量!E355</f>
        <v>0</v>
      </c>
      <c r="AH76" s="258">
        <f>轉向量!F355</f>
        <v>0</v>
      </c>
      <c r="AI76" s="257">
        <f>轉向量!H355</f>
        <v>0</v>
      </c>
      <c r="AJ76" s="257">
        <f>轉向量!I355</f>
        <v>0</v>
      </c>
      <c r="AK76" s="258">
        <f>轉向量!J355</f>
        <v>0</v>
      </c>
      <c r="AL76" s="259">
        <f>轉向量!L355</f>
        <v>0</v>
      </c>
      <c r="AM76" s="257">
        <f>轉向量!M355</f>
        <v>0</v>
      </c>
      <c r="AN76" s="257">
        <f>轉向量!O355</f>
        <v>0</v>
      </c>
      <c r="AO76" s="260">
        <f>轉向量!Q355</f>
        <v>0</v>
      </c>
      <c r="AP76" s="67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I76" s="66"/>
    </row>
    <row r="77" spans="1:61">
      <c r="A77" s="19">
        <v>1630</v>
      </c>
      <c r="B77" s="248">
        <f>轉向量!E68</f>
        <v>0</v>
      </c>
      <c r="C77" s="248">
        <f>轉向量!F68</f>
        <v>0</v>
      </c>
      <c r="D77" s="250">
        <f>轉向量!G68</f>
        <v>0</v>
      </c>
      <c r="E77" s="248">
        <f>轉向量!I68</f>
        <v>0</v>
      </c>
      <c r="F77" s="248">
        <f>轉向量!J68</f>
        <v>0</v>
      </c>
      <c r="G77" s="250">
        <f>轉向量!K68</f>
        <v>0</v>
      </c>
      <c r="H77" s="249">
        <f>轉向量!N68</f>
        <v>0</v>
      </c>
      <c r="I77" s="248">
        <f>轉向量!O68</f>
        <v>0</v>
      </c>
      <c r="J77" s="248">
        <f>轉向量!Q68</f>
        <v>0</v>
      </c>
      <c r="K77" s="250">
        <f>轉向量!S68</f>
        <v>0</v>
      </c>
      <c r="L77" s="251">
        <f>轉向量!F164</f>
        <v>0</v>
      </c>
      <c r="M77" s="251">
        <f>轉向量!G164</f>
        <v>0</v>
      </c>
      <c r="N77" s="252">
        <f>轉向量!D164</f>
        <v>0</v>
      </c>
      <c r="O77" s="251">
        <f>轉向量!J164</f>
        <v>0</v>
      </c>
      <c r="P77" s="251">
        <f>轉向量!K164</f>
        <v>0</v>
      </c>
      <c r="Q77" s="252">
        <f>轉向量!H164</f>
        <v>0</v>
      </c>
      <c r="R77" s="253">
        <f>轉向量!P164</f>
        <v>0</v>
      </c>
      <c r="S77" s="251">
        <f>轉向量!Q164</f>
        <v>0</v>
      </c>
      <c r="T77" s="251">
        <f>轉向量!S164</f>
        <v>0</v>
      </c>
      <c r="U77" s="252">
        <f>轉向量!M164</f>
        <v>0</v>
      </c>
      <c r="V77" s="254">
        <f>轉向量!G260</f>
        <v>0</v>
      </c>
      <c r="W77" s="254">
        <f>轉向量!D260</f>
        <v>0</v>
      </c>
      <c r="X77" s="255">
        <f>轉向量!E260</f>
        <v>0</v>
      </c>
      <c r="Y77" s="254">
        <f>轉向量!K260</f>
        <v>0</v>
      </c>
      <c r="Z77" s="254">
        <f>轉向量!H260</f>
        <v>0</v>
      </c>
      <c r="AA77" s="255">
        <f>轉向量!I260</f>
        <v>0</v>
      </c>
      <c r="AB77" s="256">
        <f>轉向量!R260</f>
        <v>0</v>
      </c>
      <c r="AC77" s="254">
        <f>轉向量!S260</f>
        <v>0</v>
      </c>
      <c r="AD77" s="254">
        <f>轉向量!M260</f>
        <v>0</v>
      </c>
      <c r="AE77" s="255">
        <f>轉向量!O260</f>
        <v>0</v>
      </c>
      <c r="AF77" s="257">
        <f>轉向量!D356</f>
        <v>0</v>
      </c>
      <c r="AG77" s="257">
        <f>轉向量!E356</f>
        <v>0</v>
      </c>
      <c r="AH77" s="258">
        <f>轉向量!F356</f>
        <v>0</v>
      </c>
      <c r="AI77" s="257">
        <f>轉向量!H356</f>
        <v>0</v>
      </c>
      <c r="AJ77" s="257">
        <f>轉向量!I356</f>
        <v>0</v>
      </c>
      <c r="AK77" s="258">
        <f>轉向量!J356</f>
        <v>0</v>
      </c>
      <c r="AL77" s="259">
        <f>轉向量!L356</f>
        <v>0</v>
      </c>
      <c r="AM77" s="257">
        <f>轉向量!M356</f>
        <v>0</v>
      </c>
      <c r="AN77" s="257">
        <f>轉向量!O356</f>
        <v>0</v>
      </c>
      <c r="AO77" s="260">
        <f>轉向量!Q356</f>
        <v>0</v>
      </c>
      <c r="AP77" s="67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I77" s="66"/>
    </row>
    <row r="78" spans="1:61">
      <c r="A78" s="19">
        <v>1645</v>
      </c>
      <c r="B78" s="248">
        <f>轉向量!E69</f>
        <v>0</v>
      </c>
      <c r="C78" s="248">
        <f>轉向量!F69</f>
        <v>0</v>
      </c>
      <c r="D78" s="250">
        <f>轉向量!G69</f>
        <v>0</v>
      </c>
      <c r="E78" s="248">
        <f>轉向量!I69</f>
        <v>0</v>
      </c>
      <c r="F78" s="248">
        <f>轉向量!J69</f>
        <v>0</v>
      </c>
      <c r="G78" s="250">
        <f>轉向量!K69</f>
        <v>0</v>
      </c>
      <c r="H78" s="249">
        <f>轉向量!N69</f>
        <v>0</v>
      </c>
      <c r="I78" s="248">
        <f>轉向量!O69</f>
        <v>0</v>
      </c>
      <c r="J78" s="248">
        <f>轉向量!Q69</f>
        <v>0</v>
      </c>
      <c r="K78" s="250">
        <f>轉向量!S69</f>
        <v>0</v>
      </c>
      <c r="L78" s="251">
        <f>轉向量!F165</f>
        <v>0</v>
      </c>
      <c r="M78" s="251">
        <f>轉向量!G165</f>
        <v>0</v>
      </c>
      <c r="N78" s="252">
        <f>轉向量!D165</f>
        <v>0</v>
      </c>
      <c r="O78" s="251">
        <f>轉向量!J165</f>
        <v>0</v>
      </c>
      <c r="P78" s="251">
        <f>轉向量!K165</f>
        <v>0</v>
      </c>
      <c r="Q78" s="252">
        <f>轉向量!H165</f>
        <v>0</v>
      </c>
      <c r="R78" s="253">
        <f>轉向量!P165</f>
        <v>0</v>
      </c>
      <c r="S78" s="251">
        <f>轉向量!Q165</f>
        <v>0</v>
      </c>
      <c r="T78" s="251">
        <f>轉向量!S165</f>
        <v>0</v>
      </c>
      <c r="U78" s="252">
        <f>轉向量!M165</f>
        <v>0</v>
      </c>
      <c r="V78" s="254">
        <f>轉向量!G261</f>
        <v>0</v>
      </c>
      <c r="W78" s="254">
        <f>轉向量!D261</f>
        <v>0</v>
      </c>
      <c r="X78" s="255">
        <f>轉向量!E261</f>
        <v>0</v>
      </c>
      <c r="Y78" s="254">
        <f>轉向量!K261</f>
        <v>0</v>
      </c>
      <c r="Z78" s="254">
        <f>轉向量!H261</f>
        <v>0</v>
      </c>
      <c r="AA78" s="255">
        <f>轉向量!I261</f>
        <v>0</v>
      </c>
      <c r="AB78" s="256">
        <f>轉向量!R261</f>
        <v>0</v>
      </c>
      <c r="AC78" s="254">
        <f>轉向量!S261</f>
        <v>0</v>
      </c>
      <c r="AD78" s="254">
        <f>轉向量!M261</f>
        <v>0</v>
      </c>
      <c r="AE78" s="255">
        <f>轉向量!O261</f>
        <v>0</v>
      </c>
      <c r="AF78" s="257">
        <f>轉向量!D357</f>
        <v>0</v>
      </c>
      <c r="AG78" s="257">
        <f>轉向量!E357</f>
        <v>0</v>
      </c>
      <c r="AH78" s="258">
        <f>轉向量!F357</f>
        <v>0</v>
      </c>
      <c r="AI78" s="257">
        <f>轉向量!H357</f>
        <v>0</v>
      </c>
      <c r="AJ78" s="257">
        <f>轉向量!I357</f>
        <v>0</v>
      </c>
      <c r="AK78" s="258">
        <f>轉向量!J357</f>
        <v>0</v>
      </c>
      <c r="AL78" s="259">
        <f>轉向量!L357</f>
        <v>0</v>
      </c>
      <c r="AM78" s="257">
        <f>轉向量!M357</f>
        <v>0</v>
      </c>
      <c r="AN78" s="257">
        <f>轉向量!O357</f>
        <v>0</v>
      </c>
      <c r="AO78" s="260">
        <f>轉向量!Q357</f>
        <v>0</v>
      </c>
    </row>
    <row r="79" spans="1:61">
      <c r="A79" s="19">
        <v>1700</v>
      </c>
      <c r="B79" s="248">
        <f>轉向量!E70</f>
        <v>0</v>
      </c>
      <c r="C79" s="248">
        <f>轉向量!F70</f>
        <v>0</v>
      </c>
      <c r="D79" s="250">
        <f>轉向量!G70</f>
        <v>0</v>
      </c>
      <c r="E79" s="248">
        <f>轉向量!I70</f>
        <v>0</v>
      </c>
      <c r="F79" s="248">
        <f>轉向量!J70</f>
        <v>0</v>
      </c>
      <c r="G79" s="250">
        <f>轉向量!K70</f>
        <v>0</v>
      </c>
      <c r="H79" s="249">
        <f>轉向量!N70</f>
        <v>0</v>
      </c>
      <c r="I79" s="248">
        <f>轉向量!O70</f>
        <v>0</v>
      </c>
      <c r="J79" s="248">
        <f>轉向量!Q70</f>
        <v>0</v>
      </c>
      <c r="K79" s="250">
        <f>轉向量!S70</f>
        <v>0</v>
      </c>
      <c r="L79" s="251">
        <f>轉向量!F166</f>
        <v>0</v>
      </c>
      <c r="M79" s="251">
        <f>轉向量!G166</f>
        <v>0</v>
      </c>
      <c r="N79" s="252">
        <f>轉向量!D166</f>
        <v>0</v>
      </c>
      <c r="O79" s="251">
        <f>轉向量!J166</f>
        <v>0</v>
      </c>
      <c r="P79" s="251">
        <f>轉向量!K166</f>
        <v>0</v>
      </c>
      <c r="Q79" s="252">
        <f>轉向量!H166</f>
        <v>0</v>
      </c>
      <c r="R79" s="253">
        <f>轉向量!P166</f>
        <v>0</v>
      </c>
      <c r="S79" s="251">
        <f>轉向量!Q166</f>
        <v>0</v>
      </c>
      <c r="T79" s="251">
        <f>轉向量!S166</f>
        <v>0</v>
      </c>
      <c r="U79" s="252">
        <f>轉向量!M166</f>
        <v>0</v>
      </c>
      <c r="V79" s="254">
        <f>轉向量!G262</f>
        <v>0</v>
      </c>
      <c r="W79" s="254">
        <f>轉向量!D262</f>
        <v>0</v>
      </c>
      <c r="X79" s="255">
        <f>轉向量!E262</f>
        <v>0</v>
      </c>
      <c r="Y79" s="254">
        <f>轉向量!K262</f>
        <v>0</v>
      </c>
      <c r="Z79" s="254">
        <f>轉向量!H262</f>
        <v>0</v>
      </c>
      <c r="AA79" s="255">
        <f>轉向量!I262</f>
        <v>0</v>
      </c>
      <c r="AB79" s="256">
        <f>轉向量!R262</f>
        <v>0</v>
      </c>
      <c r="AC79" s="254">
        <f>轉向量!S262</f>
        <v>0</v>
      </c>
      <c r="AD79" s="254">
        <f>轉向量!M262</f>
        <v>0</v>
      </c>
      <c r="AE79" s="255">
        <f>轉向量!O262</f>
        <v>0</v>
      </c>
      <c r="AF79" s="257">
        <f>轉向量!D358</f>
        <v>0</v>
      </c>
      <c r="AG79" s="257">
        <f>轉向量!E358</f>
        <v>0</v>
      </c>
      <c r="AH79" s="258">
        <f>轉向量!F358</f>
        <v>0</v>
      </c>
      <c r="AI79" s="257">
        <f>轉向量!H358</f>
        <v>0</v>
      </c>
      <c r="AJ79" s="257">
        <f>轉向量!I358</f>
        <v>0</v>
      </c>
      <c r="AK79" s="258">
        <f>轉向量!J358</f>
        <v>0</v>
      </c>
      <c r="AL79" s="259">
        <f>轉向量!L358</f>
        <v>0</v>
      </c>
      <c r="AM79" s="257">
        <f>轉向量!M358</f>
        <v>0</v>
      </c>
      <c r="AN79" s="257">
        <f>轉向量!O358</f>
        <v>0</v>
      </c>
      <c r="AO79" s="260">
        <f>轉向量!Q358</f>
        <v>0</v>
      </c>
    </row>
    <row r="80" spans="1:61">
      <c r="A80" s="19">
        <v>1715</v>
      </c>
      <c r="B80" s="248">
        <f>轉向量!E71</f>
        <v>0</v>
      </c>
      <c r="C80" s="248">
        <f>轉向量!F71</f>
        <v>0</v>
      </c>
      <c r="D80" s="250">
        <f>轉向量!G71</f>
        <v>0</v>
      </c>
      <c r="E80" s="248">
        <f>轉向量!I71</f>
        <v>0</v>
      </c>
      <c r="F80" s="248">
        <f>轉向量!J71</f>
        <v>0</v>
      </c>
      <c r="G80" s="250">
        <f>轉向量!K71</f>
        <v>0</v>
      </c>
      <c r="H80" s="249">
        <f>轉向量!N71</f>
        <v>0</v>
      </c>
      <c r="I80" s="248">
        <f>轉向量!O71</f>
        <v>0</v>
      </c>
      <c r="J80" s="248">
        <f>轉向量!Q71</f>
        <v>0</v>
      </c>
      <c r="K80" s="250">
        <f>轉向量!S71</f>
        <v>0</v>
      </c>
      <c r="L80" s="251">
        <f>轉向量!F167</f>
        <v>0</v>
      </c>
      <c r="M80" s="251">
        <f>轉向量!G167</f>
        <v>0</v>
      </c>
      <c r="N80" s="252">
        <f>轉向量!D167</f>
        <v>0</v>
      </c>
      <c r="O80" s="251">
        <f>轉向量!J167</f>
        <v>0</v>
      </c>
      <c r="P80" s="251">
        <f>轉向量!K167</f>
        <v>0</v>
      </c>
      <c r="Q80" s="252">
        <f>轉向量!H167</f>
        <v>0</v>
      </c>
      <c r="R80" s="253">
        <f>轉向量!P167</f>
        <v>0</v>
      </c>
      <c r="S80" s="251">
        <f>轉向量!Q167</f>
        <v>0</v>
      </c>
      <c r="T80" s="251">
        <f>轉向量!S167</f>
        <v>0</v>
      </c>
      <c r="U80" s="252">
        <f>轉向量!M167</f>
        <v>0</v>
      </c>
      <c r="V80" s="254">
        <f>轉向量!G263</f>
        <v>0</v>
      </c>
      <c r="W80" s="254">
        <f>轉向量!D263</f>
        <v>0</v>
      </c>
      <c r="X80" s="255">
        <f>轉向量!E263</f>
        <v>0</v>
      </c>
      <c r="Y80" s="254">
        <f>轉向量!K263</f>
        <v>0</v>
      </c>
      <c r="Z80" s="254">
        <f>轉向量!H263</f>
        <v>0</v>
      </c>
      <c r="AA80" s="255">
        <f>轉向量!I263</f>
        <v>0</v>
      </c>
      <c r="AB80" s="256">
        <f>轉向量!R263</f>
        <v>0</v>
      </c>
      <c r="AC80" s="254">
        <f>轉向量!S263</f>
        <v>0</v>
      </c>
      <c r="AD80" s="254">
        <f>轉向量!M263</f>
        <v>0</v>
      </c>
      <c r="AE80" s="255">
        <f>轉向量!O263</f>
        <v>0</v>
      </c>
      <c r="AF80" s="257">
        <f>轉向量!D359</f>
        <v>0</v>
      </c>
      <c r="AG80" s="257">
        <f>轉向量!E359</f>
        <v>0</v>
      </c>
      <c r="AH80" s="258">
        <f>轉向量!F359</f>
        <v>0</v>
      </c>
      <c r="AI80" s="257">
        <f>轉向量!H359</f>
        <v>0</v>
      </c>
      <c r="AJ80" s="257">
        <f>轉向量!I359</f>
        <v>0</v>
      </c>
      <c r="AK80" s="258">
        <f>轉向量!J359</f>
        <v>0</v>
      </c>
      <c r="AL80" s="259">
        <f>轉向量!L359</f>
        <v>0</v>
      </c>
      <c r="AM80" s="257">
        <f>轉向量!M359</f>
        <v>0</v>
      </c>
      <c r="AN80" s="257">
        <f>轉向量!O359</f>
        <v>0</v>
      </c>
      <c r="AO80" s="260">
        <f>轉向量!Q359</f>
        <v>0</v>
      </c>
    </row>
    <row r="81" spans="1:41">
      <c r="A81" s="19">
        <v>1730</v>
      </c>
      <c r="B81" s="248">
        <f>轉向量!E72</f>
        <v>0</v>
      </c>
      <c r="C81" s="248">
        <f>轉向量!F72</f>
        <v>0</v>
      </c>
      <c r="D81" s="250">
        <f>轉向量!G72</f>
        <v>0</v>
      </c>
      <c r="E81" s="248">
        <f>轉向量!I72</f>
        <v>0</v>
      </c>
      <c r="F81" s="248">
        <f>轉向量!J72</f>
        <v>0</v>
      </c>
      <c r="G81" s="250">
        <f>轉向量!K72</f>
        <v>0</v>
      </c>
      <c r="H81" s="249">
        <f>轉向量!N72</f>
        <v>0</v>
      </c>
      <c r="I81" s="248">
        <f>轉向量!O72</f>
        <v>0</v>
      </c>
      <c r="J81" s="248">
        <f>轉向量!Q72</f>
        <v>0</v>
      </c>
      <c r="K81" s="250">
        <f>轉向量!S72</f>
        <v>0</v>
      </c>
      <c r="L81" s="251">
        <f>轉向量!F168</f>
        <v>0</v>
      </c>
      <c r="M81" s="251">
        <f>轉向量!G168</f>
        <v>0</v>
      </c>
      <c r="N81" s="252">
        <f>轉向量!D168</f>
        <v>0</v>
      </c>
      <c r="O81" s="251">
        <f>轉向量!J168</f>
        <v>0</v>
      </c>
      <c r="P81" s="251">
        <f>轉向量!K168</f>
        <v>0</v>
      </c>
      <c r="Q81" s="252">
        <f>轉向量!H168</f>
        <v>0</v>
      </c>
      <c r="R81" s="253">
        <f>轉向量!P168</f>
        <v>0</v>
      </c>
      <c r="S81" s="251">
        <f>轉向量!Q168</f>
        <v>0</v>
      </c>
      <c r="T81" s="251">
        <f>轉向量!S168</f>
        <v>0</v>
      </c>
      <c r="U81" s="252">
        <f>轉向量!M168</f>
        <v>0</v>
      </c>
      <c r="V81" s="254">
        <f>轉向量!G264</f>
        <v>0</v>
      </c>
      <c r="W81" s="254">
        <f>轉向量!D264</f>
        <v>0</v>
      </c>
      <c r="X81" s="255">
        <f>轉向量!E264</f>
        <v>0</v>
      </c>
      <c r="Y81" s="254">
        <f>轉向量!K264</f>
        <v>0</v>
      </c>
      <c r="Z81" s="254">
        <f>轉向量!H264</f>
        <v>0</v>
      </c>
      <c r="AA81" s="255">
        <f>轉向量!I264</f>
        <v>0</v>
      </c>
      <c r="AB81" s="256">
        <f>轉向量!R264</f>
        <v>0</v>
      </c>
      <c r="AC81" s="254">
        <f>轉向量!S264</f>
        <v>0</v>
      </c>
      <c r="AD81" s="254">
        <f>轉向量!M264</f>
        <v>0</v>
      </c>
      <c r="AE81" s="255">
        <f>轉向量!O264</f>
        <v>0</v>
      </c>
      <c r="AF81" s="257">
        <f>轉向量!D360</f>
        <v>0</v>
      </c>
      <c r="AG81" s="257">
        <f>轉向量!E360</f>
        <v>0</v>
      </c>
      <c r="AH81" s="258">
        <f>轉向量!F360</f>
        <v>0</v>
      </c>
      <c r="AI81" s="257">
        <f>轉向量!H360</f>
        <v>0</v>
      </c>
      <c r="AJ81" s="257">
        <f>轉向量!I360</f>
        <v>0</v>
      </c>
      <c r="AK81" s="258">
        <f>轉向量!J360</f>
        <v>0</v>
      </c>
      <c r="AL81" s="259">
        <f>轉向量!L360</f>
        <v>0</v>
      </c>
      <c r="AM81" s="257">
        <f>轉向量!M360</f>
        <v>0</v>
      </c>
      <c r="AN81" s="257">
        <f>轉向量!O360</f>
        <v>0</v>
      </c>
      <c r="AO81" s="260">
        <f>轉向量!Q360</f>
        <v>0</v>
      </c>
    </row>
    <row r="82" spans="1:41">
      <c r="A82" s="19">
        <v>1745</v>
      </c>
      <c r="B82" s="248">
        <f>轉向量!E73</f>
        <v>0</v>
      </c>
      <c r="C82" s="248">
        <f>轉向量!F73</f>
        <v>0</v>
      </c>
      <c r="D82" s="250">
        <f>轉向量!G73</f>
        <v>0</v>
      </c>
      <c r="E82" s="248">
        <f>轉向量!I73</f>
        <v>0</v>
      </c>
      <c r="F82" s="248">
        <f>轉向量!J73</f>
        <v>0</v>
      </c>
      <c r="G82" s="250">
        <f>轉向量!K73</f>
        <v>0</v>
      </c>
      <c r="H82" s="249">
        <f>轉向量!N73</f>
        <v>0</v>
      </c>
      <c r="I82" s="248">
        <f>轉向量!O73</f>
        <v>0</v>
      </c>
      <c r="J82" s="248">
        <f>轉向量!Q73</f>
        <v>0</v>
      </c>
      <c r="K82" s="250">
        <f>轉向量!S73</f>
        <v>0</v>
      </c>
      <c r="L82" s="251">
        <f>轉向量!F169</f>
        <v>0</v>
      </c>
      <c r="M82" s="251">
        <f>轉向量!G169</f>
        <v>0</v>
      </c>
      <c r="N82" s="252">
        <f>轉向量!D169</f>
        <v>0</v>
      </c>
      <c r="O82" s="251">
        <f>轉向量!J169</f>
        <v>0</v>
      </c>
      <c r="P82" s="251">
        <f>轉向量!K169</f>
        <v>0</v>
      </c>
      <c r="Q82" s="252">
        <f>轉向量!H169</f>
        <v>0</v>
      </c>
      <c r="R82" s="253">
        <f>轉向量!P169</f>
        <v>0</v>
      </c>
      <c r="S82" s="251">
        <f>轉向量!Q169</f>
        <v>0</v>
      </c>
      <c r="T82" s="251">
        <f>轉向量!S169</f>
        <v>0</v>
      </c>
      <c r="U82" s="252">
        <f>轉向量!M169</f>
        <v>0</v>
      </c>
      <c r="V82" s="254">
        <f>轉向量!G265</f>
        <v>0</v>
      </c>
      <c r="W82" s="254">
        <f>轉向量!D265</f>
        <v>0</v>
      </c>
      <c r="X82" s="255">
        <f>轉向量!E265</f>
        <v>0</v>
      </c>
      <c r="Y82" s="254">
        <f>轉向量!K265</f>
        <v>0</v>
      </c>
      <c r="Z82" s="254">
        <f>轉向量!H265</f>
        <v>0</v>
      </c>
      <c r="AA82" s="255">
        <f>轉向量!I265</f>
        <v>0</v>
      </c>
      <c r="AB82" s="256">
        <f>轉向量!R265</f>
        <v>0</v>
      </c>
      <c r="AC82" s="254">
        <f>轉向量!S265</f>
        <v>0</v>
      </c>
      <c r="AD82" s="254">
        <f>轉向量!M265</f>
        <v>0</v>
      </c>
      <c r="AE82" s="255">
        <f>轉向量!O265</f>
        <v>0</v>
      </c>
      <c r="AF82" s="257">
        <f>轉向量!D361</f>
        <v>0</v>
      </c>
      <c r="AG82" s="257">
        <f>轉向量!E361</f>
        <v>0</v>
      </c>
      <c r="AH82" s="258">
        <f>轉向量!F361</f>
        <v>0</v>
      </c>
      <c r="AI82" s="257">
        <f>轉向量!H361</f>
        <v>0</v>
      </c>
      <c r="AJ82" s="257">
        <f>轉向量!I361</f>
        <v>0</v>
      </c>
      <c r="AK82" s="258">
        <f>轉向量!J361</f>
        <v>0</v>
      </c>
      <c r="AL82" s="259">
        <f>轉向量!L361</f>
        <v>0</v>
      </c>
      <c r="AM82" s="257">
        <f>轉向量!M361</f>
        <v>0</v>
      </c>
      <c r="AN82" s="257">
        <f>轉向量!O361</f>
        <v>0</v>
      </c>
      <c r="AO82" s="260">
        <f>轉向量!Q361</f>
        <v>0</v>
      </c>
    </row>
    <row r="83" spans="1:41">
      <c r="A83" s="19">
        <v>1800</v>
      </c>
      <c r="B83" s="248">
        <f>轉向量!E74</f>
        <v>0</v>
      </c>
      <c r="C83" s="248">
        <f>轉向量!F74</f>
        <v>0</v>
      </c>
      <c r="D83" s="250">
        <f>轉向量!G74</f>
        <v>0</v>
      </c>
      <c r="E83" s="248">
        <f>轉向量!I74</f>
        <v>0</v>
      </c>
      <c r="F83" s="248">
        <f>轉向量!J74</f>
        <v>0</v>
      </c>
      <c r="G83" s="250">
        <f>轉向量!K74</f>
        <v>0</v>
      </c>
      <c r="H83" s="249">
        <f>轉向量!N74</f>
        <v>0</v>
      </c>
      <c r="I83" s="248">
        <f>轉向量!O74</f>
        <v>0</v>
      </c>
      <c r="J83" s="248">
        <f>轉向量!Q74</f>
        <v>0</v>
      </c>
      <c r="K83" s="250">
        <f>轉向量!S74</f>
        <v>0</v>
      </c>
      <c r="L83" s="251">
        <f>轉向量!F170</f>
        <v>0</v>
      </c>
      <c r="M83" s="251">
        <f>轉向量!G170</f>
        <v>0</v>
      </c>
      <c r="N83" s="252">
        <f>轉向量!D170</f>
        <v>0</v>
      </c>
      <c r="O83" s="251">
        <f>轉向量!J170</f>
        <v>0</v>
      </c>
      <c r="P83" s="251">
        <f>轉向量!K170</f>
        <v>0</v>
      </c>
      <c r="Q83" s="252">
        <f>轉向量!H170</f>
        <v>0</v>
      </c>
      <c r="R83" s="253">
        <f>轉向量!P170</f>
        <v>0</v>
      </c>
      <c r="S83" s="251">
        <f>轉向量!Q170</f>
        <v>0</v>
      </c>
      <c r="T83" s="251">
        <f>轉向量!S170</f>
        <v>0</v>
      </c>
      <c r="U83" s="252">
        <f>轉向量!M170</f>
        <v>0</v>
      </c>
      <c r="V83" s="254">
        <f>轉向量!G266</f>
        <v>0</v>
      </c>
      <c r="W83" s="254">
        <f>轉向量!D266</f>
        <v>0</v>
      </c>
      <c r="X83" s="255">
        <f>轉向量!E266</f>
        <v>0</v>
      </c>
      <c r="Y83" s="254">
        <f>轉向量!K266</f>
        <v>0</v>
      </c>
      <c r="Z83" s="254">
        <f>轉向量!H266</f>
        <v>0</v>
      </c>
      <c r="AA83" s="255">
        <f>轉向量!I266</f>
        <v>0</v>
      </c>
      <c r="AB83" s="256">
        <f>轉向量!R266</f>
        <v>0</v>
      </c>
      <c r="AC83" s="254">
        <f>轉向量!S266</f>
        <v>0</v>
      </c>
      <c r="AD83" s="254">
        <f>轉向量!M266</f>
        <v>0</v>
      </c>
      <c r="AE83" s="255">
        <f>轉向量!O266</f>
        <v>0</v>
      </c>
      <c r="AF83" s="257">
        <f>轉向量!D362</f>
        <v>0</v>
      </c>
      <c r="AG83" s="257">
        <f>轉向量!E362</f>
        <v>0</v>
      </c>
      <c r="AH83" s="258">
        <f>轉向量!F362</f>
        <v>0</v>
      </c>
      <c r="AI83" s="257">
        <f>轉向量!H362</f>
        <v>0</v>
      </c>
      <c r="AJ83" s="257">
        <f>轉向量!I362</f>
        <v>0</v>
      </c>
      <c r="AK83" s="258">
        <f>轉向量!J362</f>
        <v>0</v>
      </c>
      <c r="AL83" s="259">
        <f>轉向量!L362</f>
        <v>0</v>
      </c>
      <c r="AM83" s="257">
        <f>轉向量!M362</f>
        <v>0</v>
      </c>
      <c r="AN83" s="257">
        <f>轉向量!O362</f>
        <v>0</v>
      </c>
      <c r="AO83" s="260">
        <f>轉向量!Q362</f>
        <v>0</v>
      </c>
    </row>
    <row r="84" spans="1:41">
      <c r="A84" s="19">
        <v>1815</v>
      </c>
      <c r="B84" s="248">
        <f>轉向量!E75</f>
        <v>0</v>
      </c>
      <c r="C84" s="248">
        <f>轉向量!F75</f>
        <v>0</v>
      </c>
      <c r="D84" s="250">
        <f>轉向量!G75</f>
        <v>0</v>
      </c>
      <c r="E84" s="248">
        <f>轉向量!I75</f>
        <v>0</v>
      </c>
      <c r="F84" s="248">
        <f>轉向量!J75</f>
        <v>0</v>
      </c>
      <c r="G84" s="250">
        <f>轉向量!K75</f>
        <v>0</v>
      </c>
      <c r="H84" s="249">
        <f>轉向量!N75</f>
        <v>0</v>
      </c>
      <c r="I84" s="248">
        <f>轉向量!O75</f>
        <v>0</v>
      </c>
      <c r="J84" s="248">
        <f>轉向量!Q75</f>
        <v>0</v>
      </c>
      <c r="K84" s="250">
        <f>轉向量!S75</f>
        <v>0</v>
      </c>
      <c r="L84" s="251">
        <f>轉向量!F171</f>
        <v>0</v>
      </c>
      <c r="M84" s="251">
        <f>轉向量!G171</f>
        <v>0</v>
      </c>
      <c r="N84" s="252">
        <f>轉向量!D171</f>
        <v>0</v>
      </c>
      <c r="O84" s="251">
        <f>轉向量!J171</f>
        <v>0</v>
      </c>
      <c r="P84" s="251">
        <f>轉向量!K171</f>
        <v>0</v>
      </c>
      <c r="Q84" s="252">
        <f>轉向量!H171</f>
        <v>0</v>
      </c>
      <c r="R84" s="253">
        <f>轉向量!P171</f>
        <v>0</v>
      </c>
      <c r="S84" s="251">
        <f>轉向量!Q171</f>
        <v>0</v>
      </c>
      <c r="T84" s="251">
        <f>轉向量!S171</f>
        <v>0</v>
      </c>
      <c r="U84" s="252">
        <f>轉向量!M171</f>
        <v>0</v>
      </c>
      <c r="V84" s="254">
        <f>轉向量!G267</f>
        <v>0</v>
      </c>
      <c r="W84" s="254">
        <f>轉向量!D267</f>
        <v>0</v>
      </c>
      <c r="X84" s="255">
        <f>轉向量!E267</f>
        <v>0</v>
      </c>
      <c r="Y84" s="254">
        <f>轉向量!K267</f>
        <v>0</v>
      </c>
      <c r="Z84" s="254">
        <f>轉向量!H267</f>
        <v>0</v>
      </c>
      <c r="AA84" s="255">
        <f>轉向量!I267</f>
        <v>0</v>
      </c>
      <c r="AB84" s="256">
        <f>轉向量!R267</f>
        <v>0</v>
      </c>
      <c r="AC84" s="254">
        <f>轉向量!S267</f>
        <v>0</v>
      </c>
      <c r="AD84" s="254">
        <f>轉向量!M267</f>
        <v>0</v>
      </c>
      <c r="AE84" s="255">
        <f>轉向量!O267</f>
        <v>0</v>
      </c>
      <c r="AF84" s="257">
        <f>轉向量!D363</f>
        <v>0</v>
      </c>
      <c r="AG84" s="257">
        <f>轉向量!E363</f>
        <v>0</v>
      </c>
      <c r="AH84" s="258">
        <f>轉向量!F363</f>
        <v>0</v>
      </c>
      <c r="AI84" s="257">
        <f>轉向量!H363</f>
        <v>0</v>
      </c>
      <c r="AJ84" s="257">
        <f>轉向量!I363</f>
        <v>0</v>
      </c>
      <c r="AK84" s="258">
        <f>轉向量!J363</f>
        <v>0</v>
      </c>
      <c r="AL84" s="259">
        <f>轉向量!L363</f>
        <v>0</v>
      </c>
      <c r="AM84" s="257">
        <f>轉向量!M363</f>
        <v>0</v>
      </c>
      <c r="AN84" s="257">
        <f>轉向量!O363</f>
        <v>0</v>
      </c>
      <c r="AO84" s="260">
        <f>轉向量!Q363</f>
        <v>0</v>
      </c>
    </row>
    <row r="85" spans="1:41">
      <c r="A85" s="19">
        <v>1830</v>
      </c>
      <c r="B85" s="248">
        <f>轉向量!E76</f>
        <v>0</v>
      </c>
      <c r="C85" s="248">
        <f>轉向量!F76</f>
        <v>0</v>
      </c>
      <c r="D85" s="250">
        <f>轉向量!G76</f>
        <v>0</v>
      </c>
      <c r="E85" s="248">
        <f>轉向量!I76</f>
        <v>0</v>
      </c>
      <c r="F85" s="248">
        <f>轉向量!J76</f>
        <v>0</v>
      </c>
      <c r="G85" s="250">
        <f>轉向量!K76</f>
        <v>0</v>
      </c>
      <c r="H85" s="249">
        <f>轉向量!N76</f>
        <v>0</v>
      </c>
      <c r="I85" s="248">
        <f>轉向量!O76</f>
        <v>0</v>
      </c>
      <c r="J85" s="248">
        <f>轉向量!Q76</f>
        <v>0</v>
      </c>
      <c r="K85" s="250">
        <f>轉向量!S76</f>
        <v>0</v>
      </c>
      <c r="L85" s="251">
        <f>轉向量!F172</f>
        <v>0</v>
      </c>
      <c r="M85" s="251">
        <f>轉向量!G172</f>
        <v>0</v>
      </c>
      <c r="N85" s="252">
        <f>轉向量!D172</f>
        <v>0</v>
      </c>
      <c r="O85" s="251">
        <f>轉向量!J172</f>
        <v>0</v>
      </c>
      <c r="P85" s="251">
        <f>轉向量!K172</f>
        <v>0</v>
      </c>
      <c r="Q85" s="252">
        <f>轉向量!H172</f>
        <v>0</v>
      </c>
      <c r="R85" s="253">
        <f>轉向量!P172</f>
        <v>0</v>
      </c>
      <c r="S85" s="251">
        <f>轉向量!Q172</f>
        <v>0</v>
      </c>
      <c r="T85" s="251">
        <f>轉向量!S172</f>
        <v>0</v>
      </c>
      <c r="U85" s="252">
        <f>轉向量!M172</f>
        <v>0</v>
      </c>
      <c r="V85" s="254">
        <f>轉向量!G268</f>
        <v>0</v>
      </c>
      <c r="W85" s="254">
        <f>轉向量!D268</f>
        <v>0</v>
      </c>
      <c r="X85" s="255">
        <f>轉向量!E268</f>
        <v>0</v>
      </c>
      <c r="Y85" s="254">
        <f>轉向量!K268</f>
        <v>0</v>
      </c>
      <c r="Z85" s="254">
        <f>轉向量!H268</f>
        <v>0</v>
      </c>
      <c r="AA85" s="255">
        <f>轉向量!I268</f>
        <v>0</v>
      </c>
      <c r="AB85" s="256">
        <f>轉向量!R268</f>
        <v>0</v>
      </c>
      <c r="AC85" s="254">
        <f>轉向量!S268</f>
        <v>0</v>
      </c>
      <c r="AD85" s="254">
        <f>轉向量!M268</f>
        <v>0</v>
      </c>
      <c r="AE85" s="255">
        <f>轉向量!O268</f>
        <v>0</v>
      </c>
      <c r="AF85" s="257">
        <f>轉向量!D364</f>
        <v>0</v>
      </c>
      <c r="AG85" s="257">
        <f>轉向量!E364</f>
        <v>0</v>
      </c>
      <c r="AH85" s="258">
        <f>轉向量!F364</f>
        <v>0</v>
      </c>
      <c r="AI85" s="257">
        <f>轉向量!H364</f>
        <v>0</v>
      </c>
      <c r="AJ85" s="257">
        <f>轉向量!I364</f>
        <v>0</v>
      </c>
      <c r="AK85" s="258">
        <f>轉向量!J364</f>
        <v>0</v>
      </c>
      <c r="AL85" s="259">
        <f>轉向量!L364</f>
        <v>0</v>
      </c>
      <c r="AM85" s="257">
        <f>轉向量!M364</f>
        <v>0</v>
      </c>
      <c r="AN85" s="257">
        <f>轉向量!O364</f>
        <v>0</v>
      </c>
      <c r="AO85" s="260">
        <f>轉向量!Q364</f>
        <v>0</v>
      </c>
    </row>
    <row r="86" spans="1:41">
      <c r="A86" s="19">
        <v>1845</v>
      </c>
      <c r="B86" s="248">
        <f>轉向量!E77</f>
        <v>0</v>
      </c>
      <c r="C86" s="248">
        <f>轉向量!F77</f>
        <v>0</v>
      </c>
      <c r="D86" s="250">
        <f>轉向量!G77</f>
        <v>0</v>
      </c>
      <c r="E86" s="248">
        <f>轉向量!I77</f>
        <v>0</v>
      </c>
      <c r="F86" s="248">
        <f>轉向量!J77</f>
        <v>0</v>
      </c>
      <c r="G86" s="250">
        <f>轉向量!K77</f>
        <v>0</v>
      </c>
      <c r="H86" s="249">
        <f>轉向量!N77</f>
        <v>0</v>
      </c>
      <c r="I86" s="248">
        <f>轉向量!O77</f>
        <v>0</v>
      </c>
      <c r="J86" s="248">
        <f>轉向量!Q77</f>
        <v>0</v>
      </c>
      <c r="K86" s="250">
        <f>轉向量!S77</f>
        <v>0</v>
      </c>
      <c r="L86" s="251">
        <f>轉向量!F173</f>
        <v>0</v>
      </c>
      <c r="M86" s="251">
        <f>轉向量!G173</f>
        <v>0</v>
      </c>
      <c r="N86" s="252">
        <f>轉向量!D173</f>
        <v>0</v>
      </c>
      <c r="O86" s="251">
        <f>轉向量!J173</f>
        <v>0</v>
      </c>
      <c r="P86" s="251">
        <f>轉向量!K173</f>
        <v>0</v>
      </c>
      <c r="Q86" s="252">
        <f>轉向量!H173</f>
        <v>0</v>
      </c>
      <c r="R86" s="253">
        <f>轉向量!P173</f>
        <v>0</v>
      </c>
      <c r="S86" s="251">
        <f>轉向量!Q173</f>
        <v>0</v>
      </c>
      <c r="T86" s="251">
        <f>轉向量!S173</f>
        <v>0</v>
      </c>
      <c r="U86" s="252">
        <f>轉向量!M173</f>
        <v>0</v>
      </c>
      <c r="V86" s="254">
        <f>轉向量!G269</f>
        <v>0</v>
      </c>
      <c r="W86" s="254">
        <f>轉向量!D269</f>
        <v>0</v>
      </c>
      <c r="X86" s="255">
        <f>轉向量!E269</f>
        <v>0</v>
      </c>
      <c r="Y86" s="254">
        <f>轉向量!K269</f>
        <v>0</v>
      </c>
      <c r="Z86" s="254">
        <f>轉向量!H269</f>
        <v>0</v>
      </c>
      <c r="AA86" s="255">
        <f>轉向量!I269</f>
        <v>0</v>
      </c>
      <c r="AB86" s="256">
        <f>轉向量!R269</f>
        <v>0</v>
      </c>
      <c r="AC86" s="254">
        <f>轉向量!S269</f>
        <v>0</v>
      </c>
      <c r="AD86" s="254">
        <f>轉向量!M269</f>
        <v>0</v>
      </c>
      <c r="AE86" s="255">
        <f>轉向量!O269</f>
        <v>0</v>
      </c>
      <c r="AF86" s="257">
        <f>轉向量!D365</f>
        <v>0</v>
      </c>
      <c r="AG86" s="257">
        <f>轉向量!E365</f>
        <v>0</v>
      </c>
      <c r="AH86" s="258">
        <f>轉向量!F365</f>
        <v>0</v>
      </c>
      <c r="AI86" s="257">
        <f>轉向量!H365</f>
        <v>0</v>
      </c>
      <c r="AJ86" s="257">
        <f>轉向量!I365</f>
        <v>0</v>
      </c>
      <c r="AK86" s="258">
        <f>轉向量!J365</f>
        <v>0</v>
      </c>
      <c r="AL86" s="259">
        <f>轉向量!L365</f>
        <v>0</v>
      </c>
      <c r="AM86" s="257">
        <f>轉向量!M365</f>
        <v>0</v>
      </c>
      <c r="AN86" s="257">
        <f>轉向量!O365</f>
        <v>0</v>
      </c>
      <c r="AO86" s="260">
        <f>轉向量!Q365</f>
        <v>0</v>
      </c>
    </row>
    <row r="87" spans="1:41">
      <c r="A87" s="19">
        <v>1900</v>
      </c>
      <c r="B87" s="248">
        <f>轉向量!E78</f>
        <v>0</v>
      </c>
      <c r="C87" s="248">
        <f>轉向量!F78</f>
        <v>0</v>
      </c>
      <c r="D87" s="250">
        <f>轉向量!G78</f>
        <v>0</v>
      </c>
      <c r="E87" s="248">
        <f>轉向量!I78</f>
        <v>0</v>
      </c>
      <c r="F87" s="248">
        <f>轉向量!J78</f>
        <v>0</v>
      </c>
      <c r="G87" s="250">
        <f>轉向量!K78</f>
        <v>0</v>
      </c>
      <c r="H87" s="249">
        <f>轉向量!N78</f>
        <v>0</v>
      </c>
      <c r="I87" s="248">
        <f>轉向量!O78</f>
        <v>0</v>
      </c>
      <c r="J87" s="248">
        <f>轉向量!Q78</f>
        <v>0</v>
      </c>
      <c r="K87" s="250">
        <f>轉向量!S78</f>
        <v>0</v>
      </c>
      <c r="L87" s="251">
        <f>轉向量!F174</f>
        <v>0</v>
      </c>
      <c r="M87" s="251">
        <f>轉向量!G174</f>
        <v>0</v>
      </c>
      <c r="N87" s="252">
        <f>轉向量!D174</f>
        <v>0</v>
      </c>
      <c r="O87" s="251">
        <f>轉向量!J174</f>
        <v>0</v>
      </c>
      <c r="P87" s="251">
        <f>轉向量!K174</f>
        <v>0</v>
      </c>
      <c r="Q87" s="252">
        <f>轉向量!H174</f>
        <v>0</v>
      </c>
      <c r="R87" s="253">
        <f>轉向量!P174</f>
        <v>0</v>
      </c>
      <c r="S87" s="251">
        <f>轉向量!Q174</f>
        <v>0</v>
      </c>
      <c r="T87" s="251">
        <f>轉向量!S174</f>
        <v>0</v>
      </c>
      <c r="U87" s="252">
        <f>轉向量!M174</f>
        <v>0</v>
      </c>
      <c r="V87" s="254">
        <f>轉向量!G270</f>
        <v>0</v>
      </c>
      <c r="W87" s="254">
        <f>轉向量!D270</f>
        <v>0</v>
      </c>
      <c r="X87" s="255">
        <f>轉向量!E270</f>
        <v>0</v>
      </c>
      <c r="Y87" s="254">
        <f>轉向量!K270</f>
        <v>0</v>
      </c>
      <c r="Z87" s="254">
        <f>轉向量!H270</f>
        <v>0</v>
      </c>
      <c r="AA87" s="255">
        <f>轉向量!I270</f>
        <v>0</v>
      </c>
      <c r="AB87" s="256">
        <f>轉向量!R270</f>
        <v>0</v>
      </c>
      <c r="AC87" s="254">
        <f>轉向量!S270</f>
        <v>0</v>
      </c>
      <c r="AD87" s="254">
        <f>轉向量!M270</f>
        <v>0</v>
      </c>
      <c r="AE87" s="255">
        <f>轉向量!O270</f>
        <v>0</v>
      </c>
      <c r="AF87" s="257">
        <f>轉向量!D366</f>
        <v>0</v>
      </c>
      <c r="AG87" s="257">
        <f>轉向量!E366</f>
        <v>0</v>
      </c>
      <c r="AH87" s="258">
        <f>轉向量!F366</f>
        <v>0</v>
      </c>
      <c r="AI87" s="257">
        <f>轉向量!H366</f>
        <v>0</v>
      </c>
      <c r="AJ87" s="257">
        <f>轉向量!I366</f>
        <v>0</v>
      </c>
      <c r="AK87" s="258">
        <f>轉向量!J366</f>
        <v>0</v>
      </c>
      <c r="AL87" s="259">
        <f>轉向量!L366</f>
        <v>0</v>
      </c>
      <c r="AM87" s="257">
        <f>轉向量!M366</f>
        <v>0</v>
      </c>
      <c r="AN87" s="257">
        <f>轉向量!O366</f>
        <v>0</v>
      </c>
      <c r="AO87" s="260">
        <f>轉向量!Q366</f>
        <v>0</v>
      </c>
    </row>
    <row r="88" spans="1:41">
      <c r="A88" s="19">
        <v>1915</v>
      </c>
      <c r="B88" s="248">
        <f>轉向量!E79</f>
        <v>0</v>
      </c>
      <c r="C88" s="248">
        <f>轉向量!F79</f>
        <v>0</v>
      </c>
      <c r="D88" s="250">
        <f>轉向量!G79</f>
        <v>0</v>
      </c>
      <c r="E88" s="248">
        <f>轉向量!I79</f>
        <v>0</v>
      </c>
      <c r="F88" s="248">
        <f>轉向量!J79</f>
        <v>0</v>
      </c>
      <c r="G88" s="250">
        <f>轉向量!K79</f>
        <v>0</v>
      </c>
      <c r="H88" s="249">
        <f>轉向量!N79</f>
        <v>0</v>
      </c>
      <c r="I88" s="248">
        <f>轉向量!O79</f>
        <v>0</v>
      </c>
      <c r="J88" s="248">
        <f>轉向量!Q79</f>
        <v>0</v>
      </c>
      <c r="K88" s="250">
        <f>轉向量!S79</f>
        <v>0</v>
      </c>
      <c r="L88" s="251">
        <f>轉向量!F175</f>
        <v>0</v>
      </c>
      <c r="M88" s="251">
        <f>轉向量!G175</f>
        <v>0</v>
      </c>
      <c r="N88" s="252">
        <f>轉向量!D175</f>
        <v>0</v>
      </c>
      <c r="O88" s="251">
        <f>轉向量!J175</f>
        <v>0</v>
      </c>
      <c r="P88" s="251">
        <f>轉向量!K175</f>
        <v>0</v>
      </c>
      <c r="Q88" s="252">
        <f>轉向量!H175</f>
        <v>0</v>
      </c>
      <c r="R88" s="253">
        <f>轉向量!P175</f>
        <v>0</v>
      </c>
      <c r="S88" s="251">
        <f>轉向量!Q175</f>
        <v>0</v>
      </c>
      <c r="T88" s="251">
        <f>轉向量!S175</f>
        <v>0</v>
      </c>
      <c r="U88" s="252">
        <f>轉向量!M175</f>
        <v>0</v>
      </c>
      <c r="V88" s="254">
        <f>轉向量!G271</f>
        <v>0</v>
      </c>
      <c r="W88" s="254">
        <f>轉向量!D271</f>
        <v>0</v>
      </c>
      <c r="X88" s="255">
        <f>轉向量!E271</f>
        <v>0</v>
      </c>
      <c r="Y88" s="254">
        <f>轉向量!K271</f>
        <v>0</v>
      </c>
      <c r="Z88" s="254">
        <f>轉向量!H271</f>
        <v>0</v>
      </c>
      <c r="AA88" s="255">
        <f>轉向量!I271</f>
        <v>0</v>
      </c>
      <c r="AB88" s="256">
        <f>轉向量!R271</f>
        <v>0</v>
      </c>
      <c r="AC88" s="254">
        <f>轉向量!S271</f>
        <v>0</v>
      </c>
      <c r="AD88" s="254">
        <f>轉向量!M271</f>
        <v>0</v>
      </c>
      <c r="AE88" s="255">
        <f>轉向量!O271</f>
        <v>0</v>
      </c>
      <c r="AF88" s="257">
        <f>轉向量!D367</f>
        <v>0</v>
      </c>
      <c r="AG88" s="257">
        <f>轉向量!E367</f>
        <v>0</v>
      </c>
      <c r="AH88" s="258">
        <f>轉向量!F367</f>
        <v>0</v>
      </c>
      <c r="AI88" s="257">
        <f>轉向量!H367</f>
        <v>0</v>
      </c>
      <c r="AJ88" s="257">
        <f>轉向量!I367</f>
        <v>0</v>
      </c>
      <c r="AK88" s="258">
        <f>轉向量!J367</f>
        <v>0</v>
      </c>
      <c r="AL88" s="259">
        <f>轉向量!L367</f>
        <v>0</v>
      </c>
      <c r="AM88" s="257">
        <f>轉向量!M367</f>
        <v>0</v>
      </c>
      <c r="AN88" s="257">
        <f>轉向量!O367</f>
        <v>0</v>
      </c>
      <c r="AO88" s="260">
        <f>轉向量!Q367</f>
        <v>0</v>
      </c>
    </row>
    <row r="89" spans="1:41">
      <c r="A89" s="19">
        <v>1930</v>
      </c>
      <c r="B89" s="248">
        <f>轉向量!E80</f>
        <v>0</v>
      </c>
      <c r="C89" s="248">
        <f>轉向量!F80</f>
        <v>0</v>
      </c>
      <c r="D89" s="250">
        <f>轉向量!G80</f>
        <v>0</v>
      </c>
      <c r="E89" s="248">
        <f>轉向量!I80</f>
        <v>0</v>
      </c>
      <c r="F89" s="248">
        <f>轉向量!J80</f>
        <v>0</v>
      </c>
      <c r="G89" s="250">
        <f>轉向量!K80</f>
        <v>0</v>
      </c>
      <c r="H89" s="249">
        <f>轉向量!N80</f>
        <v>0</v>
      </c>
      <c r="I89" s="248">
        <f>轉向量!O80</f>
        <v>0</v>
      </c>
      <c r="J89" s="248">
        <f>轉向量!Q80</f>
        <v>0</v>
      </c>
      <c r="K89" s="250">
        <f>轉向量!S80</f>
        <v>0</v>
      </c>
      <c r="L89" s="251">
        <f>轉向量!F176</f>
        <v>0</v>
      </c>
      <c r="M89" s="251">
        <f>轉向量!G176</f>
        <v>0</v>
      </c>
      <c r="N89" s="252">
        <f>轉向量!D176</f>
        <v>0</v>
      </c>
      <c r="O89" s="251">
        <f>轉向量!J176</f>
        <v>0</v>
      </c>
      <c r="P89" s="251">
        <f>轉向量!K176</f>
        <v>0</v>
      </c>
      <c r="Q89" s="252">
        <f>轉向量!H176</f>
        <v>0</v>
      </c>
      <c r="R89" s="253">
        <f>轉向量!P176</f>
        <v>0</v>
      </c>
      <c r="S89" s="251">
        <f>轉向量!Q176</f>
        <v>0</v>
      </c>
      <c r="T89" s="251">
        <f>轉向量!S176</f>
        <v>0</v>
      </c>
      <c r="U89" s="252">
        <f>轉向量!M176</f>
        <v>0</v>
      </c>
      <c r="V89" s="254">
        <f>轉向量!G272</f>
        <v>0</v>
      </c>
      <c r="W89" s="254">
        <f>轉向量!D272</f>
        <v>0</v>
      </c>
      <c r="X89" s="255">
        <f>轉向量!E272</f>
        <v>0</v>
      </c>
      <c r="Y89" s="254">
        <f>轉向量!K272</f>
        <v>0</v>
      </c>
      <c r="Z89" s="254">
        <f>轉向量!H272</f>
        <v>0</v>
      </c>
      <c r="AA89" s="255">
        <f>轉向量!I272</f>
        <v>0</v>
      </c>
      <c r="AB89" s="256">
        <f>轉向量!R272</f>
        <v>0</v>
      </c>
      <c r="AC89" s="254">
        <f>轉向量!S272</f>
        <v>0</v>
      </c>
      <c r="AD89" s="254">
        <f>轉向量!M272</f>
        <v>0</v>
      </c>
      <c r="AE89" s="255">
        <f>轉向量!O272</f>
        <v>0</v>
      </c>
      <c r="AF89" s="257">
        <f>轉向量!D368</f>
        <v>0</v>
      </c>
      <c r="AG89" s="257">
        <f>轉向量!E368</f>
        <v>0</v>
      </c>
      <c r="AH89" s="258">
        <f>轉向量!F368</f>
        <v>0</v>
      </c>
      <c r="AI89" s="257">
        <f>轉向量!H368</f>
        <v>0</v>
      </c>
      <c r="AJ89" s="257">
        <f>轉向量!I368</f>
        <v>0</v>
      </c>
      <c r="AK89" s="258">
        <f>轉向量!J368</f>
        <v>0</v>
      </c>
      <c r="AL89" s="259">
        <f>轉向量!L368</f>
        <v>0</v>
      </c>
      <c r="AM89" s="257">
        <f>轉向量!M368</f>
        <v>0</v>
      </c>
      <c r="AN89" s="257">
        <f>轉向量!O368</f>
        <v>0</v>
      </c>
      <c r="AO89" s="260">
        <f>轉向量!Q368</f>
        <v>0</v>
      </c>
    </row>
    <row r="90" spans="1:41">
      <c r="A90" s="19">
        <v>1945</v>
      </c>
      <c r="B90" s="248">
        <f>轉向量!E81</f>
        <v>0</v>
      </c>
      <c r="C90" s="248">
        <f>轉向量!F81</f>
        <v>0</v>
      </c>
      <c r="D90" s="250">
        <f>轉向量!G81</f>
        <v>0</v>
      </c>
      <c r="E90" s="248">
        <f>轉向量!I81</f>
        <v>0</v>
      </c>
      <c r="F90" s="248">
        <f>轉向量!J81</f>
        <v>0</v>
      </c>
      <c r="G90" s="250">
        <f>轉向量!K81</f>
        <v>0</v>
      </c>
      <c r="H90" s="249">
        <f>轉向量!N81</f>
        <v>0</v>
      </c>
      <c r="I90" s="248">
        <f>轉向量!O81</f>
        <v>0</v>
      </c>
      <c r="J90" s="248">
        <f>轉向量!Q81</f>
        <v>0</v>
      </c>
      <c r="K90" s="250">
        <f>轉向量!S81</f>
        <v>0</v>
      </c>
      <c r="L90" s="251">
        <f>轉向量!F177</f>
        <v>0</v>
      </c>
      <c r="M90" s="251">
        <f>轉向量!G177</f>
        <v>0</v>
      </c>
      <c r="N90" s="252">
        <f>轉向量!D177</f>
        <v>0</v>
      </c>
      <c r="O90" s="251">
        <f>轉向量!J177</f>
        <v>0</v>
      </c>
      <c r="P90" s="251">
        <f>轉向量!K177</f>
        <v>0</v>
      </c>
      <c r="Q90" s="252">
        <f>轉向量!H177</f>
        <v>0</v>
      </c>
      <c r="R90" s="253">
        <f>轉向量!P177</f>
        <v>0</v>
      </c>
      <c r="S90" s="251">
        <f>轉向量!Q177</f>
        <v>0</v>
      </c>
      <c r="T90" s="251">
        <f>轉向量!S177</f>
        <v>0</v>
      </c>
      <c r="U90" s="252">
        <f>轉向量!M177</f>
        <v>0</v>
      </c>
      <c r="V90" s="254">
        <f>轉向量!G273</f>
        <v>0</v>
      </c>
      <c r="W90" s="254">
        <f>轉向量!D273</f>
        <v>0</v>
      </c>
      <c r="X90" s="255">
        <f>轉向量!E273</f>
        <v>0</v>
      </c>
      <c r="Y90" s="254">
        <f>轉向量!K273</f>
        <v>0</v>
      </c>
      <c r="Z90" s="254">
        <f>轉向量!H273</f>
        <v>0</v>
      </c>
      <c r="AA90" s="255">
        <f>轉向量!I273</f>
        <v>0</v>
      </c>
      <c r="AB90" s="256">
        <f>轉向量!R273</f>
        <v>0</v>
      </c>
      <c r="AC90" s="254">
        <f>轉向量!S273</f>
        <v>0</v>
      </c>
      <c r="AD90" s="254">
        <f>轉向量!M273</f>
        <v>0</v>
      </c>
      <c r="AE90" s="255">
        <f>轉向量!O273</f>
        <v>0</v>
      </c>
      <c r="AF90" s="257">
        <f>轉向量!D369</f>
        <v>0</v>
      </c>
      <c r="AG90" s="257">
        <f>轉向量!E369</f>
        <v>0</v>
      </c>
      <c r="AH90" s="258">
        <f>轉向量!F369</f>
        <v>0</v>
      </c>
      <c r="AI90" s="257">
        <f>轉向量!H369</f>
        <v>0</v>
      </c>
      <c r="AJ90" s="257">
        <f>轉向量!I369</f>
        <v>0</v>
      </c>
      <c r="AK90" s="258">
        <f>轉向量!J369</f>
        <v>0</v>
      </c>
      <c r="AL90" s="259">
        <f>轉向量!L369</f>
        <v>0</v>
      </c>
      <c r="AM90" s="257">
        <f>轉向量!M369</f>
        <v>0</v>
      </c>
      <c r="AN90" s="257">
        <f>轉向量!O369</f>
        <v>0</v>
      </c>
      <c r="AO90" s="260">
        <f>轉向量!Q369</f>
        <v>0</v>
      </c>
    </row>
    <row r="91" spans="1:41">
      <c r="A91" s="19">
        <v>2000</v>
      </c>
      <c r="B91" s="248">
        <f>轉向量!E82</f>
        <v>0</v>
      </c>
      <c r="C91" s="248">
        <f>轉向量!F82</f>
        <v>0</v>
      </c>
      <c r="D91" s="250">
        <f>轉向量!G82</f>
        <v>0</v>
      </c>
      <c r="E91" s="248">
        <f>轉向量!I82</f>
        <v>0</v>
      </c>
      <c r="F91" s="248">
        <f>轉向量!J82</f>
        <v>0</v>
      </c>
      <c r="G91" s="250">
        <f>轉向量!K82</f>
        <v>0</v>
      </c>
      <c r="H91" s="249">
        <f>轉向量!N82</f>
        <v>0</v>
      </c>
      <c r="I91" s="248">
        <f>轉向量!O82</f>
        <v>0</v>
      </c>
      <c r="J91" s="248">
        <f>轉向量!Q82</f>
        <v>0</v>
      </c>
      <c r="K91" s="250">
        <f>轉向量!S82</f>
        <v>0</v>
      </c>
      <c r="L91" s="251">
        <f>轉向量!F178</f>
        <v>0</v>
      </c>
      <c r="M91" s="251">
        <f>轉向量!G178</f>
        <v>0</v>
      </c>
      <c r="N91" s="252">
        <f>轉向量!D178</f>
        <v>0</v>
      </c>
      <c r="O91" s="251">
        <f>轉向量!J178</f>
        <v>0</v>
      </c>
      <c r="P91" s="251">
        <f>轉向量!K178</f>
        <v>0</v>
      </c>
      <c r="Q91" s="252">
        <f>轉向量!H178</f>
        <v>0</v>
      </c>
      <c r="R91" s="253">
        <f>轉向量!P178</f>
        <v>0</v>
      </c>
      <c r="S91" s="251">
        <f>轉向量!Q178</f>
        <v>0</v>
      </c>
      <c r="T91" s="251">
        <f>轉向量!S178</f>
        <v>0</v>
      </c>
      <c r="U91" s="252">
        <f>轉向量!M178</f>
        <v>0</v>
      </c>
      <c r="V91" s="254">
        <f>轉向量!G274</f>
        <v>0</v>
      </c>
      <c r="W91" s="254">
        <f>轉向量!D274</f>
        <v>0</v>
      </c>
      <c r="X91" s="255">
        <f>轉向量!E274</f>
        <v>0</v>
      </c>
      <c r="Y91" s="254">
        <f>轉向量!K274</f>
        <v>0</v>
      </c>
      <c r="Z91" s="254">
        <f>轉向量!H274</f>
        <v>0</v>
      </c>
      <c r="AA91" s="255">
        <f>轉向量!I274</f>
        <v>0</v>
      </c>
      <c r="AB91" s="256">
        <f>轉向量!R274</f>
        <v>0</v>
      </c>
      <c r="AC91" s="254">
        <f>轉向量!S274</f>
        <v>0</v>
      </c>
      <c r="AD91" s="254">
        <f>轉向量!M274</f>
        <v>0</v>
      </c>
      <c r="AE91" s="255">
        <f>轉向量!O274</f>
        <v>0</v>
      </c>
      <c r="AF91" s="257">
        <f>轉向量!D370</f>
        <v>0</v>
      </c>
      <c r="AG91" s="257">
        <f>轉向量!E370</f>
        <v>0</v>
      </c>
      <c r="AH91" s="258">
        <f>轉向量!F370</f>
        <v>0</v>
      </c>
      <c r="AI91" s="257">
        <f>轉向量!H370</f>
        <v>0</v>
      </c>
      <c r="AJ91" s="257">
        <f>轉向量!I370</f>
        <v>0</v>
      </c>
      <c r="AK91" s="258">
        <f>轉向量!J370</f>
        <v>0</v>
      </c>
      <c r="AL91" s="259">
        <f>轉向量!L370</f>
        <v>0</v>
      </c>
      <c r="AM91" s="257">
        <f>轉向量!M370</f>
        <v>0</v>
      </c>
      <c r="AN91" s="257">
        <f>轉向量!O370</f>
        <v>0</v>
      </c>
      <c r="AO91" s="260">
        <f>轉向量!Q370</f>
        <v>0</v>
      </c>
    </row>
    <row r="92" spans="1:41">
      <c r="A92" s="19">
        <v>2015</v>
      </c>
      <c r="B92" s="248">
        <f>轉向量!E83</f>
        <v>0</v>
      </c>
      <c r="C92" s="248">
        <f>轉向量!F83</f>
        <v>0</v>
      </c>
      <c r="D92" s="250">
        <f>轉向量!G83</f>
        <v>0</v>
      </c>
      <c r="E92" s="248">
        <f>轉向量!I83</f>
        <v>0</v>
      </c>
      <c r="F92" s="248">
        <f>轉向量!J83</f>
        <v>0</v>
      </c>
      <c r="G92" s="250">
        <f>轉向量!K83</f>
        <v>0</v>
      </c>
      <c r="H92" s="249">
        <f>轉向量!N83</f>
        <v>0</v>
      </c>
      <c r="I92" s="248">
        <f>轉向量!O83</f>
        <v>0</v>
      </c>
      <c r="J92" s="248">
        <f>轉向量!Q83</f>
        <v>0</v>
      </c>
      <c r="K92" s="250">
        <f>轉向量!S83</f>
        <v>0</v>
      </c>
      <c r="L92" s="251">
        <f>轉向量!F179</f>
        <v>0</v>
      </c>
      <c r="M92" s="251">
        <f>轉向量!G179</f>
        <v>0</v>
      </c>
      <c r="N92" s="252">
        <f>轉向量!D179</f>
        <v>0</v>
      </c>
      <c r="O92" s="251">
        <f>轉向量!J179</f>
        <v>0</v>
      </c>
      <c r="P92" s="251">
        <f>轉向量!K179</f>
        <v>0</v>
      </c>
      <c r="Q92" s="252">
        <f>轉向量!H179</f>
        <v>0</v>
      </c>
      <c r="R92" s="253">
        <f>轉向量!P179</f>
        <v>0</v>
      </c>
      <c r="S92" s="251">
        <f>轉向量!Q179</f>
        <v>0</v>
      </c>
      <c r="T92" s="251">
        <f>轉向量!S179</f>
        <v>0</v>
      </c>
      <c r="U92" s="252">
        <f>轉向量!M179</f>
        <v>0</v>
      </c>
      <c r="V92" s="254">
        <f>轉向量!G275</f>
        <v>0</v>
      </c>
      <c r="W92" s="254">
        <f>轉向量!D275</f>
        <v>0</v>
      </c>
      <c r="X92" s="255">
        <f>轉向量!E275</f>
        <v>0</v>
      </c>
      <c r="Y92" s="254">
        <f>轉向量!K275</f>
        <v>0</v>
      </c>
      <c r="Z92" s="254">
        <f>轉向量!H275</f>
        <v>0</v>
      </c>
      <c r="AA92" s="255">
        <f>轉向量!I275</f>
        <v>0</v>
      </c>
      <c r="AB92" s="256">
        <f>轉向量!R275</f>
        <v>0</v>
      </c>
      <c r="AC92" s="254">
        <f>轉向量!S275</f>
        <v>0</v>
      </c>
      <c r="AD92" s="254">
        <f>轉向量!M275</f>
        <v>0</v>
      </c>
      <c r="AE92" s="255">
        <f>轉向量!O275</f>
        <v>0</v>
      </c>
      <c r="AF92" s="257">
        <f>轉向量!D371</f>
        <v>0</v>
      </c>
      <c r="AG92" s="257">
        <f>轉向量!E371</f>
        <v>0</v>
      </c>
      <c r="AH92" s="258">
        <f>轉向量!F371</f>
        <v>0</v>
      </c>
      <c r="AI92" s="257">
        <f>轉向量!H371</f>
        <v>0</v>
      </c>
      <c r="AJ92" s="257">
        <f>轉向量!I371</f>
        <v>0</v>
      </c>
      <c r="AK92" s="258">
        <f>轉向量!J371</f>
        <v>0</v>
      </c>
      <c r="AL92" s="259">
        <f>轉向量!L371</f>
        <v>0</v>
      </c>
      <c r="AM92" s="257">
        <f>轉向量!M371</f>
        <v>0</v>
      </c>
      <c r="AN92" s="257">
        <f>轉向量!O371</f>
        <v>0</v>
      </c>
      <c r="AO92" s="260">
        <f>轉向量!Q371</f>
        <v>0</v>
      </c>
    </row>
    <row r="93" spans="1:41">
      <c r="A93" s="19">
        <v>2030</v>
      </c>
      <c r="B93" s="248">
        <f>轉向量!E84</f>
        <v>0</v>
      </c>
      <c r="C93" s="248">
        <f>轉向量!F84</f>
        <v>0</v>
      </c>
      <c r="D93" s="250">
        <f>轉向量!G84</f>
        <v>0</v>
      </c>
      <c r="E93" s="248">
        <f>轉向量!I84</f>
        <v>0</v>
      </c>
      <c r="F93" s="248">
        <f>轉向量!J84</f>
        <v>0</v>
      </c>
      <c r="G93" s="250">
        <f>轉向量!K84</f>
        <v>0</v>
      </c>
      <c r="H93" s="249">
        <f>轉向量!N84</f>
        <v>0</v>
      </c>
      <c r="I93" s="248">
        <f>轉向量!O84</f>
        <v>0</v>
      </c>
      <c r="J93" s="248">
        <f>轉向量!Q84</f>
        <v>0</v>
      </c>
      <c r="K93" s="250">
        <f>轉向量!S84</f>
        <v>0</v>
      </c>
      <c r="L93" s="251">
        <f>轉向量!F180</f>
        <v>0</v>
      </c>
      <c r="M93" s="251">
        <f>轉向量!G180</f>
        <v>0</v>
      </c>
      <c r="N93" s="252">
        <f>轉向量!D180</f>
        <v>0</v>
      </c>
      <c r="O93" s="251">
        <f>轉向量!J180</f>
        <v>0</v>
      </c>
      <c r="P93" s="251">
        <f>轉向量!K180</f>
        <v>0</v>
      </c>
      <c r="Q93" s="252">
        <f>轉向量!H180</f>
        <v>0</v>
      </c>
      <c r="R93" s="253">
        <f>轉向量!P180</f>
        <v>0</v>
      </c>
      <c r="S93" s="251">
        <f>轉向量!Q180</f>
        <v>0</v>
      </c>
      <c r="T93" s="251">
        <f>轉向量!S180</f>
        <v>0</v>
      </c>
      <c r="U93" s="252">
        <f>轉向量!M180</f>
        <v>0</v>
      </c>
      <c r="V93" s="254">
        <f>轉向量!G276</f>
        <v>0</v>
      </c>
      <c r="W93" s="254">
        <f>轉向量!D276</f>
        <v>0</v>
      </c>
      <c r="X93" s="255">
        <f>轉向量!E276</f>
        <v>0</v>
      </c>
      <c r="Y93" s="254">
        <f>轉向量!K276</f>
        <v>0</v>
      </c>
      <c r="Z93" s="254">
        <f>轉向量!H276</f>
        <v>0</v>
      </c>
      <c r="AA93" s="255">
        <f>轉向量!I276</f>
        <v>0</v>
      </c>
      <c r="AB93" s="256">
        <f>轉向量!R276</f>
        <v>0</v>
      </c>
      <c r="AC93" s="254">
        <f>轉向量!S276</f>
        <v>0</v>
      </c>
      <c r="AD93" s="254">
        <f>轉向量!M276</f>
        <v>0</v>
      </c>
      <c r="AE93" s="255">
        <f>轉向量!O276</f>
        <v>0</v>
      </c>
      <c r="AF93" s="257">
        <f>轉向量!D372</f>
        <v>0</v>
      </c>
      <c r="AG93" s="257">
        <f>轉向量!E372</f>
        <v>0</v>
      </c>
      <c r="AH93" s="258">
        <f>轉向量!F372</f>
        <v>0</v>
      </c>
      <c r="AI93" s="257">
        <f>轉向量!H372</f>
        <v>0</v>
      </c>
      <c r="AJ93" s="257">
        <f>轉向量!I372</f>
        <v>0</v>
      </c>
      <c r="AK93" s="258">
        <f>轉向量!J372</f>
        <v>0</v>
      </c>
      <c r="AL93" s="259">
        <f>轉向量!L372</f>
        <v>0</v>
      </c>
      <c r="AM93" s="257">
        <f>轉向量!M372</f>
        <v>0</v>
      </c>
      <c r="AN93" s="257">
        <f>轉向量!O372</f>
        <v>0</v>
      </c>
      <c r="AO93" s="260">
        <f>轉向量!Q372</f>
        <v>0</v>
      </c>
    </row>
    <row r="94" spans="1:41">
      <c r="A94" s="19">
        <v>2045</v>
      </c>
      <c r="B94" s="248">
        <f>轉向量!E85</f>
        <v>0</v>
      </c>
      <c r="C94" s="248">
        <f>轉向量!F85</f>
        <v>0</v>
      </c>
      <c r="D94" s="250">
        <f>轉向量!G85</f>
        <v>0</v>
      </c>
      <c r="E94" s="248">
        <f>轉向量!I85</f>
        <v>0</v>
      </c>
      <c r="F94" s="248">
        <f>轉向量!J85</f>
        <v>0</v>
      </c>
      <c r="G94" s="250">
        <f>轉向量!K85</f>
        <v>0</v>
      </c>
      <c r="H94" s="249">
        <f>轉向量!N85</f>
        <v>0</v>
      </c>
      <c r="I94" s="248">
        <f>轉向量!O85</f>
        <v>0</v>
      </c>
      <c r="J94" s="248">
        <f>轉向量!Q85</f>
        <v>0</v>
      </c>
      <c r="K94" s="250">
        <f>轉向量!S85</f>
        <v>0</v>
      </c>
      <c r="L94" s="251">
        <f>轉向量!F181</f>
        <v>0</v>
      </c>
      <c r="M94" s="251">
        <f>轉向量!G181</f>
        <v>0</v>
      </c>
      <c r="N94" s="252">
        <f>轉向量!D181</f>
        <v>0</v>
      </c>
      <c r="O94" s="251">
        <f>轉向量!J181</f>
        <v>0</v>
      </c>
      <c r="P94" s="251">
        <f>轉向量!K181</f>
        <v>0</v>
      </c>
      <c r="Q94" s="252">
        <f>轉向量!H181</f>
        <v>0</v>
      </c>
      <c r="R94" s="253">
        <f>轉向量!P181</f>
        <v>0</v>
      </c>
      <c r="S94" s="251">
        <f>轉向量!Q181</f>
        <v>0</v>
      </c>
      <c r="T94" s="251">
        <f>轉向量!S181</f>
        <v>0</v>
      </c>
      <c r="U94" s="252">
        <f>轉向量!M181</f>
        <v>0</v>
      </c>
      <c r="V94" s="254">
        <f>轉向量!G277</f>
        <v>0</v>
      </c>
      <c r="W94" s="254">
        <f>轉向量!D277</f>
        <v>0</v>
      </c>
      <c r="X94" s="255">
        <f>轉向量!E277</f>
        <v>0</v>
      </c>
      <c r="Y94" s="254">
        <f>轉向量!K277</f>
        <v>0</v>
      </c>
      <c r="Z94" s="254">
        <f>轉向量!H277</f>
        <v>0</v>
      </c>
      <c r="AA94" s="255">
        <f>轉向量!I277</f>
        <v>0</v>
      </c>
      <c r="AB94" s="256">
        <f>轉向量!R277</f>
        <v>0</v>
      </c>
      <c r="AC94" s="254">
        <f>轉向量!S277</f>
        <v>0</v>
      </c>
      <c r="AD94" s="254">
        <f>轉向量!M277</f>
        <v>0</v>
      </c>
      <c r="AE94" s="255">
        <f>轉向量!O277</f>
        <v>0</v>
      </c>
      <c r="AF94" s="257">
        <f>轉向量!D373</f>
        <v>0</v>
      </c>
      <c r="AG94" s="257">
        <f>轉向量!E373</f>
        <v>0</v>
      </c>
      <c r="AH94" s="258">
        <f>轉向量!F373</f>
        <v>0</v>
      </c>
      <c r="AI94" s="257">
        <f>轉向量!H373</f>
        <v>0</v>
      </c>
      <c r="AJ94" s="257">
        <f>轉向量!I373</f>
        <v>0</v>
      </c>
      <c r="AK94" s="258">
        <f>轉向量!J373</f>
        <v>0</v>
      </c>
      <c r="AL94" s="259">
        <f>轉向量!L373</f>
        <v>0</v>
      </c>
      <c r="AM94" s="257">
        <f>轉向量!M373</f>
        <v>0</v>
      </c>
      <c r="AN94" s="257">
        <f>轉向量!O373</f>
        <v>0</v>
      </c>
      <c r="AO94" s="260">
        <f>轉向量!Q373</f>
        <v>0</v>
      </c>
    </row>
    <row r="95" spans="1:41">
      <c r="A95" s="19">
        <v>2100</v>
      </c>
      <c r="B95" s="248">
        <f>轉向量!E86</f>
        <v>0</v>
      </c>
      <c r="C95" s="248">
        <f>轉向量!F86</f>
        <v>0</v>
      </c>
      <c r="D95" s="250">
        <f>轉向量!G86</f>
        <v>0</v>
      </c>
      <c r="E95" s="248">
        <f>轉向量!I86</f>
        <v>0</v>
      </c>
      <c r="F95" s="248">
        <f>轉向量!J86</f>
        <v>0</v>
      </c>
      <c r="G95" s="250">
        <f>轉向量!K86</f>
        <v>0</v>
      </c>
      <c r="H95" s="249">
        <f>轉向量!N86</f>
        <v>0</v>
      </c>
      <c r="I95" s="248">
        <f>轉向量!O86</f>
        <v>0</v>
      </c>
      <c r="J95" s="248">
        <f>轉向量!Q86</f>
        <v>0</v>
      </c>
      <c r="K95" s="250">
        <f>轉向量!S86</f>
        <v>0</v>
      </c>
      <c r="L95" s="251">
        <f>轉向量!F182</f>
        <v>0</v>
      </c>
      <c r="M95" s="251">
        <f>轉向量!G182</f>
        <v>0</v>
      </c>
      <c r="N95" s="252">
        <f>轉向量!D182</f>
        <v>0</v>
      </c>
      <c r="O95" s="251">
        <f>轉向量!J182</f>
        <v>0</v>
      </c>
      <c r="P95" s="251">
        <f>轉向量!K182</f>
        <v>0</v>
      </c>
      <c r="Q95" s="252">
        <f>轉向量!H182</f>
        <v>0</v>
      </c>
      <c r="R95" s="253">
        <f>轉向量!P182</f>
        <v>0</v>
      </c>
      <c r="S95" s="251">
        <f>轉向量!Q182</f>
        <v>0</v>
      </c>
      <c r="T95" s="251">
        <f>轉向量!S182</f>
        <v>0</v>
      </c>
      <c r="U95" s="252">
        <f>轉向量!M182</f>
        <v>0</v>
      </c>
      <c r="V95" s="254">
        <f>轉向量!G278</f>
        <v>0</v>
      </c>
      <c r="W95" s="254">
        <f>轉向量!D278</f>
        <v>0</v>
      </c>
      <c r="X95" s="255">
        <f>轉向量!E278</f>
        <v>0</v>
      </c>
      <c r="Y95" s="254">
        <f>轉向量!K278</f>
        <v>0</v>
      </c>
      <c r="Z95" s="254">
        <f>轉向量!H278</f>
        <v>0</v>
      </c>
      <c r="AA95" s="255">
        <f>轉向量!I278</f>
        <v>0</v>
      </c>
      <c r="AB95" s="256">
        <f>轉向量!R278</f>
        <v>0</v>
      </c>
      <c r="AC95" s="254">
        <f>轉向量!S278</f>
        <v>0</v>
      </c>
      <c r="AD95" s="254">
        <f>轉向量!M278</f>
        <v>0</v>
      </c>
      <c r="AE95" s="255">
        <f>轉向量!O278</f>
        <v>0</v>
      </c>
      <c r="AF95" s="257">
        <f>轉向量!D374</f>
        <v>0</v>
      </c>
      <c r="AG95" s="257">
        <f>轉向量!E374</f>
        <v>0</v>
      </c>
      <c r="AH95" s="258">
        <f>轉向量!F374</f>
        <v>0</v>
      </c>
      <c r="AI95" s="257">
        <f>轉向量!H374</f>
        <v>0</v>
      </c>
      <c r="AJ95" s="257">
        <f>轉向量!I374</f>
        <v>0</v>
      </c>
      <c r="AK95" s="258">
        <f>轉向量!J374</f>
        <v>0</v>
      </c>
      <c r="AL95" s="259">
        <f>轉向量!L374</f>
        <v>0</v>
      </c>
      <c r="AM95" s="257">
        <f>轉向量!M374</f>
        <v>0</v>
      </c>
      <c r="AN95" s="257">
        <f>轉向量!O374</f>
        <v>0</v>
      </c>
      <c r="AO95" s="260">
        <f>轉向量!Q374</f>
        <v>0</v>
      </c>
    </row>
    <row r="96" spans="1:41">
      <c r="A96" s="19">
        <v>2115</v>
      </c>
      <c r="B96" s="248">
        <f>轉向量!E87</f>
        <v>0</v>
      </c>
      <c r="C96" s="248">
        <f>轉向量!F87</f>
        <v>0</v>
      </c>
      <c r="D96" s="250">
        <f>轉向量!G87</f>
        <v>0</v>
      </c>
      <c r="E96" s="248">
        <f>轉向量!I87</f>
        <v>0</v>
      </c>
      <c r="F96" s="248">
        <f>轉向量!J87</f>
        <v>0</v>
      </c>
      <c r="G96" s="250">
        <f>轉向量!K87</f>
        <v>0</v>
      </c>
      <c r="H96" s="249">
        <f>轉向量!N87</f>
        <v>0</v>
      </c>
      <c r="I96" s="248">
        <f>轉向量!O87</f>
        <v>0</v>
      </c>
      <c r="J96" s="248">
        <f>轉向量!Q87</f>
        <v>0</v>
      </c>
      <c r="K96" s="250">
        <f>轉向量!S87</f>
        <v>0</v>
      </c>
      <c r="L96" s="251">
        <f>轉向量!F183</f>
        <v>0</v>
      </c>
      <c r="M96" s="251">
        <f>轉向量!G183</f>
        <v>0</v>
      </c>
      <c r="N96" s="252">
        <f>轉向量!D183</f>
        <v>0</v>
      </c>
      <c r="O96" s="251">
        <f>轉向量!J183</f>
        <v>0</v>
      </c>
      <c r="P96" s="251">
        <f>轉向量!K183</f>
        <v>0</v>
      </c>
      <c r="Q96" s="252">
        <f>轉向量!H183</f>
        <v>0</v>
      </c>
      <c r="R96" s="253">
        <f>轉向量!P183</f>
        <v>0</v>
      </c>
      <c r="S96" s="251">
        <f>轉向量!Q183</f>
        <v>0</v>
      </c>
      <c r="T96" s="251">
        <f>轉向量!S183</f>
        <v>0</v>
      </c>
      <c r="U96" s="252">
        <f>轉向量!M183</f>
        <v>0</v>
      </c>
      <c r="V96" s="254">
        <f>轉向量!G279</f>
        <v>0</v>
      </c>
      <c r="W96" s="254">
        <f>轉向量!D279</f>
        <v>0</v>
      </c>
      <c r="X96" s="255">
        <f>轉向量!E279</f>
        <v>0</v>
      </c>
      <c r="Y96" s="254">
        <f>轉向量!K279</f>
        <v>0</v>
      </c>
      <c r="Z96" s="254">
        <f>轉向量!H279</f>
        <v>0</v>
      </c>
      <c r="AA96" s="255">
        <f>轉向量!I279</f>
        <v>0</v>
      </c>
      <c r="AB96" s="256">
        <f>轉向量!R279</f>
        <v>0</v>
      </c>
      <c r="AC96" s="254">
        <f>轉向量!S279</f>
        <v>0</v>
      </c>
      <c r="AD96" s="254">
        <f>轉向量!M279</f>
        <v>0</v>
      </c>
      <c r="AE96" s="255">
        <f>轉向量!O279</f>
        <v>0</v>
      </c>
      <c r="AF96" s="257">
        <f>轉向量!D375</f>
        <v>0</v>
      </c>
      <c r="AG96" s="257">
        <f>轉向量!E375</f>
        <v>0</v>
      </c>
      <c r="AH96" s="258">
        <f>轉向量!F375</f>
        <v>0</v>
      </c>
      <c r="AI96" s="257">
        <f>轉向量!H375</f>
        <v>0</v>
      </c>
      <c r="AJ96" s="257">
        <f>轉向量!I375</f>
        <v>0</v>
      </c>
      <c r="AK96" s="258">
        <f>轉向量!J375</f>
        <v>0</v>
      </c>
      <c r="AL96" s="259">
        <f>轉向量!L375</f>
        <v>0</v>
      </c>
      <c r="AM96" s="257">
        <f>轉向量!M375</f>
        <v>0</v>
      </c>
      <c r="AN96" s="257">
        <f>轉向量!O375</f>
        <v>0</v>
      </c>
      <c r="AO96" s="260">
        <f>轉向量!Q375</f>
        <v>0</v>
      </c>
    </row>
    <row r="97" spans="1:41">
      <c r="A97" s="19">
        <v>2130</v>
      </c>
      <c r="B97" s="248">
        <f>轉向量!E88</f>
        <v>0</v>
      </c>
      <c r="C97" s="248">
        <f>轉向量!F88</f>
        <v>0</v>
      </c>
      <c r="D97" s="250">
        <f>轉向量!G88</f>
        <v>0</v>
      </c>
      <c r="E97" s="248">
        <f>轉向量!I88</f>
        <v>0</v>
      </c>
      <c r="F97" s="248">
        <f>轉向量!J88</f>
        <v>0</v>
      </c>
      <c r="G97" s="250">
        <f>轉向量!K88</f>
        <v>0</v>
      </c>
      <c r="H97" s="249">
        <f>轉向量!N88</f>
        <v>0</v>
      </c>
      <c r="I97" s="248">
        <f>轉向量!O88</f>
        <v>0</v>
      </c>
      <c r="J97" s="248">
        <f>轉向量!Q88</f>
        <v>0</v>
      </c>
      <c r="K97" s="250">
        <f>轉向量!S88</f>
        <v>0</v>
      </c>
      <c r="L97" s="251">
        <f>轉向量!F184</f>
        <v>0</v>
      </c>
      <c r="M97" s="251">
        <f>轉向量!G184</f>
        <v>0</v>
      </c>
      <c r="N97" s="252">
        <f>轉向量!D184</f>
        <v>0</v>
      </c>
      <c r="O97" s="251">
        <f>轉向量!J184</f>
        <v>0</v>
      </c>
      <c r="P97" s="251">
        <f>轉向量!K184</f>
        <v>0</v>
      </c>
      <c r="Q97" s="252">
        <f>轉向量!H184</f>
        <v>0</v>
      </c>
      <c r="R97" s="253">
        <f>轉向量!P184</f>
        <v>0</v>
      </c>
      <c r="S97" s="251">
        <f>轉向量!Q184</f>
        <v>0</v>
      </c>
      <c r="T97" s="251">
        <f>轉向量!S184</f>
        <v>0</v>
      </c>
      <c r="U97" s="252">
        <f>轉向量!M184</f>
        <v>0</v>
      </c>
      <c r="V97" s="254">
        <f>轉向量!G280</f>
        <v>0</v>
      </c>
      <c r="W97" s="254">
        <f>轉向量!D280</f>
        <v>0</v>
      </c>
      <c r="X97" s="255">
        <f>轉向量!E280</f>
        <v>0</v>
      </c>
      <c r="Y97" s="254">
        <f>轉向量!K280</f>
        <v>0</v>
      </c>
      <c r="Z97" s="254">
        <f>轉向量!H280</f>
        <v>0</v>
      </c>
      <c r="AA97" s="255">
        <f>轉向量!I280</f>
        <v>0</v>
      </c>
      <c r="AB97" s="256">
        <f>轉向量!R280</f>
        <v>0</v>
      </c>
      <c r="AC97" s="254">
        <f>轉向量!S280</f>
        <v>0</v>
      </c>
      <c r="AD97" s="254">
        <f>轉向量!M280</f>
        <v>0</v>
      </c>
      <c r="AE97" s="255">
        <f>轉向量!O280</f>
        <v>0</v>
      </c>
      <c r="AF97" s="257">
        <f>轉向量!D376</f>
        <v>0</v>
      </c>
      <c r="AG97" s="257">
        <f>轉向量!E376</f>
        <v>0</v>
      </c>
      <c r="AH97" s="258">
        <f>轉向量!F376</f>
        <v>0</v>
      </c>
      <c r="AI97" s="257">
        <f>轉向量!H376</f>
        <v>0</v>
      </c>
      <c r="AJ97" s="257">
        <f>轉向量!I376</f>
        <v>0</v>
      </c>
      <c r="AK97" s="258">
        <f>轉向量!J376</f>
        <v>0</v>
      </c>
      <c r="AL97" s="259">
        <f>轉向量!L376</f>
        <v>0</v>
      </c>
      <c r="AM97" s="257">
        <f>轉向量!M376</f>
        <v>0</v>
      </c>
      <c r="AN97" s="257">
        <f>轉向量!O376</f>
        <v>0</v>
      </c>
      <c r="AO97" s="260">
        <f>轉向量!Q376</f>
        <v>0</v>
      </c>
    </row>
    <row r="98" spans="1:41">
      <c r="A98" s="19">
        <v>2145</v>
      </c>
      <c r="B98" s="248">
        <f>轉向量!E89</f>
        <v>0</v>
      </c>
      <c r="C98" s="248">
        <f>轉向量!F89</f>
        <v>0</v>
      </c>
      <c r="D98" s="250">
        <f>轉向量!G89</f>
        <v>0</v>
      </c>
      <c r="E98" s="248">
        <f>轉向量!I89</f>
        <v>0</v>
      </c>
      <c r="F98" s="248">
        <f>轉向量!J89</f>
        <v>0</v>
      </c>
      <c r="G98" s="250">
        <f>轉向量!K89</f>
        <v>0</v>
      </c>
      <c r="H98" s="249">
        <f>轉向量!N89</f>
        <v>0</v>
      </c>
      <c r="I98" s="248">
        <f>轉向量!O89</f>
        <v>0</v>
      </c>
      <c r="J98" s="248">
        <f>轉向量!Q89</f>
        <v>0</v>
      </c>
      <c r="K98" s="250">
        <f>轉向量!S89</f>
        <v>0</v>
      </c>
      <c r="L98" s="251">
        <f>轉向量!F185</f>
        <v>0</v>
      </c>
      <c r="M98" s="251">
        <f>轉向量!G185</f>
        <v>0</v>
      </c>
      <c r="N98" s="252">
        <f>轉向量!D185</f>
        <v>0</v>
      </c>
      <c r="O98" s="251">
        <f>轉向量!J185</f>
        <v>0</v>
      </c>
      <c r="P98" s="251">
        <f>轉向量!K185</f>
        <v>0</v>
      </c>
      <c r="Q98" s="252">
        <f>轉向量!H185</f>
        <v>0</v>
      </c>
      <c r="R98" s="253">
        <f>轉向量!P185</f>
        <v>0</v>
      </c>
      <c r="S98" s="251">
        <f>轉向量!Q185</f>
        <v>0</v>
      </c>
      <c r="T98" s="251">
        <f>轉向量!S185</f>
        <v>0</v>
      </c>
      <c r="U98" s="252">
        <f>轉向量!M185</f>
        <v>0</v>
      </c>
      <c r="V98" s="254">
        <f>轉向量!G281</f>
        <v>0</v>
      </c>
      <c r="W98" s="254">
        <f>轉向量!D281</f>
        <v>0</v>
      </c>
      <c r="X98" s="255">
        <f>轉向量!E281</f>
        <v>0</v>
      </c>
      <c r="Y98" s="254">
        <f>轉向量!K281</f>
        <v>0</v>
      </c>
      <c r="Z98" s="254">
        <f>轉向量!H281</f>
        <v>0</v>
      </c>
      <c r="AA98" s="255">
        <f>轉向量!I281</f>
        <v>0</v>
      </c>
      <c r="AB98" s="256">
        <f>轉向量!R281</f>
        <v>0</v>
      </c>
      <c r="AC98" s="254">
        <f>轉向量!S281</f>
        <v>0</v>
      </c>
      <c r="AD98" s="254">
        <f>轉向量!M281</f>
        <v>0</v>
      </c>
      <c r="AE98" s="255">
        <f>轉向量!O281</f>
        <v>0</v>
      </c>
      <c r="AF98" s="257">
        <f>轉向量!D377</f>
        <v>0</v>
      </c>
      <c r="AG98" s="257">
        <f>轉向量!E377</f>
        <v>0</v>
      </c>
      <c r="AH98" s="258">
        <f>轉向量!F377</f>
        <v>0</v>
      </c>
      <c r="AI98" s="257">
        <f>轉向量!H377</f>
        <v>0</v>
      </c>
      <c r="AJ98" s="257">
        <f>轉向量!I377</f>
        <v>0</v>
      </c>
      <c r="AK98" s="258">
        <f>轉向量!J377</f>
        <v>0</v>
      </c>
      <c r="AL98" s="259">
        <f>轉向量!L377</f>
        <v>0</v>
      </c>
      <c r="AM98" s="257">
        <f>轉向量!M377</f>
        <v>0</v>
      </c>
      <c r="AN98" s="257">
        <f>轉向量!O377</f>
        <v>0</v>
      </c>
      <c r="AO98" s="260">
        <f>轉向量!Q377</f>
        <v>0</v>
      </c>
    </row>
    <row r="99" spans="1:41">
      <c r="A99" s="19">
        <v>2200</v>
      </c>
      <c r="B99" s="248">
        <f>轉向量!E90</f>
        <v>0</v>
      </c>
      <c r="C99" s="248">
        <f>轉向量!F90</f>
        <v>0</v>
      </c>
      <c r="D99" s="250">
        <f>轉向量!G90</f>
        <v>0</v>
      </c>
      <c r="E99" s="248">
        <f>轉向量!I90</f>
        <v>0</v>
      </c>
      <c r="F99" s="248">
        <f>轉向量!J90</f>
        <v>0</v>
      </c>
      <c r="G99" s="250">
        <f>轉向量!K90</f>
        <v>0</v>
      </c>
      <c r="H99" s="249">
        <f>轉向量!N90</f>
        <v>0</v>
      </c>
      <c r="I99" s="248">
        <f>轉向量!O90</f>
        <v>0</v>
      </c>
      <c r="J99" s="248">
        <f>轉向量!Q90</f>
        <v>0</v>
      </c>
      <c r="K99" s="250">
        <f>轉向量!S90</f>
        <v>0</v>
      </c>
      <c r="L99" s="251">
        <f>轉向量!F186</f>
        <v>0</v>
      </c>
      <c r="M99" s="251">
        <f>轉向量!G186</f>
        <v>0</v>
      </c>
      <c r="N99" s="252">
        <f>轉向量!D186</f>
        <v>0</v>
      </c>
      <c r="O99" s="251">
        <f>轉向量!J186</f>
        <v>0</v>
      </c>
      <c r="P99" s="251">
        <f>轉向量!K186</f>
        <v>0</v>
      </c>
      <c r="Q99" s="252">
        <f>轉向量!H186</f>
        <v>0</v>
      </c>
      <c r="R99" s="253">
        <f>轉向量!P186</f>
        <v>0</v>
      </c>
      <c r="S99" s="251">
        <f>轉向量!Q186</f>
        <v>0</v>
      </c>
      <c r="T99" s="251">
        <f>轉向量!S186</f>
        <v>0</v>
      </c>
      <c r="U99" s="252">
        <f>轉向量!M186</f>
        <v>0</v>
      </c>
      <c r="V99" s="254">
        <f>轉向量!G282</f>
        <v>0</v>
      </c>
      <c r="W99" s="254">
        <f>轉向量!D282</f>
        <v>0</v>
      </c>
      <c r="X99" s="255">
        <f>轉向量!E282</f>
        <v>0</v>
      </c>
      <c r="Y99" s="254">
        <f>轉向量!K282</f>
        <v>0</v>
      </c>
      <c r="Z99" s="254">
        <f>轉向量!H282</f>
        <v>0</v>
      </c>
      <c r="AA99" s="255">
        <f>轉向量!I282</f>
        <v>0</v>
      </c>
      <c r="AB99" s="256">
        <f>轉向量!R282</f>
        <v>0</v>
      </c>
      <c r="AC99" s="254">
        <f>轉向量!S282</f>
        <v>0</v>
      </c>
      <c r="AD99" s="254">
        <f>轉向量!M282</f>
        <v>0</v>
      </c>
      <c r="AE99" s="255">
        <f>轉向量!O282</f>
        <v>0</v>
      </c>
      <c r="AF99" s="257">
        <f>轉向量!D378</f>
        <v>0</v>
      </c>
      <c r="AG99" s="257">
        <f>轉向量!E378</f>
        <v>0</v>
      </c>
      <c r="AH99" s="258">
        <f>轉向量!F378</f>
        <v>0</v>
      </c>
      <c r="AI99" s="257">
        <f>轉向量!H378</f>
        <v>0</v>
      </c>
      <c r="AJ99" s="257">
        <f>轉向量!I378</f>
        <v>0</v>
      </c>
      <c r="AK99" s="258">
        <f>轉向量!J378</f>
        <v>0</v>
      </c>
      <c r="AL99" s="259">
        <f>轉向量!L378</f>
        <v>0</v>
      </c>
      <c r="AM99" s="257">
        <f>轉向量!M378</f>
        <v>0</v>
      </c>
      <c r="AN99" s="257">
        <f>轉向量!O378</f>
        <v>0</v>
      </c>
      <c r="AO99" s="260">
        <f>轉向量!Q378</f>
        <v>0</v>
      </c>
    </row>
    <row r="100" spans="1:41">
      <c r="A100" s="19">
        <v>2215</v>
      </c>
      <c r="B100" s="248">
        <f>轉向量!E91</f>
        <v>0</v>
      </c>
      <c r="C100" s="248">
        <f>轉向量!F91</f>
        <v>0</v>
      </c>
      <c r="D100" s="250">
        <f>轉向量!G91</f>
        <v>0</v>
      </c>
      <c r="E100" s="248">
        <f>轉向量!I91</f>
        <v>0</v>
      </c>
      <c r="F100" s="248">
        <f>轉向量!J91</f>
        <v>0</v>
      </c>
      <c r="G100" s="250">
        <f>轉向量!K91</f>
        <v>0</v>
      </c>
      <c r="H100" s="249">
        <f>轉向量!N91</f>
        <v>0</v>
      </c>
      <c r="I100" s="248">
        <f>轉向量!O91</f>
        <v>0</v>
      </c>
      <c r="J100" s="248">
        <f>轉向量!Q91</f>
        <v>0</v>
      </c>
      <c r="K100" s="250">
        <f>轉向量!S91</f>
        <v>0</v>
      </c>
      <c r="L100" s="251">
        <f>轉向量!F187</f>
        <v>0</v>
      </c>
      <c r="M100" s="251">
        <f>轉向量!G187</f>
        <v>0</v>
      </c>
      <c r="N100" s="252">
        <f>轉向量!D187</f>
        <v>0</v>
      </c>
      <c r="O100" s="251">
        <f>轉向量!J187</f>
        <v>0</v>
      </c>
      <c r="P100" s="251">
        <f>轉向量!K187</f>
        <v>0</v>
      </c>
      <c r="Q100" s="252">
        <f>轉向量!H187</f>
        <v>0</v>
      </c>
      <c r="R100" s="253">
        <f>轉向量!P187</f>
        <v>0</v>
      </c>
      <c r="S100" s="251">
        <f>轉向量!Q187</f>
        <v>0</v>
      </c>
      <c r="T100" s="251">
        <f>轉向量!S187</f>
        <v>0</v>
      </c>
      <c r="U100" s="252">
        <f>轉向量!M187</f>
        <v>0</v>
      </c>
      <c r="V100" s="254">
        <f>轉向量!G283</f>
        <v>0</v>
      </c>
      <c r="W100" s="254">
        <f>轉向量!D283</f>
        <v>0</v>
      </c>
      <c r="X100" s="255">
        <f>轉向量!E283</f>
        <v>0</v>
      </c>
      <c r="Y100" s="254">
        <f>轉向量!K283</f>
        <v>0</v>
      </c>
      <c r="Z100" s="254">
        <f>轉向量!H283</f>
        <v>0</v>
      </c>
      <c r="AA100" s="255">
        <f>轉向量!I283</f>
        <v>0</v>
      </c>
      <c r="AB100" s="256">
        <f>轉向量!R283</f>
        <v>0</v>
      </c>
      <c r="AC100" s="254">
        <f>轉向量!S283</f>
        <v>0</v>
      </c>
      <c r="AD100" s="254">
        <f>轉向量!M283</f>
        <v>0</v>
      </c>
      <c r="AE100" s="255">
        <f>轉向量!O283</f>
        <v>0</v>
      </c>
      <c r="AF100" s="257">
        <f>轉向量!D379</f>
        <v>0</v>
      </c>
      <c r="AG100" s="257">
        <f>轉向量!E379</f>
        <v>0</v>
      </c>
      <c r="AH100" s="258">
        <f>轉向量!F379</f>
        <v>0</v>
      </c>
      <c r="AI100" s="257">
        <f>轉向量!H379</f>
        <v>0</v>
      </c>
      <c r="AJ100" s="257">
        <f>轉向量!I379</f>
        <v>0</v>
      </c>
      <c r="AK100" s="258">
        <f>轉向量!J379</f>
        <v>0</v>
      </c>
      <c r="AL100" s="259">
        <f>轉向量!L379</f>
        <v>0</v>
      </c>
      <c r="AM100" s="257">
        <f>轉向量!M379</f>
        <v>0</v>
      </c>
      <c r="AN100" s="257">
        <f>轉向量!O379</f>
        <v>0</v>
      </c>
      <c r="AO100" s="260">
        <f>轉向量!Q379</f>
        <v>0</v>
      </c>
    </row>
    <row r="101" spans="1:41">
      <c r="A101" s="19">
        <v>2230</v>
      </c>
      <c r="B101" s="248">
        <f>轉向量!E92</f>
        <v>0</v>
      </c>
      <c r="C101" s="248">
        <f>轉向量!F92</f>
        <v>0</v>
      </c>
      <c r="D101" s="250">
        <f>轉向量!G92</f>
        <v>0</v>
      </c>
      <c r="E101" s="248">
        <f>轉向量!I92</f>
        <v>0</v>
      </c>
      <c r="F101" s="248">
        <f>轉向量!J92</f>
        <v>0</v>
      </c>
      <c r="G101" s="250">
        <f>轉向量!K92</f>
        <v>0</v>
      </c>
      <c r="H101" s="249">
        <f>轉向量!N92</f>
        <v>0</v>
      </c>
      <c r="I101" s="248">
        <f>轉向量!O92</f>
        <v>0</v>
      </c>
      <c r="J101" s="248">
        <f>轉向量!Q92</f>
        <v>0</v>
      </c>
      <c r="K101" s="250">
        <f>轉向量!S92</f>
        <v>0</v>
      </c>
      <c r="L101" s="251">
        <f>轉向量!F188</f>
        <v>0</v>
      </c>
      <c r="M101" s="251">
        <f>轉向量!G188</f>
        <v>0</v>
      </c>
      <c r="N101" s="252">
        <f>轉向量!D188</f>
        <v>0</v>
      </c>
      <c r="O101" s="251">
        <f>轉向量!J188</f>
        <v>0</v>
      </c>
      <c r="P101" s="251">
        <f>轉向量!K188</f>
        <v>0</v>
      </c>
      <c r="Q101" s="252">
        <f>轉向量!H188</f>
        <v>0</v>
      </c>
      <c r="R101" s="253">
        <f>轉向量!P188</f>
        <v>0</v>
      </c>
      <c r="S101" s="251">
        <f>轉向量!Q188</f>
        <v>0</v>
      </c>
      <c r="T101" s="251">
        <f>轉向量!S188</f>
        <v>0</v>
      </c>
      <c r="U101" s="252">
        <f>轉向量!M188</f>
        <v>0</v>
      </c>
      <c r="V101" s="254">
        <f>轉向量!G284</f>
        <v>0</v>
      </c>
      <c r="W101" s="254">
        <f>轉向量!D284</f>
        <v>0</v>
      </c>
      <c r="X101" s="255">
        <f>轉向量!E284</f>
        <v>0</v>
      </c>
      <c r="Y101" s="254">
        <f>轉向量!K284</f>
        <v>0</v>
      </c>
      <c r="Z101" s="254">
        <f>轉向量!H284</f>
        <v>0</v>
      </c>
      <c r="AA101" s="255">
        <f>轉向量!I284</f>
        <v>0</v>
      </c>
      <c r="AB101" s="256">
        <f>轉向量!R284</f>
        <v>0</v>
      </c>
      <c r="AC101" s="254">
        <f>轉向量!S284</f>
        <v>0</v>
      </c>
      <c r="AD101" s="254">
        <f>轉向量!M284</f>
        <v>0</v>
      </c>
      <c r="AE101" s="255">
        <f>轉向量!O284</f>
        <v>0</v>
      </c>
      <c r="AF101" s="257">
        <f>轉向量!D380</f>
        <v>0</v>
      </c>
      <c r="AG101" s="257">
        <f>轉向量!E380</f>
        <v>0</v>
      </c>
      <c r="AH101" s="258">
        <f>轉向量!F380</f>
        <v>0</v>
      </c>
      <c r="AI101" s="257">
        <f>轉向量!H380</f>
        <v>0</v>
      </c>
      <c r="AJ101" s="257">
        <f>轉向量!I380</f>
        <v>0</v>
      </c>
      <c r="AK101" s="258">
        <f>轉向量!J380</f>
        <v>0</v>
      </c>
      <c r="AL101" s="259">
        <f>轉向量!L380</f>
        <v>0</v>
      </c>
      <c r="AM101" s="257">
        <f>轉向量!M380</f>
        <v>0</v>
      </c>
      <c r="AN101" s="257">
        <f>轉向量!O380</f>
        <v>0</v>
      </c>
      <c r="AO101" s="260">
        <f>轉向量!Q380</f>
        <v>0</v>
      </c>
    </row>
    <row r="102" spans="1:41">
      <c r="A102" s="19">
        <v>2245</v>
      </c>
      <c r="B102" s="248">
        <f>轉向量!E93</f>
        <v>0</v>
      </c>
      <c r="C102" s="248">
        <f>轉向量!F93</f>
        <v>0</v>
      </c>
      <c r="D102" s="250">
        <f>轉向量!G93</f>
        <v>0</v>
      </c>
      <c r="E102" s="248">
        <f>轉向量!I93</f>
        <v>0</v>
      </c>
      <c r="F102" s="248">
        <f>轉向量!J93</f>
        <v>0</v>
      </c>
      <c r="G102" s="250">
        <f>轉向量!K93</f>
        <v>0</v>
      </c>
      <c r="H102" s="249">
        <f>轉向量!N93</f>
        <v>0</v>
      </c>
      <c r="I102" s="248">
        <f>轉向量!O93</f>
        <v>0</v>
      </c>
      <c r="J102" s="248">
        <f>轉向量!Q93</f>
        <v>0</v>
      </c>
      <c r="K102" s="250">
        <f>轉向量!S93</f>
        <v>0</v>
      </c>
      <c r="L102" s="251">
        <f>轉向量!F189</f>
        <v>0</v>
      </c>
      <c r="M102" s="251">
        <f>轉向量!G189</f>
        <v>0</v>
      </c>
      <c r="N102" s="252">
        <f>轉向量!D189</f>
        <v>0</v>
      </c>
      <c r="O102" s="251">
        <f>轉向量!J189</f>
        <v>0</v>
      </c>
      <c r="P102" s="251">
        <f>轉向量!K189</f>
        <v>0</v>
      </c>
      <c r="Q102" s="252">
        <f>轉向量!H189</f>
        <v>0</v>
      </c>
      <c r="R102" s="253">
        <f>轉向量!P189</f>
        <v>0</v>
      </c>
      <c r="S102" s="251">
        <f>轉向量!Q189</f>
        <v>0</v>
      </c>
      <c r="T102" s="251">
        <f>轉向量!S189</f>
        <v>0</v>
      </c>
      <c r="U102" s="252">
        <f>轉向量!M189</f>
        <v>0</v>
      </c>
      <c r="V102" s="254">
        <f>轉向量!G285</f>
        <v>0</v>
      </c>
      <c r="W102" s="254">
        <f>轉向量!D285</f>
        <v>0</v>
      </c>
      <c r="X102" s="255">
        <f>轉向量!E285</f>
        <v>0</v>
      </c>
      <c r="Y102" s="254">
        <f>轉向量!K285</f>
        <v>0</v>
      </c>
      <c r="Z102" s="254">
        <f>轉向量!H285</f>
        <v>0</v>
      </c>
      <c r="AA102" s="255">
        <f>轉向量!I285</f>
        <v>0</v>
      </c>
      <c r="AB102" s="256">
        <f>轉向量!R285</f>
        <v>0</v>
      </c>
      <c r="AC102" s="254">
        <f>轉向量!S285</f>
        <v>0</v>
      </c>
      <c r="AD102" s="254">
        <f>轉向量!M285</f>
        <v>0</v>
      </c>
      <c r="AE102" s="255">
        <f>轉向量!O285</f>
        <v>0</v>
      </c>
      <c r="AF102" s="257">
        <f>轉向量!D381</f>
        <v>0</v>
      </c>
      <c r="AG102" s="257">
        <f>轉向量!E381</f>
        <v>0</v>
      </c>
      <c r="AH102" s="258">
        <f>轉向量!F381</f>
        <v>0</v>
      </c>
      <c r="AI102" s="257">
        <f>轉向量!H381</f>
        <v>0</v>
      </c>
      <c r="AJ102" s="257">
        <f>轉向量!I381</f>
        <v>0</v>
      </c>
      <c r="AK102" s="258">
        <f>轉向量!J381</f>
        <v>0</v>
      </c>
      <c r="AL102" s="259">
        <f>轉向量!L381</f>
        <v>0</v>
      </c>
      <c r="AM102" s="257">
        <f>轉向量!M381</f>
        <v>0</v>
      </c>
      <c r="AN102" s="257">
        <f>轉向量!O381</f>
        <v>0</v>
      </c>
      <c r="AO102" s="260">
        <f>轉向量!Q381</f>
        <v>0</v>
      </c>
    </row>
    <row r="103" spans="1:41">
      <c r="A103" s="19">
        <v>2300</v>
      </c>
      <c r="B103" s="248">
        <f>轉向量!E94</f>
        <v>0</v>
      </c>
      <c r="C103" s="248">
        <f>轉向量!F94</f>
        <v>0</v>
      </c>
      <c r="D103" s="250">
        <f>轉向量!G94</f>
        <v>0</v>
      </c>
      <c r="E103" s="248">
        <f>轉向量!I94</f>
        <v>0</v>
      </c>
      <c r="F103" s="248">
        <f>轉向量!J94</f>
        <v>0</v>
      </c>
      <c r="G103" s="250">
        <f>轉向量!K94</f>
        <v>0</v>
      </c>
      <c r="H103" s="249">
        <f>轉向量!N94</f>
        <v>0</v>
      </c>
      <c r="I103" s="248">
        <f>轉向量!O94</f>
        <v>0</v>
      </c>
      <c r="J103" s="248">
        <f>轉向量!Q94</f>
        <v>0</v>
      </c>
      <c r="K103" s="250">
        <f>轉向量!S94</f>
        <v>0</v>
      </c>
      <c r="L103" s="251">
        <f>轉向量!F190</f>
        <v>0</v>
      </c>
      <c r="M103" s="251">
        <f>轉向量!G190</f>
        <v>0</v>
      </c>
      <c r="N103" s="252">
        <f>轉向量!D190</f>
        <v>0</v>
      </c>
      <c r="O103" s="251">
        <f>轉向量!J190</f>
        <v>0</v>
      </c>
      <c r="P103" s="251">
        <f>轉向量!K190</f>
        <v>0</v>
      </c>
      <c r="Q103" s="252">
        <f>轉向量!H190</f>
        <v>0</v>
      </c>
      <c r="R103" s="253">
        <f>轉向量!P190</f>
        <v>0</v>
      </c>
      <c r="S103" s="251">
        <f>轉向量!Q190</f>
        <v>0</v>
      </c>
      <c r="T103" s="251">
        <f>轉向量!S190</f>
        <v>0</v>
      </c>
      <c r="U103" s="252">
        <f>轉向量!M190</f>
        <v>0</v>
      </c>
      <c r="V103" s="254">
        <f>轉向量!G286</f>
        <v>0</v>
      </c>
      <c r="W103" s="254">
        <f>轉向量!D286</f>
        <v>0</v>
      </c>
      <c r="X103" s="255">
        <f>轉向量!E286</f>
        <v>0</v>
      </c>
      <c r="Y103" s="254">
        <f>轉向量!K286</f>
        <v>0</v>
      </c>
      <c r="Z103" s="254">
        <f>轉向量!H286</f>
        <v>0</v>
      </c>
      <c r="AA103" s="255">
        <f>轉向量!I286</f>
        <v>0</v>
      </c>
      <c r="AB103" s="256">
        <f>轉向量!R286</f>
        <v>0</v>
      </c>
      <c r="AC103" s="254">
        <f>轉向量!S286</f>
        <v>0</v>
      </c>
      <c r="AD103" s="254">
        <f>轉向量!M286</f>
        <v>0</v>
      </c>
      <c r="AE103" s="255">
        <f>轉向量!O286</f>
        <v>0</v>
      </c>
      <c r="AF103" s="257">
        <f>轉向量!D382</f>
        <v>0</v>
      </c>
      <c r="AG103" s="257">
        <f>轉向量!E382</f>
        <v>0</v>
      </c>
      <c r="AH103" s="258">
        <f>轉向量!F382</f>
        <v>0</v>
      </c>
      <c r="AI103" s="257">
        <f>轉向量!H382</f>
        <v>0</v>
      </c>
      <c r="AJ103" s="257">
        <f>轉向量!I382</f>
        <v>0</v>
      </c>
      <c r="AK103" s="258">
        <f>轉向量!J382</f>
        <v>0</v>
      </c>
      <c r="AL103" s="259">
        <f>轉向量!L382</f>
        <v>0</v>
      </c>
      <c r="AM103" s="257">
        <f>轉向量!M382</f>
        <v>0</v>
      </c>
      <c r="AN103" s="257">
        <f>轉向量!O382</f>
        <v>0</v>
      </c>
      <c r="AO103" s="260">
        <f>轉向量!Q382</f>
        <v>0</v>
      </c>
    </row>
    <row r="104" spans="1:41">
      <c r="A104" s="19">
        <v>2315</v>
      </c>
      <c r="B104" s="248">
        <f>轉向量!E95</f>
        <v>0</v>
      </c>
      <c r="C104" s="248">
        <f>轉向量!F95</f>
        <v>0</v>
      </c>
      <c r="D104" s="250">
        <f>轉向量!G95</f>
        <v>0</v>
      </c>
      <c r="E104" s="248">
        <f>轉向量!I95</f>
        <v>0</v>
      </c>
      <c r="F104" s="248">
        <f>轉向量!J95</f>
        <v>0</v>
      </c>
      <c r="G104" s="250">
        <f>轉向量!K95</f>
        <v>0</v>
      </c>
      <c r="H104" s="249">
        <f>轉向量!N95</f>
        <v>0</v>
      </c>
      <c r="I104" s="248">
        <f>轉向量!O95</f>
        <v>0</v>
      </c>
      <c r="J104" s="248">
        <f>轉向量!Q95</f>
        <v>0</v>
      </c>
      <c r="K104" s="250">
        <f>轉向量!S95</f>
        <v>0</v>
      </c>
      <c r="L104" s="251">
        <f>轉向量!F191</f>
        <v>0</v>
      </c>
      <c r="M104" s="251">
        <f>轉向量!G191</f>
        <v>0</v>
      </c>
      <c r="N104" s="252">
        <f>轉向量!D191</f>
        <v>0</v>
      </c>
      <c r="O104" s="251">
        <f>轉向量!J191</f>
        <v>0</v>
      </c>
      <c r="P104" s="251">
        <f>轉向量!K191</f>
        <v>0</v>
      </c>
      <c r="Q104" s="252">
        <f>轉向量!H191</f>
        <v>0</v>
      </c>
      <c r="R104" s="253">
        <f>轉向量!P191</f>
        <v>0</v>
      </c>
      <c r="S104" s="251">
        <f>轉向量!Q191</f>
        <v>0</v>
      </c>
      <c r="T104" s="251">
        <f>轉向量!S191</f>
        <v>0</v>
      </c>
      <c r="U104" s="252">
        <f>轉向量!M191</f>
        <v>0</v>
      </c>
      <c r="V104" s="254">
        <f>轉向量!G287</f>
        <v>0</v>
      </c>
      <c r="W104" s="254">
        <f>轉向量!D287</f>
        <v>0</v>
      </c>
      <c r="X104" s="255">
        <f>轉向量!E287</f>
        <v>0</v>
      </c>
      <c r="Y104" s="254">
        <f>轉向量!K287</f>
        <v>0</v>
      </c>
      <c r="Z104" s="254">
        <f>轉向量!H287</f>
        <v>0</v>
      </c>
      <c r="AA104" s="255">
        <f>轉向量!I287</f>
        <v>0</v>
      </c>
      <c r="AB104" s="256">
        <f>轉向量!R287</f>
        <v>0</v>
      </c>
      <c r="AC104" s="254">
        <f>轉向量!S287</f>
        <v>0</v>
      </c>
      <c r="AD104" s="254">
        <f>轉向量!M287</f>
        <v>0</v>
      </c>
      <c r="AE104" s="255">
        <f>轉向量!O287</f>
        <v>0</v>
      </c>
      <c r="AF104" s="257">
        <f>轉向量!D383</f>
        <v>0</v>
      </c>
      <c r="AG104" s="257">
        <f>轉向量!E383</f>
        <v>0</v>
      </c>
      <c r="AH104" s="258">
        <f>轉向量!F383</f>
        <v>0</v>
      </c>
      <c r="AI104" s="257">
        <f>轉向量!H383</f>
        <v>0</v>
      </c>
      <c r="AJ104" s="257">
        <f>轉向量!I383</f>
        <v>0</v>
      </c>
      <c r="AK104" s="258">
        <f>轉向量!J383</f>
        <v>0</v>
      </c>
      <c r="AL104" s="259">
        <f>轉向量!L383</f>
        <v>0</v>
      </c>
      <c r="AM104" s="257">
        <f>轉向量!M383</f>
        <v>0</v>
      </c>
      <c r="AN104" s="257">
        <f>轉向量!O383</f>
        <v>0</v>
      </c>
      <c r="AO104" s="260">
        <f>轉向量!Q383</f>
        <v>0</v>
      </c>
    </row>
    <row r="105" spans="1:41">
      <c r="A105" s="19">
        <v>2330</v>
      </c>
      <c r="B105" s="248">
        <f>轉向量!E96</f>
        <v>0</v>
      </c>
      <c r="C105" s="248">
        <f>轉向量!F96</f>
        <v>0</v>
      </c>
      <c r="D105" s="250">
        <f>轉向量!G96</f>
        <v>0</v>
      </c>
      <c r="E105" s="248">
        <f>轉向量!I96</f>
        <v>0</v>
      </c>
      <c r="F105" s="248">
        <f>轉向量!J96</f>
        <v>0</v>
      </c>
      <c r="G105" s="250">
        <f>轉向量!K96</f>
        <v>0</v>
      </c>
      <c r="H105" s="249">
        <f>轉向量!N96</f>
        <v>0</v>
      </c>
      <c r="I105" s="248">
        <f>轉向量!O96</f>
        <v>0</v>
      </c>
      <c r="J105" s="248">
        <f>轉向量!Q96</f>
        <v>0</v>
      </c>
      <c r="K105" s="250">
        <f>轉向量!S96</f>
        <v>0</v>
      </c>
      <c r="L105" s="251">
        <f>轉向量!F192</f>
        <v>0</v>
      </c>
      <c r="M105" s="251">
        <f>轉向量!G192</f>
        <v>0</v>
      </c>
      <c r="N105" s="252">
        <f>轉向量!D192</f>
        <v>0</v>
      </c>
      <c r="O105" s="251">
        <f>轉向量!J192</f>
        <v>0</v>
      </c>
      <c r="P105" s="251">
        <f>轉向量!K192</f>
        <v>0</v>
      </c>
      <c r="Q105" s="252">
        <f>轉向量!H192</f>
        <v>0</v>
      </c>
      <c r="R105" s="253">
        <f>轉向量!P192</f>
        <v>0</v>
      </c>
      <c r="S105" s="251">
        <f>轉向量!Q192</f>
        <v>0</v>
      </c>
      <c r="T105" s="251">
        <f>轉向量!S192</f>
        <v>0</v>
      </c>
      <c r="U105" s="252">
        <f>轉向量!M192</f>
        <v>0</v>
      </c>
      <c r="V105" s="254">
        <f>轉向量!G288</f>
        <v>0</v>
      </c>
      <c r="W105" s="254">
        <f>轉向量!D288</f>
        <v>0</v>
      </c>
      <c r="X105" s="255">
        <f>轉向量!E288</f>
        <v>0</v>
      </c>
      <c r="Y105" s="254">
        <f>轉向量!K288</f>
        <v>0</v>
      </c>
      <c r="Z105" s="254">
        <f>轉向量!H288</f>
        <v>0</v>
      </c>
      <c r="AA105" s="255">
        <f>轉向量!I288</f>
        <v>0</v>
      </c>
      <c r="AB105" s="256">
        <f>轉向量!R288</f>
        <v>0</v>
      </c>
      <c r="AC105" s="254">
        <f>轉向量!S288</f>
        <v>0</v>
      </c>
      <c r="AD105" s="254">
        <f>轉向量!M288</f>
        <v>0</v>
      </c>
      <c r="AE105" s="255">
        <f>轉向量!O288</f>
        <v>0</v>
      </c>
      <c r="AF105" s="257">
        <f>轉向量!D384</f>
        <v>0</v>
      </c>
      <c r="AG105" s="257">
        <f>轉向量!E384</f>
        <v>0</v>
      </c>
      <c r="AH105" s="258">
        <f>轉向量!F384</f>
        <v>0</v>
      </c>
      <c r="AI105" s="257">
        <f>轉向量!H384</f>
        <v>0</v>
      </c>
      <c r="AJ105" s="257">
        <f>轉向量!I384</f>
        <v>0</v>
      </c>
      <c r="AK105" s="258">
        <f>轉向量!J384</f>
        <v>0</v>
      </c>
      <c r="AL105" s="259">
        <f>轉向量!L384</f>
        <v>0</v>
      </c>
      <c r="AM105" s="257">
        <f>轉向量!M384</f>
        <v>0</v>
      </c>
      <c r="AN105" s="257">
        <f>轉向量!O384</f>
        <v>0</v>
      </c>
      <c r="AO105" s="260">
        <f>轉向量!Q384</f>
        <v>0</v>
      </c>
    </row>
    <row r="106" spans="1:41">
      <c r="A106" s="19">
        <v>2345</v>
      </c>
      <c r="B106" s="248">
        <f>轉向量!E97</f>
        <v>0</v>
      </c>
      <c r="C106" s="248">
        <f>轉向量!F97</f>
        <v>0</v>
      </c>
      <c r="D106" s="250">
        <f>轉向量!G97</f>
        <v>0</v>
      </c>
      <c r="E106" s="248">
        <f>轉向量!I97</f>
        <v>0</v>
      </c>
      <c r="F106" s="248">
        <f>轉向量!J97</f>
        <v>0</v>
      </c>
      <c r="G106" s="250">
        <f>轉向量!K97</f>
        <v>0</v>
      </c>
      <c r="H106" s="249">
        <f>轉向量!N97</f>
        <v>0</v>
      </c>
      <c r="I106" s="248">
        <f>轉向量!O97</f>
        <v>0</v>
      </c>
      <c r="J106" s="248">
        <f>轉向量!Q97</f>
        <v>0</v>
      </c>
      <c r="K106" s="250">
        <f>轉向量!S97</f>
        <v>0</v>
      </c>
      <c r="L106" s="251">
        <f>轉向量!F193</f>
        <v>0</v>
      </c>
      <c r="M106" s="251">
        <f>轉向量!G193</f>
        <v>0</v>
      </c>
      <c r="N106" s="252">
        <f>轉向量!D193</f>
        <v>0</v>
      </c>
      <c r="O106" s="251">
        <f>轉向量!J193</f>
        <v>0</v>
      </c>
      <c r="P106" s="251">
        <f>轉向量!K193</f>
        <v>0</v>
      </c>
      <c r="Q106" s="252">
        <f>轉向量!H193</f>
        <v>0</v>
      </c>
      <c r="R106" s="253">
        <f>轉向量!P193</f>
        <v>0</v>
      </c>
      <c r="S106" s="251">
        <f>轉向量!Q193</f>
        <v>0</v>
      </c>
      <c r="T106" s="251">
        <f>轉向量!S193</f>
        <v>0</v>
      </c>
      <c r="U106" s="252">
        <f>轉向量!M193</f>
        <v>0</v>
      </c>
      <c r="V106" s="254">
        <f>轉向量!G289</f>
        <v>0</v>
      </c>
      <c r="W106" s="254">
        <f>轉向量!D289</f>
        <v>0</v>
      </c>
      <c r="X106" s="255">
        <f>轉向量!E289</f>
        <v>0</v>
      </c>
      <c r="Y106" s="254">
        <f>轉向量!K289</f>
        <v>0</v>
      </c>
      <c r="Z106" s="254">
        <f>轉向量!H289</f>
        <v>0</v>
      </c>
      <c r="AA106" s="255">
        <f>轉向量!I289</f>
        <v>0</v>
      </c>
      <c r="AB106" s="256">
        <f>轉向量!R289</f>
        <v>0</v>
      </c>
      <c r="AC106" s="254">
        <f>轉向量!S289</f>
        <v>0</v>
      </c>
      <c r="AD106" s="254">
        <f>轉向量!M289</f>
        <v>0</v>
      </c>
      <c r="AE106" s="255">
        <f>轉向量!O289</f>
        <v>0</v>
      </c>
      <c r="AF106" s="257">
        <f>轉向量!D385</f>
        <v>0</v>
      </c>
      <c r="AG106" s="257">
        <f>轉向量!E385</f>
        <v>0</v>
      </c>
      <c r="AH106" s="258">
        <f>轉向量!F385</f>
        <v>0</v>
      </c>
      <c r="AI106" s="257">
        <f>轉向量!H385</f>
        <v>0</v>
      </c>
      <c r="AJ106" s="257">
        <f>轉向量!I385</f>
        <v>0</v>
      </c>
      <c r="AK106" s="258">
        <f>轉向量!J385</f>
        <v>0</v>
      </c>
      <c r="AL106" s="259">
        <f>轉向量!L385</f>
        <v>0</v>
      </c>
      <c r="AM106" s="257">
        <f>轉向量!M385</f>
        <v>0</v>
      </c>
      <c r="AN106" s="257">
        <f>轉向量!O385</f>
        <v>0</v>
      </c>
      <c r="AO106" s="260">
        <f>轉向量!Q385</f>
        <v>0</v>
      </c>
    </row>
  </sheetData>
  <mergeCells count="6">
    <mergeCell ref="B3:K6"/>
    <mergeCell ref="AG8:AH8"/>
    <mergeCell ref="A9:A10"/>
    <mergeCell ref="C8:D8"/>
    <mergeCell ref="M8:N8"/>
    <mergeCell ref="W8:X8"/>
  </mergeCells>
  <phoneticPr fontId="2" type="noConversion"/>
  <printOptions horizontalCentered="1"/>
  <pageMargins left="0" right="0" top="0.59055118110236227" bottom="0.59055118110236227" header="0.51181102362204722" footer="0.51181102362204722"/>
  <pageSetup paperSize="9" scale="43" orientation="landscape" horizontalDpi="300" r:id="rId1"/>
  <headerFooter alignWithMargins="0"/>
  <rowBreaks count="1" manualBreakCount="1"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  <pageSetUpPr fitToPage="1"/>
  </sheetPr>
  <dimension ref="A1:FN102"/>
  <sheetViews>
    <sheetView topLeftCell="Y1" zoomScaleNormal="100" workbookViewId="0">
      <pane ySplit="4" topLeftCell="A80" activePane="bottomLeft" state="frozen"/>
      <selection pane="bottomLeft" activeCell="AE99" sqref="AE99"/>
    </sheetView>
  </sheetViews>
  <sheetFormatPr defaultColWidth="8.875" defaultRowHeight="16.5"/>
  <cols>
    <col min="1" max="1" width="7.75" style="9" customWidth="1"/>
    <col min="2" max="18" width="7.625" style="2" customWidth="1"/>
    <col min="19" max="19" width="2.125" style="2" customWidth="1"/>
    <col min="20" max="20" width="7.625" style="101" customWidth="1"/>
    <col min="21" max="21" width="7.625" customWidth="1"/>
    <col min="22" max="22" width="7.625" style="2" customWidth="1"/>
    <col min="23" max="23" width="9.375" style="2" customWidth="1"/>
    <col min="24" max="28" width="10.875" style="1" customWidth="1"/>
    <col min="29" max="29" width="9.25" style="1" customWidth="1"/>
    <col min="30" max="30" width="7.625" style="1" customWidth="1"/>
    <col min="31" max="31" width="7.625" style="1" bestFit="1" customWidth="1"/>
    <col min="32" max="35" width="7.625" style="2" customWidth="1"/>
    <col min="36" max="36" width="9.5" style="2" bestFit="1" customWidth="1"/>
    <col min="37" max="37" width="7.625" style="10" customWidth="1"/>
    <col min="38" max="41" width="7.625" style="2" customWidth="1"/>
    <col min="42" max="42" width="7.625" style="10" customWidth="1"/>
    <col min="43" max="46" width="7.625" style="2" customWidth="1"/>
    <col min="47" max="47" width="7.625" style="10" customWidth="1"/>
    <col min="48" max="48" width="7.625" style="2" customWidth="1"/>
    <col min="49" max="49" width="7.625" style="10" customWidth="1"/>
    <col min="50" max="50" width="7.625" style="2" customWidth="1"/>
    <col min="51" max="51" width="7.625" style="10" customWidth="1"/>
    <col min="52" max="52" width="7.625" style="2" customWidth="1"/>
    <col min="53" max="53" width="7.625" style="10" customWidth="1"/>
    <col min="54" max="59" width="7.625" style="2" customWidth="1"/>
    <col min="60" max="60" width="7.625" style="10" customWidth="1"/>
    <col min="61" max="64" width="7.625" style="2" customWidth="1"/>
    <col min="65" max="65" width="7.625" style="10" customWidth="1"/>
    <col min="66" max="69" width="7.625" style="2" customWidth="1"/>
    <col min="70" max="70" width="7.625" style="10" customWidth="1"/>
    <col min="71" max="71" width="7.625" style="2" customWidth="1"/>
    <col min="72" max="72" width="7.625" style="10" customWidth="1"/>
    <col min="73" max="73" width="7.625" style="2" customWidth="1"/>
    <col min="74" max="74" width="7.625" style="10" customWidth="1"/>
    <col min="75" max="75" width="7.625" style="2" customWidth="1"/>
    <col min="76" max="76" width="7.625" style="10" customWidth="1"/>
    <col min="77" max="82" width="7.625" style="2" customWidth="1"/>
    <col min="83" max="83" width="7.625" style="10" customWidth="1"/>
    <col min="84" max="87" width="7.625" style="2" customWidth="1"/>
    <col min="88" max="88" width="7.625" style="10" customWidth="1"/>
    <col min="89" max="92" width="7.625" style="2" customWidth="1"/>
    <col min="93" max="93" width="7.625" style="10" customWidth="1"/>
    <col min="94" max="94" width="7.625" style="2" customWidth="1"/>
    <col min="95" max="95" width="7.625" style="10" customWidth="1"/>
    <col min="96" max="96" width="7.625" style="2" customWidth="1"/>
    <col min="97" max="97" width="7.625" style="10" customWidth="1"/>
    <col min="98" max="98" width="7.625" style="2" customWidth="1"/>
    <col min="99" max="99" width="7.625" style="10" customWidth="1"/>
    <col min="100" max="105" width="7.625" style="2" customWidth="1"/>
    <col min="106" max="106" width="7.625" style="10" customWidth="1"/>
    <col min="107" max="110" width="7.625" style="2" customWidth="1"/>
    <col min="111" max="111" width="7.625" style="10" customWidth="1"/>
    <col min="112" max="115" width="7.625" style="2" customWidth="1"/>
    <col min="116" max="116" width="7.625" style="10" customWidth="1"/>
    <col min="117" max="117" width="7.625" style="1" customWidth="1"/>
    <col min="118" max="118" width="7.625" style="10" customWidth="1"/>
    <col min="119" max="119" width="7.625" style="1" customWidth="1"/>
    <col min="120" max="120" width="7.625" style="10" customWidth="1"/>
    <col min="121" max="121" width="7.625" style="1" customWidth="1"/>
    <col min="122" max="122" width="7.625" style="10" customWidth="1"/>
    <col min="123" max="123" width="9.625" style="2" bestFit="1" customWidth="1"/>
    <col min="124" max="170" width="8.875" style="1" customWidth="1"/>
    <col min="171" max="16384" width="8.875" style="1"/>
  </cols>
  <sheetData>
    <row r="1" spans="1:170">
      <c r="A1" s="107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32"/>
      <c r="S1" s="66"/>
      <c r="V1" s="66"/>
      <c r="W1" s="66"/>
      <c r="X1" s="67"/>
      <c r="Y1" s="67"/>
      <c r="Z1" s="67"/>
      <c r="AA1" s="67"/>
      <c r="AB1" s="67"/>
      <c r="AC1" s="67"/>
      <c r="AD1" s="67"/>
      <c r="AE1" s="67"/>
      <c r="AF1" s="351" t="s">
        <v>44</v>
      </c>
      <c r="AG1" s="351"/>
      <c r="AH1" s="351"/>
      <c r="AI1" s="351"/>
      <c r="AJ1" s="351"/>
      <c r="AK1" s="352"/>
      <c r="AL1" s="351"/>
      <c r="AM1" s="351"/>
      <c r="AN1" s="351"/>
      <c r="AO1" s="351"/>
      <c r="AP1" s="352"/>
      <c r="AQ1" s="351"/>
      <c r="AR1" s="351"/>
      <c r="AS1" s="351"/>
      <c r="AT1" s="351"/>
      <c r="AU1" s="352"/>
      <c r="AV1" s="353" t="s">
        <v>70</v>
      </c>
      <c r="AW1" s="352"/>
      <c r="AX1" s="353"/>
      <c r="AY1" s="352"/>
      <c r="AZ1" s="353"/>
      <c r="BA1" s="352"/>
      <c r="BB1" s="351"/>
      <c r="BC1" s="354" t="s">
        <v>46</v>
      </c>
      <c r="BD1" s="354"/>
      <c r="BE1" s="354"/>
      <c r="BF1" s="354"/>
      <c r="BG1" s="354"/>
      <c r="BH1" s="355"/>
      <c r="BI1" s="354"/>
      <c r="BJ1" s="354"/>
      <c r="BK1" s="354"/>
      <c r="BL1" s="354"/>
      <c r="BM1" s="355"/>
      <c r="BN1" s="354"/>
      <c r="BO1" s="354"/>
      <c r="BP1" s="354"/>
      <c r="BQ1" s="354"/>
      <c r="BR1" s="355"/>
      <c r="BS1" s="354" t="s">
        <v>70</v>
      </c>
      <c r="BT1" s="355"/>
      <c r="BU1" s="354"/>
      <c r="BV1" s="355"/>
      <c r="BW1" s="354"/>
      <c r="BX1" s="355"/>
      <c r="BY1" s="354"/>
      <c r="BZ1" s="356" t="s">
        <v>48</v>
      </c>
      <c r="CA1" s="356"/>
      <c r="CB1" s="356"/>
      <c r="CC1" s="356"/>
      <c r="CD1" s="356"/>
      <c r="CE1" s="357"/>
      <c r="CF1" s="356"/>
      <c r="CG1" s="356"/>
      <c r="CH1" s="356"/>
      <c r="CI1" s="356"/>
      <c r="CJ1" s="357"/>
      <c r="CK1" s="356"/>
      <c r="CL1" s="356"/>
      <c r="CM1" s="356"/>
      <c r="CN1" s="356"/>
      <c r="CO1" s="357"/>
      <c r="CP1" s="356" t="s">
        <v>70</v>
      </c>
      <c r="CQ1" s="357"/>
      <c r="CR1" s="356"/>
      <c r="CS1" s="357"/>
      <c r="CT1" s="356"/>
      <c r="CU1" s="357"/>
      <c r="CV1" s="356"/>
      <c r="CW1" s="358" t="s">
        <v>49</v>
      </c>
      <c r="CX1" s="358"/>
      <c r="CY1" s="358"/>
      <c r="CZ1" s="358"/>
      <c r="DA1" s="358"/>
      <c r="DB1" s="359"/>
      <c r="DC1" s="358"/>
      <c r="DD1" s="358"/>
      <c r="DE1" s="358"/>
      <c r="DF1" s="358"/>
      <c r="DG1" s="359"/>
      <c r="DH1" s="358"/>
      <c r="DI1" s="358"/>
      <c r="DJ1" s="358"/>
      <c r="DK1" s="358"/>
      <c r="DL1" s="359"/>
      <c r="DM1" s="360" t="s">
        <v>70</v>
      </c>
      <c r="DN1" s="359"/>
      <c r="DO1" s="360"/>
      <c r="DP1" s="359"/>
      <c r="DQ1" s="360"/>
      <c r="DR1" s="359"/>
      <c r="DS1" s="358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</row>
    <row r="2" spans="1:170">
      <c r="A2" s="349"/>
      <c r="B2" s="315" t="s">
        <v>44</v>
      </c>
      <c r="C2" s="347" t="s">
        <v>266</v>
      </c>
      <c r="D2" s="347" t="s">
        <v>268</v>
      </c>
      <c r="E2" s="348" t="s">
        <v>270</v>
      </c>
      <c r="F2" s="317" t="s">
        <v>46</v>
      </c>
      <c r="G2" s="318" t="s">
        <v>265</v>
      </c>
      <c r="H2" s="319" t="s">
        <v>267</v>
      </c>
      <c r="I2" s="320" t="s">
        <v>269</v>
      </c>
      <c r="J2" s="324" t="s">
        <v>48</v>
      </c>
      <c r="K2" s="325" t="s">
        <v>265</v>
      </c>
      <c r="L2" s="326" t="s">
        <v>267</v>
      </c>
      <c r="M2" s="327" t="s">
        <v>269</v>
      </c>
      <c r="N2" s="328" t="s">
        <v>49</v>
      </c>
      <c r="O2" s="329" t="s">
        <v>265</v>
      </c>
      <c r="P2" s="330" t="s">
        <v>267</v>
      </c>
      <c r="Q2" s="331" t="s">
        <v>269</v>
      </c>
      <c r="R2" s="350" t="s">
        <v>71</v>
      </c>
      <c r="S2" s="66"/>
      <c r="T2" s="361"/>
      <c r="U2" s="362"/>
      <c r="V2" s="363" t="s">
        <v>72</v>
      </c>
      <c r="W2" s="363" t="s">
        <v>73</v>
      </c>
      <c r="X2" s="364" t="s">
        <v>74</v>
      </c>
      <c r="Y2" s="374" t="s">
        <v>75</v>
      </c>
      <c r="Z2" s="374" t="s">
        <v>76</v>
      </c>
      <c r="AA2" s="374" t="s">
        <v>77</v>
      </c>
      <c r="AB2" s="374" t="s">
        <v>78</v>
      </c>
      <c r="AC2" s="364" t="s">
        <v>73</v>
      </c>
      <c r="AD2" s="364" t="s">
        <v>79</v>
      </c>
      <c r="AE2" s="375" t="s">
        <v>80</v>
      </c>
      <c r="AF2" s="94" t="s">
        <v>54</v>
      </c>
      <c r="AG2" s="20"/>
      <c r="AH2" s="20"/>
      <c r="AI2" s="20"/>
      <c r="AJ2" s="108" t="s">
        <v>53</v>
      </c>
      <c r="AK2" s="109" t="s">
        <v>81</v>
      </c>
      <c r="AL2" s="377" t="s">
        <v>55</v>
      </c>
      <c r="AM2" s="108"/>
      <c r="AN2" s="108"/>
      <c r="AO2" s="108"/>
      <c r="AP2" s="109" t="s">
        <v>81</v>
      </c>
      <c r="AQ2" s="377" t="s">
        <v>56</v>
      </c>
      <c r="AR2" s="108"/>
      <c r="AS2" s="108"/>
      <c r="AT2" s="108"/>
      <c r="AU2" s="109" t="s">
        <v>81</v>
      </c>
      <c r="AV2" s="110"/>
      <c r="AW2" s="109" t="s">
        <v>82</v>
      </c>
      <c r="AX2" s="110"/>
      <c r="AY2" s="109" t="s">
        <v>82</v>
      </c>
      <c r="AZ2" s="110"/>
      <c r="BA2" s="109" t="s">
        <v>82</v>
      </c>
      <c r="BB2" s="372"/>
      <c r="BC2" s="93" t="s">
        <v>58</v>
      </c>
      <c r="BD2" s="21"/>
      <c r="BE2" s="21"/>
      <c r="BF2" s="21"/>
      <c r="BG2" s="111" t="s">
        <v>53</v>
      </c>
      <c r="BH2" s="112" t="s">
        <v>81</v>
      </c>
      <c r="BI2" s="92" t="s">
        <v>59</v>
      </c>
      <c r="BJ2" s="111"/>
      <c r="BK2" s="111"/>
      <c r="BL2" s="111"/>
      <c r="BM2" s="112" t="s">
        <v>81</v>
      </c>
      <c r="BN2" s="92" t="s">
        <v>60</v>
      </c>
      <c r="BO2" s="111"/>
      <c r="BP2" s="111"/>
      <c r="BQ2" s="111"/>
      <c r="BR2" s="112" t="s">
        <v>81</v>
      </c>
      <c r="BS2" s="111"/>
      <c r="BT2" s="112" t="s">
        <v>82</v>
      </c>
      <c r="BU2" s="111"/>
      <c r="BV2" s="112" t="s">
        <v>82</v>
      </c>
      <c r="BW2" s="111"/>
      <c r="BX2" s="112" t="s">
        <v>82</v>
      </c>
      <c r="BY2" s="370"/>
      <c r="BZ2" s="91" t="s">
        <v>62</v>
      </c>
      <c r="CA2" s="23"/>
      <c r="CB2" s="23"/>
      <c r="CC2" s="23"/>
      <c r="CD2" s="113" t="s">
        <v>53</v>
      </c>
      <c r="CE2" s="114" t="s">
        <v>81</v>
      </c>
      <c r="CF2" s="90" t="s">
        <v>63</v>
      </c>
      <c r="CG2" s="113"/>
      <c r="CH2" s="113"/>
      <c r="CI2" s="113"/>
      <c r="CJ2" s="114" t="s">
        <v>81</v>
      </c>
      <c r="CK2" s="90" t="s">
        <v>64</v>
      </c>
      <c r="CL2" s="113"/>
      <c r="CM2" s="113"/>
      <c r="CN2" s="113"/>
      <c r="CO2" s="114" t="s">
        <v>81</v>
      </c>
      <c r="CP2" s="113"/>
      <c r="CQ2" s="114" t="s">
        <v>82</v>
      </c>
      <c r="CR2" s="113"/>
      <c r="CS2" s="114" t="s">
        <v>82</v>
      </c>
      <c r="CT2" s="113"/>
      <c r="CU2" s="114" t="s">
        <v>82</v>
      </c>
      <c r="CV2" s="368"/>
      <c r="CW2" s="88" t="s">
        <v>66</v>
      </c>
      <c r="CX2" s="22"/>
      <c r="CY2" s="22"/>
      <c r="CZ2" s="22"/>
      <c r="DA2" s="115" t="s">
        <v>53</v>
      </c>
      <c r="DB2" s="116" t="s">
        <v>81</v>
      </c>
      <c r="DC2" s="89" t="s">
        <v>67</v>
      </c>
      <c r="DD2" s="115"/>
      <c r="DE2" s="115"/>
      <c r="DF2" s="115"/>
      <c r="DG2" s="116" t="s">
        <v>81</v>
      </c>
      <c r="DH2" s="89" t="s">
        <v>68</v>
      </c>
      <c r="DI2" s="115"/>
      <c r="DJ2" s="115"/>
      <c r="DK2" s="115"/>
      <c r="DL2" s="116" t="s">
        <v>81</v>
      </c>
      <c r="DM2" s="115"/>
      <c r="DN2" s="116" t="s">
        <v>82</v>
      </c>
      <c r="DO2" s="117"/>
      <c r="DP2" s="116" t="s">
        <v>82</v>
      </c>
      <c r="DQ2" s="117"/>
      <c r="DR2" s="116" t="s">
        <v>82</v>
      </c>
      <c r="DS2" s="365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</row>
    <row r="3" spans="1:170">
      <c r="A3" s="118"/>
      <c r="B3" s="119" t="s">
        <v>83</v>
      </c>
      <c r="C3" s="310" t="s">
        <v>21</v>
      </c>
      <c r="D3" s="310" t="s">
        <v>22</v>
      </c>
      <c r="E3" s="86" t="s">
        <v>23</v>
      </c>
      <c r="F3" s="321" t="s">
        <v>83</v>
      </c>
      <c r="G3" s="311" t="s">
        <v>22</v>
      </c>
      <c r="H3" s="311" t="s">
        <v>23</v>
      </c>
      <c r="I3" s="322" t="s">
        <v>29</v>
      </c>
      <c r="J3" s="121" t="s">
        <v>83</v>
      </c>
      <c r="K3" s="312" t="s">
        <v>23</v>
      </c>
      <c r="L3" s="312" t="s">
        <v>29</v>
      </c>
      <c r="M3" s="87" t="s">
        <v>21</v>
      </c>
      <c r="N3" s="332" t="s">
        <v>83</v>
      </c>
      <c r="O3" s="313" t="s">
        <v>29</v>
      </c>
      <c r="P3" s="313" t="s">
        <v>21</v>
      </c>
      <c r="Q3" s="333" t="s">
        <v>22</v>
      </c>
      <c r="R3" s="314" t="s">
        <v>84</v>
      </c>
      <c r="S3" s="66"/>
      <c r="T3" s="366"/>
      <c r="V3" s="66" t="s">
        <v>85</v>
      </c>
      <c r="W3" s="66" t="s">
        <v>85</v>
      </c>
      <c r="X3" s="67" t="s">
        <v>85</v>
      </c>
      <c r="Y3" s="66" t="s">
        <v>86</v>
      </c>
      <c r="Z3" s="66" t="s">
        <v>86</v>
      </c>
      <c r="AA3" s="66" t="s">
        <v>86</v>
      </c>
      <c r="AB3" s="66" t="s">
        <v>86</v>
      </c>
      <c r="AC3" s="66" t="s">
        <v>86</v>
      </c>
      <c r="AD3" s="67" t="s">
        <v>87</v>
      </c>
      <c r="AE3" s="376" t="s">
        <v>88</v>
      </c>
      <c r="AF3" s="123" t="s">
        <v>83</v>
      </c>
      <c r="AG3" s="351" t="s">
        <v>51</v>
      </c>
      <c r="AH3" s="351" t="s">
        <v>52</v>
      </c>
      <c r="AI3" s="351" t="s">
        <v>53</v>
      </c>
      <c r="AJ3" s="351" t="s">
        <v>89</v>
      </c>
      <c r="AK3" s="352" t="s">
        <v>90</v>
      </c>
      <c r="AL3" s="351" t="s">
        <v>83</v>
      </c>
      <c r="AM3" s="351" t="s">
        <v>51</v>
      </c>
      <c r="AN3" s="351" t="s">
        <v>52</v>
      </c>
      <c r="AO3" s="351" t="s">
        <v>53</v>
      </c>
      <c r="AP3" s="352" t="s">
        <v>90</v>
      </c>
      <c r="AQ3" s="351" t="s">
        <v>83</v>
      </c>
      <c r="AR3" s="351" t="s">
        <v>51</v>
      </c>
      <c r="AS3" s="351" t="s">
        <v>52</v>
      </c>
      <c r="AT3" s="351" t="s">
        <v>53</v>
      </c>
      <c r="AU3" s="352" t="s">
        <v>90</v>
      </c>
      <c r="AV3" s="351" t="s">
        <v>51</v>
      </c>
      <c r="AW3" s="352" t="s">
        <v>90</v>
      </c>
      <c r="AX3" s="351" t="s">
        <v>52</v>
      </c>
      <c r="AY3" s="352" t="s">
        <v>90</v>
      </c>
      <c r="AZ3" s="351" t="s">
        <v>53</v>
      </c>
      <c r="BA3" s="352" t="s">
        <v>90</v>
      </c>
      <c r="BB3" s="373" t="s">
        <v>70</v>
      </c>
      <c r="BC3" s="124" t="s">
        <v>83</v>
      </c>
      <c r="BD3" s="354" t="s">
        <v>51</v>
      </c>
      <c r="BE3" s="354" t="s">
        <v>52</v>
      </c>
      <c r="BF3" s="354" t="s">
        <v>53</v>
      </c>
      <c r="BG3" s="354" t="s">
        <v>89</v>
      </c>
      <c r="BH3" s="355" t="s">
        <v>90</v>
      </c>
      <c r="BI3" s="354" t="s">
        <v>83</v>
      </c>
      <c r="BJ3" s="354" t="s">
        <v>51</v>
      </c>
      <c r="BK3" s="354" t="s">
        <v>52</v>
      </c>
      <c r="BL3" s="354" t="s">
        <v>53</v>
      </c>
      <c r="BM3" s="355" t="s">
        <v>90</v>
      </c>
      <c r="BN3" s="354" t="s">
        <v>83</v>
      </c>
      <c r="BO3" s="354" t="s">
        <v>51</v>
      </c>
      <c r="BP3" s="354" t="s">
        <v>52</v>
      </c>
      <c r="BQ3" s="354" t="s">
        <v>53</v>
      </c>
      <c r="BR3" s="355" t="s">
        <v>90</v>
      </c>
      <c r="BS3" s="354" t="s">
        <v>51</v>
      </c>
      <c r="BT3" s="355" t="s">
        <v>90</v>
      </c>
      <c r="BU3" s="354" t="s">
        <v>52</v>
      </c>
      <c r="BV3" s="355" t="s">
        <v>90</v>
      </c>
      <c r="BW3" s="354" t="s">
        <v>53</v>
      </c>
      <c r="BX3" s="355" t="s">
        <v>90</v>
      </c>
      <c r="BY3" s="371" t="s">
        <v>70</v>
      </c>
      <c r="BZ3" s="125" t="s">
        <v>83</v>
      </c>
      <c r="CA3" s="356" t="s">
        <v>51</v>
      </c>
      <c r="CB3" s="356" t="s">
        <v>52</v>
      </c>
      <c r="CC3" s="356" t="s">
        <v>53</v>
      </c>
      <c r="CD3" s="356" t="s">
        <v>89</v>
      </c>
      <c r="CE3" s="357" t="s">
        <v>90</v>
      </c>
      <c r="CF3" s="356" t="s">
        <v>83</v>
      </c>
      <c r="CG3" s="356" t="s">
        <v>51</v>
      </c>
      <c r="CH3" s="356" t="s">
        <v>52</v>
      </c>
      <c r="CI3" s="356" t="s">
        <v>53</v>
      </c>
      <c r="CJ3" s="357" t="s">
        <v>90</v>
      </c>
      <c r="CK3" s="356" t="s">
        <v>83</v>
      </c>
      <c r="CL3" s="356" t="s">
        <v>51</v>
      </c>
      <c r="CM3" s="356" t="s">
        <v>52</v>
      </c>
      <c r="CN3" s="356" t="s">
        <v>53</v>
      </c>
      <c r="CO3" s="357" t="s">
        <v>90</v>
      </c>
      <c r="CP3" s="356" t="s">
        <v>51</v>
      </c>
      <c r="CQ3" s="357" t="s">
        <v>90</v>
      </c>
      <c r="CR3" s="356" t="s">
        <v>52</v>
      </c>
      <c r="CS3" s="357" t="s">
        <v>90</v>
      </c>
      <c r="CT3" s="356" t="s">
        <v>53</v>
      </c>
      <c r="CU3" s="357" t="s">
        <v>90</v>
      </c>
      <c r="CV3" s="369" t="s">
        <v>70</v>
      </c>
      <c r="CW3" s="126" t="s">
        <v>83</v>
      </c>
      <c r="CX3" s="358" t="s">
        <v>51</v>
      </c>
      <c r="CY3" s="358" t="s">
        <v>52</v>
      </c>
      <c r="CZ3" s="358" t="s">
        <v>53</v>
      </c>
      <c r="DA3" s="358" t="s">
        <v>89</v>
      </c>
      <c r="DB3" s="359" t="s">
        <v>90</v>
      </c>
      <c r="DC3" s="358" t="s">
        <v>83</v>
      </c>
      <c r="DD3" s="358" t="s">
        <v>51</v>
      </c>
      <c r="DE3" s="358" t="s">
        <v>52</v>
      </c>
      <c r="DF3" s="358" t="s">
        <v>53</v>
      </c>
      <c r="DG3" s="359" t="s">
        <v>90</v>
      </c>
      <c r="DH3" s="358" t="s">
        <v>83</v>
      </c>
      <c r="DI3" s="358" t="s">
        <v>51</v>
      </c>
      <c r="DJ3" s="358" t="s">
        <v>52</v>
      </c>
      <c r="DK3" s="358" t="s">
        <v>53</v>
      </c>
      <c r="DL3" s="359" t="s">
        <v>90</v>
      </c>
      <c r="DM3" s="358" t="s">
        <v>51</v>
      </c>
      <c r="DN3" s="359" t="s">
        <v>90</v>
      </c>
      <c r="DO3" s="358" t="s">
        <v>52</v>
      </c>
      <c r="DP3" s="359" t="s">
        <v>90</v>
      </c>
      <c r="DQ3" s="358" t="s">
        <v>53</v>
      </c>
      <c r="DR3" s="359" t="s">
        <v>90</v>
      </c>
      <c r="DS3" s="367" t="s">
        <v>70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</row>
    <row r="4" spans="1:170">
      <c r="A4" s="118"/>
      <c r="B4" s="100" t="s">
        <v>91</v>
      </c>
      <c r="C4" s="127" t="s">
        <v>91</v>
      </c>
      <c r="D4" s="127" t="s">
        <v>91</v>
      </c>
      <c r="E4" s="128" t="s">
        <v>91</v>
      </c>
      <c r="F4" s="321" t="s">
        <v>91</v>
      </c>
      <c r="G4" s="120" t="s">
        <v>91</v>
      </c>
      <c r="H4" s="120" t="s">
        <v>91</v>
      </c>
      <c r="I4" s="323" t="s">
        <v>91</v>
      </c>
      <c r="J4" s="121" t="s">
        <v>91</v>
      </c>
      <c r="K4" s="129" t="s">
        <v>91</v>
      </c>
      <c r="L4" s="129" t="s">
        <v>91</v>
      </c>
      <c r="M4" s="130" t="s">
        <v>91</v>
      </c>
      <c r="N4" s="332" t="s">
        <v>91</v>
      </c>
      <c r="O4" s="122" t="s">
        <v>91</v>
      </c>
      <c r="P4" s="122" t="s">
        <v>91</v>
      </c>
      <c r="Q4" s="334" t="s">
        <v>91</v>
      </c>
      <c r="R4" s="314" t="s">
        <v>91</v>
      </c>
      <c r="S4" s="66"/>
      <c r="T4" s="366"/>
      <c r="V4" s="66" t="s">
        <v>92</v>
      </c>
      <c r="W4" s="66" t="s">
        <v>92</v>
      </c>
      <c r="X4" s="66" t="s">
        <v>92</v>
      </c>
      <c r="Y4" s="66" t="s">
        <v>93</v>
      </c>
      <c r="Z4" s="66" t="s">
        <v>93</v>
      </c>
      <c r="AA4" s="66" t="s">
        <v>93</v>
      </c>
      <c r="AB4" s="66" t="s">
        <v>93</v>
      </c>
      <c r="AC4" s="66" t="s">
        <v>93</v>
      </c>
      <c r="AD4" s="67"/>
      <c r="AE4" s="376"/>
      <c r="AF4" s="123" t="s">
        <v>92</v>
      </c>
      <c r="AG4" s="351" t="s">
        <v>94</v>
      </c>
      <c r="AH4" s="351" t="s">
        <v>94</v>
      </c>
      <c r="AI4" s="351" t="s">
        <v>94</v>
      </c>
      <c r="AJ4" s="351" t="s">
        <v>94</v>
      </c>
      <c r="AK4" s="352" t="s">
        <v>95</v>
      </c>
      <c r="AL4" s="351" t="s">
        <v>92</v>
      </c>
      <c r="AM4" s="351" t="s">
        <v>94</v>
      </c>
      <c r="AN4" s="351" t="s">
        <v>94</v>
      </c>
      <c r="AO4" s="351" t="s">
        <v>94</v>
      </c>
      <c r="AP4" s="352" t="s">
        <v>95</v>
      </c>
      <c r="AQ4" s="351" t="s">
        <v>92</v>
      </c>
      <c r="AR4" s="351" t="s">
        <v>94</v>
      </c>
      <c r="AS4" s="351" t="s">
        <v>94</v>
      </c>
      <c r="AT4" s="351" t="s">
        <v>94</v>
      </c>
      <c r="AU4" s="352" t="s">
        <v>95</v>
      </c>
      <c r="AV4" s="351" t="s">
        <v>94</v>
      </c>
      <c r="AW4" s="352" t="s">
        <v>95</v>
      </c>
      <c r="AX4" s="351" t="s">
        <v>94</v>
      </c>
      <c r="AY4" s="352" t="s">
        <v>95</v>
      </c>
      <c r="AZ4" s="351" t="s">
        <v>94</v>
      </c>
      <c r="BA4" s="352" t="s">
        <v>95</v>
      </c>
      <c r="BB4" s="373" t="s">
        <v>92</v>
      </c>
      <c r="BC4" s="124" t="s">
        <v>92</v>
      </c>
      <c r="BD4" s="354" t="s">
        <v>94</v>
      </c>
      <c r="BE4" s="354" t="s">
        <v>94</v>
      </c>
      <c r="BF4" s="354" t="s">
        <v>94</v>
      </c>
      <c r="BG4" s="354" t="s">
        <v>94</v>
      </c>
      <c r="BH4" s="355" t="s">
        <v>95</v>
      </c>
      <c r="BI4" s="354" t="s">
        <v>92</v>
      </c>
      <c r="BJ4" s="354" t="s">
        <v>94</v>
      </c>
      <c r="BK4" s="354" t="s">
        <v>94</v>
      </c>
      <c r="BL4" s="354" t="s">
        <v>94</v>
      </c>
      <c r="BM4" s="355" t="s">
        <v>95</v>
      </c>
      <c r="BN4" s="354" t="s">
        <v>92</v>
      </c>
      <c r="BO4" s="354" t="s">
        <v>94</v>
      </c>
      <c r="BP4" s="354" t="s">
        <v>94</v>
      </c>
      <c r="BQ4" s="354" t="s">
        <v>94</v>
      </c>
      <c r="BR4" s="355" t="s">
        <v>95</v>
      </c>
      <c r="BS4" s="354" t="s">
        <v>94</v>
      </c>
      <c r="BT4" s="355" t="s">
        <v>95</v>
      </c>
      <c r="BU4" s="354" t="s">
        <v>94</v>
      </c>
      <c r="BV4" s="355" t="s">
        <v>95</v>
      </c>
      <c r="BW4" s="354" t="s">
        <v>94</v>
      </c>
      <c r="BX4" s="355" t="s">
        <v>95</v>
      </c>
      <c r="BY4" s="371" t="s">
        <v>92</v>
      </c>
      <c r="BZ4" s="125" t="s">
        <v>92</v>
      </c>
      <c r="CA4" s="356" t="s">
        <v>94</v>
      </c>
      <c r="CB4" s="356" t="s">
        <v>94</v>
      </c>
      <c r="CC4" s="356" t="s">
        <v>94</v>
      </c>
      <c r="CD4" s="356" t="s">
        <v>94</v>
      </c>
      <c r="CE4" s="357" t="s">
        <v>95</v>
      </c>
      <c r="CF4" s="356" t="s">
        <v>92</v>
      </c>
      <c r="CG4" s="356" t="s">
        <v>94</v>
      </c>
      <c r="CH4" s="356" t="s">
        <v>94</v>
      </c>
      <c r="CI4" s="356" t="s">
        <v>94</v>
      </c>
      <c r="CJ4" s="357" t="s">
        <v>95</v>
      </c>
      <c r="CK4" s="356" t="s">
        <v>92</v>
      </c>
      <c r="CL4" s="356" t="s">
        <v>94</v>
      </c>
      <c r="CM4" s="356" t="s">
        <v>94</v>
      </c>
      <c r="CN4" s="356" t="s">
        <v>94</v>
      </c>
      <c r="CO4" s="357" t="s">
        <v>95</v>
      </c>
      <c r="CP4" s="356" t="s">
        <v>94</v>
      </c>
      <c r="CQ4" s="357" t="s">
        <v>95</v>
      </c>
      <c r="CR4" s="356" t="s">
        <v>94</v>
      </c>
      <c r="CS4" s="357" t="s">
        <v>95</v>
      </c>
      <c r="CT4" s="356" t="s">
        <v>94</v>
      </c>
      <c r="CU4" s="357" t="s">
        <v>95</v>
      </c>
      <c r="CV4" s="369" t="s">
        <v>92</v>
      </c>
      <c r="CW4" s="126" t="s">
        <v>92</v>
      </c>
      <c r="CX4" s="358" t="s">
        <v>94</v>
      </c>
      <c r="CY4" s="358" t="s">
        <v>94</v>
      </c>
      <c r="CZ4" s="358" t="s">
        <v>94</v>
      </c>
      <c r="DA4" s="358" t="s">
        <v>94</v>
      </c>
      <c r="DB4" s="359" t="s">
        <v>95</v>
      </c>
      <c r="DC4" s="358" t="s">
        <v>92</v>
      </c>
      <c r="DD4" s="358" t="s">
        <v>94</v>
      </c>
      <c r="DE4" s="358" t="s">
        <v>94</v>
      </c>
      <c r="DF4" s="358" t="s">
        <v>94</v>
      </c>
      <c r="DG4" s="359" t="s">
        <v>95</v>
      </c>
      <c r="DH4" s="358" t="s">
        <v>92</v>
      </c>
      <c r="DI4" s="358" t="s">
        <v>94</v>
      </c>
      <c r="DJ4" s="358" t="s">
        <v>94</v>
      </c>
      <c r="DK4" s="358" t="s">
        <v>94</v>
      </c>
      <c r="DL4" s="359" t="s">
        <v>95</v>
      </c>
      <c r="DM4" s="358" t="s">
        <v>94</v>
      </c>
      <c r="DN4" s="359" t="s">
        <v>95</v>
      </c>
      <c r="DO4" s="358" t="s">
        <v>94</v>
      </c>
      <c r="DP4" s="359" t="s">
        <v>95</v>
      </c>
      <c r="DQ4" s="358" t="s">
        <v>94</v>
      </c>
      <c r="DR4" s="359" t="s">
        <v>95</v>
      </c>
      <c r="DS4" s="367" t="s">
        <v>92</v>
      </c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</row>
    <row r="5" spans="1:170">
      <c r="A5" s="118">
        <f>'調查資料(OUT)'!A11</f>
        <v>0</v>
      </c>
      <c r="B5" s="309">
        <f t="shared" ref="B5:B21" si="0">SUM(C5:E5)</f>
        <v>0</v>
      </c>
      <c r="C5" s="66">
        <f>IFERROR('調查資料(OUT)'!B$1*'調查資料(OUT)'!B11,0)+IFERROR('調查資料(OUT)'!E$1*'調查資料(OUT)'!E11,0)+IFERROR('調查資料(OUT)'!H$1*'調查資料(OUT)'!H11,0)+IFERROR('調查資料(OUT)'!I$1*'調查資料(OUT)'!I11,0)</f>
        <v>0</v>
      </c>
      <c r="D5" s="66">
        <f>IFERROR('調查資料(OUT)'!C$1*'調查資料(OUT)'!C11,0)+IFERROR('調查資料(OUT)'!F$1*'調查資料(OUT)'!F11,0)+IFERROR('調查資料(OUT)'!J$1*'調查資料(OUT)'!J11,0)</f>
        <v>0</v>
      </c>
      <c r="E5" s="316">
        <f>IFERROR('調查資料(OUT)'!D$1*'調查資料(OUT)'!D11,0)+IFERROR('調查資料(OUT)'!G$1*'調查資料(OUT)'!G11,0)+IFERROR('調查資料(OUT)'!K$1*'調查資料(OUT)'!K11,0)</f>
        <v>0</v>
      </c>
      <c r="F5" s="309">
        <f t="shared" ref="F5:F21" si="1">SUM(G5:I5)</f>
        <v>0</v>
      </c>
      <c r="G5" s="66">
        <f>IFERROR('調查資料(OUT)'!L$1*'調查資料(OUT)'!L11,0)+IFERROR('調查資料(OUT)'!O$1*'調查資料(OUT)'!O11,0)+IFERROR('調查資料(OUT)'!R$1*'調查資料(OUT)'!R11,0)+IFERROR('調查資料(OUT)'!S$1*'調查資料(OUT)'!S11,0)</f>
        <v>0</v>
      </c>
      <c r="H5" s="66">
        <f>IFERROR('調查資料(OUT)'!M$1*'調查資料(OUT)'!M11,0)+IFERROR('調查資料(OUT)'!P$1*'調查資料(OUT)'!P11,0)+IFERROR('調查資料(OUT)'!T$1*'調查資料(OUT)'!T11,0)</f>
        <v>0</v>
      </c>
      <c r="I5" s="316">
        <f>IFERROR('調查資料(OUT)'!N$1*'調查資料(OUT)'!N11,0)+IFERROR('調查資料(OUT)'!Q$1*'調查資料(OUT)'!Q11,0)+IFERROR('調查資料(OUT)'!U$1*'調查資料(OUT)'!U11,0)</f>
        <v>0</v>
      </c>
      <c r="J5" s="309">
        <f t="shared" ref="J5" si="2">SUM(K5:M5)</f>
        <v>0</v>
      </c>
      <c r="K5" s="66">
        <f>IFERROR('調查資料(OUT)'!V$1*'調查資料(OUT)'!V11,0)+IFERROR('調查資料(OUT)'!Y$1*'調查資料(OUT)'!Y11,0)+IFERROR('調查資料(OUT)'!AB$1*'調查資料(OUT)'!AB11,0)+IFERROR('調查資料(OUT)'!AC$1*'調查資料(OUT)'!AC11,0)</f>
        <v>0</v>
      </c>
      <c r="L5" s="66">
        <f>IFERROR('調查資料(OUT)'!W$1*'調查資料(OUT)'!W11,0)+IFERROR('調查資料(OUT)'!Z$1*'調查資料(OUT)'!Z11,0)+IFERROR('調查資料(OUT)'!AD$1*'調查資料(OUT)'!AD11,0)</f>
        <v>0</v>
      </c>
      <c r="M5" s="316">
        <f>IFERROR('調查資料(OUT)'!X$1*'調查資料(OUT)'!X11,0)+IFERROR('調查資料(OUT)'!AA$1*'調查資料(OUT)'!AA11,0)+IFERROR('調查資料(OUT)'!AE$1*'調查資料(OUT)'!AE11,0)</f>
        <v>0</v>
      </c>
      <c r="N5" s="309">
        <f t="shared" ref="N5" si="3">SUM(O5:Q5)</f>
        <v>0</v>
      </c>
      <c r="O5" s="66">
        <f>IFERROR('調查資料(OUT)'!AF$1*'調查資料(OUT)'!AF11,0)+IFERROR('調查資料(OUT)'!AI$1*'調查資料(OUT)'!AI11,0)+IFERROR('調查資料(OUT)'!AL$1*'調查資料(OUT)'!AL11,0)+IFERROR('調查資料(OUT)'!AM$1*'調查資料(OUT)'!AM11,0)</f>
        <v>0</v>
      </c>
      <c r="P5" s="66">
        <f>IFERROR('調查資料(OUT)'!AG$1*'調查資料(OUT)'!AG11,0)+IFERROR('調查資料(OUT)'!AJ$1*'調查資料(OUT)'!AJ11,0)+IFERROR('調查資料(OUT)'!AN$1*'調查資料(OUT)'!AN11,0)</f>
        <v>0</v>
      </c>
      <c r="Q5" s="316">
        <f>IFERROR('調查資料(OUT)'!AH$1*'調查資料(OUT)'!AH11,0)+IFERROR('調查資料(OUT)'!AK$1*'調查資料(OUT)'!AK11,0)+IFERROR('調查資料(OUT)'!AO$1*'調查資料(OUT)'!AO11,0)</f>
        <v>0</v>
      </c>
      <c r="R5" s="133">
        <f t="shared" ref="R5:R21" si="4">B5+F5+J5+N5</f>
        <v>0</v>
      </c>
      <c r="S5" s="66"/>
      <c r="T5" s="366">
        <f>'調查資料(OUT)'!A11</f>
        <v>0</v>
      </c>
      <c r="U5" s="101">
        <f>T5+100</f>
        <v>100</v>
      </c>
      <c r="V5" s="66">
        <f>SUM(R5:R8)</f>
        <v>0</v>
      </c>
      <c r="W5" s="381"/>
      <c r="X5" s="66">
        <f t="shared" ref="X5:X20" si="5">IF($V5=$W$29,MAX(R5:R8),0)</f>
        <v>0</v>
      </c>
      <c r="Y5" s="379" t="e">
        <f>IF($V5=W$5,SUM(B5:B8)/(4*(MAX(B5:B8))),0)</f>
        <v>#DIV/0!</v>
      </c>
      <c r="Z5" s="379" t="e">
        <f>IF($V5=W$5,SUM(F5:F8)/(4*(MAX(F5:F8))),0)</f>
        <v>#DIV/0!</v>
      </c>
      <c r="AA5" s="379" t="e">
        <f>IF($V5=W$5,SUM(J5:J8)/(4*(MAX(J5:J8))),0)</f>
        <v>#DIV/0!</v>
      </c>
      <c r="AB5" s="379" t="e">
        <f>IF($V5=W$5,SUM(N5:N8)/(4*(MAX(N5:N8))),0)</f>
        <v>#DIV/0!</v>
      </c>
      <c r="AC5" s="382"/>
      <c r="AD5" s="66">
        <f>IF(V5=W$5,$T5,"N")</f>
        <v>0</v>
      </c>
      <c r="AE5" s="316">
        <f>IF(V5=W$5,$U5,"N")</f>
        <v>100</v>
      </c>
      <c r="AF5" s="309">
        <f>IF($AD5="N","N",SUM(C5:C8))</f>
        <v>0</v>
      </c>
      <c r="AG5" s="66">
        <f>IF($AD5="N","N",SUM('調查資料(OUT)'!B11:B14))</f>
        <v>0</v>
      </c>
      <c r="AH5" s="66">
        <f>IF($AD5="N","N",SUM('調查資料(OUT)'!E11:E14))</f>
        <v>0</v>
      </c>
      <c r="AI5" s="66">
        <f>IF($AD5="N","N",SUM('調查資料(OUT)'!I11:I14))</f>
        <v>0</v>
      </c>
      <c r="AJ5" s="66">
        <f>IF($AD5="N","N",SUM('調查資料(OUT)'!H11:H14))</f>
        <v>0</v>
      </c>
      <c r="AK5" s="383" t="e">
        <f>IF($AD5="N","N",(AF5/$BB5)*100)</f>
        <v>#DIV/0!</v>
      </c>
      <c r="AL5" s="66">
        <f>IF($AD5="N","N",SUM(D5:D8))</f>
        <v>0</v>
      </c>
      <c r="AM5" s="66">
        <f>IF($AD5="N","N",SUM('調查資料(OUT)'!C11:C14))</f>
        <v>0</v>
      </c>
      <c r="AN5" s="66">
        <f>IF($AD5="N","N",SUM('調查資料(OUT)'!F11:F14))</f>
        <v>0</v>
      </c>
      <c r="AO5" s="66">
        <f>IF($AD5="N","N",SUM('調查資料(OUT)'!J11:J14))</f>
        <v>0</v>
      </c>
      <c r="AP5" s="383" t="e">
        <f>IF($AD5="N","N",(AL5/$BB5)*100)</f>
        <v>#DIV/0!</v>
      </c>
      <c r="AQ5" s="66">
        <f>IF($AD5="N","N",SUM(E5:E8))</f>
        <v>0</v>
      </c>
      <c r="AR5" s="66">
        <f>IF($AD5="N","N",SUM('調查資料(OUT)'!D11:D14))</f>
        <v>0</v>
      </c>
      <c r="AS5" s="66">
        <f>IF($AD5="N","N",SUM('調查資料(OUT)'!G11:G14))</f>
        <v>0</v>
      </c>
      <c r="AT5" s="66">
        <f>IF($AD5="N","N",SUM('調查資料(OUT)'!K11:K14))</f>
        <v>0</v>
      </c>
      <c r="AU5" s="383" t="e">
        <f>IF($AD5="N","N",(AQ5/$BB5)*100)</f>
        <v>#DIV/0!</v>
      </c>
      <c r="AV5" s="66">
        <f>IF($AD5="N","N",AG5+AM5+AR5)</f>
        <v>0</v>
      </c>
      <c r="AW5" s="383" t="e">
        <f>IF($AD5="N","N",(AV5/($AV5+$AX5+$AZ5))*100)</f>
        <v>#DIV/0!</v>
      </c>
      <c r="AX5" s="66">
        <f>IF($AD5="N","N",AH5+AN5+AS5)</f>
        <v>0</v>
      </c>
      <c r="AY5" s="383" t="e">
        <f>IF($AD5="N","N",(AX5/($AV5+$AX5+$AZ5))*100)</f>
        <v>#DIV/0!</v>
      </c>
      <c r="AZ5" s="66">
        <f>IF($AD5="N","N",AI5+AJ5+AO5+AT5)</f>
        <v>0</v>
      </c>
      <c r="BA5" s="383" t="e">
        <f>IF($AD5="N","N",(AZ5/($AV5+$AX5+$AZ5))*100)</f>
        <v>#DIV/0!</v>
      </c>
      <c r="BB5" s="316">
        <f>IF($AD5="N","N",AF5+AL5+AQ5)</f>
        <v>0</v>
      </c>
      <c r="BC5" s="309">
        <f t="shared" ref="BC5:BC36" si="6">IF($AD5="N","N",SUM(G5:G8))</f>
        <v>0</v>
      </c>
      <c r="BD5" s="66">
        <f>IF($AD5="N","N",SUM('調查資料(OUT)'!L11:L14))</f>
        <v>0</v>
      </c>
      <c r="BE5" s="66">
        <f>IF($AD5="N","N",SUM('調查資料(OUT)'!O11:O14))</f>
        <v>0</v>
      </c>
      <c r="BF5" s="66">
        <f>IF($AD5="N","N",SUM('調查資料(OUT)'!S11:S14))</f>
        <v>0</v>
      </c>
      <c r="BG5" s="66">
        <f>IF($AD5="N","N",SUM('調查資料(OUT)'!R11:R14))</f>
        <v>0</v>
      </c>
      <c r="BH5" s="383" t="e">
        <f t="shared" ref="BH5:BH36" si="7">IF($AD5="N","N",(BC5/BY5)*100)</f>
        <v>#DIV/0!</v>
      </c>
      <c r="BI5" s="66">
        <f t="shared" ref="BI5:BI36" si="8">IF($AD5="N","N",SUM(H5:H8))</f>
        <v>0</v>
      </c>
      <c r="BJ5" s="66">
        <f>IF($AD5="N","N",SUM('調查資料(OUT)'!M11:M14))</f>
        <v>0</v>
      </c>
      <c r="BK5" s="66">
        <f>IF($AD5="N","N",SUM('調查資料(OUT)'!P11:P14))</f>
        <v>0</v>
      </c>
      <c r="BL5" s="66">
        <f>IF($AD5="N","N",SUM('調查資料(OUT)'!T11:T14))</f>
        <v>0</v>
      </c>
      <c r="BM5" s="383" t="e">
        <f t="shared" ref="BM5:BM36" si="9">IF($AD5="N","N",(BI5/BY5)*100)</f>
        <v>#DIV/0!</v>
      </c>
      <c r="BN5" s="66">
        <f t="shared" ref="BN5:BN36" si="10">IF($AD5="N","N",SUM(I5:I8))</f>
        <v>0</v>
      </c>
      <c r="BO5" s="66">
        <f>IF($AD5="N","N",SUM('調查資料(OUT)'!N11:N14))</f>
        <v>0</v>
      </c>
      <c r="BP5" s="66">
        <f>IF($AD5="N","N",SUM('調查資料(OUT)'!Q11:Q14))</f>
        <v>0</v>
      </c>
      <c r="BQ5" s="66">
        <f>IF($AD5="N","N",SUM('調查資料(OUT)'!U11:U14))</f>
        <v>0</v>
      </c>
      <c r="BR5" s="383" t="e">
        <f t="shared" ref="BR5:BR36" si="11">IF($AD5="N","N",(BN5/BY5)*100)</f>
        <v>#DIV/0!</v>
      </c>
      <c r="BS5" s="66">
        <f>IF($AD5="N","N",BD5+BJ5+BO5)</f>
        <v>0</v>
      </c>
      <c r="BT5" s="383" t="e">
        <f>IF($AD5="N","N",(BS5/($BS5+$BU5+$BW5))*100)</f>
        <v>#DIV/0!</v>
      </c>
      <c r="BU5" s="66">
        <f>IF($AD5="N","N",BE5+BK5+BP5)</f>
        <v>0</v>
      </c>
      <c r="BV5" s="383" t="e">
        <f>IF($AD5="N","N",(BU5/($BS5+$BU5+$BW5))*100)</f>
        <v>#DIV/0!</v>
      </c>
      <c r="BW5" s="66">
        <f>IF($AD5="N","N",BF5+BG5+BL5+BQ5)</f>
        <v>0</v>
      </c>
      <c r="BX5" s="383" t="e">
        <f>IF($AD5="N","N",(BW5/($BS5+$BU5+$BW5))*100)</f>
        <v>#DIV/0!</v>
      </c>
      <c r="BY5" s="316">
        <f>IF($AD5="N","N",BC5+BI5+BN5)</f>
        <v>0</v>
      </c>
      <c r="BZ5" s="309">
        <f t="shared" ref="BZ5:BZ36" si="12">IF($AD5="N","N",SUM(K5:K8))</f>
        <v>0</v>
      </c>
      <c r="CA5" s="66">
        <f>IF($AD5="N","N",SUM('調查資料(OUT)'!V11:V14))</f>
        <v>0</v>
      </c>
      <c r="CB5" s="66">
        <f>IF($AD5="N","N",SUM('調查資料(OUT)'!Y11:Y14))</f>
        <v>0</v>
      </c>
      <c r="CC5" s="66">
        <f>IF($AD5="N","N",SUM('調查資料(OUT)'!AC11:AC14))</f>
        <v>0</v>
      </c>
      <c r="CD5" s="66">
        <f>IF($AD5="N","N",SUM('調查資料(OUT)'!AB11:AB14))</f>
        <v>0</v>
      </c>
      <c r="CE5" s="383" t="e">
        <f t="shared" ref="CE5:CE36" si="13">IF($AD5="N","N",(BZ5/CV5)*100)</f>
        <v>#DIV/0!</v>
      </c>
      <c r="CF5" s="66">
        <f t="shared" ref="CF5:CF36" si="14">IF($AD5="N","N",SUM(L5:L8))</f>
        <v>0</v>
      </c>
      <c r="CG5" s="66">
        <f>IF($AD5="N","N",SUM('調查資料(OUT)'!W11:W14))</f>
        <v>0</v>
      </c>
      <c r="CH5" s="66">
        <f>IF($AD5="N","N",SUM('調查資料(OUT)'!Z11:Z14))</f>
        <v>0</v>
      </c>
      <c r="CI5" s="66">
        <f>IF($AD5="N","N",SUM('調查資料(OUT)'!AD11:AD14))</f>
        <v>0</v>
      </c>
      <c r="CJ5" s="383" t="e">
        <f t="shared" ref="CJ5:CJ36" si="15">IF($AD5="N","N",(CF5/CV5)*100)</f>
        <v>#DIV/0!</v>
      </c>
      <c r="CK5" s="66">
        <f t="shared" ref="CK5:CK36" si="16">IF($AD5="N","N",SUM(M5:M8))</f>
        <v>0</v>
      </c>
      <c r="CL5" s="66">
        <f>IF($AD5="N","N",SUM('調查資料(OUT)'!X11:X14))</f>
        <v>0</v>
      </c>
      <c r="CM5" s="66">
        <f>IF($AD5="N","N",SUM('調查資料(OUT)'!AA11:AA14))</f>
        <v>0</v>
      </c>
      <c r="CN5" s="66">
        <f>IF($AD5="N","N",SUM('調查資料(OUT)'!AE11:AE14))</f>
        <v>0</v>
      </c>
      <c r="CO5" s="383" t="e">
        <f t="shared" ref="CO5:CO36" si="17">IF($AD5="N","N",(CK5/CV5)*100)</f>
        <v>#DIV/0!</v>
      </c>
      <c r="CP5" s="66">
        <f>IF($AD5="N","N",CA5+CG5+CL5)</f>
        <v>0</v>
      </c>
      <c r="CQ5" s="383" t="e">
        <f>IF($AD5="N","N",(CP5/($CP5+$CR5+$CT5))*100)</f>
        <v>#DIV/0!</v>
      </c>
      <c r="CR5" s="66">
        <f>IF($AD5="N","N",CB5+CH5+CM5)</f>
        <v>0</v>
      </c>
      <c r="CS5" s="383" t="e">
        <f>IF($AD5="N","N",(CR5/($CP5+$CR5+$CT5))*100)</f>
        <v>#DIV/0!</v>
      </c>
      <c r="CT5" s="66">
        <f>IF($AD5="N","N",CC5+CD5+CI5+CN5)</f>
        <v>0</v>
      </c>
      <c r="CU5" s="383" t="e">
        <f>IF($AD5="N","N",(CT5/($CP5+$CR5+$CT5))*100)</f>
        <v>#DIV/0!</v>
      </c>
      <c r="CV5" s="316">
        <f>IF($AD5="N","N",BZ5+CF5+CK5)</f>
        <v>0</v>
      </c>
      <c r="CW5" s="309">
        <f t="shared" ref="CW5:CW36" si="18">IF($AD5="N","N",SUM(O5:O8))</f>
        <v>0</v>
      </c>
      <c r="CX5" s="66">
        <f>IF($AD5="N","N",SUM('調查資料(OUT)'!AF11:AF14))</f>
        <v>0</v>
      </c>
      <c r="CY5" s="66">
        <f>IF($AD5="N","N",SUM('調查資料(OUT)'!AI11:AI14))</f>
        <v>0</v>
      </c>
      <c r="CZ5" s="66">
        <f>IF($AD5="N","N",SUM('調查資料(OUT)'!AM11:AM14))</f>
        <v>0</v>
      </c>
      <c r="DA5" s="66">
        <f>IF($AD5="N","N",SUM('調查資料(OUT)'!AL11:AL14))</f>
        <v>0</v>
      </c>
      <c r="DB5" s="383" t="e">
        <f t="shared" ref="DB5:DB36" si="19">IF($AD5="N","N",(CW5/DS5)*100)</f>
        <v>#DIV/0!</v>
      </c>
      <c r="DC5" s="66">
        <f t="shared" ref="DC5:DC36" si="20">IF($AD5="N","N",SUM(P5:P8))</f>
        <v>0</v>
      </c>
      <c r="DD5" s="66">
        <f>IF($AD5="N","N",SUM('調查資料(OUT)'!AG11:AG14))</f>
        <v>0</v>
      </c>
      <c r="DE5" s="66">
        <f>IF($AD5="N","N",SUM('調查資料(OUT)'!AJ11:AJ14))</f>
        <v>0</v>
      </c>
      <c r="DF5" s="66">
        <f>IF($AD5="N","N",SUM('調查資料(OUT)'!AN11:AN14))</f>
        <v>0</v>
      </c>
      <c r="DG5" s="383" t="e">
        <f t="shared" ref="DG5:DG36" si="21">IF($AD5="N","N",(DC5/DS5)*100)</f>
        <v>#DIV/0!</v>
      </c>
      <c r="DH5" s="66">
        <f t="shared" ref="DH5:DH36" si="22">IF($AD5="N","N",SUM(Q5:Q8))</f>
        <v>0</v>
      </c>
      <c r="DI5" s="66">
        <f>IF($AD5="N","N",SUM('調查資料(OUT)'!AH11:AH14))</f>
        <v>0</v>
      </c>
      <c r="DJ5" s="66">
        <f>IF($AD5="N","N",SUM('調查資料(OUT)'!AK11:AK14))</f>
        <v>0</v>
      </c>
      <c r="DK5" s="66">
        <f>IF($AD5="N","N",SUM('調查資料(OUT)'!AO11:AO14))</f>
        <v>0</v>
      </c>
      <c r="DL5" s="383" t="e">
        <f t="shared" ref="DL5:DL36" si="23">IF($AD5="N","N",(DH5/DS5)*100)</f>
        <v>#DIV/0!</v>
      </c>
      <c r="DM5" s="66">
        <f>IF($AD5="N","N",CX5+DD5+DI5)</f>
        <v>0</v>
      </c>
      <c r="DN5" s="383" t="e">
        <f>IF($AD5="N","N",(DM5/($DM5+$DO5+$DQ5))*100)</f>
        <v>#DIV/0!</v>
      </c>
      <c r="DO5" s="66">
        <f>IF($AD5="N","N",CY5+DE5+DJ5)</f>
        <v>0</v>
      </c>
      <c r="DP5" s="383" t="e">
        <f>IF($AD5="N","N",(DO5/($DM5+$DO5+$DQ5))*100)</f>
        <v>#DIV/0!</v>
      </c>
      <c r="DQ5" s="66">
        <f>IF($AD5="N","N",CZ5+DA5+DF5+DK5)</f>
        <v>0</v>
      </c>
      <c r="DR5" s="383" t="e">
        <f>IF($AD5="N","N",(DQ5/($DM5+$DO5+$DQ5))*100)</f>
        <v>#DIV/0!</v>
      </c>
      <c r="DS5" s="316">
        <f>IF($AD5="N","N",CW5+DC5+DH5)</f>
        <v>0</v>
      </c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7"/>
      <c r="FN5" s="67"/>
    </row>
    <row r="6" spans="1:170">
      <c r="A6" s="118">
        <f>'調查資料(OUT)'!A12</f>
        <v>15</v>
      </c>
      <c r="B6" s="309">
        <f t="shared" si="0"/>
        <v>0</v>
      </c>
      <c r="C6" s="66">
        <f>IFERROR('調查資料(OUT)'!B$1*'調查資料(OUT)'!B12,0)+IFERROR('調查資料(OUT)'!E$1*'調查資料(OUT)'!E12,0)+IFERROR('調查資料(OUT)'!H$1*'調查資料(OUT)'!H12,0)+IFERROR('調查資料(OUT)'!I$1*'調查資料(OUT)'!I12,0)</f>
        <v>0</v>
      </c>
      <c r="D6" s="66">
        <f>IFERROR('調查資料(OUT)'!C$1*'調查資料(OUT)'!C12,0)+IFERROR('調查資料(OUT)'!F$1*'調查資料(OUT)'!F12,0)+IFERROR('調查資料(OUT)'!J$1*'調查資料(OUT)'!J12,0)</f>
        <v>0</v>
      </c>
      <c r="E6" s="316">
        <f>IFERROR('調查資料(OUT)'!D$1*'調查資料(OUT)'!D12,0)+IFERROR('調查資料(OUT)'!G$1*'調查資料(OUT)'!G12,0)+IFERROR('調查資料(OUT)'!K$1*'調查資料(OUT)'!K12,0)</f>
        <v>0</v>
      </c>
      <c r="F6" s="309">
        <f t="shared" si="1"/>
        <v>0</v>
      </c>
      <c r="G6" s="66">
        <f>IFERROR('調查資料(OUT)'!L$1*'調查資料(OUT)'!L12,0)+IFERROR('調查資料(OUT)'!O$1*'調查資料(OUT)'!O12,0)+IFERROR('調查資料(OUT)'!R$1*'調查資料(OUT)'!R12,0)+IFERROR('調查資料(OUT)'!S$1*'調查資料(OUT)'!S12,0)</f>
        <v>0</v>
      </c>
      <c r="H6" s="66">
        <f>IFERROR('調查資料(OUT)'!M$1*'調查資料(OUT)'!M12,0)+IFERROR('調查資料(OUT)'!P$1*'調查資料(OUT)'!P12,0)+IFERROR('調查資料(OUT)'!T$1*'調查資料(OUT)'!T12,0)</f>
        <v>0</v>
      </c>
      <c r="I6" s="316">
        <f>IFERROR('調查資料(OUT)'!N$1*'調查資料(OUT)'!N12,0)+IFERROR('調查資料(OUT)'!Q$1*'調查資料(OUT)'!Q12,0)+IFERROR('調查資料(OUT)'!U$1*'調查資料(OUT)'!U12,0)</f>
        <v>0</v>
      </c>
      <c r="J6" s="309">
        <f t="shared" ref="J6:J68" si="24">SUM(K6:M6)</f>
        <v>0</v>
      </c>
      <c r="K6" s="66">
        <f>IFERROR('調查資料(OUT)'!V$1*'調查資料(OUT)'!V12,0)+IFERROR('調查資料(OUT)'!Y$1*'調查資料(OUT)'!Y12,0)+IFERROR('調查資料(OUT)'!AB$1*'調查資料(OUT)'!AB12,0)+IFERROR('調查資料(OUT)'!AC$1*'調查資料(OUT)'!AC12,0)</f>
        <v>0</v>
      </c>
      <c r="L6" s="66">
        <f>IFERROR('調查資料(OUT)'!W$1*'調查資料(OUT)'!W12,0)+IFERROR('調查資料(OUT)'!Z$1*'調查資料(OUT)'!Z12,0)+IFERROR('調查資料(OUT)'!AD$1*'調查資料(OUT)'!AD12,0)</f>
        <v>0</v>
      </c>
      <c r="M6" s="316">
        <f>IFERROR('調查資料(OUT)'!X$1*'調查資料(OUT)'!X12,0)+IFERROR('調查資料(OUT)'!AA$1*'調查資料(OUT)'!AA12,0)+IFERROR('調查資料(OUT)'!AE$1*'調查資料(OUT)'!AE12,0)</f>
        <v>0</v>
      </c>
      <c r="N6" s="309">
        <f t="shared" ref="N6:N68" si="25">SUM(O6:Q6)</f>
        <v>0</v>
      </c>
      <c r="O6" s="66">
        <f>IFERROR('調查資料(OUT)'!AF$1*'調查資料(OUT)'!AF12,0)+IFERROR('調查資料(OUT)'!AI$1*'調查資料(OUT)'!AI12,0)+IFERROR('調查資料(OUT)'!AL$1*'調查資料(OUT)'!AL12,0)+IFERROR('調查資料(OUT)'!AM$1*'調查資料(OUT)'!AM12,0)</f>
        <v>0</v>
      </c>
      <c r="P6" s="66">
        <f>IFERROR('調查資料(OUT)'!AG$1*'調查資料(OUT)'!AG12,0)+IFERROR('調查資料(OUT)'!AJ$1*'調查資料(OUT)'!AJ12,0)+IFERROR('調查資料(OUT)'!AN$1*'調查資料(OUT)'!AN12,0)</f>
        <v>0</v>
      </c>
      <c r="Q6" s="316">
        <f>IFERROR('調查資料(OUT)'!AH$1*'調查資料(OUT)'!AH12,0)+IFERROR('調查資料(OUT)'!AK$1*'調查資料(OUT)'!AK12,0)+IFERROR('調查資料(OUT)'!AO$1*'調查資料(OUT)'!AO12,0)</f>
        <v>0</v>
      </c>
      <c r="R6" s="133">
        <f t="shared" si="4"/>
        <v>0</v>
      </c>
      <c r="S6" s="66"/>
      <c r="T6" s="366">
        <f>'調查資料(OUT)'!A12</f>
        <v>15</v>
      </c>
      <c r="U6" s="101">
        <f>T6+100</f>
        <v>115</v>
      </c>
      <c r="V6" s="66">
        <f>SUM(R6:R9)</f>
        <v>0</v>
      </c>
      <c r="W6" s="381"/>
      <c r="X6" s="66">
        <f t="shared" si="5"/>
        <v>0</v>
      </c>
      <c r="Y6" s="379" t="e">
        <f t="shared" ref="Y6:Y39" si="26">IF($V6=W$5,SUM(B6:B9)/(4*(MAX(B6:B9))),0)</f>
        <v>#DIV/0!</v>
      </c>
      <c r="Z6" s="379" t="e">
        <f t="shared" ref="Z6:Z39" si="27">IF($V6=W$5,SUM(F6:F9)/(4*(MAX(F6:F9))),0)</f>
        <v>#DIV/0!</v>
      </c>
      <c r="AA6" s="379" t="e">
        <f t="shared" ref="AA6:AA40" si="28">IF($V6=W$5,SUM(J6:J9)/(4*(MAX(J6:J9))),0)</f>
        <v>#DIV/0!</v>
      </c>
      <c r="AB6" s="379" t="e">
        <f t="shared" ref="AB6:AB40" si="29">IF($V6=W$5,SUM(N6:N9)/(4*(MAX(N6:N9))),0)</f>
        <v>#DIV/0!</v>
      </c>
      <c r="AC6" s="66"/>
      <c r="AD6" s="66">
        <f t="shared" ref="AD6:AD39" si="30">IF(V6=W$5,$T6,"N")</f>
        <v>15</v>
      </c>
      <c r="AE6" s="316">
        <f t="shared" ref="AE6:AE39" si="31">IF(V6=W$5,$U6,"N")</f>
        <v>115</v>
      </c>
      <c r="AF6" s="309">
        <f t="shared" ref="AF6:AF20" si="32">IF($AD6="N","N",SUM(C6:C9))</f>
        <v>0</v>
      </c>
      <c r="AG6" s="66">
        <f>IF($AD6="N","N",SUM('調查資料(OUT)'!B12:B15))</f>
        <v>0</v>
      </c>
      <c r="AH6" s="66">
        <f>IF($AD6="N","N",SUM('調查資料(OUT)'!E12:E15))</f>
        <v>0</v>
      </c>
      <c r="AI6" s="66">
        <f>IF($AD6="N","N",SUM('調查資料(OUT)'!I12:I15))</f>
        <v>0</v>
      </c>
      <c r="AJ6" s="66">
        <f>IF($AD6="N","N",SUM('調查資料(OUT)'!H12:H15))</f>
        <v>0</v>
      </c>
      <c r="AK6" s="383" t="e">
        <f t="shared" ref="AK6:AK36" si="33">IF($AD6="N","N",(AF6/$BB6)*100)</f>
        <v>#DIV/0!</v>
      </c>
      <c r="AL6" s="66">
        <f t="shared" ref="AL6:AL36" si="34">IF($AD6="N","N",SUM(D6:D9))</f>
        <v>0</v>
      </c>
      <c r="AM6" s="66">
        <f>IF($AD6="N","N",SUM('調查資料(OUT)'!C12:C15))</f>
        <v>0</v>
      </c>
      <c r="AN6" s="66">
        <f>IF($AD6="N","N",SUM('調查資料(OUT)'!F12:F15))</f>
        <v>0</v>
      </c>
      <c r="AO6" s="66">
        <f>IF($AD6="N","N",SUM('調查資料(OUT)'!J12:J15))</f>
        <v>0</v>
      </c>
      <c r="AP6" s="383" t="e">
        <f t="shared" ref="AP6:AP36" si="35">IF($AD6="N","N",(AL6/$BB6)*100)</f>
        <v>#DIV/0!</v>
      </c>
      <c r="AQ6" s="66">
        <f t="shared" ref="AQ6:AQ36" si="36">IF($AD6="N","N",SUM(E6:E9))</f>
        <v>0</v>
      </c>
      <c r="AR6" s="66">
        <f>IF($AD6="N","N",SUM('調查資料(OUT)'!D12:D15))</f>
        <v>0</v>
      </c>
      <c r="AS6" s="66">
        <f>IF($AD6="N","N",SUM('調查資料(OUT)'!G12:G15))</f>
        <v>0</v>
      </c>
      <c r="AT6" s="66">
        <f>IF($AD6="N","N",SUM('調查資料(OUT)'!K12:K15))</f>
        <v>0</v>
      </c>
      <c r="AU6" s="383" t="e">
        <f t="shared" ref="AU6:AU36" si="37">IF($AD6="N","N",(AQ6/$BB6)*100)</f>
        <v>#DIV/0!</v>
      </c>
      <c r="AV6" s="66">
        <f t="shared" ref="AV6:AV68" si="38">IF($AD6="N","N",AG6+AM6+AR6)</f>
        <v>0</v>
      </c>
      <c r="AW6" s="383" t="e">
        <f t="shared" ref="AW6:AW68" si="39">IF($AD6="N","N",(AV6/($AV6+$AX6+$AZ6))*100)</f>
        <v>#DIV/0!</v>
      </c>
      <c r="AX6" s="66">
        <f t="shared" ref="AX6:AX68" si="40">IF($AD6="N","N",AH6+AN6+AS6)</f>
        <v>0</v>
      </c>
      <c r="AY6" s="383" t="e">
        <f t="shared" ref="AY6:AY68" si="41">IF($AD6="N","N",(AX6/($AV6+$AX6+$AZ6))*100)</f>
        <v>#DIV/0!</v>
      </c>
      <c r="AZ6" s="66">
        <f t="shared" ref="AZ6:AZ68" si="42">IF($AD6="N","N",AI6+AJ6+AO6+AT6)</f>
        <v>0</v>
      </c>
      <c r="BA6" s="383" t="e">
        <f t="shared" ref="BA6:BA68" si="43">IF($AD6="N","N",(AZ6/($AV6+$AX6+$AZ6))*100)</f>
        <v>#DIV/0!</v>
      </c>
      <c r="BB6" s="316">
        <f t="shared" ref="BB6:BB68" si="44">IF($AD6="N","N",AF6+AL6+AQ6)</f>
        <v>0</v>
      </c>
      <c r="BC6" s="309">
        <f t="shared" si="6"/>
        <v>0</v>
      </c>
      <c r="BD6" s="66">
        <f>IF($AD6="N","N",SUM('調查資料(OUT)'!L12:L15))</f>
        <v>0</v>
      </c>
      <c r="BE6" s="66">
        <f>IF($AD6="N","N",SUM('調查資料(OUT)'!O12:O15))</f>
        <v>0</v>
      </c>
      <c r="BF6" s="66">
        <f>IF($AD6="N","N",SUM('調查資料(OUT)'!S12:S15))</f>
        <v>0</v>
      </c>
      <c r="BG6" s="66">
        <f>IF($AD6="N","N",SUM('調查資料(OUT)'!R12:R15))</f>
        <v>0</v>
      </c>
      <c r="BH6" s="383" t="e">
        <f t="shared" si="7"/>
        <v>#DIV/0!</v>
      </c>
      <c r="BI6" s="66">
        <f t="shared" si="8"/>
        <v>0</v>
      </c>
      <c r="BJ6" s="66">
        <f>IF($AD6="N","N",SUM('調查資料(OUT)'!M12:M15))</f>
        <v>0</v>
      </c>
      <c r="BK6" s="66">
        <f>IF($AD6="N","N",SUM('調查資料(OUT)'!P12:P15))</f>
        <v>0</v>
      </c>
      <c r="BL6" s="66">
        <f>IF($AD6="N","N",SUM('調查資料(OUT)'!T12:T15))</f>
        <v>0</v>
      </c>
      <c r="BM6" s="383" t="e">
        <f t="shared" si="9"/>
        <v>#DIV/0!</v>
      </c>
      <c r="BN6" s="66">
        <f t="shared" si="10"/>
        <v>0</v>
      </c>
      <c r="BO6" s="66">
        <f>IF($AD6="N","N",SUM('調查資料(OUT)'!N12:N15))</f>
        <v>0</v>
      </c>
      <c r="BP6" s="66">
        <f>IF($AD6="N","N",SUM('調查資料(OUT)'!Q12:Q15))</f>
        <v>0</v>
      </c>
      <c r="BQ6" s="66">
        <f>IF($AD6="N","N",SUM('調查資料(OUT)'!U12:U15))</f>
        <v>0</v>
      </c>
      <c r="BR6" s="383" t="e">
        <f t="shared" si="11"/>
        <v>#DIV/0!</v>
      </c>
      <c r="BS6" s="66">
        <f t="shared" ref="BS6:BS68" si="45">IF($AD6="N","N",BD6+BJ6+BO6)</f>
        <v>0</v>
      </c>
      <c r="BT6" s="383" t="e">
        <f t="shared" ref="BT6:BT68" si="46">IF($AD6="N","N",(BS6/($BS6+$BU6+$BW6))*100)</f>
        <v>#DIV/0!</v>
      </c>
      <c r="BU6" s="66">
        <f t="shared" ref="BU6:BU68" si="47">IF($AD6="N","N",BE6+BK6+BP6)</f>
        <v>0</v>
      </c>
      <c r="BV6" s="383" t="e">
        <f t="shared" ref="BV6:BV68" si="48">IF($AD6="N","N",(BU6/($BS6+$BU6+$BW6))*100)</f>
        <v>#DIV/0!</v>
      </c>
      <c r="BW6" s="66">
        <f t="shared" ref="BW6:BW68" si="49">IF($AD6="N","N",BF6+BG6+BL6+BQ6)</f>
        <v>0</v>
      </c>
      <c r="BX6" s="383" t="e">
        <f t="shared" ref="BX6:BX68" si="50">IF($AD6="N","N",(BW6/($BS6+$BU6+$BW6))*100)</f>
        <v>#DIV/0!</v>
      </c>
      <c r="BY6" s="316">
        <f t="shared" ref="BY6:BY68" si="51">IF($AD6="N","N",BC6+BI6+BN6)</f>
        <v>0</v>
      </c>
      <c r="BZ6" s="309">
        <f t="shared" si="12"/>
        <v>0</v>
      </c>
      <c r="CA6" s="66">
        <f>IF($AD6="N","N",SUM('調查資料(OUT)'!V12:V15))</f>
        <v>0</v>
      </c>
      <c r="CB6" s="66">
        <f>IF($AD6="N","N",SUM('調查資料(OUT)'!Y12:Y15))</f>
        <v>0</v>
      </c>
      <c r="CC6" s="66">
        <f>IF($AD6="N","N",SUM('調查資料(OUT)'!AC12:AC15))</f>
        <v>0</v>
      </c>
      <c r="CD6" s="66">
        <f>IF($AD6="N","N",SUM('調查資料(OUT)'!AB12:AB15))</f>
        <v>0</v>
      </c>
      <c r="CE6" s="383" t="e">
        <f t="shared" si="13"/>
        <v>#DIV/0!</v>
      </c>
      <c r="CF6" s="66">
        <f t="shared" si="14"/>
        <v>0</v>
      </c>
      <c r="CG6" s="66">
        <f>IF($AD6="N","N",SUM('調查資料(OUT)'!W12:W15))</f>
        <v>0</v>
      </c>
      <c r="CH6" s="66">
        <f>IF($AD6="N","N",SUM('調查資料(OUT)'!Z12:Z15))</f>
        <v>0</v>
      </c>
      <c r="CI6" s="66">
        <f>IF($AD6="N","N",SUM('調查資料(OUT)'!AD12:AD15))</f>
        <v>0</v>
      </c>
      <c r="CJ6" s="383" t="e">
        <f t="shared" si="15"/>
        <v>#DIV/0!</v>
      </c>
      <c r="CK6" s="66">
        <f t="shared" si="16"/>
        <v>0</v>
      </c>
      <c r="CL6" s="66">
        <f>IF($AD6="N","N",SUM('調查資料(OUT)'!X12:X15))</f>
        <v>0</v>
      </c>
      <c r="CM6" s="66">
        <f>IF($AD6="N","N",SUM('調查資料(OUT)'!AA12:AA15))</f>
        <v>0</v>
      </c>
      <c r="CN6" s="66">
        <f>IF($AD6="N","N",SUM('調查資料(OUT)'!AE12:AE15))</f>
        <v>0</v>
      </c>
      <c r="CO6" s="383" t="e">
        <f t="shared" si="17"/>
        <v>#DIV/0!</v>
      </c>
      <c r="CP6" s="66">
        <f t="shared" ref="CP6:CP68" si="52">IF($AD6="N","N",CA6+CG6+CL6)</f>
        <v>0</v>
      </c>
      <c r="CQ6" s="383" t="e">
        <f t="shared" ref="CQ6:CQ68" si="53">IF($AD6="N","N",(CP6/($CP6+$CR6+$CT6))*100)</f>
        <v>#DIV/0!</v>
      </c>
      <c r="CR6" s="66">
        <f t="shared" ref="CR6:CR68" si="54">IF($AD6="N","N",CB6+CH6+CM6)</f>
        <v>0</v>
      </c>
      <c r="CS6" s="383" t="e">
        <f t="shared" ref="CS6:CS68" si="55">IF($AD6="N","N",(CR6/($CP6+$CR6+$CT6))*100)</f>
        <v>#DIV/0!</v>
      </c>
      <c r="CT6" s="66">
        <f t="shared" ref="CT6:CT68" si="56">IF($AD6="N","N",CC6+CD6+CI6+CN6)</f>
        <v>0</v>
      </c>
      <c r="CU6" s="383" t="e">
        <f t="shared" ref="CU6:CU68" si="57">IF($AD6="N","N",(CT6/($CP6+$CR6+$CT6))*100)</f>
        <v>#DIV/0!</v>
      </c>
      <c r="CV6" s="316">
        <f t="shared" ref="CV6:CV68" si="58">IF($AD6="N","N",BZ6+CF6+CK6)</f>
        <v>0</v>
      </c>
      <c r="CW6" s="309">
        <f t="shared" si="18"/>
        <v>0</v>
      </c>
      <c r="CX6" s="66">
        <f>IF($AD6="N","N",SUM('調查資料(OUT)'!AF12:AF15))</f>
        <v>0</v>
      </c>
      <c r="CY6" s="66">
        <f>IF($AD6="N","N",SUM('調查資料(OUT)'!AI12:AI15))</f>
        <v>0</v>
      </c>
      <c r="CZ6" s="66">
        <f>IF($AD6="N","N",SUM('調查資料(OUT)'!AM12:AM15))</f>
        <v>0</v>
      </c>
      <c r="DA6" s="66">
        <f>IF($AD6="N","N",SUM('調查資料(OUT)'!AL12:AL15))</f>
        <v>0</v>
      </c>
      <c r="DB6" s="383" t="e">
        <f t="shared" si="19"/>
        <v>#DIV/0!</v>
      </c>
      <c r="DC6" s="66">
        <f t="shared" si="20"/>
        <v>0</v>
      </c>
      <c r="DD6" s="66">
        <f>IF($AD6="N","N",SUM('調查資料(OUT)'!AG12:AG15))</f>
        <v>0</v>
      </c>
      <c r="DE6" s="66">
        <f>IF($AD6="N","N",SUM('調查資料(OUT)'!AJ12:AJ15))</f>
        <v>0</v>
      </c>
      <c r="DF6" s="66">
        <f>IF($AD6="N","N",SUM('調查資料(OUT)'!AN12:AN15))</f>
        <v>0</v>
      </c>
      <c r="DG6" s="383" t="e">
        <f t="shared" si="21"/>
        <v>#DIV/0!</v>
      </c>
      <c r="DH6" s="66">
        <f t="shared" si="22"/>
        <v>0</v>
      </c>
      <c r="DI6" s="66">
        <f>IF($AD6="N","N",SUM('調查資料(OUT)'!AH12:AH15))</f>
        <v>0</v>
      </c>
      <c r="DJ6" s="66">
        <f>IF($AD6="N","N",SUM('調查資料(OUT)'!AK12:AK15))</f>
        <v>0</v>
      </c>
      <c r="DK6" s="66">
        <f>IF($AD6="N","N",SUM('調查資料(OUT)'!AO12:AO15))</f>
        <v>0</v>
      </c>
      <c r="DL6" s="383" t="e">
        <f t="shared" si="23"/>
        <v>#DIV/0!</v>
      </c>
      <c r="DM6" s="66">
        <f t="shared" ref="DM6:DM68" si="59">IF($AD6="N","N",CX6+DD6+DI6)</f>
        <v>0</v>
      </c>
      <c r="DN6" s="383" t="e">
        <f t="shared" ref="DN6:DN68" si="60">IF($AD6="N","N",(DM6/($DM6+$DO6+$DQ6))*100)</f>
        <v>#DIV/0!</v>
      </c>
      <c r="DO6" s="66">
        <f t="shared" ref="DO6:DO68" si="61">IF($AD6="N","N",CY6+DE6+DJ6)</f>
        <v>0</v>
      </c>
      <c r="DP6" s="383" t="e">
        <f t="shared" ref="DP6:DP68" si="62">IF($AD6="N","N",(DO6/($DM6+$DO6+$DQ6))*100)</f>
        <v>#DIV/0!</v>
      </c>
      <c r="DQ6" s="66">
        <f t="shared" ref="DQ6:DQ68" si="63">IF($AD6="N","N",CZ6+DA6+DF6+DK6)</f>
        <v>0</v>
      </c>
      <c r="DR6" s="383" t="e">
        <f t="shared" ref="DR6:DR68" si="64">IF($AD6="N","N",(DQ6/($DM6+$DO6+$DQ6))*100)</f>
        <v>#DIV/0!</v>
      </c>
      <c r="DS6" s="316">
        <f t="shared" ref="DS6:DS68" si="65">IF($AD6="N","N",CW6+DC6+DH6)</f>
        <v>0</v>
      </c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  <c r="FD6" s="67"/>
      <c r="FE6" s="67"/>
      <c r="FF6" s="67"/>
      <c r="FG6" s="67"/>
      <c r="FH6" s="67"/>
      <c r="FI6" s="67"/>
      <c r="FJ6" s="67"/>
      <c r="FK6" s="67"/>
      <c r="FL6" s="67"/>
      <c r="FM6" s="67"/>
      <c r="FN6" s="67"/>
    </row>
    <row r="7" spans="1:170">
      <c r="A7" s="118">
        <f>'調查資料(OUT)'!A13</f>
        <v>30</v>
      </c>
      <c r="B7" s="309">
        <f t="shared" si="0"/>
        <v>0</v>
      </c>
      <c r="C7" s="66">
        <f>IFERROR('調查資料(OUT)'!B$1*'調查資料(OUT)'!B13,0)+IFERROR('調查資料(OUT)'!E$1*'調查資料(OUT)'!E13,0)+IFERROR('調查資料(OUT)'!H$1*'調查資料(OUT)'!H13,0)+IFERROR('調查資料(OUT)'!I$1*'調查資料(OUT)'!I13,0)</f>
        <v>0</v>
      </c>
      <c r="D7" s="66">
        <f>IFERROR('調查資料(OUT)'!C$1*'調查資料(OUT)'!C13,0)+IFERROR('調查資料(OUT)'!F$1*'調查資料(OUT)'!F13,0)+IFERROR('調查資料(OUT)'!J$1*'調查資料(OUT)'!J13,0)</f>
        <v>0</v>
      </c>
      <c r="E7" s="316">
        <f>IFERROR('調查資料(OUT)'!D$1*'調查資料(OUT)'!D13,0)+IFERROR('調查資料(OUT)'!G$1*'調查資料(OUT)'!G13,0)+IFERROR('調查資料(OUT)'!K$1*'調查資料(OUT)'!K13,0)</f>
        <v>0</v>
      </c>
      <c r="F7" s="309">
        <f t="shared" si="1"/>
        <v>0</v>
      </c>
      <c r="G7" s="66">
        <f>IFERROR('調查資料(OUT)'!L$1*'調查資料(OUT)'!L13,0)+IFERROR('調查資料(OUT)'!O$1*'調查資料(OUT)'!O13,0)+IFERROR('調查資料(OUT)'!R$1*'調查資料(OUT)'!R13,0)+IFERROR('調查資料(OUT)'!S$1*'調查資料(OUT)'!S13,0)</f>
        <v>0</v>
      </c>
      <c r="H7" s="66">
        <f>IFERROR('調查資料(OUT)'!M$1*'調查資料(OUT)'!M13,0)+IFERROR('調查資料(OUT)'!P$1*'調查資料(OUT)'!P13,0)+IFERROR('調查資料(OUT)'!T$1*'調查資料(OUT)'!T13,0)</f>
        <v>0</v>
      </c>
      <c r="I7" s="316">
        <f>IFERROR('調查資料(OUT)'!N$1*'調查資料(OUT)'!N13,0)+IFERROR('調查資料(OUT)'!Q$1*'調查資料(OUT)'!Q13,0)+IFERROR('調查資料(OUT)'!U$1*'調查資料(OUT)'!U13,0)</f>
        <v>0</v>
      </c>
      <c r="J7" s="309">
        <f t="shared" si="24"/>
        <v>0</v>
      </c>
      <c r="K7" s="66">
        <f>IFERROR('調查資料(OUT)'!V$1*'調查資料(OUT)'!V13,0)+IFERROR('調查資料(OUT)'!Y$1*'調查資料(OUT)'!Y13,0)+IFERROR('調查資料(OUT)'!AB$1*'調查資料(OUT)'!AB13,0)+IFERROR('調查資料(OUT)'!AC$1*'調查資料(OUT)'!AC13,0)</f>
        <v>0</v>
      </c>
      <c r="L7" s="66">
        <f>IFERROR('調查資料(OUT)'!W$1*'調查資料(OUT)'!W13,0)+IFERROR('調查資料(OUT)'!Z$1*'調查資料(OUT)'!Z13,0)+IFERROR('調查資料(OUT)'!AD$1*'調查資料(OUT)'!AD13,0)</f>
        <v>0</v>
      </c>
      <c r="M7" s="316">
        <f>IFERROR('調查資料(OUT)'!X$1*'調查資料(OUT)'!X13,0)+IFERROR('調查資料(OUT)'!AA$1*'調查資料(OUT)'!AA13,0)+IFERROR('調查資料(OUT)'!AE$1*'調查資料(OUT)'!AE13,0)</f>
        <v>0</v>
      </c>
      <c r="N7" s="309">
        <f t="shared" si="25"/>
        <v>0</v>
      </c>
      <c r="O7" s="66">
        <f>IFERROR('調查資料(OUT)'!AF$1*'調查資料(OUT)'!AF13,0)+IFERROR('調查資料(OUT)'!AI$1*'調查資料(OUT)'!AI13,0)+IFERROR('調查資料(OUT)'!AL$1*'調查資料(OUT)'!AL13,0)+IFERROR('調查資料(OUT)'!AM$1*'調查資料(OUT)'!AM13,0)</f>
        <v>0</v>
      </c>
      <c r="P7" s="66">
        <f>IFERROR('調查資料(OUT)'!AG$1*'調查資料(OUT)'!AG13,0)+IFERROR('調查資料(OUT)'!AJ$1*'調查資料(OUT)'!AJ13,0)+IFERROR('調查資料(OUT)'!AN$1*'調查資料(OUT)'!AN13,0)</f>
        <v>0</v>
      </c>
      <c r="Q7" s="316">
        <f>IFERROR('調查資料(OUT)'!AH$1*'調查資料(OUT)'!AH13,0)+IFERROR('調查資料(OUT)'!AK$1*'調查資料(OUT)'!AK13,0)+IFERROR('調查資料(OUT)'!AO$1*'調查資料(OUT)'!AO13,0)</f>
        <v>0</v>
      </c>
      <c r="R7" s="133">
        <f t="shared" si="4"/>
        <v>0</v>
      </c>
      <c r="S7" s="66"/>
      <c r="T7" s="366">
        <f>'調查資料(OUT)'!A13</f>
        <v>30</v>
      </c>
      <c r="U7" s="101">
        <f>T7+100</f>
        <v>130</v>
      </c>
      <c r="V7" s="66">
        <f>SUM(R7:R10)</f>
        <v>0</v>
      </c>
      <c r="W7" s="381"/>
      <c r="X7" s="66">
        <f t="shared" si="5"/>
        <v>0</v>
      </c>
      <c r="Y7" s="379" t="e">
        <f t="shared" si="26"/>
        <v>#DIV/0!</v>
      </c>
      <c r="Z7" s="379" t="e">
        <f t="shared" si="27"/>
        <v>#DIV/0!</v>
      </c>
      <c r="AA7" s="379" t="e">
        <f t="shared" si="28"/>
        <v>#DIV/0!</v>
      </c>
      <c r="AB7" s="379" t="e">
        <f t="shared" si="29"/>
        <v>#DIV/0!</v>
      </c>
      <c r="AC7" s="67"/>
      <c r="AD7" s="66">
        <f t="shared" si="30"/>
        <v>30</v>
      </c>
      <c r="AE7" s="316">
        <f t="shared" si="31"/>
        <v>130</v>
      </c>
      <c r="AF7" s="309">
        <f t="shared" si="32"/>
        <v>0</v>
      </c>
      <c r="AG7" s="66">
        <f>IF($AD7="N","N",SUM('調查資料(OUT)'!B13:B16))</f>
        <v>0</v>
      </c>
      <c r="AH7" s="66">
        <f>IF($AD7="N","N",SUM('調查資料(OUT)'!E13:E16))</f>
        <v>0</v>
      </c>
      <c r="AI7" s="66">
        <f>IF($AD7="N","N",SUM('調查資料(OUT)'!I13:I16))</f>
        <v>0</v>
      </c>
      <c r="AJ7" s="66">
        <f>IF($AD7="N","N",SUM('調查資料(OUT)'!H13:H16))</f>
        <v>0</v>
      </c>
      <c r="AK7" s="383" t="e">
        <f t="shared" si="33"/>
        <v>#DIV/0!</v>
      </c>
      <c r="AL7" s="66">
        <f t="shared" si="34"/>
        <v>0</v>
      </c>
      <c r="AM7" s="66">
        <f>IF($AD7="N","N",SUM('調查資料(OUT)'!C13:C16))</f>
        <v>0</v>
      </c>
      <c r="AN7" s="66">
        <f>IF($AD7="N","N",SUM('調查資料(OUT)'!F13:F16))</f>
        <v>0</v>
      </c>
      <c r="AO7" s="66">
        <f>IF($AD7="N","N",SUM('調查資料(OUT)'!J13:J16))</f>
        <v>0</v>
      </c>
      <c r="AP7" s="383" t="e">
        <f t="shared" si="35"/>
        <v>#DIV/0!</v>
      </c>
      <c r="AQ7" s="66">
        <f t="shared" si="36"/>
        <v>0</v>
      </c>
      <c r="AR7" s="66">
        <f>IF($AD7="N","N",SUM('調查資料(OUT)'!D13:D16))</f>
        <v>0</v>
      </c>
      <c r="AS7" s="66">
        <f>IF($AD7="N","N",SUM('調查資料(OUT)'!G13:G16))</f>
        <v>0</v>
      </c>
      <c r="AT7" s="66">
        <f>IF($AD7="N","N",SUM('調查資料(OUT)'!K13:K16))</f>
        <v>0</v>
      </c>
      <c r="AU7" s="383" t="e">
        <f t="shared" si="37"/>
        <v>#DIV/0!</v>
      </c>
      <c r="AV7" s="66">
        <f t="shared" si="38"/>
        <v>0</v>
      </c>
      <c r="AW7" s="383" t="e">
        <f t="shared" si="39"/>
        <v>#DIV/0!</v>
      </c>
      <c r="AX7" s="66">
        <f t="shared" si="40"/>
        <v>0</v>
      </c>
      <c r="AY7" s="383" t="e">
        <f t="shared" si="41"/>
        <v>#DIV/0!</v>
      </c>
      <c r="AZ7" s="66">
        <f t="shared" si="42"/>
        <v>0</v>
      </c>
      <c r="BA7" s="383" t="e">
        <f t="shared" si="43"/>
        <v>#DIV/0!</v>
      </c>
      <c r="BB7" s="316">
        <f t="shared" si="44"/>
        <v>0</v>
      </c>
      <c r="BC7" s="309">
        <f t="shared" si="6"/>
        <v>0</v>
      </c>
      <c r="BD7" s="66">
        <f>IF($AD7="N","N",SUM('調查資料(OUT)'!L13:L16))</f>
        <v>0</v>
      </c>
      <c r="BE7" s="66">
        <f>IF($AD7="N","N",SUM('調查資料(OUT)'!O13:O16))</f>
        <v>0</v>
      </c>
      <c r="BF7" s="66">
        <f>IF($AD7="N","N",SUM('調查資料(OUT)'!S13:S16))</f>
        <v>0</v>
      </c>
      <c r="BG7" s="66">
        <f>IF($AD7="N","N",SUM('調查資料(OUT)'!R13:R16))</f>
        <v>0</v>
      </c>
      <c r="BH7" s="383" t="e">
        <f t="shared" si="7"/>
        <v>#DIV/0!</v>
      </c>
      <c r="BI7" s="66">
        <f t="shared" si="8"/>
        <v>0</v>
      </c>
      <c r="BJ7" s="66">
        <f>IF($AD7="N","N",SUM('調查資料(OUT)'!M13:M16))</f>
        <v>0</v>
      </c>
      <c r="BK7" s="66">
        <f>IF($AD7="N","N",SUM('調查資料(OUT)'!P13:P16))</f>
        <v>0</v>
      </c>
      <c r="BL7" s="66">
        <f>IF($AD7="N","N",SUM('調查資料(OUT)'!T13:T16))</f>
        <v>0</v>
      </c>
      <c r="BM7" s="383" t="e">
        <f t="shared" si="9"/>
        <v>#DIV/0!</v>
      </c>
      <c r="BN7" s="66">
        <f t="shared" si="10"/>
        <v>0</v>
      </c>
      <c r="BO7" s="66">
        <f>IF($AD7="N","N",SUM('調查資料(OUT)'!N13:N16))</f>
        <v>0</v>
      </c>
      <c r="BP7" s="66">
        <f>IF($AD7="N","N",SUM('調查資料(OUT)'!Q13:Q16))</f>
        <v>0</v>
      </c>
      <c r="BQ7" s="66">
        <f>IF($AD7="N","N",SUM('調查資料(OUT)'!U13:U16))</f>
        <v>0</v>
      </c>
      <c r="BR7" s="383" t="e">
        <f t="shared" si="11"/>
        <v>#DIV/0!</v>
      </c>
      <c r="BS7" s="66">
        <f t="shared" si="45"/>
        <v>0</v>
      </c>
      <c r="BT7" s="383" t="e">
        <f t="shared" si="46"/>
        <v>#DIV/0!</v>
      </c>
      <c r="BU7" s="66">
        <f t="shared" si="47"/>
        <v>0</v>
      </c>
      <c r="BV7" s="383" t="e">
        <f t="shared" si="48"/>
        <v>#DIV/0!</v>
      </c>
      <c r="BW7" s="66">
        <f t="shared" si="49"/>
        <v>0</v>
      </c>
      <c r="BX7" s="383" t="e">
        <f t="shared" si="50"/>
        <v>#DIV/0!</v>
      </c>
      <c r="BY7" s="316">
        <f t="shared" si="51"/>
        <v>0</v>
      </c>
      <c r="BZ7" s="309">
        <f t="shared" si="12"/>
        <v>0</v>
      </c>
      <c r="CA7" s="66">
        <f>IF($AD7="N","N",SUM('調查資料(OUT)'!V13:V16))</f>
        <v>0</v>
      </c>
      <c r="CB7" s="66">
        <f>IF($AD7="N","N",SUM('調查資料(OUT)'!Y13:Y16))</f>
        <v>0</v>
      </c>
      <c r="CC7" s="66">
        <f>IF($AD7="N","N",SUM('調查資料(OUT)'!AC13:AC16))</f>
        <v>0</v>
      </c>
      <c r="CD7" s="66">
        <f>IF($AD7="N","N",SUM('調查資料(OUT)'!AB13:AB16))</f>
        <v>0</v>
      </c>
      <c r="CE7" s="383" t="e">
        <f t="shared" si="13"/>
        <v>#DIV/0!</v>
      </c>
      <c r="CF7" s="66">
        <f t="shared" si="14"/>
        <v>0</v>
      </c>
      <c r="CG7" s="66">
        <f>IF($AD7="N","N",SUM('調查資料(OUT)'!W13:W16))</f>
        <v>0</v>
      </c>
      <c r="CH7" s="66">
        <f>IF($AD7="N","N",SUM('調查資料(OUT)'!Z13:Z16))</f>
        <v>0</v>
      </c>
      <c r="CI7" s="66">
        <f>IF($AD7="N","N",SUM('調查資料(OUT)'!AD13:AD16))</f>
        <v>0</v>
      </c>
      <c r="CJ7" s="383" t="e">
        <f t="shared" si="15"/>
        <v>#DIV/0!</v>
      </c>
      <c r="CK7" s="66">
        <f t="shared" si="16"/>
        <v>0</v>
      </c>
      <c r="CL7" s="66">
        <f>IF($AD7="N","N",SUM('調查資料(OUT)'!X13:X16))</f>
        <v>0</v>
      </c>
      <c r="CM7" s="66">
        <f>IF($AD7="N","N",SUM('調查資料(OUT)'!AA13:AA16))</f>
        <v>0</v>
      </c>
      <c r="CN7" s="66">
        <f>IF($AD7="N","N",SUM('調查資料(OUT)'!AE13:AE16))</f>
        <v>0</v>
      </c>
      <c r="CO7" s="383" t="e">
        <f t="shared" si="17"/>
        <v>#DIV/0!</v>
      </c>
      <c r="CP7" s="66">
        <f t="shared" si="52"/>
        <v>0</v>
      </c>
      <c r="CQ7" s="383" t="e">
        <f t="shared" si="53"/>
        <v>#DIV/0!</v>
      </c>
      <c r="CR7" s="66">
        <f t="shared" si="54"/>
        <v>0</v>
      </c>
      <c r="CS7" s="383" t="e">
        <f t="shared" si="55"/>
        <v>#DIV/0!</v>
      </c>
      <c r="CT7" s="66">
        <f t="shared" si="56"/>
        <v>0</v>
      </c>
      <c r="CU7" s="383" t="e">
        <f t="shared" si="57"/>
        <v>#DIV/0!</v>
      </c>
      <c r="CV7" s="316">
        <f t="shared" si="58"/>
        <v>0</v>
      </c>
      <c r="CW7" s="309">
        <f t="shared" si="18"/>
        <v>0</v>
      </c>
      <c r="CX7" s="66">
        <f>IF($AD7="N","N",SUM('調查資料(OUT)'!AF13:AF16))</f>
        <v>0</v>
      </c>
      <c r="CY7" s="66">
        <f>IF($AD7="N","N",SUM('調查資料(OUT)'!AI13:AI16))</f>
        <v>0</v>
      </c>
      <c r="CZ7" s="66">
        <f>IF($AD7="N","N",SUM('調查資料(OUT)'!AM13:AM16))</f>
        <v>0</v>
      </c>
      <c r="DA7" s="66">
        <f>IF($AD7="N","N",SUM('調查資料(OUT)'!AL13:AL16))</f>
        <v>0</v>
      </c>
      <c r="DB7" s="383" t="e">
        <f t="shared" si="19"/>
        <v>#DIV/0!</v>
      </c>
      <c r="DC7" s="66">
        <f t="shared" si="20"/>
        <v>0</v>
      </c>
      <c r="DD7" s="66">
        <f>IF($AD7="N","N",SUM('調查資料(OUT)'!AG13:AG16))</f>
        <v>0</v>
      </c>
      <c r="DE7" s="66">
        <f>IF($AD7="N","N",SUM('調查資料(OUT)'!AJ13:AJ16))</f>
        <v>0</v>
      </c>
      <c r="DF7" s="66">
        <f>IF($AD7="N","N",SUM('調查資料(OUT)'!AN13:AN16))</f>
        <v>0</v>
      </c>
      <c r="DG7" s="383" t="e">
        <f t="shared" si="21"/>
        <v>#DIV/0!</v>
      </c>
      <c r="DH7" s="66">
        <f t="shared" si="22"/>
        <v>0</v>
      </c>
      <c r="DI7" s="66">
        <f>IF($AD7="N","N",SUM('調查資料(OUT)'!AH13:AH16))</f>
        <v>0</v>
      </c>
      <c r="DJ7" s="66">
        <f>IF($AD7="N","N",SUM('調查資料(OUT)'!AK13:AK16))</f>
        <v>0</v>
      </c>
      <c r="DK7" s="66">
        <f>IF($AD7="N","N",SUM('調查資料(OUT)'!AO13:AO16))</f>
        <v>0</v>
      </c>
      <c r="DL7" s="383" t="e">
        <f t="shared" si="23"/>
        <v>#DIV/0!</v>
      </c>
      <c r="DM7" s="66">
        <f t="shared" si="59"/>
        <v>0</v>
      </c>
      <c r="DN7" s="383" t="e">
        <f t="shared" si="60"/>
        <v>#DIV/0!</v>
      </c>
      <c r="DO7" s="66">
        <f t="shared" si="61"/>
        <v>0</v>
      </c>
      <c r="DP7" s="383" t="e">
        <f t="shared" si="62"/>
        <v>#DIV/0!</v>
      </c>
      <c r="DQ7" s="66">
        <f t="shared" si="63"/>
        <v>0</v>
      </c>
      <c r="DR7" s="383" t="e">
        <f t="shared" si="64"/>
        <v>#DIV/0!</v>
      </c>
      <c r="DS7" s="316">
        <f t="shared" si="65"/>
        <v>0</v>
      </c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</row>
    <row r="8" spans="1:170">
      <c r="A8" s="118">
        <f>'調查資料(OUT)'!A14</f>
        <v>45</v>
      </c>
      <c r="B8" s="309">
        <f t="shared" si="0"/>
        <v>0</v>
      </c>
      <c r="C8" s="66">
        <f>IFERROR('調查資料(OUT)'!B$1*'調查資料(OUT)'!B14,0)+IFERROR('調查資料(OUT)'!E$1*'調查資料(OUT)'!E14,0)+IFERROR('調查資料(OUT)'!H$1*'調查資料(OUT)'!H14,0)+IFERROR('調查資料(OUT)'!I$1*'調查資料(OUT)'!I14,0)</f>
        <v>0</v>
      </c>
      <c r="D8" s="66">
        <f>IFERROR('調查資料(OUT)'!C$1*'調查資料(OUT)'!C14,0)+IFERROR('調查資料(OUT)'!F$1*'調查資料(OUT)'!F14,0)+IFERROR('調查資料(OUT)'!J$1*'調查資料(OUT)'!J14,0)</f>
        <v>0</v>
      </c>
      <c r="E8" s="316">
        <f>IFERROR('調查資料(OUT)'!D$1*'調查資料(OUT)'!D14,0)+IFERROR('調查資料(OUT)'!G$1*'調查資料(OUT)'!G14,0)+IFERROR('調查資料(OUT)'!K$1*'調查資料(OUT)'!K14,0)</f>
        <v>0</v>
      </c>
      <c r="F8" s="309">
        <f t="shared" si="1"/>
        <v>0</v>
      </c>
      <c r="G8" s="66">
        <f>IFERROR('調查資料(OUT)'!L$1*'調查資料(OUT)'!L14,0)+IFERROR('調查資料(OUT)'!O$1*'調查資料(OUT)'!O14,0)+IFERROR('調查資料(OUT)'!R$1*'調查資料(OUT)'!R14,0)+IFERROR('調查資料(OUT)'!S$1*'調查資料(OUT)'!S14,0)</f>
        <v>0</v>
      </c>
      <c r="H8" s="66">
        <f>IFERROR('調查資料(OUT)'!M$1*'調查資料(OUT)'!M14,0)+IFERROR('調查資料(OUT)'!P$1*'調查資料(OUT)'!P14,0)+IFERROR('調查資料(OUT)'!T$1*'調查資料(OUT)'!T14,0)</f>
        <v>0</v>
      </c>
      <c r="I8" s="316">
        <f>IFERROR('調查資料(OUT)'!N$1*'調查資料(OUT)'!N14,0)+IFERROR('調查資料(OUT)'!Q$1*'調查資料(OUT)'!Q14,0)+IFERROR('調查資料(OUT)'!U$1*'調查資料(OUT)'!U14,0)</f>
        <v>0</v>
      </c>
      <c r="J8" s="309">
        <f t="shared" si="24"/>
        <v>0</v>
      </c>
      <c r="K8" s="66">
        <f>IFERROR('調查資料(OUT)'!V$1*'調查資料(OUT)'!V14,0)+IFERROR('調查資料(OUT)'!Y$1*'調查資料(OUT)'!Y14,0)+IFERROR('調查資料(OUT)'!AB$1*'調查資料(OUT)'!AB14,0)+IFERROR('調查資料(OUT)'!AC$1*'調查資料(OUT)'!AC14,0)</f>
        <v>0</v>
      </c>
      <c r="L8" s="66">
        <f>IFERROR('調查資料(OUT)'!W$1*'調查資料(OUT)'!W14,0)+IFERROR('調查資料(OUT)'!Z$1*'調查資料(OUT)'!Z14,0)+IFERROR('調查資料(OUT)'!AD$1*'調查資料(OUT)'!AD14,0)</f>
        <v>0</v>
      </c>
      <c r="M8" s="316">
        <f>IFERROR('調查資料(OUT)'!X$1*'調查資料(OUT)'!X14,0)+IFERROR('調查資料(OUT)'!AA$1*'調查資料(OUT)'!AA14,0)+IFERROR('調查資料(OUT)'!AE$1*'調查資料(OUT)'!AE14,0)</f>
        <v>0</v>
      </c>
      <c r="N8" s="309">
        <f t="shared" si="25"/>
        <v>0</v>
      </c>
      <c r="O8" s="66">
        <f>IFERROR('調查資料(OUT)'!AF$1*'調查資料(OUT)'!AF14,0)+IFERROR('調查資料(OUT)'!AI$1*'調查資料(OUT)'!AI14,0)+IFERROR('調查資料(OUT)'!AL$1*'調查資料(OUT)'!AL14,0)+IFERROR('調查資料(OUT)'!AM$1*'調查資料(OUT)'!AM14,0)</f>
        <v>0</v>
      </c>
      <c r="P8" s="66">
        <f>IFERROR('調查資料(OUT)'!AG$1*'調查資料(OUT)'!AG14,0)+IFERROR('調查資料(OUT)'!AJ$1*'調查資料(OUT)'!AJ14,0)+IFERROR('調查資料(OUT)'!AN$1*'調查資料(OUT)'!AN14,0)</f>
        <v>0</v>
      </c>
      <c r="Q8" s="316">
        <f>IFERROR('調查資料(OUT)'!AH$1*'調查資料(OUT)'!AH14,0)+IFERROR('調查資料(OUT)'!AK$1*'調查資料(OUT)'!AK14,0)+IFERROR('調查資料(OUT)'!AO$1*'調查資料(OUT)'!AO14,0)</f>
        <v>0</v>
      </c>
      <c r="R8" s="133">
        <f t="shared" si="4"/>
        <v>0</v>
      </c>
      <c r="S8" s="66"/>
      <c r="T8" s="366">
        <f>'調查資料(OUT)'!A14</f>
        <v>45</v>
      </c>
      <c r="U8" s="101">
        <f t="shared" ref="U8:U17" si="66">T8+100</f>
        <v>145</v>
      </c>
      <c r="V8" s="66">
        <f>SUM(R8:R11)</f>
        <v>0</v>
      </c>
      <c r="W8" s="381"/>
      <c r="X8" s="66">
        <f t="shared" si="5"/>
        <v>0</v>
      </c>
      <c r="Y8" s="379" t="e">
        <f t="shared" si="26"/>
        <v>#DIV/0!</v>
      </c>
      <c r="Z8" s="379" t="e">
        <f t="shared" si="27"/>
        <v>#DIV/0!</v>
      </c>
      <c r="AA8" s="379" t="e">
        <f t="shared" si="28"/>
        <v>#DIV/0!</v>
      </c>
      <c r="AB8" s="379" t="e">
        <f t="shared" si="29"/>
        <v>#DIV/0!</v>
      </c>
      <c r="AC8" s="67"/>
      <c r="AD8" s="66">
        <f t="shared" si="30"/>
        <v>45</v>
      </c>
      <c r="AE8" s="316">
        <f t="shared" si="31"/>
        <v>145</v>
      </c>
      <c r="AF8" s="309">
        <f t="shared" si="32"/>
        <v>0</v>
      </c>
      <c r="AG8" s="66">
        <f>IF($AD8="N","N",SUM('調查資料(OUT)'!B14:B17))</f>
        <v>0</v>
      </c>
      <c r="AH8" s="66">
        <f>IF($AD8="N","N",SUM('調查資料(OUT)'!E14:E17))</f>
        <v>0</v>
      </c>
      <c r="AI8" s="66">
        <f>IF($AD8="N","N",SUM('調查資料(OUT)'!I14:I17))</f>
        <v>0</v>
      </c>
      <c r="AJ8" s="66">
        <f>IF($AD8="N","N",SUM('調查資料(OUT)'!H14:H17))</f>
        <v>0</v>
      </c>
      <c r="AK8" s="383" t="e">
        <f t="shared" si="33"/>
        <v>#DIV/0!</v>
      </c>
      <c r="AL8" s="66">
        <f t="shared" si="34"/>
        <v>0</v>
      </c>
      <c r="AM8" s="66">
        <f>IF($AD8="N","N",SUM('調查資料(OUT)'!C14:C17))</f>
        <v>0</v>
      </c>
      <c r="AN8" s="66">
        <f>IF($AD8="N","N",SUM('調查資料(OUT)'!F14:F17))</f>
        <v>0</v>
      </c>
      <c r="AO8" s="66">
        <f>IF($AD8="N","N",SUM('調查資料(OUT)'!J14:J17))</f>
        <v>0</v>
      </c>
      <c r="AP8" s="383" t="e">
        <f t="shared" si="35"/>
        <v>#DIV/0!</v>
      </c>
      <c r="AQ8" s="66">
        <f t="shared" si="36"/>
        <v>0</v>
      </c>
      <c r="AR8" s="66">
        <f>IF($AD8="N","N",SUM('調查資料(OUT)'!D14:D17))</f>
        <v>0</v>
      </c>
      <c r="AS8" s="66">
        <f>IF($AD8="N","N",SUM('調查資料(OUT)'!G14:G17))</f>
        <v>0</v>
      </c>
      <c r="AT8" s="66">
        <f>IF($AD8="N","N",SUM('調查資料(OUT)'!K14:K17))</f>
        <v>0</v>
      </c>
      <c r="AU8" s="383" t="e">
        <f t="shared" si="37"/>
        <v>#DIV/0!</v>
      </c>
      <c r="AV8" s="66">
        <f t="shared" si="38"/>
        <v>0</v>
      </c>
      <c r="AW8" s="383" t="e">
        <f t="shared" si="39"/>
        <v>#DIV/0!</v>
      </c>
      <c r="AX8" s="66">
        <f t="shared" si="40"/>
        <v>0</v>
      </c>
      <c r="AY8" s="383" t="e">
        <f t="shared" si="41"/>
        <v>#DIV/0!</v>
      </c>
      <c r="AZ8" s="66">
        <f t="shared" si="42"/>
        <v>0</v>
      </c>
      <c r="BA8" s="383" t="e">
        <f t="shared" si="43"/>
        <v>#DIV/0!</v>
      </c>
      <c r="BB8" s="316">
        <f t="shared" si="44"/>
        <v>0</v>
      </c>
      <c r="BC8" s="309">
        <f t="shared" si="6"/>
        <v>0</v>
      </c>
      <c r="BD8" s="66">
        <f>IF($AD8="N","N",SUM('調查資料(OUT)'!L14:L17))</f>
        <v>0</v>
      </c>
      <c r="BE8" s="66">
        <f>IF($AD8="N","N",SUM('調查資料(OUT)'!O14:O17))</f>
        <v>0</v>
      </c>
      <c r="BF8" s="66">
        <f>IF($AD8="N","N",SUM('調查資料(OUT)'!S14:S17))</f>
        <v>0</v>
      </c>
      <c r="BG8" s="66">
        <f>IF($AD8="N","N",SUM('調查資料(OUT)'!R14:R17))</f>
        <v>0</v>
      </c>
      <c r="BH8" s="383" t="e">
        <f t="shared" si="7"/>
        <v>#DIV/0!</v>
      </c>
      <c r="BI8" s="66">
        <f t="shared" si="8"/>
        <v>0</v>
      </c>
      <c r="BJ8" s="66">
        <f>IF($AD8="N","N",SUM('調查資料(OUT)'!M14:M17))</f>
        <v>0</v>
      </c>
      <c r="BK8" s="66">
        <f>IF($AD8="N","N",SUM('調查資料(OUT)'!P14:P17))</f>
        <v>0</v>
      </c>
      <c r="BL8" s="66">
        <f>IF($AD8="N","N",SUM('調查資料(OUT)'!T14:T17))</f>
        <v>0</v>
      </c>
      <c r="BM8" s="383" t="e">
        <f t="shared" si="9"/>
        <v>#DIV/0!</v>
      </c>
      <c r="BN8" s="66">
        <f t="shared" si="10"/>
        <v>0</v>
      </c>
      <c r="BO8" s="66">
        <f>IF($AD8="N","N",SUM('調查資料(OUT)'!N14:N17))</f>
        <v>0</v>
      </c>
      <c r="BP8" s="66">
        <f>IF($AD8="N","N",SUM('調查資料(OUT)'!Q14:Q17))</f>
        <v>0</v>
      </c>
      <c r="BQ8" s="66">
        <f>IF($AD8="N","N",SUM('調查資料(OUT)'!U14:U17))</f>
        <v>0</v>
      </c>
      <c r="BR8" s="383" t="e">
        <f t="shared" si="11"/>
        <v>#DIV/0!</v>
      </c>
      <c r="BS8" s="66">
        <f t="shared" si="45"/>
        <v>0</v>
      </c>
      <c r="BT8" s="383" t="e">
        <f t="shared" si="46"/>
        <v>#DIV/0!</v>
      </c>
      <c r="BU8" s="66">
        <f t="shared" si="47"/>
        <v>0</v>
      </c>
      <c r="BV8" s="383" t="e">
        <f t="shared" si="48"/>
        <v>#DIV/0!</v>
      </c>
      <c r="BW8" s="66">
        <f t="shared" si="49"/>
        <v>0</v>
      </c>
      <c r="BX8" s="383" t="e">
        <f t="shared" si="50"/>
        <v>#DIV/0!</v>
      </c>
      <c r="BY8" s="316">
        <f t="shared" si="51"/>
        <v>0</v>
      </c>
      <c r="BZ8" s="309">
        <f t="shared" si="12"/>
        <v>0</v>
      </c>
      <c r="CA8" s="66">
        <f>IF($AD8="N","N",SUM('調查資料(OUT)'!V14:V17))</f>
        <v>0</v>
      </c>
      <c r="CB8" s="66">
        <f>IF($AD8="N","N",SUM('調查資料(OUT)'!Y14:Y17))</f>
        <v>0</v>
      </c>
      <c r="CC8" s="66">
        <f>IF($AD8="N","N",SUM('調查資料(OUT)'!AC14:AC17))</f>
        <v>0</v>
      </c>
      <c r="CD8" s="66">
        <f>IF($AD8="N","N",SUM('調查資料(OUT)'!AB14:AB17))</f>
        <v>0</v>
      </c>
      <c r="CE8" s="383" t="e">
        <f t="shared" si="13"/>
        <v>#DIV/0!</v>
      </c>
      <c r="CF8" s="66">
        <f t="shared" si="14"/>
        <v>0</v>
      </c>
      <c r="CG8" s="66">
        <f>IF($AD8="N","N",SUM('調查資料(OUT)'!W14:W17))</f>
        <v>0</v>
      </c>
      <c r="CH8" s="66">
        <f>IF($AD8="N","N",SUM('調查資料(OUT)'!Z14:Z17))</f>
        <v>0</v>
      </c>
      <c r="CI8" s="66">
        <f>IF($AD8="N","N",SUM('調查資料(OUT)'!AD14:AD17))</f>
        <v>0</v>
      </c>
      <c r="CJ8" s="383" t="e">
        <f t="shared" si="15"/>
        <v>#DIV/0!</v>
      </c>
      <c r="CK8" s="66">
        <f t="shared" si="16"/>
        <v>0</v>
      </c>
      <c r="CL8" s="66">
        <f>IF($AD8="N","N",SUM('調查資料(OUT)'!X14:X17))</f>
        <v>0</v>
      </c>
      <c r="CM8" s="66">
        <f>IF($AD8="N","N",SUM('調查資料(OUT)'!AA14:AA17))</f>
        <v>0</v>
      </c>
      <c r="CN8" s="66">
        <f>IF($AD8="N","N",SUM('調查資料(OUT)'!AE14:AE17))</f>
        <v>0</v>
      </c>
      <c r="CO8" s="383" t="e">
        <f t="shared" si="17"/>
        <v>#DIV/0!</v>
      </c>
      <c r="CP8" s="66">
        <f t="shared" si="52"/>
        <v>0</v>
      </c>
      <c r="CQ8" s="383" t="e">
        <f t="shared" si="53"/>
        <v>#DIV/0!</v>
      </c>
      <c r="CR8" s="66">
        <f t="shared" si="54"/>
        <v>0</v>
      </c>
      <c r="CS8" s="383" t="e">
        <f t="shared" si="55"/>
        <v>#DIV/0!</v>
      </c>
      <c r="CT8" s="66">
        <f t="shared" si="56"/>
        <v>0</v>
      </c>
      <c r="CU8" s="383" t="e">
        <f t="shared" si="57"/>
        <v>#DIV/0!</v>
      </c>
      <c r="CV8" s="316">
        <f t="shared" si="58"/>
        <v>0</v>
      </c>
      <c r="CW8" s="309">
        <f t="shared" si="18"/>
        <v>0</v>
      </c>
      <c r="CX8" s="66">
        <f>IF($AD8="N","N",SUM('調查資料(OUT)'!AF14:AF17))</f>
        <v>0</v>
      </c>
      <c r="CY8" s="66">
        <f>IF($AD8="N","N",SUM('調查資料(OUT)'!AI14:AI17))</f>
        <v>0</v>
      </c>
      <c r="CZ8" s="66">
        <f>IF($AD8="N","N",SUM('調查資料(OUT)'!AM14:AM17))</f>
        <v>0</v>
      </c>
      <c r="DA8" s="66">
        <f>IF($AD8="N","N",SUM('調查資料(OUT)'!AL14:AL17))</f>
        <v>0</v>
      </c>
      <c r="DB8" s="383" t="e">
        <f t="shared" si="19"/>
        <v>#DIV/0!</v>
      </c>
      <c r="DC8" s="66">
        <f t="shared" si="20"/>
        <v>0</v>
      </c>
      <c r="DD8" s="66">
        <f>IF($AD8="N","N",SUM('調查資料(OUT)'!AG14:AG17))</f>
        <v>0</v>
      </c>
      <c r="DE8" s="66">
        <f>IF($AD8="N","N",SUM('調查資料(OUT)'!AJ14:AJ17))</f>
        <v>0</v>
      </c>
      <c r="DF8" s="66">
        <f>IF($AD8="N","N",SUM('調查資料(OUT)'!AN14:AN17))</f>
        <v>0</v>
      </c>
      <c r="DG8" s="383" t="e">
        <f t="shared" si="21"/>
        <v>#DIV/0!</v>
      </c>
      <c r="DH8" s="66">
        <f t="shared" si="22"/>
        <v>0</v>
      </c>
      <c r="DI8" s="66">
        <f>IF($AD8="N","N",SUM('調查資料(OUT)'!AH14:AH17))</f>
        <v>0</v>
      </c>
      <c r="DJ8" s="66">
        <f>IF($AD8="N","N",SUM('調查資料(OUT)'!AK14:AK17))</f>
        <v>0</v>
      </c>
      <c r="DK8" s="66">
        <f>IF($AD8="N","N",SUM('調查資料(OUT)'!AO14:AO17))</f>
        <v>0</v>
      </c>
      <c r="DL8" s="383" t="e">
        <f t="shared" si="23"/>
        <v>#DIV/0!</v>
      </c>
      <c r="DM8" s="66">
        <f t="shared" si="59"/>
        <v>0</v>
      </c>
      <c r="DN8" s="383" t="e">
        <f t="shared" si="60"/>
        <v>#DIV/0!</v>
      </c>
      <c r="DO8" s="66">
        <f t="shared" si="61"/>
        <v>0</v>
      </c>
      <c r="DP8" s="383" t="e">
        <f t="shared" si="62"/>
        <v>#DIV/0!</v>
      </c>
      <c r="DQ8" s="66">
        <f t="shared" si="63"/>
        <v>0</v>
      </c>
      <c r="DR8" s="383" t="e">
        <f t="shared" si="64"/>
        <v>#DIV/0!</v>
      </c>
      <c r="DS8" s="316">
        <f t="shared" si="65"/>
        <v>0</v>
      </c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</row>
    <row r="9" spans="1:170">
      <c r="A9" s="118">
        <f>'調查資料(OUT)'!A15</f>
        <v>100</v>
      </c>
      <c r="B9" s="309">
        <f t="shared" si="0"/>
        <v>0</v>
      </c>
      <c r="C9" s="66">
        <f>IFERROR('調查資料(OUT)'!B$1*'調查資料(OUT)'!B15,0)+IFERROR('調查資料(OUT)'!E$1*'調查資料(OUT)'!E15,0)+IFERROR('調查資料(OUT)'!H$1*'調查資料(OUT)'!H15,0)+IFERROR('調查資料(OUT)'!I$1*'調查資料(OUT)'!I15,0)</f>
        <v>0</v>
      </c>
      <c r="D9" s="66">
        <f>IFERROR('調查資料(OUT)'!C$1*'調查資料(OUT)'!C15,0)+IFERROR('調查資料(OUT)'!F$1*'調查資料(OUT)'!F15,0)+IFERROR('調查資料(OUT)'!J$1*'調查資料(OUT)'!J15,0)</f>
        <v>0</v>
      </c>
      <c r="E9" s="316">
        <f>IFERROR('調查資料(OUT)'!D$1*'調查資料(OUT)'!D15,0)+IFERROR('調查資料(OUT)'!G$1*'調查資料(OUT)'!G15,0)+IFERROR('調查資料(OUT)'!K$1*'調查資料(OUT)'!K15,0)</f>
        <v>0</v>
      </c>
      <c r="F9" s="309">
        <f t="shared" si="1"/>
        <v>0</v>
      </c>
      <c r="G9" s="66">
        <f>IFERROR('調查資料(OUT)'!L$1*'調查資料(OUT)'!L15,0)+IFERROR('調查資料(OUT)'!O$1*'調查資料(OUT)'!O15,0)+IFERROR('調查資料(OUT)'!R$1*'調查資料(OUT)'!R15,0)+IFERROR('調查資料(OUT)'!S$1*'調查資料(OUT)'!S15,0)</f>
        <v>0</v>
      </c>
      <c r="H9" s="66">
        <f>IFERROR('調查資料(OUT)'!M$1*'調查資料(OUT)'!M15,0)+IFERROR('調查資料(OUT)'!P$1*'調查資料(OUT)'!P15,0)+IFERROR('調查資料(OUT)'!T$1*'調查資料(OUT)'!T15,0)</f>
        <v>0</v>
      </c>
      <c r="I9" s="316">
        <f>IFERROR('調查資料(OUT)'!N$1*'調查資料(OUT)'!N15,0)+IFERROR('調查資料(OUT)'!Q$1*'調查資料(OUT)'!Q15,0)+IFERROR('調查資料(OUT)'!U$1*'調查資料(OUT)'!U15,0)</f>
        <v>0</v>
      </c>
      <c r="J9" s="309">
        <f t="shared" si="24"/>
        <v>0</v>
      </c>
      <c r="K9" s="66">
        <f>IFERROR('調查資料(OUT)'!V$1*'調查資料(OUT)'!V15,0)+IFERROR('調查資料(OUT)'!Y$1*'調查資料(OUT)'!Y15,0)+IFERROR('調查資料(OUT)'!AB$1*'調查資料(OUT)'!AB15,0)+IFERROR('調查資料(OUT)'!AC$1*'調查資料(OUT)'!AC15,0)</f>
        <v>0</v>
      </c>
      <c r="L9" s="66">
        <f>IFERROR('調查資料(OUT)'!W$1*'調查資料(OUT)'!W15,0)+IFERROR('調查資料(OUT)'!Z$1*'調查資料(OUT)'!Z15,0)+IFERROR('調查資料(OUT)'!AD$1*'調查資料(OUT)'!AD15,0)</f>
        <v>0</v>
      </c>
      <c r="M9" s="316">
        <f>IFERROR('調查資料(OUT)'!X$1*'調查資料(OUT)'!X15,0)+IFERROR('調查資料(OUT)'!AA$1*'調查資料(OUT)'!AA15,0)+IFERROR('調查資料(OUT)'!AE$1*'調查資料(OUT)'!AE15,0)</f>
        <v>0</v>
      </c>
      <c r="N9" s="309">
        <f t="shared" si="25"/>
        <v>0</v>
      </c>
      <c r="O9" s="66">
        <f>IFERROR('調查資料(OUT)'!AF$1*'調查資料(OUT)'!AF15,0)+IFERROR('調查資料(OUT)'!AI$1*'調查資料(OUT)'!AI15,0)+IFERROR('調查資料(OUT)'!AL$1*'調查資料(OUT)'!AL15,0)+IFERROR('調查資料(OUT)'!AM$1*'調查資料(OUT)'!AM15,0)</f>
        <v>0</v>
      </c>
      <c r="P9" s="66">
        <f>IFERROR('調查資料(OUT)'!AG$1*'調查資料(OUT)'!AG15,0)+IFERROR('調查資料(OUT)'!AJ$1*'調查資料(OUT)'!AJ15,0)+IFERROR('調查資料(OUT)'!AN$1*'調查資料(OUT)'!AN15,0)</f>
        <v>0</v>
      </c>
      <c r="Q9" s="316">
        <f>IFERROR('調查資料(OUT)'!AH$1*'調查資料(OUT)'!AH15,0)+IFERROR('調查資料(OUT)'!AK$1*'調查資料(OUT)'!AK15,0)+IFERROR('調查資料(OUT)'!AO$1*'調查資料(OUT)'!AO15,0)</f>
        <v>0</v>
      </c>
      <c r="R9" s="133">
        <f t="shared" si="4"/>
        <v>0</v>
      </c>
      <c r="S9" s="66"/>
      <c r="T9" s="366">
        <f>'調查資料(OUT)'!A15</f>
        <v>100</v>
      </c>
      <c r="U9" s="101">
        <f t="shared" si="66"/>
        <v>200</v>
      </c>
      <c r="V9" s="66">
        <f t="shared" ref="V9:V17" si="67">SUM(R9:R12)</f>
        <v>0</v>
      </c>
      <c r="W9" s="381"/>
      <c r="X9" s="66">
        <f t="shared" si="5"/>
        <v>0</v>
      </c>
      <c r="Y9" s="379" t="e">
        <f t="shared" si="26"/>
        <v>#DIV/0!</v>
      </c>
      <c r="Z9" s="379" t="e">
        <f t="shared" si="27"/>
        <v>#DIV/0!</v>
      </c>
      <c r="AA9" s="379" t="e">
        <f t="shared" si="28"/>
        <v>#DIV/0!</v>
      </c>
      <c r="AB9" s="379" t="e">
        <f t="shared" si="29"/>
        <v>#DIV/0!</v>
      </c>
      <c r="AC9" s="382"/>
      <c r="AD9" s="66">
        <f t="shared" si="30"/>
        <v>100</v>
      </c>
      <c r="AE9" s="316">
        <f t="shared" si="31"/>
        <v>200</v>
      </c>
      <c r="AF9" s="309">
        <f t="shared" si="32"/>
        <v>0</v>
      </c>
      <c r="AG9" s="66">
        <f>IF($AD9="N","N",SUM('調查資料(OUT)'!B15:B18))</f>
        <v>0</v>
      </c>
      <c r="AH9" s="66">
        <f>IF($AD9="N","N",SUM('調查資料(OUT)'!E15:E18))</f>
        <v>0</v>
      </c>
      <c r="AI9" s="66">
        <f>IF($AD9="N","N",SUM('調查資料(OUT)'!I15:I18))</f>
        <v>0</v>
      </c>
      <c r="AJ9" s="66">
        <f>IF($AD9="N","N",SUM('調查資料(OUT)'!H15:H18))</f>
        <v>0</v>
      </c>
      <c r="AK9" s="383" t="e">
        <f t="shared" si="33"/>
        <v>#DIV/0!</v>
      </c>
      <c r="AL9" s="66">
        <f t="shared" si="34"/>
        <v>0</v>
      </c>
      <c r="AM9" s="66">
        <f>IF($AD9="N","N",SUM('調查資料(OUT)'!C15:C18))</f>
        <v>0</v>
      </c>
      <c r="AN9" s="66">
        <f>IF($AD9="N","N",SUM('調查資料(OUT)'!F15:F18))</f>
        <v>0</v>
      </c>
      <c r="AO9" s="66">
        <f>IF($AD9="N","N",SUM('調查資料(OUT)'!J15:J18))</f>
        <v>0</v>
      </c>
      <c r="AP9" s="383" t="e">
        <f t="shared" si="35"/>
        <v>#DIV/0!</v>
      </c>
      <c r="AQ9" s="66">
        <f t="shared" si="36"/>
        <v>0</v>
      </c>
      <c r="AR9" s="66">
        <f>IF($AD9="N","N",SUM('調查資料(OUT)'!D15:D18))</f>
        <v>0</v>
      </c>
      <c r="AS9" s="66">
        <f>IF($AD9="N","N",SUM('調查資料(OUT)'!G15:G18))</f>
        <v>0</v>
      </c>
      <c r="AT9" s="66">
        <f>IF($AD9="N","N",SUM('調查資料(OUT)'!K15:K18))</f>
        <v>0</v>
      </c>
      <c r="AU9" s="383" t="e">
        <f t="shared" si="37"/>
        <v>#DIV/0!</v>
      </c>
      <c r="AV9" s="66">
        <f t="shared" si="38"/>
        <v>0</v>
      </c>
      <c r="AW9" s="383" t="e">
        <f t="shared" si="39"/>
        <v>#DIV/0!</v>
      </c>
      <c r="AX9" s="66">
        <f t="shared" si="40"/>
        <v>0</v>
      </c>
      <c r="AY9" s="383" t="e">
        <f t="shared" si="41"/>
        <v>#DIV/0!</v>
      </c>
      <c r="AZ9" s="66">
        <f t="shared" si="42"/>
        <v>0</v>
      </c>
      <c r="BA9" s="383" t="e">
        <f t="shared" si="43"/>
        <v>#DIV/0!</v>
      </c>
      <c r="BB9" s="316">
        <f t="shared" si="44"/>
        <v>0</v>
      </c>
      <c r="BC9" s="309">
        <f t="shared" si="6"/>
        <v>0</v>
      </c>
      <c r="BD9" s="66">
        <f>IF($AD9="N","N",SUM('調查資料(OUT)'!L15:L18))</f>
        <v>0</v>
      </c>
      <c r="BE9" s="66">
        <f>IF($AD9="N","N",SUM('調查資料(OUT)'!O15:O18))</f>
        <v>0</v>
      </c>
      <c r="BF9" s="66">
        <f>IF($AD9="N","N",SUM('調查資料(OUT)'!S15:S18))</f>
        <v>0</v>
      </c>
      <c r="BG9" s="66">
        <f>IF($AD9="N","N",SUM('調查資料(OUT)'!R15:R18))</f>
        <v>0</v>
      </c>
      <c r="BH9" s="383" t="e">
        <f t="shared" si="7"/>
        <v>#DIV/0!</v>
      </c>
      <c r="BI9" s="66">
        <f t="shared" si="8"/>
        <v>0</v>
      </c>
      <c r="BJ9" s="66">
        <f>IF($AD9="N","N",SUM('調查資料(OUT)'!M15:M18))</f>
        <v>0</v>
      </c>
      <c r="BK9" s="66">
        <f>IF($AD9="N","N",SUM('調查資料(OUT)'!P15:P18))</f>
        <v>0</v>
      </c>
      <c r="BL9" s="66">
        <f>IF($AD9="N","N",SUM('調查資料(OUT)'!T15:T18))</f>
        <v>0</v>
      </c>
      <c r="BM9" s="383" t="e">
        <f t="shared" si="9"/>
        <v>#DIV/0!</v>
      </c>
      <c r="BN9" s="66">
        <f t="shared" si="10"/>
        <v>0</v>
      </c>
      <c r="BO9" s="66">
        <f>IF($AD9="N","N",SUM('調查資料(OUT)'!N15:N18))</f>
        <v>0</v>
      </c>
      <c r="BP9" s="66">
        <f>IF($AD9="N","N",SUM('調查資料(OUT)'!Q15:Q18))</f>
        <v>0</v>
      </c>
      <c r="BQ9" s="66">
        <f>IF($AD9="N","N",SUM('調查資料(OUT)'!U15:U18))</f>
        <v>0</v>
      </c>
      <c r="BR9" s="383" t="e">
        <f t="shared" si="11"/>
        <v>#DIV/0!</v>
      </c>
      <c r="BS9" s="66">
        <f t="shared" si="45"/>
        <v>0</v>
      </c>
      <c r="BT9" s="383" t="e">
        <f t="shared" si="46"/>
        <v>#DIV/0!</v>
      </c>
      <c r="BU9" s="66">
        <f t="shared" si="47"/>
        <v>0</v>
      </c>
      <c r="BV9" s="383" t="e">
        <f t="shared" si="48"/>
        <v>#DIV/0!</v>
      </c>
      <c r="BW9" s="66">
        <f t="shared" si="49"/>
        <v>0</v>
      </c>
      <c r="BX9" s="383" t="e">
        <f t="shared" si="50"/>
        <v>#DIV/0!</v>
      </c>
      <c r="BY9" s="316">
        <f t="shared" si="51"/>
        <v>0</v>
      </c>
      <c r="BZ9" s="309">
        <f t="shared" si="12"/>
        <v>0</v>
      </c>
      <c r="CA9" s="66">
        <f>IF($AD9="N","N",SUM('調查資料(OUT)'!V15:V18))</f>
        <v>0</v>
      </c>
      <c r="CB9" s="66">
        <f>IF($AD9="N","N",SUM('調查資料(OUT)'!Y15:Y18))</f>
        <v>0</v>
      </c>
      <c r="CC9" s="66">
        <f>IF($AD9="N","N",SUM('調查資料(OUT)'!AC15:AC18))</f>
        <v>0</v>
      </c>
      <c r="CD9" s="66">
        <f>IF($AD9="N","N",SUM('調查資料(OUT)'!AB15:AB18))</f>
        <v>0</v>
      </c>
      <c r="CE9" s="383" t="e">
        <f t="shared" si="13"/>
        <v>#DIV/0!</v>
      </c>
      <c r="CF9" s="66">
        <f t="shared" si="14"/>
        <v>0</v>
      </c>
      <c r="CG9" s="66">
        <f>IF($AD9="N","N",SUM('調查資料(OUT)'!W15:W18))</f>
        <v>0</v>
      </c>
      <c r="CH9" s="66">
        <f>IF($AD9="N","N",SUM('調查資料(OUT)'!Z15:Z18))</f>
        <v>0</v>
      </c>
      <c r="CI9" s="66">
        <f>IF($AD9="N","N",SUM('調查資料(OUT)'!AD15:AD18))</f>
        <v>0</v>
      </c>
      <c r="CJ9" s="383" t="e">
        <f t="shared" si="15"/>
        <v>#DIV/0!</v>
      </c>
      <c r="CK9" s="66">
        <f t="shared" si="16"/>
        <v>0</v>
      </c>
      <c r="CL9" s="66">
        <f>IF($AD9="N","N",SUM('調查資料(OUT)'!X15:X18))</f>
        <v>0</v>
      </c>
      <c r="CM9" s="66">
        <f>IF($AD9="N","N",SUM('調查資料(OUT)'!AA15:AA18))</f>
        <v>0</v>
      </c>
      <c r="CN9" s="66">
        <f>IF($AD9="N","N",SUM('調查資料(OUT)'!AE15:AE18))</f>
        <v>0</v>
      </c>
      <c r="CO9" s="383" t="e">
        <f t="shared" si="17"/>
        <v>#DIV/0!</v>
      </c>
      <c r="CP9" s="66">
        <f t="shared" si="52"/>
        <v>0</v>
      </c>
      <c r="CQ9" s="383" t="e">
        <f t="shared" si="53"/>
        <v>#DIV/0!</v>
      </c>
      <c r="CR9" s="66">
        <f t="shared" si="54"/>
        <v>0</v>
      </c>
      <c r="CS9" s="383" t="e">
        <f t="shared" si="55"/>
        <v>#DIV/0!</v>
      </c>
      <c r="CT9" s="66">
        <f t="shared" si="56"/>
        <v>0</v>
      </c>
      <c r="CU9" s="383" t="e">
        <f t="shared" si="57"/>
        <v>#DIV/0!</v>
      </c>
      <c r="CV9" s="316">
        <f t="shared" si="58"/>
        <v>0</v>
      </c>
      <c r="CW9" s="309">
        <f t="shared" si="18"/>
        <v>0</v>
      </c>
      <c r="CX9" s="66">
        <f>IF($AD9="N","N",SUM('調查資料(OUT)'!AF15:AF18))</f>
        <v>0</v>
      </c>
      <c r="CY9" s="66">
        <f>IF($AD9="N","N",SUM('調查資料(OUT)'!AI15:AI18))</f>
        <v>0</v>
      </c>
      <c r="CZ9" s="66">
        <f>IF($AD9="N","N",SUM('調查資料(OUT)'!AM15:AM18))</f>
        <v>0</v>
      </c>
      <c r="DA9" s="66">
        <f>IF($AD9="N","N",SUM('調查資料(OUT)'!AL15:AL18))</f>
        <v>0</v>
      </c>
      <c r="DB9" s="383" t="e">
        <f t="shared" si="19"/>
        <v>#DIV/0!</v>
      </c>
      <c r="DC9" s="66">
        <f t="shared" si="20"/>
        <v>0</v>
      </c>
      <c r="DD9" s="66">
        <f>IF($AD9="N","N",SUM('調查資料(OUT)'!AG15:AG18))</f>
        <v>0</v>
      </c>
      <c r="DE9" s="66">
        <f>IF($AD9="N","N",SUM('調查資料(OUT)'!AJ15:AJ18))</f>
        <v>0</v>
      </c>
      <c r="DF9" s="66">
        <f>IF($AD9="N","N",SUM('調查資料(OUT)'!AN15:AN18))</f>
        <v>0</v>
      </c>
      <c r="DG9" s="383" t="e">
        <f t="shared" si="21"/>
        <v>#DIV/0!</v>
      </c>
      <c r="DH9" s="66">
        <f t="shared" si="22"/>
        <v>0</v>
      </c>
      <c r="DI9" s="66">
        <f>IF($AD9="N","N",SUM('調查資料(OUT)'!AH15:AH18))</f>
        <v>0</v>
      </c>
      <c r="DJ9" s="66">
        <f>IF($AD9="N","N",SUM('調查資料(OUT)'!AK15:AK18))</f>
        <v>0</v>
      </c>
      <c r="DK9" s="66">
        <f>IF($AD9="N","N",SUM('調查資料(OUT)'!AO15:AO18))</f>
        <v>0</v>
      </c>
      <c r="DL9" s="383" t="e">
        <f t="shared" si="23"/>
        <v>#DIV/0!</v>
      </c>
      <c r="DM9" s="66">
        <f t="shared" si="59"/>
        <v>0</v>
      </c>
      <c r="DN9" s="383" t="e">
        <f t="shared" si="60"/>
        <v>#DIV/0!</v>
      </c>
      <c r="DO9" s="66">
        <f t="shared" si="61"/>
        <v>0</v>
      </c>
      <c r="DP9" s="383" t="e">
        <f t="shared" si="62"/>
        <v>#DIV/0!</v>
      </c>
      <c r="DQ9" s="66">
        <f t="shared" si="63"/>
        <v>0</v>
      </c>
      <c r="DR9" s="383" t="e">
        <f t="shared" si="64"/>
        <v>#DIV/0!</v>
      </c>
      <c r="DS9" s="316">
        <f t="shared" si="65"/>
        <v>0</v>
      </c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</row>
    <row r="10" spans="1:170">
      <c r="A10" s="118">
        <f>'調查資料(OUT)'!A16</f>
        <v>115</v>
      </c>
      <c r="B10" s="309">
        <f t="shared" si="0"/>
        <v>0</v>
      </c>
      <c r="C10" s="66">
        <f>IFERROR('調查資料(OUT)'!B$1*'調查資料(OUT)'!B16,0)+IFERROR('調查資料(OUT)'!E$1*'調查資料(OUT)'!E16,0)+IFERROR('調查資料(OUT)'!H$1*'調查資料(OUT)'!H16,0)+IFERROR('調查資料(OUT)'!I$1*'調查資料(OUT)'!I16,0)</f>
        <v>0</v>
      </c>
      <c r="D10" s="66">
        <f>IFERROR('調查資料(OUT)'!C$1*'調查資料(OUT)'!C16,0)+IFERROR('調查資料(OUT)'!F$1*'調查資料(OUT)'!F16,0)+IFERROR('調查資料(OUT)'!J$1*'調查資料(OUT)'!J16,0)</f>
        <v>0</v>
      </c>
      <c r="E10" s="316">
        <f>IFERROR('調查資料(OUT)'!D$1*'調查資料(OUT)'!D16,0)+IFERROR('調查資料(OUT)'!G$1*'調查資料(OUT)'!G16,0)+IFERROR('調查資料(OUT)'!K$1*'調查資料(OUT)'!K16,0)</f>
        <v>0</v>
      </c>
      <c r="F10" s="309">
        <f t="shared" si="1"/>
        <v>0</v>
      </c>
      <c r="G10" s="66">
        <f>IFERROR('調查資料(OUT)'!L$1*'調查資料(OUT)'!L16,0)+IFERROR('調查資料(OUT)'!O$1*'調查資料(OUT)'!O16,0)+IFERROR('調查資料(OUT)'!R$1*'調查資料(OUT)'!R16,0)+IFERROR('調查資料(OUT)'!S$1*'調查資料(OUT)'!S16,0)</f>
        <v>0</v>
      </c>
      <c r="H10" s="66">
        <f>IFERROR('調查資料(OUT)'!M$1*'調查資料(OUT)'!M16,0)+IFERROR('調查資料(OUT)'!P$1*'調查資料(OUT)'!P16,0)+IFERROR('調查資料(OUT)'!T$1*'調查資料(OUT)'!T16,0)</f>
        <v>0</v>
      </c>
      <c r="I10" s="316">
        <f>IFERROR('調查資料(OUT)'!N$1*'調查資料(OUT)'!N16,0)+IFERROR('調查資料(OUT)'!Q$1*'調查資料(OUT)'!Q16,0)+IFERROR('調查資料(OUT)'!U$1*'調查資料(OUT)'!U16,0)</f>
        <v>0</v>
      </c>
      <c r="J10" s="309">
        <f t="shared" si="24"/>
        <v>0</v>
      </c>
      <c r="K10" s="66">
        <f>IFERROR('調查資料(OUT)'!V$1*'調查資料(OUT)'!V16,0)+IFERROR('調查資料(OUT)'!Y$1*'調查資料(OUT)'!Y16,0)+IFERROR('調查資料(OUT)'!AB$1*'調查資料(OUT)'!AB16,0)+IFERROR('調查資料(OUT)'!AC$1*'調查資料(OUT)'!AC16,0)</f>
        <v>0</v>
      </c>
      <c r="L10" s="66">
        <f>IFERROR('調查資料(OUT)'!W$1*'調查資料(OUT)'!W16,0)+IFERROR('調查資料(OUT)'!Z$1*'調查資料(OUT)'!Z16,0)+IFERROR('調查資料(OUT)'!AD$1*'調查資料(OUT)'!AD16,0)</f>
        <v>0</v>
      </c>
      <c r="M10" s="316">
        <f>IFERROR('調查資料(OUT)'!X$1*'調查資料(OUT)'!X16,0)+IFERROR('調查資料(OUT)'!AA$1*'調查資料(OUT)'!AA16,0)+IFERROR('調查資料(OUT)'!AE$1*'調查資料(OUT)'!AE16,0)</f>
        <v>0</v>
      </c>
      <c r="N10" s="309">
        <f t="shared" si="25"/>
        <v>0</v>
      </c>
      <c r="O10" s="66">
        <f>IFERROR('調查資料(OUT)'!AF$1*'調查資料(OUT)'!AF16,0)+IFERROR('調查資料(OUT)'!AI$1*'調查資料(OUT)'!AI16,0)+IFERROR('調查資料(OUT)'!AL$1*'調查資料(OUT)'!AL16,0)+IFERROR('調查資料(OUT)'!AM$1*'調查資料(OUT)'!AM16,0)</f>
        <v>0</v>
      </c>
      <c r="P10" s="66">
        <f>IFERROR('調查資料(OUT)'!AG$1*'調查資料(OUT)'!AG16,0)+IFERROR('調查資料(OUT)'!AJ$1*'調查資料(OUT)'!AJ16,0)+IFERROR('調查資料(OUT)'!AN$1*'調查資料(OUT)'!AN16,0)</f>
        <v>0</v>
      </c>
      <c r="Q10" s="316">
        <f>IFERROR('調查資料(OUT)'!AH$1*'調查資料(OUT)'!AH16,0)+IFERROR('調查資料(OUT)'!AK$1*'調查資料(OUT)'!AK16,0)+IFERROR('調查資料(OUT)'!AO$1*'調查資料(OUT)'!AO16,0)</f>
        <v>0</v>
      </c>
      <c r="R10" s="133">
        <f t="shared" si="4"/>
        <v>0</v>
      </c>
      <c r="S10" s="66"/>
      <c r="T10" s="366">
        <f>'調查資料(OUT)'!A16</f>
        <v>115</v>
      </c>
      <c r="U10" s="101">
        <f t="shared" si="66"/>
        <v>215</v>
      </c>
      <c r="V10" s="66">
        <f t="shared" si="67"/>
        <v>0</v>
      </c>
      <c r="W10" s="381"/>
      <c r="X10" s="66">
        <f t="shared" si="5"/>
        <v>0</v>
      </c>
      <c r="Y10" s="379" t="e">
        <f t="shared" si="26"/>
        <v>#DIV/0!</v>
      </c>
      <c r="Z10" s="379" t="e">
        <f t="shared" si="27"/>
        <v>#DIV/0!</v>
      </c>
      <c r="AA10" s="379" t="e">
        <f t="shared" si="28"/>
        <v>#DIV/0!</v>
      </c>
      <c r="AB10" s="379" t="e">
        <f t="shared" si="29"/>
        <v>#DIV/0!</v>
      </c>
      <c r="AC10" s="67"/>
      <c r="AD10" s="66">
        <f t="shared" si="30"/>
        <v>115</v>
      </c>
      <c r="AE10" s="316">
        <f t="shared" si="31"/>
        <v>215</v>
      </c>
      <c r="AF10" s="309">
        <f t="shared" si="32"/>
        <v>0</v>
      </c>
      <c r="AG10" s="66">
        <f>IF($AD10="N","N",SUM('調查資料(OUT)'!B16:B19))</f>
        <v>0</v>
      </c>
      <c r="AH10" s="66">
        <f>IF($AD10="N","N",SUM('調查資料(OUT)'!E16:E19))</f>
        <v>0</v>
      </c>
      <c r="AI10" s="66">
        <f>IF($AD10="N","N",SUM('調查資料(OUT)'!I16:I19))</f>
        <v>0</v>
      </c>
      <c r="AJ10" s="66">
        <f>IF($AD10="N","N",SUM('調查資料(OUT)'!H16:H19))</f>
        <v>0</v>
      </c>
      <c r="AK10" s="383" t="e">
        <f t="shared" si="33"/>
        <v>#DIV/0!</v>
      </c>
      <c r="AL10" s="66">
        <f t="shared" si="34"/>
        <v>0</v>
      </c>
      <c r="AM10" s="66">
        <f>IF($AD10="N","N",SUM('調查資料(OUT)'!C16:C19))</f>
        <v>0</v>
      </c>
      <c r="AN10" s="66">
        <f>IF($AD10="N","N",SUM('調查資料(OUT)'!F16:F19))</f>
        <v>0</v>
      </c>
      <c r="AO10" s="66">
        <f>IF($AD10="N","N",SUM('調查資料(OUT)'!J16:J19))</f>
        <v>0</v>
      </c>
      <c r="AP10" s="383" t="e">
        <f t="shared" si="35"/>
        <v>#DIV/0!</v>
      </c>
      <c r="AQ10" s="66">
        <f t="shared" si="36"/>
        <v>0</v>
      </c>
      <c r="AR10" s="66">
        <f>IF($AD10="N","N",SUM('調查資料(OUT)'!D16:D19))</f>
        <v>0</v>
      </c>
      <c r="AS10" s="66">
        <f>IF($AD10="N","N",SUM('調查資料(OUT)'!G16:G19))</f>
        <v>0</v>
      </c>
      <c r="AT10" s="66">
        <f>IF($AD10="N","N",SUM('調查資料(OUT)'!K16:K19))</f>
        <v>0</v>
      </c>
      <c r="AU10" s="383" t="e">
        <f t="shared" si="37"/>
        <v>#DIV/0!</v>
      </c>
      <c r="AV10" s="66">
        <f t="shared" si="38"/>
        <v>0</v>
      </c>
      <c r="AW10" s="383" t="e">
        <f t="shared" si="39"/>
        <v>#DIV/0!</v>
      </c>
      <c r="AX10" s="66">
        <f t="shared" si="40"/>
        <v>0</v>
      </c>
      <c r="AY10" s="383" t="e">
        <f t="shared" si="41"/>
        <v>#DIV/0!</v>
      </c>
      <c r="AZ10" s="66">
        <f t="shared" si="42"/>
        <v>0</v>
      </c>
      <c r="BA10" s="383" t="e">
        <f t="shared" si="43"/>
        <v>#DIV/0!</v>
      </c>
      <c r="BB10" s="316">
        <f t="shared" si="44"/>
        <v>0</v>
      </c>
      <c r="BC10" s="309">
        <f t="shared" si="6"/>
        <v>0</v>
      </c>
      <c r="BD10" s="66">
        <f>IF($AD10="N","N",SUM('調查資料(OUT)'!L16:L19))</f>
        <v>0</v>
      </c>
      <c r="BE10" s="66">
        <f>IF($AD10="N","N",SUM('調查資料(OUT)'!O16:O19))</f>
        <v>0</v>
      </c>
      <c r="BF10" s="66">
        <f>IF($AD10="N","N",SUM('調查資料(OUT)'!S16:S19))</f>
        <v>0</v>
      </c>
      <c r="BG10" s="66">
        <f>IF($AD10="N","N",SUM('調查資料(OUT)'!R16:R19))</f>
        <v>0</v>
      </c>
      <c r="BH10" s="383" t="e">
        <f t="shared" si="7"/>
        <v>#DIV/0!</v>
      </c>
      <c r="BI10" s="66">
        <f t="shared" si="8"/>
        <v>0</v>
      </c>
      <c r="BJ10" s="66">
        <f>IF($AD10="N","N",SUM('調查資料(OUT)'!M16:M19))</f>
        <v>0</v>
      </c>
      <c r="BK10" s="66">
        <f>IF($AD10="N","N",SUM('調查資料(OUT)'!P16:P19))</f>
        <v>0</v>
      </c>
      <c r="BL10" s="66">
        <f>IF($AD10="N","N",SUM('調查資料(OUT)'!T16:T19))</f>
        <v>0</v>
      </c>
      <c r="BM10" s="383" t="e">
        <f t="shared" si="9"/>
        <v>#DIV/0!</v>
      </c>
      <c r="BN10" s="66">
        <f t="shared" si="10"/>
        <v>0</v>
      </c>
      <c r="BO10" s="66">
        <f>IF($AD10="N","N",SUM('調查資料(OUT)'!N16:N19))</f>
        <v>0</v>
      </c>
      <c r="BP10" s="66">
        <f>IF($AD10="N","N",SUM('調查資料(OUT)'!Q16:Q19))</f>
        <v>0</v>
      </c>
      <c r="BQ10" s="66">
        <f>IF($AD10="N","N",SUM('調查資料(OUT)'!U16:U19))</f>
        <v>0</v>
      </c>
      <c r="BR10" s="383" t="e">
        <f t="shared" si="11"/>
        <v>#DIV/0!</v>
      </c>
      <c r="BS10" s="66">
        <f t="shared" si="45"/>
        <v>0</v>
      </c>
      <c r="BT10" s="383" t="e">
        <f t="shared" si="46"/>
        <v>#DIV/0!</v>
      </c>
      <c r="BU10" s="66">
        <f t="shared" si="47"/>
        <v>0</v>
      </c>
      <c r="BV10" s="383" t="e">
        <f t="shared" si="48"/>
        <v>#DIV/0!</v>
      </c>
      <c r="BW10" s="66">
        <f t="shared" si="49"/>
        <v>0</v>
      </c>
      <c r="BX10" s="383" t="e">
        <f t="shared" si="50"/>
        <v>#DIV/0!</v>
      </c>
      <c r="BY10" s="316">
        <f t="shared" si="51"/>
        <v>0</v>
      </c>
      <c r="BZ10" s="309">
        <f t="shared" si="12"/>
        <v>0</v>
      </c>
      <c r="CA10" s="66">
        <f>IF($AD10="N","N",SUM('調查資料(OUT)'!V16:V19))</f>
        <v>0</v>
      </c>
      <c r="CB10" s="66">
        <f>IF($AD10="N","N",SUM('調查資料(OUT)'!Y16:Y19))</f>
        <v>0</v>
      </c>
      <c r="CC10" s="66">
        <f>IF($AD10="N","N",SUM('調查資料(OUT)'!AC16:AC19))</f>
        <v>0</v>
      </c>
      <c r="CD10" s="66">
        <f>IF($AD10="N","N",SUM('調查資料(OUT)'!AB16:AB19))</f>
        <v>0</v>
      </c>
      <c r="CE10" s="383" t="e">
        <f t="shared" si="13"/>
        <v>#DIV/0!</v>
      </c>
      <c r="CF10" s="66">
        <f t="shared" si="14"/>
        <v>0</v>
      </c>
      <c r="CG10" s="66">
        <f>IF($AD10="N","N",SUM('調查資料(OUT)'!W16:W19))</f>
        <v>0</v>
      </c>
      <c r="CH10" s="66">
        <f>IF($AD10="N","N",SUM('調查資料(OUT)'!Z16:Z19))</f>
        <v>0</v>
      </c>
      <c r="CI10" s="66">
        <f>IF($AD10="N","N",SUM('調查資料(OUT)'!AD16:AD19))</f>
        <v>0</v>
      </c>
      <c r="CJ10" s="383" t="e">
        <f t="shared" si="15"/>
        <v>#DIV/0!</v>
      </c>
      <c r="CK10" s="66">
        <f t="shared" si="16"/>
        <v>0</v>
      </c>
      <c r="CL10" s="66">
        <f>IF($AD10="N","N",SUM('調查資料(OUT)'!X16:X19))</f>
        <v>0</v>
      </c>
      <c r="CM10" s="66">
        <f>IF($AD10="N","N",SUM('調查資料(OUT)'!AA16:AA19))</f>
        <v>0</v>
      </c>
      <c r="CN10" s="66">
        <f>IF($AD10="N","N",SUM('調查資料(OUT)'!AE16:AE19))</f>
        <v>0</v>
      </c>
      <c r="CO10" s="383" t="e">
        <f t="shared" si="17"/>
        <v>#DIV/0!</v>
      </c>
      <c r="CP10" s="66">
        <f t="shared" si="52"/>
        <v>0</v>
      </c>
      <c r="CQ10" s="383" t="e">
        <f t="shared" si="53"/>
        <v>#DIV/0!</v>
      </c>
      <c r="CR10" s="66">
        <f t="shared" si="54"/>
        <v>0</v>
      </c>
      <c r="CS10" s="383" t="e">
        <f t="shared" si="55"/>
        <v>#DIV/0!</v>
      </c>
      <c r="CT10" s="66">
        <f t="shared" si="56"/>
        <v>0</v>
      </c>
      <c r="CU10" s="383" t="e">
        <f t="shared" si="57"/>
        <v>#DIV/0!</v>
      </c>
      <c r="CV10" s="316">
        <f t="shared" si="58"/>
        <v>0</v>
      </c>
      <c r="CW10" s="309">
        <f t="shared" si="18"/>
        <v>0</v>
      </c>
      <c r="CX10" s="66">
        <f>IF($AD10="N","N",SUM('調查資料(OUT)'!AF16:AF19))</f>
        <v>0</v>
      </c>
      <c r="CY10" s="66">
        <f>IF($AD10="N","N",SUM('調查資料(OUT)'!AI16:AI19))</f>
        <v>0</v>
      </c>
      <c r="CZ10" s="66">
        <f>IF($AD10="N","N",SUM('調查資料(OUT)'!AM16:AM19))</f>
        <v>0</v>
      </c>
      <c r="DA10" s="66">
        <f>IF($AD10="N","N",SUM('調查資料(OUT)'!AL16:AL19))</f>
        <v>0</v>
      </c>
      <c r="DB10" s="383" t="e">
        <f t="shared" si="19"/>
        <v>#DIV/0!</v>
      </c>
      <c r="DC10" s="66">
        <f t="shared" si="20"/>
        <v>0</v>
      </c>
      <c r="DD10" s="66">
        <f>IF($AD10="N","N",SUM('調查資料(OUT)'!AG16:AG19))</f>
        <v>0</v>
      </c>
      <c r="DE10" s="66">
        <f>IF($AD10="N","N",SUM('調查資料(OUT)'!AJ16:AJ19))</f>
        <v>0</v>
      </c>
      <c r="DF10" s="66">
        <f>IF($AD10="N","N",SUM('調查資料(OUT)'!AN16:AN19))</f>
        <v>0</v>
      </c>
      <c r="DG10" s="383" t="e">
        <f t="shared" si="21"/>
        <v>#DIV/0!</v>
      </c>
      <c r="DH10" s="66">
        <f t="shared" si="22"/>
        <v>0</v>
      </c>
      <c r="DI10" s="66">
        <f>IF($AD10="N","N",SUM('調查資料(OUT)'!AH16:AH19))</f>
        <v>0</v>
      </c>
      <c r="DJ10" s="66">
        <f>IF($AD10="N","N",SUM('調查資料(OUT)'!AK16:AK19))</f>
        <v>0</v>
      </c>
      <c r="DK10" s="66">
        <f>IF($AD10="N","N",SUM('調查資料(OUT)'!AO16:AO19))</f>
        <v>0</v>
      </c>
      <c r="DL10" s="383" t="e">
        <f t="shared" si="23"/>
        <v>#DIV/0!</v>
      </c>
      <c r="DM10" s="66">
        <f t="shared" si="59"/>
        <v>0</v>
      </c>
      <c r="DN10" s="383" t="e">
        <f t="shared" si="60"/>
        <v>#DIV/0!</v>
      </c>
      <c r="DO10" s="66">
        <f t="shared" si="61"/>
        <v>0</v>
      </c>
      <c r="DP10" s="383" t="e">
        <f t="shared" si="62"/>
        <v>#DIV/0!</v>
      </c>
      <c r="DQ10" s="66">
        <f t="shared" si="63"/>
        <v>0</v>
      </c>
      <c r="DR10" s="383" t="e">
        <f t="shared" si="64"/>
        <v>#DIV/0!</v>
      </c>
      <c r="DS10" s="316">
        <f t="shared" si="65"/>
        <v>0</v>
      </c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</row>
    <row r="11" spans="1:170">
      <c r="A11" s="118">
        <f>'調查資料(OUT)'!A17</f>
        <v>130</v>
      </c>
      <c r="B11" s="309">
        <f t="shared" si="0"/>
        <v>0</v>
      </c>
      <c r="C11" s="66">
        <f>IFERROR('調查資料(OUT)'!B$1*'調查資料(OUT)'!B17,0)+IFERROR('調查資料(OUT)'!E$1*'調查資料(OUT)'!E17,0)+IFERROR('調查資料(OUT)'!H$1*'調查資料(OUT)'!H17,0)+IFERROR('調查資料(OUT)'!I$1*'調查資料(OUT)'!I17,0)</f>
        <v>0</v>
      </c>
      <c r="D11" s="66">
        <f>IFERROR('調查資料(OUT)'!C$1*'調查資料(OUT)'!C17,0)+IFERROR('調查資料(OUT)'!F$1*'調查資料(OUT)'!F17,0)+IFERROR('調查資料(OUT)'!J$1*'調查資料(OUT)'!J17,0)</f>
        <v>0</v>
      </c>
      <c r="E11" s="316">
        <f>IFERROR('調查資料(OUT)'!D$1*'調查資料(OUT)'!D17,0)+IFERROR('調查資料(OUT)'!G$1*'調查資料(OUT)'!G17,0)+IFERROR('調查資料(OUT)'!K$1*'調查資料(OUT)'!K17,0)</f>
        <v>0</v>
      </c>
      <c r="F11" s="309">
        <f t="shared" si="1"/>
        <v>0</v>
      </c>
      <c r="G11" s="66">
        <f>IFERROR('調查資料(OUT)'!L$1*'調查資料(OUT)'!L17,0)+IFERROR('調查資料(OUT)'!O$1*'調查資料(OUT)'!O17,0)+IFERROR('調查資料(OUT)'!R$1*'調查資料(OUT)'!R17,0)+IFERROR('調查資料(OUT)'!S$1*'調查資料(OUT)'!S17,0)</f>
        <v>0</v>
      </c>
      <c r="H11" s="66">
        <f>IFERROR('調查資料(OUT)'!M$1*'調查資料(OUT)'!M17,0)+IFERROR('調查資料(OUT)'!P$1*'調查資料(OUT)'!P17,0)+IFERROR('調查資料(OUT)'!T$1*'調查資料(OUT)'!T17,0)</f>
        <v>0</v>
      </c>
      <c r="I11" s="316">
        <f>IFERROR('調查資料(OUT)'!N$1*'調查資料(OUT)'!N17,0)+IFERROR('調查資料(OUT)'!Q$1*'調查資料(OUT)'!Q17,0)+IFERROR('調查資料(OUT)'!U$1*'調查資料(OUT)'!U17,0)</f>
        <v>0</v>
      </c>
      <c r="J11" s="309">
        <f t="shared" si="24"/>
        <v>0</v>
      </c>
      <c r="K11" s="66">
        <f>IFERROR('調查資料(OUT)'!V$1*'調查資料(OUT)'!V17,0)+IFERROR('調查資料(OUT)'!Y$1*'調查資料(OUT)'!Y17,0)+IFERROR('調查資料(OUT)'!AB$1*'調查資料(OUT)'!AB17,0)+IFERROR('調查資料(OUT)'!AC$1*'調查資料(OUT)'!AC17,0)</f>
        <v>0</v>
      </c>
      <c r="L11" s="66">
        <f>IFERROR('調查資料(OUT)'!W$1*'調查資料(OUT)'!W17,0)+IFERROR('調查資料(OUT)'!Z$1*'調查資料(OUT)'!Z17,0)+IFERROR('調查資料(OUT)'!AD$1*'調查資料(OUT)'!AD17,0)</f>
        <v>0</v>
      </c>
      <c r="M11" s="316">
        <f>IFERROR('調查資料(OUT)'!X$1*'調查資料(OUT)'!X17,0)+IFERROR('調查資料(OUT)'!AA$1*'調查資料(OUT)'!AA17,0)+IFERROR('調查資料(OUT)'!AE$1*'調查資料(OUT)'!AE17,0)</f>
        <v>0</v>
      </c>
      <c r="N11" s="309">
        <f t="shared" si="25"/>
        <v>0</v>
      </c>
      <c r="O11" s="66">
        <f>IFERROR('調查資料(OUT)'!AF$1*'調查資料(OUT)'!AF17,0)+IFERROR('調查資料(OUT)'!AI$1*'調查資料(OUT)'!AI17,0)+IFERROR('調查資料(OUT)'!AL$1*'調查資料(OUT)'!AL17,0)+IFERROR('調查資料(OUT)'!AM$1*'調查資料(OUT)'!AM17,0)</f>
        <v>0</v>
      </c>
      <c r="P11" s="66">
        <f>IFERROR('調查資料(OUT)'!AG$1*'調查資料(OUT)'!AG17,0)+IFERROR('調查資料(OUT)'!AJ$1*'調查資料(OUT)'!AJ17,0)+IFERROR('調查資料(OUT)'!AN$1*'調查資料(OUT)'!AN17,0)</f>
        <v>0</v>
      </c>
      <c r="Q11" s="316">
        <f>IFERROR('調查資料(OUT)'!AH$1*'調查資料(OUT)'!AH17,0)+IFERROR('調查資料(OUT)'!AK$1*'調查資料(OUT)'!AK17,0)+IFERROR('調查資料(OUT)'!AO$1*'調查資料(OUT)'!AO17,0)</f>
        <v>0</v>
      </c>
      <c r="R11" s="133">
        <f t="shared" si="4"/>
        <v>0</v>
      </c>
      <c r="S11" s="66"/>
      <c r="T11" s="366">
        <f>'調查資料(OUT)'!A17</f>
        <v>130</v>
      </c>
      <c r="U11" s="101">
        <f t="shared" si="66"/>
        <v>230</v>
      </c>
      <c r="V11" s="66">
        <f t="shared" si="67"/>
        <v>0</v>
      </c>
      <c r="W11" s="381"/>
      <c r="X11" s="66">
        <f t="shared" si="5"/>
        <v>0</v>
      </c>
      <c r="Y11" s="379" t="e">
        <f t="shared" si="26"/>
        <v>#DIV/0!</v>
      </c>
      <c r="Z11" s="379" t="e">
        <f t="shared" si="27"/>
        <v>#DIV/0!</v>
      </c>
      <c r="AA11" s="379" t="e">
        <f t="shared" si="28"/>
        <v>#DIV/0!</v>
      </c>
      <c r="AB11" s="379" t="e">
        <f t="shared" si="29"/>
        <v>#DIV/0!</v>
      </c>
      <c r="AC11" s="67"/>
      <c r="AD11" s="66">
        <f t="shared" si="30"/>
        <v>130</v>
      </c>
      <c r="AE11" s="316">
        <f t="shared" si="31"/>
        <v>230</v>
      </c>
      <c r="AF11" s="309">
        <f t="shared" si="32"/>
        <v>0</v>
      </c>
      <c r="AG11" s="66">
        <f>IF($AD11="N","N",SUM('調查資料(OUT)'!B17:B20))</f>
        <v>0</v>
      </c>
      <c r="AH11" s="66">
        <f>IF($AD11="N","N",SUM('調查資料(OUT)'!E17:E20))</f>
        <v>0</v>
      </c>
      <c r="AI11" s="66">
        <f>IF($AD11="N","N",SUM('調查資料(OUT)'!I17:I20))</f>
        <v>0</v>
      </c>
      <c r="AJ11" s="66">
        <f>IF($AD11="N","N",SUM('調查資料(OUT)'!H17:H20))</f>
        <v>0</v>
      </c>
      <c r="AK11" s="383" t="e">
        <f t="shared" si="33"/>
        <v>#DIV/0!</v>
      </c>
      <c r="AL11" s="66">
        <f t="shared" si="34"/>
        <v>0</v>
      </c>
      <c r="AM11" s="66">
        <f>IF($AD11="N","N",SUM('調查資料(OUT)'!C17:C20))</f>
        <v>0</v>
      </c>
      <c r="AN11" s="66">
        <f>IF($AD11="N","N",SUM('調查資料(OUT)'!F17:F20))</f>
        <v>0</v>
      </c>
      <c r="AO11" s="66">
        <f>IF($AD11="N","N",SUM('調查資料(OUT)'!J17:J20))</f>
        <v>0</v>
      </c>
      <c r="AP11" s="383" t="e">
        <f t="shared" si="35"/>
        <v>#DIV/0!</v>
      </c>
      <c r="AQ11" s="66">
        <f t="shared" si="36"/>
        <v>0</v>
      </c>
      <c r="AR11" s="66">
        <f>IF($AD11="N","N",SUM('調查資料(OUT)'!D17:D20))</f>
        <v>0</v>
      </c>
      <c r="AS11" s="66">
        <f>IF($AD11="N","N",SUM('調查資料(OUT)'!G17:G20))</f>
        <v>0</v>
      </c>
      <c r="AT11" s="66">
        <f>IF($AD11="N","N",SUM('調查資料(OUT)'!K17:K20))</f>
        <v>0</v>
      </c>
      <c r="AU11" s="383" t="e">
        <f t="shared" si="37"/>
        <v>#DIV/0!</v>
      </c>
      <c r="AV11" s="66">
        <f t="shared" si="38"/>
        <v>0</v>
      </c>
      <c r="AW11" s="383" t="e">
        <f t="shared" si="39"/>
        <v>#DIV/0!</v>
      </c>
      <c r="AX11" s="66">
        <f t="shared" si="40"/>
        <v>0</v>
      </c>
      <c r="AY11" s="383" t="e">
        <f t="shared" si="41"/>
        <v>#DIV/0!</v>
      </c>
      <c r="AZ11" s="66">
        <f t="shared" si="42"/>
        <v>0</v>
      </c>
      <c r="BA11" s="383" t="e">
        <f t="shared" si="43"/>
        <v>#DIV/0!</v>
      </c>
      <c r="BB11" s="316">
        <f t="shared" si="44"/>
        <v>0</v>
      </c>
      <c r="BC11" s="309">
        <f t="shared" si="6"/>
        <v>0</v>
      </c>
      <c r="BD11" s="66">
        <f>IF($AD11="N","N",SUM('調查資料(OUT)'!L17:L20))</f>
        <v>0</v>
      </c>
      <c r="BE11" s="66">
        <f>IF($AD11="N","N",SUM('調查資料(OUT)'!O17:O20))</f>
        <v>0</v>
      </c>
      <c r="BF11" s="66">
        <f>IF($AD11="N","N",SUM('調查資料(OUT)'!S17:S20))</f>
        <v>0</v>
      </c>
      <c r="BG11" s="66">
        <f>IF($AD11="N","N",SUM('調查資料(OUT)'!R17:R20))</f>
        <v>0</v>
      </c>
      <c r="BH11" s="383" t="e">
        <f t="shared" si="7"/>
        <v>#DIV/0!</v>
      </c>
      <c r="BI11" s="66">
        <f t="shared" si="8"/>
        <v>0</v>
      </c>
      <c r="BJ11" s="66">
        <f>IF($AD11="N","N",SUM('調查資料(OUT)'!M17:M20))</f>
        <v>0</v>
      </c>
      <c r="BK11" s="66">
        <f>IF($AD11="N","N",SUM('調查資料(OUT)'!P17:P20))</f>
        <v>0</v>
      </c>
      <c r="BL11" s="66">
        <f>IF($AD11="N","N",SUM('調查資料(OUT)'!T17:T20))</f>
        <v>0</v>
      </c>
      <c r="BM11" s="383" t="e">
        <f t="shared" si="9"/>
        <v>#DIV/0!</v>
      </c>
      <c r="BN11" s="66">
        <f t="shared" si="10"/>
        <v>0</v>
      </c>
      <c r="BO11" s="66">
        <f>IF($AD11="N","N",SUM('調查資料(OUT)'!N17:N20))</f>
        <v>0</v>
      </c>
      <c r="BP11" s="66">
        <f>IF($AD11="N","N",SUM('調查資料(OUT)'!Q17:Q20))</f>
        <v>0</v>
      </c>
      <c r="BQ11" s="66">
        <f>IF($AD11="N","N",SUM('調查資料(OUT)'!U17:U20))</f>
        <v>0</v>
      </c>
      <c r="BR11" s="383" t="e">
        <f t="shared" si="11"/>
        <v>#DIV/0!</v>
      </c>
      <c r="BS11" s="66">
        <f t="shared" si="45"/>
        <v>0</v>
      </c>
      <c r="BT11" s="383" t="e">
        <f t="shared" si="46"/>
        <v>#DIV/0!</v>
      </c>
      <c r="BU11" s="66">
        <f t="shared" si="47"/>
        <v>0</v>
      </c>
      <c r="BV11" s="383" t="e">
        <f t="shared" si="48"/>
        <v>#DIV/0!</v>
      </c>
      <c r="BW11" s="66">
        <f t="shared" si="49"/>
        <v>0</v>
      </c>
      <c r="BX11" s="383" t="e">
        <f t="shared" si="50"/>
        <v>#DIV/0!</v>
      </c>
      <c r="BY11" s="316">
        <f t="shared" si="51"/>
        <v>0</v>
      </c>
      <c r="BZ11" s="309">
        <f t="shared" si="12"/>
        <v>0</v>
      </c>
      <c r="CA11" s="66">
        <f>IF($AD11="N","N",SUM('調查資料(OUT)'!V17:V20))</f>
        <v>0</v>
      </c>
      <c r="CB11" s="66">
        <f>IF($AD11="N","N",SUM('調查資料(OUT)'!Y17:Y20))</f>
        <v>0</v>
      </c>
      <c r="CC11" s="66">
        <f>IF($AD11="N","N",SUM('調查資料(OUT)'!AC17:AC20))</f>
        <v>0</v>
      </c>
      <c r="CD11" s="66">
        <f>IF($AD11="N","N",SUM('調查資料(OUT)'!AB17:AB20))</f>
        <v>0</v>
      </c>
      <c r="CE11" s="383" t="e">
        <f t="shared" si="13"/>
        <v>#DIV/0!</v>
      </c>
      <c r="CF11" s="66">
        <f t="shared" si="14"/>
        <v>0</v>
      </c>
      <c r="CG11" s="66">
        <f>IF($AD11="N","N",SUM('調查資料(OUT)'!W17:W20))</f>
        <v>0</v>
      </c>
      <c r="CH11" s="66">
        <f>IF($AD11="N","N",SUM('調查資料(OUT)'!Z17:Z20))</f>
        <v>0</v>
      </c>
      <c r="CI11" s="66">
        <f>IF($AD11="N","N",SUM('調查資料(OUT)'!AD17:AD20))</f>
        <v>0</v>
      </c>
      <c r="CJ11" s="383" t="e">
        <f t="shared" si="15"/>
        <v>#DIV/0!</v>
      </c>
      <c r="CK11" s="66">
        <f t="shared" si="16"/>
        <v>0</v>
      </c>
      <c r="CL11" s="66">
        <f>IF($AD11="N","N",SUM('調查資料(OUT)'!X17:X20))</f>
        <v>0</v>
      </c>
      <c r="CM11" s="66">
        <f>IF($AD11="N","N",SUM('調查資料(OUT)'!AA17:AA20))</f>
        <v>0</v>
      </c>
      <c r="CN11" s="66">
        <f>IF($AD11="N","N",SUM('調查資料(OUT)'!AE17:AE20))</f>
        <v>0</v>
      </c>
      <c r="CO11" s="383" t="e">
        <f t="shared" si="17"/>
        <v>#DIV/0!</v>
      </c>
      <c r="CP11" s="66">
        <f t="shared" si="52"/>
        <v>0</v>
      </c>
      <c r="CQ11" s="383" t="e">
        <f t="shared" si="53"/>
        <v>#DIV/0!</v>
      </c>
      <c r="CR11" s="66">
        <f t="shared" si="54"/>
        <v>0</v>
      </c>
      <c r="CS11" s="383" t="e">
        <f t="shared" si="55"/>
        <v>#DIV/0!</v>
      </c>
      <c r="CT11" s="66">
        <f t="shared" si="56"/>
        <v>0</v>
      </c>
      <c r="CU11" s="383" t="e">
        <f t="shared" si="57"/>
        <v>#DIV/0!</v>
      </c>
      <c r="CV11" s="316">
        <f t="shared" si="58"/>
        <v>0</v>
      </c>
      <c r="CW11" s="309">
        <f t="shared" si="18"/>
        <v>0</v>
      </c>
      <c r="CX11" s="66">
        <f>IF($AD11="N","N",SUM('調查資料(OUT)'!AF17:AF20))</f>
        <v>0</v>
      </c>
      <c r="CY11" s="66">
        <f>IF($AD11="N","N",SUM('調查資料(OUT)'!AI17:AI20))</f>
        <v>0</v>
      </c>
      <c r="CZ11" s="66">
        <f>IF($AD11="N","N",SUM('調查資料(OUT)'!AM17:AM20))</f>
        <v>0</v>
      </c>
      <c r="DA11" s="66">
        <f>IF($AD11="N","N",SUM('調查資料(OUT)'!AL17:AL20))</f>
        <v>0</v>
      </c>
      <c r="DB11" s="383" t="e">
        <f t="shared" si="19"/>
        <v>#DIV/0!</v>
      </c>
      <c r="DC11" s="66">
        <f t="shared" si="20"/>
        <v>0</v>
      </c>
      <c r="DD11" s="66">
        <f>IF($AD11="N","N",SUM('調查資料(OUT)'!AG17:AG20))</f>
        <v>0</v>
      </c>
      <c r="DE11" s="66">
        <f>IF($AD11="N","N",SUM('調查資料(OUT)'!AJ17:AJ20))</f>
        <v>0</v>
      </c>
      <c r="DF11" s="66">
        <f>IF($AD11="N","N",SUM('調查資料(OUT)'!AN17:AN20))</f>
        <v>0</v>
      </c>
      <c r="DG11" s="383" t="e">
        <f t="shared" si="21"/>
        <v>#DIV/0!</v>
      </c>
      <c r="DH11" s="66">
        <f t="shared" si="22"/>
        <v>0</v>
      </c>
      <c r="DI11" s="66">
        <f>IF($AD11="N","N",SUM('調查資料(OUT)'!AH17:AH20))</f>
        <v>0</v>
      </c>
      <c r="DJ11" s="66">
        <f>IF($AD11="N","N",SUM('調查資料(OUT)'!AK17:AK20))</f>
        <v>0</v>
      </c>
      <c r="DK11" s="66">
        <f>IF($AD11="N","N",SUM('調查資料(OUT)'!AO17:AO20))</f>
        <v>0</v>
      </c>
      <c r="DL11" s="383" t="e">
        <f t="shared" si="23"/>
        <v>#DIV/0!</v>
      </c>
      <c r="DM11" s="66">
        <f t="shared" si="59"/>
        <v>0</v>
      </c>
      <c r="DN11" s="383" t="e">
        <f t="shared" si="60"/>
        <v>#DIV/0!</v>
      </c>
      <c r="DO11" s="66">
        <f t="shared" si="61"/>
        <v>0</v>
      </c>
      <c r="DP11" s="383" t="e">
        <f t="shared" si="62"/>
        <v>#DIV/0!</v>
      </c>
      <c r="DQ11" s="66">
        <f t="shared" si="63"/>
        <v>0</v>
      </c>
      <c r="DR11" s="383" t="e">
        <f t="shared" si="64"/>
        <v>#DIV/0!</v>
      </c>
      <c r="DS11" s="316">
        <f t="shared" si="65"/>
        <v>0</v>
      </c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</row>
    <row r="12" spans="1:170">
      <c r="A12" s="118">
        <f>'調查資料(OUT)'!A18</f>
        <v>145</v>
      </c>
      <c r="B12" s="309">
        <f t="shared" si="0"/>
        <v>0</v>
      </c>
      <c r="C12" s="66">
        <f>IFERROR('調查資料(OUT)'!B$1*'調查資料(OUT)'!B18,0)+IFERROR('調查資料(OUT)'!E$1*'調查資料(OUT)'!E18,0)+IFERROR('調查資料(OUT)'!H$1*'調查資料(OUT)'!H18,0)+IFERROR('調查資料(OUT)'!I$1*'調查資料(OUT)'!I18,0)</f>
        <v>0</v>
      </c>
      <c r="D12" s="66">
        <f>IFERROR('調查資料(OUT)'!C$1*'調查資料(OUT)'!C18,0)+IFERROR('調查資料(OUT)'!F$1*'調查資料(OUT)'!F18,0)+IFERROR('調查資料(OUT)'!J$1*'調查資料(OUT)'!J18,0)</f>
        <v>0</v>
      </c>
      <c r="E12" s="316">
        <f>IFERROR('調查資料(OUT)'!D$1*'調查資料(OUT)'!D18,0)+IFERROR('調查資料(OUT)'!G$1*'調查資料(OUT)'!G18,0)+IFERROR('調查資料(OUT)'!K$1*'調查資料(OUT)'!K18,0)</f>
        <v>0</v>
      </c>
      <c r="F12" s="309">
        <f t="shared" si="1"/>
        <v>0</v>
      </c>
      <c r="G12" s="66">
        <f>IFERROR('調查資料(OUT)'!L$1*'調查資料(OUT)'!L18,0)+IFERROR('調查資料(OUT)'!O$1*'調查資料(OUT)'!O18,0)+IFERROR('調查資料(OUT)'!R$1*'調查資料(OUT)'!R18,0)+IFERROR('調查資料(OUT)'!S$1*'調查資料(OUT)'!S18,0)</f>
        <v>0</v>
      </c>
      <c r="H12" s="66">
        <f>IFERROR('調查資料(OUT)'!M$1*'調查資料(OUT)'!M18,0)+IFERROR('調查資料(OUT)'!P$1*'調查資料(OUT)'!P18,0)+IFERROR('調查資料(OUT)'!T$1*'調查資料(OUT)'!T18,0)</f>
        <v>0</v>
      </c>
      <c r="I12" s="316">
        <f>IFERROR('調查資料(OUT)'!N$1*'調查資料(OUT)'!N18,0)+IFERROR('調查資料(OUT)'!Q$1*'調查資料(OUT)'!Q18,0)+IFERROR('調查資料(OUT)'!U$1*'調查資料(OUT)'!U18,0)</f>
        <v>0</v>
      </c>
      <c r="J12" s="309">
        <f t="shared" si="24"/>
        <v>0</v>
      </c>
      <c r="K12" s="66">
        <f>IFERROR('調查資料(OUT)'!V$1*'調查資料(OUT)'!V18,0)+IFERROR('調查資料(OUT)'!Y$1*'調查資料(OUT)'!Y18,0)+IFERROR('調查資料(OUT)'!AB$1*'調查資料(OUT)'!AB18,0)+IFERROR('調查資料(OUT)'!AC$1*'調查資料(OUT)'!AC18,0)</f>
        <v>0</v>
      </c>
      <c r="L12" s="66">
        <f>IFERROR('調查資料(OUT)'!W$1*'調查資料(OUT)'!W18,0)+IFERROR('調查資料(OUT)'!Z$1*'調查資料(OUT)'!Z18,0)+IFERROR('調查資料(OUT)'!AD$1*'調查資料(OUT)'!AD18,0)</f>
        <v>0</v>
      </c>
      <c r="M12" s="316">
        <f>IFERROR('調查資料(OUT)'!X$1*'調查資料(OUT)'!X18,0)+IFERROR('調查資料(OUT)'!AA$1*'調查資料(OUT)'!AA18,0)+IFERROR('調查資料(OUT)'!AE$1*'調查資料(OUT)'!AE18,0)</f>
        <v>0</v>
      </c>
      <c r="N12" s="309">
        <f t="shared" si="25"/>
        <v>0</v>
      </c>
      <c r="O12" s="66">
        <f>IFERROR('調查資料(OUT)'!AF$1*'調查資料(OUT)'!AF18,0)+IFERROR('調查資料(OUT)'!AI$1*'調查資料(OUT)'!AI18,0)+IFERROR('調查資料(OUT)'!AL$1*'調查資料(OUT)'!AL18,0)+IFERROR('調查資料(OUT)'!AM$1*'調查資料(OUT)'!AM18,0)</f>
        <v>0</v>
      </c>
      <c r="P12" s="66">
        <f>IFERROR('調查資料(OUT)'!AG$1*'調查資料(OUT)'!AG18,0)+IFERROR('調查資料(OUT)'!AJ$1*'調查資料(OUT)'!AJ18,0)+IFERROR('調查資料(OUT)'!AN$1*'調查資料(OUT)'!AN18,0)</f>
        <v>0</v>
      </c>
      <c r="Q12" s="316">
        <f>IFERROR('調查資料(OUT)'!AH$1*'調查資料(OUT)'!AH18,0)+IFERROR('調查資料(OUT)'!AK$1*'調查資料(OUT)'!AK18,0)+IFERROR('調查資料(OUT)'!AO$1*'調查資料(OUT)'!AO18,0)</f>
        <v>0</v>
      </c>
      <c r="R12" s="133">
        <f t="shared" si="4"/>
        <v>0</v>
      </c>
      <c r="S12" s="66"/>
      <c r="T12" s="366">
        <f>'調查資料(OUT)'!A18</f>
        <v>145</v>
      </c>
      <c r="U12" s="101">
        <f t="shared" si="66"/>
        <v>245</v>
      </c>
      <c r="V12" s="66">
        <f t="shared" si="67"/>
        <v>0</v>
      </c>
      <c r="W12" s="381"/>
      <c r="X12" s="66">
        <f t="shared" si="5"/>
        <v>0</v>
      </c>
      <c r="Y12" s="379" t="e">
        <f t="shared" si="26"/>
        <v>#DIV/0!</v>
      </c>
      <c r="Z12" s="379" t="e">
        <f t="shared" si="27"/>
        <v>#DIV/0!</v>
      </c>
      <c r="AA12" s="379" t="e">
        <f t="shared" si="28"/>
        <v>#DIV/0!</v>
      </c>
      <c r="AB12" s="379" t="e">
        <f t="shared" si="29"/>
        <v>#DIV/0!</v>
      </c>
      <c r="AC12" s="67"/>
      <c r="AD12" s="66">
        <f t="shared" si="30"/>
        <v>145</v>
      </c>
      <c r="AE12" s="316">
        <f t="shared" si="31"/>
        <v>245</v>
      </c>
      <c r="AF12" s="309">
        <f t="shared" si="32"/>
        <v>0</v>
      </c>
      <c r="AG12" s="66">
        <f>IF($AD12="N","N",SUM('調查資料(OUT)'!B18:B21))</f>
        <v>0</v>
      </c>
      <c r="AH12" s="66">
        <f>IF($AD12="N","N",SUM('調查資料(OUT)'!E18:E21))</f>
        <v>0</v>
      </c>
      <c r="AI12" s="66">
        <f>IF($AD12="N","N",SUM('調查資料(OUT)'!I18:I21))</f>
        <v>0</v>
      </c>
      <c r="AJ12" s="66">
        <f>IF($AD12="N","N",SUM('調查資料(OUT)'!H18:H21))</f>
        <v>0</v>
      </c>
      <c r="AK12" s="383" t="e">
        <f t="shared" si="33"/>
        <v>#DIV/0!</v>
      </c>
      <c r="AL12" s="66">
        <f t="shared" si="34"/>
        <v>0</v>
      </c>
      <c r="AM12" s="66">
        <f>IF($AD12="N","N",SUM('調查資料(OUT)'!C18:C21))</f>
        <v>0</v>
      </c>
      <c r="AN12" s="66">
        <f>IF($AD12="N","N",SUM('調查資料(OUT)'!F18:F21))</f>
        <v>0</v>
      </c>
      <c r="AO12" s="66">
        <f>IF($AD12="N","N",SUM('調查資料(OUT)'!J18:J21))</f>
        <v>0</v>
      </c>
      <c r="AP12" s="383" t="e">
        <f t="shared" si="35"/>
        <v>#DIV/0!</v>
      </c>
      <c r="AQ12" s="66">
        <f t="shared" si="36"/>
        <v>0</v>
      </c>
      <c r="AR12" s="66">
        <f>IF($AD12="N","N",SUM('調查資料(OUT)'!D18:D21))</f>
        <v>0</v>
      </c>
      <c r="AS12" s="66">
        <f>IF($AD12="N","N",SUM('調查資料(OUT)'!G18:G21))</f>
        <v>0</v>
      </c>
      <c r="AT12" s="66">
        <f>IF($AD12="N","N",SUM('調查資料(OUT)'!K18:K21))</f>
        <v>0</v>
      </c>
      <c r="AU12" s="383" t="e">
        <f t="shared" si="37"/>
        <v>#DIV/0!</v>
      </c>
      <c r="AV12" s="66">
        <f t="shared" si="38"/>
        <v>0</v>
      </c>
      <c r="AW12" s="383" t="e">
        <f t="shared" si="39"/>
        <v>#DIV/0!</v>
      </c>
      <c r="AX12" s="66">
        <f t="shared" si="40"/>
        <v>0</v>
      </c>
      <c r="AY12" s="383" t="e">
        <f t="shared" si="41"/>
        <v>#DIV/0!</v>
      </c>
      <c r="AZ12" s="66">
        <f t="shared" si="42"/>
        <v>0</v>
      </c>
      <c r="BA12" s="383" t="e">
        <f t="shared" si="43"/>
        <v>#DIV/0!</v>
      </c>
      <c r="BB12" s="316">
        <f t="shared" si="44"/>
        <v>0</v>
      </c>
      <c r="BC12" s="309">
        <f t="shared" si="6"/>
        <v>0</v>
      </c>
      <c r="BD12" s="66">
        <f>IF($AD12="N","N",SUM('調查資料(OUT)'!L18:L21))</f>
        <v>0</v>
      </c>
      <c r="BE12" s="66">
        <f>IF($AD12="N","N",SUM('調查資料(OUT)'!O18:O21))</f>
        <v>0</v>
      </c>
      <c r="BF12" s="66">
        <f>IF($AD12="N","N",SUM('調查資料(OUT)'!S18:S21))</f>
        <v>0</v>
      </c>
      <c r="BG12" s="66">
        <f>IF($AD12="N","N",SUM('調查資料(OUT)'!R18:R21))</f>
        <v>0</v>
      </c>
      <c r="BH12" s="383" t="e">
        <f t="shared" si="7"/>
        <v>#DIV/0!</v>
      </c>
      <c r="BI12" s="66">
        <f t="shared" si="8"/>
        <v>0</v>
      </c>
      <c r="BJ12" s="66">
        <f>IF($AD12="N","N",SUM('調查資料(OUT)'!M18:M21))</f>
        <v>0</v>
      </c>
      <c r="BK12" s="66">
        <f>IF($AD12="N","N",SUM('調查資料(OUT)'!P18:P21))</f>
        <v>0</v>
      </c>
      <c r="BL12" s="66">
        <f>IF($AD12="N","N",SUM('調查資料(OUT)'!T18:T21))</f>
        <v>0</v>
      </c>
      <c r="BM12" s="383" t="e">
        <f t="shared" si="9"/>
        <v>#DIV/0!</v>
      </c>
      <c r="BN12" s="66">
        <f t="shared" si="10"/>
        <v>0</v>
      </c>
      <c r="BO12" s="66">
        <f>IF($AD12="N","N",SUM('調查資料(OUT)'!N18:N21))</f>
        <v>0</v>
      </c>
      <c r="BP12" s="66">
        <f>IF($AD12="N","N",SUM('調查資料(OUT)'!Q18:Q21))</f>
        <v>0</v>
      </c>
      <c r="BQ12" s="66">
        <f>IF($AD12="N","N",SUM('調查資料(OUT)'!U18:U21))</f>
        <v>0</v>
      </c>
      <c r="BR12" s="383" t="e">
        <f t="shared" si="11"/>
        <v>#DIV/0!</v>
      </c>
      <c r="BS12" s="66">
        <f t="shared" si="45"/>
        <v>0</v>
      </c>
      <c r="BT12" s="383" t="e">
        <f t="shared" si="46"/>
        <v>#DIV/0!</v>
      </c>
      <c r="BU12" s="66">
        <f t="shared" si="47"/>
        <v>0</v>
      </c>
      <c r="BV12" s="383" t="e">
        <f t="shared" si="48"/>
        <v>#DIV/0!</v>
      </c>
      <c r="BW12" s="66">
        <f t="shared" si="49"/>
        <v>0</v>
      </c>
      <c r="BX12" s="383" t="e">
        <f t="shared" si="50"/>
        <v>#DIV/0!</v>
      </c>
      <c r="BY12" s="316">
        <f t="shared" si="51"/>
        <v>0</v>
      </c>
      <c r="BZ12" s="309">
        <f t="shared" si="12"/>
        <v>0</v>
      </c>
      <c r="CA12" s="66">
        <f>IF($AD12="N","N",SUM('調查資料(OUT)'!V18:V21))</f>
        <v>0</v>
      </c>
      <c r="CB12" s="66">
        <f>IF($AD12="N","N",SUM('調查資料(OUT)'!Y18:Y21))</f>
        <v>0</v>
      </c>
      <c r="CC12" s="66">
        <f>IF($AD12="N","N",SUM('調查資料(OUT)'!AC18:AC21))</f>
        <v>0</v>
      </c>
      <c r="CD12" s="66">
        <f>IF($AD12="N","N",SUM('調查資料(OUT)'!AB18:AB21))</f>
        <v>0</v>
      </c>
      <c r="CE12" s="383" t="e">
        <f t="shared" si="13"/>
        <v>#DIV/0!</v>
      </c>
      <c r="CF12" s="66">
        <f t="shared" si="14"/>
        <v>0</v>
      </c>
      <c r="CG12" s="66">
        <f>IF($AD12="N","N",SUM('調查資料(OUT)'!W18:W21))</f>
        <v>0</v>
      </c>
      <c r="CH12" s="66">
        <f>IF($AD12="N","N",SUM('調查資料(OUT)'!Z18:Z21))</f>
        <v>0</v>
      </c>
      <c r="CI12" s="66">
        <f>IF($AD12="N","N",SUM('調查資料(OUT)'!AD18:AD21))</f>
        <v>0</v>
      </c>
      <c r="CJ12" s="383" t="e">
        <f t="shared" si="15"/>
        <v>#DIV/0!</v>
      </c>
      <c r="CK12" s="66">
        <f t="shared" si="16"/>
        <v>0</v>
      </c>
      <c r="CL12" s="66">
        <f>IF($AD12="N","N",SUM('調查資料(OUT)'!X18:X21))</f>
        <v>0</v>
      </c>
      <c r="CM12" s="66">
        <f>IF($AD12="N","N",SUM('調查資料(OUT)'!AA18:AA21))</f>
        <v>0</v>
      </c>
      <c r="CN12" s="66">
        <f>IF($AD12="N","N",SUM('調查資料(OUT)'!AE18:AE21))</f>
        <v>0</v>
      </c>
      <c r="CO12" s="383" t="e">
        <f t="shared" si="17"/>
        <v>#DIV/0!</v>
      </c>
      <c r="CP12" s="66">
        <f t="shared" si="52"/>
        <v>0</v>
      </c>
      <c r="CQ12" s="383" t="e">
        <f t="shared" si="53"/>
        <v>#DIV/0!</v>
      </c>
      <c r="CR12" s="66">
        <f t="shared" si="54"/>
        <v>0</v>
      </c>
      <c r="CS12" s="383" t="e">
        <f t="shared" si="55"/>
        <v>#DIV/0!</v>
      </c>
      <c r="CT12" s="66">
        <f t="shared" si="56"/>
        <v>0</v>
      </c>
      <c r="CU12" s="383" t="e">
        <f t="shared" si="57"/>
        <v>#DIV/0!</v>
      </c>
      <c r="CV12" s="316">
        <f t="shared" si="58"/>
        <v>0</v>
      </c>
      <c r="CW12" s="309">
        <f t="shared" si="18"/>
        <v>0</v>
      </c>
      <c r="CX12" s="66">
        <f>IF($AD12="N","N",SUM('調查資料(OUT)'!AF18:AF21))</f>
        <v>0</v>
      </c>
      <c r="CY12" s="66">
        <f>IF($AD12="N","N",SUM('調查資料(OUT)'!AI18:AI21))</f>
        <v>0</v>
      </c>
      <c r="CZ12" s="66">
        <f>IF($AD12="N","N",SUM('調查資料(OUT)'!AM18:AM21))</f>
        <v>0</v>
      </c>
      <c r="DA12" s="66">
        <f>IF($AD12="N","N",SUM('調查資料(OUT)'!AL18:AL21))</f>
        <v>0</v>
      </c>
      <c r="DB12" s="383" t="e">
        <f t="shared" si="19"/>
        <v>#DIV/0!</v>
      </c>
      <c r="DC12" s="66">
        <f t="shared" si="20"/>
        <v>0</v>
      </c>
      <c r="DD12" s="66">
        <f>IF($AD12="N","N",SUM('調查資料(OUT)'!AG18:AG21))</f>
        <v>0</v>
      </c>
      <c r="DE12" s="66">
        <f>IF($AD12="N","N",SUM('調查資料(OUT)'!AJ18:AJ21))</f>
        <v>0</v>
      </c>
      <c r="DF12" s="66">
        <f>IF($AD12="N","N",SUM('調查資料(OUT)'!AN18:AN21))</f>
        <v>0</v>
      </c>
      <c r="DG12" s="383" t="e">
        <f t="shared" si="21"/>
        <v>#DIV/0!</v>
      </c>
      <c r="DH12" s="66">
        <f t="shared" si="22"/>
        <v>0</v>
      </c>
      <c r="DI12" s="66">
        <f>IF($AD12="N","N",SUM('調查資料(OUT)'!AH18:AH21))</f>
        <v>0</v>
      </c>
      <c r="DJ12" s="66">
        <f>IF($AD12="N","N",SUM('調查資料(OUT)'!AK18:AK21))</f>
        <v>0</v>
      </c>
      <c r="DK12" s="66">
        <f>IF($AD12="N","N",SUM('調查資料(OUT)'!AO18:AO21))</f>
        <v>0</v>
      </c>
      <c r="DL12" s="383" t="e">
        <f t="shared" si="23"/>
        <v>#DIV/0!</v>
      </c>
      <c r="DM12" s="66">
        <f t="shared" si="59"/>
        <v>0</v>
      </c>
      <c r="DN12" s="383" t="e">
        <f t="shared" si="60"/>
        <v>#DIV/0!</v>
      </c>
      <c r="DO12" s="66">
        <f t="shared" si="61"/>
        <v>0</v>
      </c>
      <c r="DP12" s="383" t="e">
        <f t="shared" si="62"/>
        <v>#DIV/0!</v>
      </c>
      <c r="DQ12" s="66">
        <f t="shared" si="63"/>
        <v>0</v>
      </c>
      <c r="DR12" s="383" t="e">
        <f t="shared" si="64"/>
        <v>#DIV/0!</v>
      </c>
      <c r="DS12" s="316">
        <f t="shared" si="65"/>
        <v>0</v>
      </c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</row>
    <row r="13" spans="1:170">
      <c r="A13" s="118">
        <f>'調查資料(OUT)'!A19</f>
        <v>200</v>
      </c>
      <c r="B13" s="309">
        <f t="shared" si="0"/>
        <v>0</v>
      </c>
      <c r="C13" s="66">
        <f>IFERROR('調查資料(OUT)'!B$1*'調查資料(OUT)'!B19,0)+IFERROR('調查資料(OUT)'!E$1*'調查資料(OUT)'!E19,0)+IFERROR('調查資料(OUT)'!H$1*'調查資料(OUT)'!H19,0)+IFERROR('調查資料(OUT)'!I$1*'調查資料(OUT)'!I19,0)</f>
        <v>0</v>
      </c>
      <c r="D13" s="66">
        <f>IFERROR('調查資料(OUT)'!C$1*'調查資料(OUT)'!C19,0)+IFERROR('調查資料(OUT)'!F$1*'調查資料(OUT)'!F19,0)+IFERROR('調查資料(OUT)'!J$1*'調查資料(OUT)'!J19,0)</f>
        <v>0</v>
      </c>
      <c r="E13" s="316">
        <f>IFERROR('調查資料(OUT)'!D$1*'調查資料(OUT)'!D19,0)+IFERROR('調查資料(OUT)'!G$1*'調查資料(OUT)'!G19,0)+IFERROR('調查資料(OUT)'!K$1*'調查資料(OUT)'!K19,0)</f>
        <v>0</v>
      </c>
      <c r="F13" s="309">
        <f t="shared" si="1"/>
        <v>0</v>
      </c>
      <c r="G13" s="66">
        <f>IFERROR('調查資料(OUT)'!L$1*'調查資料(OUT)'!L19,0)+IFERROR('調查資料(OUT)'!O$1*'調查資料(OUT)'!O19,0)+IFERROR('調查資料(OUT)'!R$1*'調查資料(OUT)'!R19,0)+IFERROR('調查資料(OUT)'!S$1*'調查資料(OUT)'!S19,0)</f>
        <v>0</v>
      </c>
      <c r="H13" s="66">
        <f>IFERROR('調查資料(OUT)'!M$1*'調查資料(OUT)'!M19,0)+IFERROR('調查資料(OUT)'!P$1*'調查資料(OUT)'!P19,0)+IFERROR('調查資料(OUT)'!T$1*'調查資料(OUT)'!T19,0)</f>
        <v>0</v>
      </c>
      <c r="I13" s="316">
        <f>IFERROR('調查資料(OUT)'!N$1*'調查資料(OUT)'!N19,0)+IFERROR('調查資料(OUT)'!Q$1*'調查資料(OUT)'!Q19,0)+IFERROR('調查資料(OUT)'!U$1*'調查資料(OUT)'!U19,0)</f>
        <v>0</v>
      </c>
      <c r="J13" s="309">
        <f t="shared" si="24"/>
        <v>0</v>
      </c>
      <c r="K13" s="66">
        <f>IFERROR('調查資料(OUT)'!V$1*'調查資料(OUT)'!V19,0)+IFERROR('調查資料(OUT)'!Y$1*'調查資料(OUT)'!Y19,0)+IFERROR('調查資料(OUT)'!AB$1*'調查資料(OUT)'!AB19,0)+IFERROR('調查資料(OUT)'!AC$1*'調查資料(OUT)'!AC19,0)</f>
        <v>0</v>
      </c>
      <c r="L13" s="66">
        <f>IFERROR('調查資料(OUT)'!W$1*'調查資料(OUT)'!W19,0)+IFERROR('調查資料(OUT)'!Z$1*'調查資料(OUT)'!Z19,0)+IFERROR('調查資料(OUT)'!AD$1*'調查資料(OUT)'!AD19,0)</f>
        <v>0</v>
      </c>
      <c r="M13" s="316">
        <f>IFERROR('調查資料(OUT)'!X$1*'調查資料(OUT)'!X19,0)+IFERROR('調查資料(OUT)'!AA$1*'調查資料(OUT)'!AA19,0)+IFERROR('調查資料(OUT)'!AE$1*'調查資料(OUT)'!AE19,0)</f>
        <v>0</v>
      </c>
      <c r="N13" s="309">
        <f t="shared" si="25"/>
        <v>0</v>
      </c>
      <c r="O13" s="66">
        <f>IFERROR('調查資料(OUT)'!AF$1*'調查資料(OUT)'!AF19,0)+IFERROR('調查資料(OUT)'!AI$1*'調查資料(OUT)'!AI19,0)+IFERROR('調查資料(OUT)'!AL$1*'調查資料(OUT)'!AL19,0)+IFERROR('調查資料(OUT)'!AM$1*'調查資料(OUT)'!AM19,0)</f>
        <v>0</v>
      </c>
      <c r="P13" s="66">
        <f>IFERROR('調查資料(OUT)'!AG$1*'調查資料(OUT)'!AG19,0)+IFERROR('調查資料(OUT)'!AJ$1*'調查資料(OUT)'!AJ19,0)+IFERROR('調查資料(OUT)'!AN$1*'調查資料(OUT)'!AN19,0)</f>
        <v>0</v>
      </c>
      <c r="Q13" s="316">
        <f>IFERROR('調查資料(OUT)'!AH$1*'調查資料(OUT)'!AH19,0)+IFERROR('調查資料(OUT)'!AK$1*'調查資料(OUT)'!AK19,0)+IFERROR('調查資料(OUT)'!AO$1*'調查資料(OUT)'!AO19,0)</f>
        <v>0</v>
      </c>
      <c r="R13" s="133">
        <f t="shared" si="4"/>
        <v>0</v>
      </c>
      <c r="S13" s="66"/>
      <c r="T13" s="366">
        <f>'調查資料(OUT)'!A19</f>
        <v>200</v>
      </c>
      <c r="U13" s="101">
        <f t="shared" si="66"/>
        <v>300</v>
      </c>
      <c r="V13" s="66">
        <f t="shared" si="67"/>
        <v>0</v>
      </c>
      <c r="W13" s="381"/>
      <c r="X13" s="66">
        <f t="shared" si="5"/>
        <v>0</v>
      </c>
      <c r="Y13" s="379" t="e">
        <f t="shared" si="26"/>
        <v>#DIV/0!</v>
      </c>
      <c r="Z13" s="379" t="e">
        <f t="shared" si="27"/>
        <v>#DIV/0!</v>
      </c>
      <c r="AA13" s="379" t="e">
        <f t="shared" si="28"/>
        <v>#DIV/0!</v>
      </c>
      <c r="AB13" s="379" t="e">
        <f t="shared" si="29"/>
        <v>#DIV/0!</v>
      </c>
      <c r="AC13" s="67"/>
      <c r="AD13" s="66">
        <f t="shared" si="30"/>
        <v>200</v>
      </c>
      <c r="AE13" s="316">
        <f t="shared" si="31"/>
        <v>300</v>
      </c>
      <c r="AF13" s="309">
        <f t="shared" si="32"/>
        <v>0</v>
      </c>
      <c r="AG13" s="66">
        <f>IF($AD13="N","N",SUM('調查資料(OUT)'!B19:B22))</f>
        <v>0</v>
      </c>
      <c r="AH13" s="66">
        <f>IF($AD13="N","N",SUM('調查資料(OUT)'!E19:E22))</f>
        <v>0</v>
      </c>
      <c r="AI13" s="66">
        <f>IF($AD13="N","N",SUM('調查資料(OUT)'!I19:I22))</f>
        <v>0</v>
      </c>
      <c r="AJ13" s="66">
        <f>IF($AD13="N","N",SUM('調查資料(OUT)'!H19:H22))</f>
        <v>0</v>
      </c>
      <c r="AK13" s="383" t="e">
        <f t="shared" si="33"/>
        <v>#DIV/0!</v>
      </c>
      <c r="AL13" s="66">
        <f t="shared" si="34"/>
        <v>0</v>
      </c>
      <c r="AM13" s="66">
        <f>IF($AD13="N","N",SUM('調查資料(OUT)'!C19:C22))</f>
        <v>0</v>
      </c>
      <c r="AN13" s="66">
        <f>IF($AD13="N","N",SUM('調查資料(OUT)'!F19:F22))</f>
        <v>0</v>
      </c>
      <c r="AO13" s="66">
        <f>IF($AD13="N","N",SUM('調查資料(OUT)'!J19:J22))</f>
        <v>0</v>
      </c>
      <c r="AP13" s="383" t="e">
        <f t="shared" si="35"/>
        <v>#DIV/0!</v>
      </c>
      <c r="AQ13" s="66">
        <f t="shared" si="36"/>
        <v>0</v>
      </c>
      <c r="AR13" s="66">
        <f>IF($AD13="N","N",SUM('調查資料(OUT)'!D19:D22))</f>
        <v>0</v>
      </c>
      <c r="AS13" s="66">
        <f>IF($AD13="N","N",SUM('調查資料(OUT)'!G19:G22))</f>
        <v>0</v>
      </c>
      <c r="AT13" s="66">
        <f>IF($AD13="N","N",SUM('調查資料(OUT)'!K19:K22))</f>
        <v>0</v>
      </c>
      <c r="AU13" s="383" t="e">
        <f t="shared" si="37"/>
        <v>#DIV/0!</v>
      </c>
      <c r="AV13" s="66">
        <f t="shared" si="38"/>
        <v>0</v>
      </c>
      <c r="AW13" s="383" t="e">
        <f t="shared" si="39"/>
        <v>#DIV/0!</v>
      </c>
      <c r="AX13" s="66">
        <f t="shared" si="40"/>
        <v>0</v>
      </c>
      <c r="AY13" s="383" t="e">
        <f t="shared" si="41"/>
        <v>#DIV/0!</v>
      </c>
      <c r="AZ13" s="66">
        <f t="shared" si="42"/>
        <v>0</v>
      </c>
      <c r="BA13" s="383" t="e">
        <f t="shared" si="43"/>
        <v>#DIV/0!</v>
      </c>
      <c r="BB13" s="316">
        <f t="shared" si="44"/>
        <v>0</v>
      </c>
      <c r="BC13" s="309">
        <f t="shared" si="6"/>
        <v>0</v>
      </c>
      <c r="BD13" s="66">
        <f>IF($AD13="N","N",SUM('調查資料(OUT)'!L19:L22))</f>
        <v>0</v>
      </c>
      <c r="BE13" s="66">
        <f>IF($AD13="N","N",SUM('調查資料(OUT)'!O19:O22))</f>
        <v>0</v>
      </c>
      <c r="BF13" s="66">
        <f>IF($AD13="N","N",SUM('調查資料(OUT)'!S19:S22))</f>
        <v>0</v>
      </c>
      <c r="BG13" s="66">
        <f>IF($AD13="N","N",SUM('調查資料(OUT)'!R19:R22))</f>
        <v>0</v>
      </c>
      <c r="BH13" s="383" t="e">
        <f t="shared" si="7"/>
        <v>#DIV/0!</v>
      </c>
      <c r="BI13" s="66">
        <f t="shared" si="8"/>
        <v>0</v>
      </c>
      <c r="BJ13" s="66">
        <f>IF($AD13="N","N",SUM('調查資料(OUT)'!M19:M22))</f>
        <v>0</v>
      </c>
      <c r="BK13" s="66">
        <f>IF($AD13="N","N",SUM('調查資料(OUT)'!P19:P22))</f>
        <v>0</v>
      </c>
      <c r="BL13" s="66">
        <f>IF($AD13="N","N",SUM('調查資料(OUT)'!T19:T22))</f>
        <v>0</v>
      </c>
      <c r="BM13" s="383" t="e">
        <f t="shared" si="9"/>
        <v>#DIV/0!</v>
      </c>
      <c r="BN13" s="66">
        <f t="shared" si="10"/>
        <v>0</v>
      </c>
      <c r="BO13" s="66">
        <f>IF($AD13="N","N",SUM('調查資料(OUT)'!N19:N22))</f>
        <v>0</v>
      </c>
      <c r="BP13" s="66">
        <f>IF($AD13="N","N",SUM('調查資料(OUT)'!Q19:Q22))</f>
        <v>0</v>
      </c>
      <c r="BQ13" s="66">
        <f>IF($AD13="N","N",SUM('調查資料(OUT)'!U19:U22))</f>
        <v>0</v>
      </c>
      <c r="BR13" s="383" t="e">
        <f t="shared" si="11"/>
        <v>#DIV/0!</v>
      </c>
      <c r="BS13" s="66">
        <f t="shared" si="45"/>
        <v>0</v>
      </c>
      <c r="BT13" s="383" t="e">
        <f t="shared" si="46"/>
        <v>#DIV/0!</v>
      </c>
      <c r="BU13" s="66">
        <f t="shared" si="47"/>
        <v>0</v>
      </c>
      <c r="BV13" s="383" t="e">
        <f t="shared" si="48"/>
        <v>#DIV/0!</v>
      </c>
      <c r="BW13" s="66">
        <f t="shared" si="49"/>
        <v>0</v>
      </c>
      <c r="BX13" s="383" t="e">
        <f t="shared" si="50"/>
        <v>#DIV/0!</v>
      </c>
      <c r="BY13" s="316">
        <f t="shared" si="51"/>
        <v>0</v>
      </c>
      <c r="BZ13" s="309">
        <f t="shared" si="12"/>
        <v>0</v>
      </c>
      <c r="CA13" s="66">
        <f>IF($AD13="N","N",SUM('調查資料(OUT)'!V19:V22))</f>
        <v>0</v>
      </c>
      <c r="CB13" s="66">
        <f>IF($AD13="N","N",SUM('調查資料(OUT)'!Y19:Y22))</f>
        <v>0</v>
      </c>
      <c r="CC13" s="66">
        <f>IF($AD13="N","N",SUM('調查資料(OUT)'!AC19:AC22))</f>
        <v>0</v>
      </c>
      <c r="CD13" s="66">
        <f>IF($AD13="N","N",SUM('調查資料(OUT)'!AB19:AB22))</f>
        <v>0</v>
      </c>
      <c r="CE13" s="383" t="e">
        <f t="shared" si="13"/>
        <v>#DIV/0!</v>
      </c>
      <c r="CF13" s="66">
        <f t="shared" si="14"/>
        <v>0</v>
      </c>
      <c r="CG13" s="66">
        <f>IF($AD13="N","N",SUM('調查資料(OUT)'!W19:W22))</f>
        <v>0</v>
      </c>
      <c r="CH13" s="66">
        <f>IF($AD13="N","N",SUM('調查資料(OUT)'!Z19:Z22))</f>
        <v>0</v>
      </c>
      <c r="CI13" s="66">
        <f>IF($AD13="N","N",SUM('調查資料(OUT)'!AD19:AD22))</f>
        <v>0</v>
      </c>
      <c r="CJ13" s="383" t="e">
        <f t="shared" si="15"/>
        <v>#DIV/0!</v>
      </c>
      <c r="CK13" s="66">
        <f t="shared" si="16"/>
        <v>0</v>
      </c>
      <c r="CL13" s="66">
        <f>IF($AD13="N","N",SUM('調查資料(OUT)'!X19:X22))</f>
        <v>0</v>
      </c>
      <c r="CM13" s="66">
        <f>IF($AD13="N","N",SUM('調查資料(OUT)'!AA19:AA22))</f>
        <v>0</v>
      </c>
      <c r="CN13" s="66">
        <f>IF($AD13="N","N",SUM('調查資料(OUT)'!AE19:AE22))</f>
        <v>0</v>
      </c>
      <c r="CO13" s="383" t="e">
        <f t="shared" si="17"/>
        <v>#DIV/0!</v>
      </c>
      <c r="CP13" s="66">
        <f t="shared" si="52"/>
        <v>0</v>
      </c>
      <c r="CQ13" s="383" t="e">
        <f t="shared" si="53"/>
        <v>#DIV/0!</v>
      </c>
      <c r="CR13" s="66">
        <f t="shared" si="54"/>
        <v>0</v>
      </c>
      <c r="CS13" s="383" t="e">
        <f t="shared" si="55"/>
        <v>#DIV/0!</v>
      </c>
      <c r="CT13" s="66">
        <f t="shared" si="56"/>
        <v>0</v>
      </c>
      <c r="CU13" s="383" t="e">
        <f t="shared" si="57"/>
        <v>#DIV/0!</v>
      </c>
      <c r="CV13" s="316">
        <f t="shared" si="58"/>
        <v>0</v>
      </c>
      <c r="CW13" s="309">
        <f t="shared" si="18"/>
        <v>0</v>
      </c>
      <c r="CX13" s="66">
        <f>IF($AD13="N","N",SUM('調查資料(OUT)'!AF19:AF22))</f>
        <v>0</v>
      </c>
      <c r="CY13" s="66">
        <f>IF($AD13="N","N",SUM('調查資料(OUT)'!AI19:AI22))</f>
        <v>0</v>
      </c>
      <c r="CZ13" s="66">
        <f>IF($AD13="N","N",SUM('調查資料(OUT)'!AM19:AM22))</f>
        <v>0</v>
      </c>
      <c r="DA13" s="66">
        <f>IF($AD13="N","N",SUM('調查資料(OUT)'!AL19:AL22))</f>
        <v>0</v>
      </c>
      <c r="DB13" s="383" t="e">
        <f t="shared" si="19"/>
        <v>#DIV/0!</v>
      </c>
      <c r="DC13" s="66">
        <f t="shared" si="20"/>
        <v>0</v>
      </c>
      <c r="DD13" s="66">
        <f>IF($AD13="N","N",SUM('調查資料(OUT)'!AG19:AG22))</f>
        <v>0</v>
      </c>
      <c r="DE13" s="66">
        <f>IF($AD13="N","N",SUM('調查資料(OUT)'!AJ19:AJ22))</f>
        <v>0</v>
      </c>
      <c r="DF13" s="66">
        <f>IF($AD13="N","N",SUM('調查資料(OUT)'!AN19:AN22))</f>
        <v>0</v>
      </c>
      <c r="DG13" s="383" t="e">
        <f t="shared" si="21"/>
        <v>#DIV/0!</v>
      </c>
      <c r="DH13" s="66">
        <f t="shared" si="22"/>
        <v>0</v>
      </c>
      <c r="DI13" s="66">
        <f>IF($AD13="N","N",SUM('調查資料(OUT)'!AH19:AH22))</f>
        <v>0</v>
      </c>
      <c r="DJ13" s="66">
        <f>IF($AD13="N","N",SUM('調查資料(OUT)'!AK19:AK22))</f>
        <v>0</v>
      </c>
      <c r="DK13" s="66">
        <f>IF($AD13="N","N",SUM('調查資料(OUT)'!AO19:AO22))</f>
        <v>0</v>
      </c>
      <c r="DL13" s="383" t="e">
        <f t="shared" si="23"/>
        <v>#DIV/0!</v>
      </c>
      <c r="DM13" s="66">
        <f t="shared" si="59"/>
        <v>0</v>
      </c>
      <c r="DN13" s="383" t="e">
        <f t="shared" si="60"/>
        <v>#DIV/0!</v>
      </c>
      <c r="DO13" s="66">
        <f t="shared" si="61"/>
        <v>0</v>
      </c>
      <c r="DP13" s="383" t="e">
        <f t="shared" si="62"/>
        <v>#DIV/0!</v>
      </c>
      <c r="DQ13" s="66">
        <f t="shared" si="63"/>
        <v>0</v>
      </c>
      <c r="DR13" s="383" t="e">
        <f t="shared" si="64"/>
        <v>#DIV/0!</v>
      </c>
      <c r="DS13" s="316">
        <f t="shared" si="65"/>
        <v>0</v>
      </c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  <c r="FK13" s="67"/>
      <c r="FL13" s="67"/>
      <c r="FM13" s="67"/>
      <c r="FN13" s="67"/>
    </row>
    <row r="14" spans="1:170">
      <c r="A14" s="118">
        <f>'調查資料(OUT)'!A20</f>
        <v>215</v>
      </c>
      <c r="B14" s="309">
        <f t="shared" si="0"/>
        <v>0</v>
      </c>
      <c r="C14" s="66">
        <f>IFERROR('調查資料(OUT)'!B$1*'調查資料(OUT)'!B20,0)+IFERROR('調查資料(OUT)'!E$1*'調查資料(OUT)'!E20,0)+IFERROR('調查資料(OUT)'!H$1*'調查資料(OUT)'!H20,0)+IFERROR('調查資料(OUT)'!I$1*'調查資料(OUT)'!I20,0)</f>
        <v>0</v>
      </c>
      <c r="D14" s="66">
        <f>IFERROR('調查資料(OUT)'!C$1*'調查資料(OUT)'!C20,0)+IFERROR('調查資料(OUT)'!F$1*'調查資料(OUT)'!F20,0)+IFERROR('調查資料(OUT)'!J$1*'調查資料(OUT)'!J20,0)</f>
        <v>0</v>
      </c>
      <c r="E14" s="316">
        <f>IFERROR('調查資料(OUT)'!D$1*'調查資料(OUT)'!D20,0)+IFERROR('調查資料(OUT)'!G$1*'調查資料(OUT)'!G20,0)+IFERROR('調查資料(OUT)'!K$1*'調查資料(OUT)'!K20,0)</f>
        <v>0</v>
      </c>
      <c r="F14" s="309">
        <f t="shared" si="1"/>
        <v>0</v>
      </c>
      <c r="G14" s="66">
        <f>IFERROR('調查資料(OUT)'!L$1*'調查資料(OUT)'!L20,0)+IFERROR('調查資料(OUT)'!O$1*'調查資料(OUT)'!O20,0)+IFERROR('調查資料(OUT)'!R$1*'調查資料(OUT)'!R20,0)+IFERROR('調查資料(OUT)'!S$1*'調查資料(OUT)'!S20,0)</f>
        <v>0</v>
      </c>
      <c r="H14" s="66">
        <f>IFERROR('調查資料(OUT)'!M$1*'調查資料(OUT)'!M20,0)+IFERROR('調查資料(OUT)'!P$1*'調查資料(OUT)'!P20,0)+IFERROR('調查資料(OUT)'!T$1*'調查資料(OUT)'!T20,0)</f>
        <v>0</v>
      </c>
      <c r="I14" s="316">
        <f>IFERROR('調查資料(OUT)'!N$1*'調查資料(OUT)'!N20,0)+IFERROR('調查資料(OUT)'!Q$1*'調查資料(OUT)'!Q20,0)+IFERROR('調查資料(OUT)'!U$1*'調查資料(OUT)'!U20,0)</f>
        <v>0</v>
      </c>
      <c r="J14" s="309">
        <f t="shared" si="24"/>
        <v>0</v>
      </c>
      <c r="K14" s="66">
        <f>IFERROR('調查資料(OUT)'!V$1*'調查資料(OUT)'!V20,0)+IFERROR('調查資料(OUT)'!Y$1*'調查資料(OUT)'!Y20,0)+IFERROR('調查資料(OUT)'!AB$1*'調查資料(OUT)'!AB20,0)+IFERROR('調查資料(OUT)'!AC$1*'調查資料(OUT)'!AC20,0)</f>
        <v>0</v>
      </c>
      <c r="L14" s="66">
        <f>IFERROR('調查資料(OUT)'!W$1*'調查資料(OUT)'!W20,0)+IFERROR('調查資料(OUT)'!Z$1*'調查資料(OUT)'!Z20,0)+IFERROR('調查資料(OUT)'!AD$1*'調查資料(OUT)'!AD20,0)</f>
        <v>0</v>
      </c>
      <c r="M14" s="316">
        <f>IFERROR('調查資料(OUT)'!X$1*'調查資料(OUT)'!X20,0)+IFERROR('調查資料(OUT)'!AA$1*'調查資料(OUT)'!AA20,0)+IFERROR('調查資料(OUT)'!AE$1*'調查資料(OUT)'!AE20,0)</f>
        <v>0</v>
      </c>
      <c r="N14" s="309">
        <f t="shared" si="25"/>
        <v>0</v>
      </c>
      <c r="O14" s="66">
        <f>IFERROR('調查資料(OUT)'!AF$1*'調查資料(OUT)'!AF20,0)+IFERROR('調查資料(OUT)'!AI$1*'調查資料(OUT)'!AI20,0)+IFERROR('調查資料(OUT)'!AL$1*'調查資料(OUT)'!AL20,0)+IFERROR('調查資料(OUT)'!AM$1*'調查資料(OUT)'!AM20,0)</f>
        <v>0</v>
      </c>
      <c r="P14" s="66">
        <f>IFERROR('調查資料(OUT)'!AG$1*'調查資料(OUT)'!AG20,0)+IFERROR('調查資料(OUT)'!AJ$1*'調查資料(OUT)'!AJ20,0)+IFERROR('調查資料(OUT)'!AN$1*'調查資料(OUT)'!AN20,0)</f>
        <v>0</v>
      </c>
      <c r="Q14" s="316">
        <f>IFERROR('調查資料(OUT)'!AH$1*'調查資料(OUT)'!AH20,0)+IFERROR('調查資料(OUT)'!AK$1*'調查資料(OUT)'!AK20,0)+IFERROR('調查資料(OUT)'!AO$1*'調查資料(OUT)'!AO20,0)</f>
        <v>0</v>
      </c>
      <c r="R14" s="133">
        <f t="shared" si="4"/>
        <v>0</v>
      </c>
      <c r="S14" s="66"/>
      <c r="T14" s="366">
        <f>'調查資料(OUT)'!A20</f>
        <v>215</v>
      </c>
      <c r="U14" s="101">
        <f t="shared" si="66"/>
        <v>315</v>
      </c>
      <c r="V14" s="66">
        <f t="shared" si="67"/>
        <v>0</v>
      </c>
      <c r="W14" s="381"/>
      <c r="X14" s="66">
        <f t="shared" si="5"/>
        <v>0</v>
      </c>
      <c r="Y14" s="379" t="e">
        <f t="shared" si="26"/>
        <v>#DIV/0!</v>
      </c>
      <c r="Z14" s="379" t="e">
        <f t="shared" si="27"/>
        <v>#DIV/0!</v>
      </c>
      <c r="AA14" s="379" t="e">
        <f t="shared" si="28"/>
        <v>#DIV/0!</v>
      </c>
      <c r="AB14" s="379" t="e">
        <f t="shared" si="29"/>
        <v>#DIV/0!</v>
      </c>
      <c r="AC14" s="67"/>
      <c r="AD14" s="66">
        <f t="shared" si="30"/>
        <v>215</v>
      </c>
      <c r="AE14" s="316">
        <f t="shared" si="31"/>
        <v>315</v>
      </c>
      <c r="AF14" s="309">
        <f t="shared" si="32"/>
        <v>0</v>
      </c>
      <c r="AG14" s="66">
        <f>IF($AD14="N","N",SUM('調查資料(OUT)'!B20:B23))</f>
        <v>0</v>
      </c>
      <c r="AH14" s="66">
        <f>IF($AD14="N","N",SUM('調查資料(OUT)'!E20:E23))</f>
        <v>0</v>
      </c>
      <c r="AI14" s="66">
        <f>IF($AD14="N","N",SUM('調查資料(OUT)'!I20:I23))</f>
        <v>0</v>
      </c>
      <c r="AJ14" s="66">
        <f>IF($AD14="N","N",SUM('調查資料(OUT)'!H20:H23))</f>
        <v>0</v>
      </c>
      <c r="AK14" s="383" t="e">
        <f t="shared" si="33"/>
        <v>#DIV/0!</v>
      </c>
      <c r="AL14" s="66">
        <f t="shared" si="34"/>
        <v>0</v>
      </c>
      <c r="AM14" s="66">
        <f>IF($AD14="N","N",SUM('調查資料(OUT)'!C20:C23))</f>
        <v>0</v>
      </c>
      <c r="AN14" s="66">
        <f>IF($AD14="N","N",SUM('調查資料(OUT)'!F20:F23))</f>
        <v>0</v>
      </c>
      <c r="AO14" s="66">
        <f>IF($AD14="N","N",SUM('調查資料(OUT)'!J20:J23))</f>
        <v>0</v>
      </c>
      <c r="AP14" s="383" t="e">
        <f t="shared" si="35"/>
        <v>#DIV/0!</v>
      </c>
      <c r="AQ14" s="66">
        <f t="shared" si="36"/>
        <v>0</v>
      </c>
      <c r="AR14" s="66">
        <f>IF($AD14="N","N",SUM('調查資料(OUT)'!D20:D23))</f>
        <v>0</v>
      </c>
      <c r="AS14" s="66">
        <f>IF($AD14="N","N",SUM('調查資料(OUT)'!G20:G23))</f>
        <v>0</v>
      </c>
      <c r="AT14" s="66">
        <f>IF($AD14="N","N",SUM('調查資料(OUT)'!K20:K23))</f>
        <v>0</v>
      </c>
      <c r="AU14" s="383" t="e">
        <f t="shared" si="37"/>
        <v>#DIV/0!</v>
      </c>
      <c r="AV14" s="66">
        <f t="shared" si="38"/>
        <v>0</v>
      </c>
      <c r="AW14" s="383" t="e">
        <f t="shared" si="39"/>
        <v>#DIV/0!</v>
      </c>
      <c r="AX14" s="66">
        <f t="shared" si="40"/>
        <v>0</v>
      </c>
      <c r="AY14" s="383" t="e">
        <f t="shared" si="41"/>
        <v>#DIV/0!</v>
      </c>
      <c r="AZ14" s="66">
        <f t="shared" si="42"/>
        <v>0</v>
      </c>
      <c r="BA14" s="383" t="e">
        <f t="shared" si="43"/>
        <v>#DIV/0!</v>
      </c>
      <c r="BB14" s="316">
        <f t="shared" si="44"/>
        <v>0</v>
      </c>
      <c r="BC14" s="309">
        <f t="shared" si="6"/>
        <v>0</v>
      </c>
      <c r="BD14" s="66">
        <f>IF($AD14="N","N",SUM('調查資料(OUT)'!L20:L23))</f>
        <v>0</v>
      </c>
      <c r="BE14" s="66">
        <f>IF($AD14="N","N",SUM('調查資料(OUT)'!O20:O23))</f>
        <v>0</v>
      </c>
      <c r="BF14" s="66">
        <f>IF($AD14="N","N",SUM('調查資料(OUT)'!S20:S23))</f>
        <v>0</v>
      </c>
      <c r="BG14" s="66">
        <f>IF($AD14="N","N",SUM('調查資料(OUT)'!R20:R23))</f>
        <v>0</v>
      </c>
      <c r="BH14" s="383" t="e">
        <f t="shared" si="7"/>
        <v>#DIV/0!</v>
      </c>
      <c r="BI14" s="66">
        <f t="shared" si="8"/>
        <v>0</v>
      </c>
      <c r="BJ14" s="66">
        <f>IF($AD14="N","N",SUM('調查資料(OUT)'!M20:M23))</f>
        <v>0</v>
      </c>
      <c r="BK14" s="66">
        <f>IF($AD14="N","N",SUM('調查資料(OUT)'!P20:P23))</f>
        <v>0</v>
      </c>
      <c r="BL14" s="66">
        <f>IF($AD14="N","N",SUM('調查資料(OUT)'!T20:T23))</f>
        <v>0</v>
      </c>
      <c r="BM14" s="383" t="e">
        <f t="shared" si="9"/>
        <v>#DIV/0!</v>
      </c>
      <c r="BN14" s="66">
        <f t="shared" si="10"/>
        <v>0</v>
      </c>
      <c r="BO14" s="66">
        <f>IF($AD14="N","N",SUM('調查資料(OUT)'!N20:N23))</f>
        <v>0</v>
      </c>
      <c r="BP14" s="66">
        <f>IF($AD14="N","N",SUM('調查資料(OUT)'!Q20:Q23))</f>
        <v>0</v>
      </c>
      <c r="BQ14" s="66">
        <f>IF($AD14="N","N",SUM('調查資料(OUT)'!U20:U23))</f>
        <v>0</v>
      </c>
      <c r="BR14" s="383" t="e">
        <f t="shared" si="11"/>
        <v>#DIV/0!</v>
      </c>
      <c r="BS14" s="66">
        <f t="shared" si="45"/>
        <v>0</v>
      </c>
      <c r="BT14" s="383" t="e">
        <f t="shared" si="46"/>
        <v>#DIV/0!</v>
      </c>
      <c r="BU14" s="66">
        <f t="shared" si="47"/>
        <v>0</v>
      </c>
      <c r="BV14" s="383" t="e">
        <f t="shared" si="48"/>
        <v>#DIV/0!</v>
      </c>
      <c r="BW14" s="66">
        <f t="shared" si="49"/>
        <v>0</v>
      </c>
      <c r="BX14" s="383" t="e">
        <f t="shared" si="50"/>
        <v>#DIV/0!</v>
      </c>
      <c r="BY14" s="316">
        <f t="shared" si="51"/>
        <v>0</v>
      </c>
      <c r="BZ14" s="309">
        <f t="shared" si="12"/>
        <v>0</v>
      </c>
      <c r="CA14" s="66">
        <f>IF($AD14="N","N",SUM('調查資料(OUT)'!V20:V23))</f>
        <v>0</v>
      </c>
      <c r="CB14" s="66">
        <f>IF($AD14="N","N",SUM('調查資料(OUT)'!Y20:Y23))</f>
        <v>0</v>
      </c>
      <c r="CC14" s="66">
        <f>IF($AD14="N","N",SUM('調查資料(OUT)'!AC20:AC23))</f>
        <v>0</v>
      </c>
      <c r="CD14" s="66">
        <f>IF($AD14="N","N",SUM('調查資料(OUT)'!AB20:AB23))</f>
        <v>0</v>
      </c>
      <c r="CE14" s="383" t="e">
        <f t="shared" si="13"/>
        <v>#DIV/0!</v>
      </c>
      <c r="CF14" s="66">
        <f t="shared" si="14"/>
        <v>0</v>
      </c>
      <c r="CG14" s="66">
        <f>IF($AD14="N","N",SUM('調查資料(OUT)'!W20:W23))</f>
        <v>0</v>
      </c>
      <c r="CH14" s="66">
        <f>IF($AD14="N","N",SUM('調查資料(OUT)'!Z20:Z23))</f>
        <v>0</v>
      </c>
      <c r="CI14" s="66">
        <f>IF($AD14="N","N",SUM('調查資料(OUT)'!AD20:AD23))</f>
        <v>0</v>
      </c>
      <c r="CJ14" s="383" t="e">
        <f t="shared" si="15"/>
        <v>#DIV/0!</v>
      </c>
      <c r="CK14" s="66">
        <f t="shared" si="16"/>
        <v>0</v>
      </c>
      <c r="CL14" s="66">
        <f>IF($AD14="N","N",SUM('調查資料(OUT)'!X20:X23))</f>
        <v>0</v>
      </c>
      <c r="CM14" s="66">
        <f>IF($AD14="N","N",SUM('調查資料(OUT)'!AA20:AA23))</f>
        <v>0</v>
      </c>
      <c r="CN14" s="66">
        <f>IF($AD14="N","N",SUM('調查資料(OUT)'!AE20:AE23))</f>
        <v>0</v>
      </c>
      <c r="CO14" s="383" t="e">
        <f t="shared" si="17"/>
        <v>#DIV/0!</v>
      </c>
      <c r="CP14" s="66">
        <f t="shared" si="52"/>
        <v>0</v>
      </c>
      <c r="CQ14" s="383" t="e">
        <f t="shared" si="53"/>
        <v>#DIV/0!</v>
      </c>
      <c r="CR14" s="66">
        <f t="shared" si="54"/>
        <v>0</v>
      </c>
      <c r="CS14" s="383" t="e">
        <f t="shared" si="55"/>
        <v>#DIV/0!</v>
      </c>
      <c r="CT14" s="66">
        <f t="shared" si="56"/>
        <v>0</v>
      </c>
      <c r="CU14" s="383" t="e">
        <f t="shared" si="57"/>
        <v>#DIV/0!</v>
      </c>
      <c r="CV14" s="316">
        <f t="shared" si="58"/>
        <v>0</v>
      </c>
      <c r="CW14" s="309">
        <f t="shared" si="18"/>
        <v>0</v>
      </c>
      <c r="CX14" s="66">
        <f>IF($AD14="N","N",SUM('調查資料(OUT)'!AF20:AF23))</f>
        <v>0</v>
      </c>
      <c r="CY14" s="66">
        <f>IF($AD14="N","N",SUM('調查資料(OUT)'!AI20:AI23))</f>
        <v>0</v>
      </c>
      <c r="CZ14" s="66">
        <f>IF($AD14="N","N",SUM('調查資料(OUT)'!AM20:AM23))</f>
        <v>0</v>
      </c>
      <c r="DA14" s="66">
        <f>IF($AD14="N","N",SUM('調查資料(OUT)'!AL20:AL23))</f>
        <v>0</v>
      </c>
      <c r="DB14" s="383" t="e">
        <f t="shared" si="19"/>
        <v>#DIV/0!</v>
      </c>
      <c r="DC14" s="66">
        <f t="shared" si="20"/>
        <v>0</v>
      </c>
      <c r="DD14" s="66">
        <f>IF($AD14="N","N",SUM('調查資料(OUT)'!AG20:AG23))</f>
        <v>0</v>
      </c>
      <c r="DE14" s="66">
        <f>IF($AD14="N","N",SUM('調查資料(OUT)'!AJ20:AJ23))</f>
        <v>0</v>
      </c>
      <c r="DF14" s="66">
        <f>IF($AD14="N","N",SUM('調查資料(OUT)'!AN20:AN23))</f>
        <v>0</v>
      </c>
      <c r="DG14" s="383" t="e">
        <f t="shared" si="21"/>
        <v>#DIV/0!</v>
      </c>
      <c r="DH14" s="66">
        <f t="shared" si="22"/>
        <v>0</v>
      </c>
      <c r="DI14" s="66">
        <f>IF($AD14="N","N",SUM('調查資料(OUT)'!AH20:AH23))</f>
        <v>0</v>
      </c>
      <c r="DJ14" s="66">
        <f>IF($AD14="N","N",SUM('調查資料(OUT)'!AK20:AK23))</f>
        <v>0</v>
      </c>
      <c r="DK14" s="66">
        <f>IF($AD14="N","N",SUM('調查資料(OUT)'!AO20:AO23))</f>
        <v>0</v>
      </c>
      <c r="DL14" s="383" t="e">
        <f t="shared" si="23"/>
        <v>#DIV/0!</v>
      </c>
      <c r="DM14" s="66">
        <f t="shared" si="59"/>
        <v>0</v>
      </c>
      <c r="DN14" s="383" t="e">
        <f t="shared" si="60"/>
        <v>#DIV/0!</v>
      </c>
      <c r="DO14" s="66">
        <f t="shared" si="61"/>
        <v>0</v>
      </c>
      <c r="DP14" s="383" t="e">
        <f t="shared" si="62"/>
        <v>#DIV/0!</v>
      </c>
      <c r="DQ14" s="66">
        <f t="shared" si="63"/>
        <v>0</v>
      </c>
      <c r="DR14" s="383" t="e">
        <f t="shared" si="64"/>
        <v>#DIV/0!</v>
      </c>
      <c r="DS14" s="316">
        <f t="shared" si="65"/>
        <v>0</v>
      </c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  <c r="FK14" s="67"/>
      <c r="FL14" s="67"/>
      <c r="FM14" s="67"/>
      <c r="FN14" s="67"/>
    </row>
    <row r="15" spans="1:170">
      <c r="A15" s="118">
        <f>'調查資料(OUT)'!A21</f>
        <v>230</v>
      </c>
      <c r="B15" s="309">
        <f t="shared" si="0"/>
        <v>0</v>
      </c>
      <c r="C15" s="66">
        <f>IFERROR('調查資料(OUT)'!B$1*'調查資料(OUT)'!B21,0)+IFERROR('調查資料(OUT)'!E$1*'調查資料(OUT)'!E21,0)+IFERROR('調查資料(OUT)'!H$1*'調查資料(OUT)'!H21,0)+IFERROR('調查資料(OUT)'!I$1*'調查資料(OUT)'!I21,0)</f>
        <v>0</v>
      </c>
      <c r="D15" s="66">
        <f>IFERROR('調查資料(OUT)'!C$1*'調查資料(OUT)'!C21,0)+IFERROR('調查資料(OUT)'!F$1*'調查資料(OUT)'!F21,0)+IFERROR('調查資料(OUT)'!J$1*'調查資料(OUT)'!J21,0)</f>
        <v>0</v>
      </c>
      <c r="E15" s="316">
        <f>IFERROR('調查資料(OUT)'!D$1*'調查資料(OUT)'!D21,0)+IFERROR('調查資料(OUT)'!G$1*'調查資料(OUT)'!G21,0)+IFERROR('調查資料(OUT)'!K$1*'調查資料(OUT)'!K21,0)</f>
        <v>0</v>
      </c>
      <c r="F15" s="309">
        <f t="shared" si="1"/>
        <v>0</v>
      </c>
      <c r="G15" s="66">
        <f>IFERROR('調查資料(OUT)'!L$1*'調查資料(OUT)'!L21,0)+IFERROR('調查資料(OUT)'!O$1*'調查資料(OUT)'!O21,0)+IFERROR('調查資料(OUT)'!R$1*'調查資料(OUT)'!R21,0)+IFERROR('調查資料(OUT)'!S$1*'調查資料(OUT)'!S21,0)</f>
        <v>0</v>
      </c>
      <c r="H15" s="66">
        <f>IFERROR('調查資料(OUT)'!M$1*'調查資料(OUT)'!M21,0)+IFERROR('調查資料(OUT)'!P$1*'調查資料(OUT)'!P21,0)+IFERROR('調查資料(OUT)'!T$1*'調查資料(OUT)'!T21,0)</f>
        <v>0</v>
      </c>
      <c r="I15" s="316">
        <f>IFERROR('調查資料(OUT)'!N$1*'調查資料(OUT)'!N21,0)+IFERROR('調查資料(OUT)'!Q$1*'調查資料(OUT)'!Q21,0)+IFERROR('調查資料(OUT)'!U$1*'調查資料(OUT)'!U21,0)</f>
        <v>0</v>
      </c>
      <c r="J15" s="309">
        <f t="shared" si="24"/>
        <v>0</v>
      </c>
      <c r="K15" s="66">
        <f>IFERROR('調查資料(OUT)'!V$1*'調查資料(OUT)'!V21,0)+IFERROR('調查資料(OUT)'!Y$1*'調查資料(OUT)'!Y21,0)+IFERROR('調查資料(OUT)'!AB$1*'調查資料(OUT)'!AB21,0)+IFERROR('調查資料(OUT)'!AC$1*'調查資料(OUT)'!AC21,0)</f>
        <v>0</v>
      </c>
      <c r="L15" s="66">
        <f>IFERROR('調查資料(OUT)'!W$1*'調查資料(OUT)'!W21,0)+IFERROR('調查資料(OUT)'!Z$1*'調查資料(OUT)'!Z21,0)+IFERROR('調查資料(OUT)'!AD$1*'調查資料(OUT)'!AD21,0)</f>
        <v>0</v>
      </c>
      <c r="M15" s="316">
        <f>IFERROR('調查資料(OUT)'!X$1*'調查資料(OUT)'!X21,0)+IFERROR('調查資料(OUT)'!AA$1*'調查資料(OUT)'!AA21,0)+IFERROR('調查資料(OUT)'!AE$1*'調查資料(OUT)'!AE21,0)</f>
        <v>0</v>
      </c>
      <c r="N15" s="309">
        <f t="shared" si="25"/>
        <v>0</v>
      </c>
      <c r="O15" s="66">
        <f>IFERROR('調查資料(OUT)'!AF$1*'調查資料(OUT)'!AF21,0)+IFERROR('調查資料(OUT)'!AI$1*'調查資料(OUT)'!AI21,0)+IFERROR('調查資料(OUT)'!AL$1*'調查資料(OUT)'!AL21,0)+IFERROR('調查資料(OUT)'!AM$1*'調查資料(OUT)'!AM21,0)</f>
        <v>0</v>
      </c>
      <c r="P15" s="66">
        <f>IFERROR('調查資料(OUT)'!AG$1*'調查資料(OUT)'!AG21,0)+IFERROR('調查資料(OUT)'!AJ$1*'調查資料(OUT)'!AJ21,0)+IFERROR('調查資料(OUT)'!AN$1*'調查資料(OUT)'!AN21,0)</f>
        <v>0</v>
      </c>
      <c r="Q15" s="316">
        <f>IFERROR('調查資料(OUT)'!AH$1*'調查資料(OUT)'!AH21,0)+IFERROR('調查資料(OUT)'!AK$1*'調查資料(OUT)'!AK21,0)+IFERROR('調查資料(OUT)'!AO$1*'調查資料(OUT)'!AO21,0)</f>
        <v>0</v>
      </c>
      <c r="R15" s="133">
        <f t="shared" si="4"/>
        <v>0</v>
      </c>
      <c r="S15" s="66"/>
      <c r="T15" s="366">
        <f>'調查資料(OUT)'!A21</f>
        <v>230</v>
      </c>
      <c r="U15" s="101">
        <f t="shared" si="66"/>
        <v>330</v>
      </c>
      <c r="V15" s="66">
        <f t="shared" si="67"/>
        <v>0</v>
      </c>
      <c r="W15" s="381"/>
      <c r="X15" s="66">
        <f t="shared" si="5"/>
        <v>0</v>
      </c>
      <c r="Y15" s="379" t="e">
        <f t="shared" si="26"/>
        <v>#DIV/0!</v>
      </c>
      <c r="Z15" s="379" t="e">
        <f t="shared" si="27"/>
        <v>#DIV/0!</v>
      </c>
      <c r="AA15" s="379" t="e">
        <f t="shared" si="28"/>
        <v>#DIV/0!</v>
      </c>
      <c r="AB15" s="379" t="e">
        <f t="shared" si="29"/>
        <v>#DIV/0!</v>
      </c>
      <c r="AC15" s="67"/>
      <c r="AD15" s="66">
        <f t="shared" si="30"/>
        <v>230</v>
      </c>
      <c r="AE15" s="316">
        <f t="shared" si="31"/>
        <v>330</v>
      </c>
      <c r="AF15" s="309">
        <f t="shared" si="32"/>
        <v>0</v>
      </c>
      <c r="AG15" s="66">
        <f>IF($AD15="N","N",SUM('調查資料(OUT)'!B21:B24))</f>
        <v>0</v>
      </c>
      <c r="AH15" s="66">
        <f>IF($AD15="N","N",SUM('調查資料(OUT)'!E21:E24))</f>
        <v>0</v>
      </c>
      <c r="AI15" s="66">
        <f>IF($AD15="N","N",SUM('調查資料(OUT)'!I21:I24))</f>
        <v>0</v>
      </c>
      <c r="AJ15" s="66">
        <f>IF($AD15="N","N",SUM('調查資料(OUT)'!H21:H24))</f>
        <v>0</v>
      </c>
      <c r="AK15" s="383" t="e">
        <f t="shared" si="33"/>
        <v>#DIV/0!</v>
      </c>
      <c r="AL15" s="66">
        <f t="shared" si="34"/>
        <v>0</v>
      </c>
      <c r="AM15" s="66">
        <f>IF($AD15="N","N",SUM('調查資料(OUT)'!C21:C24))</f>
        <v>0</v>
      </c>
      <c r="AN15" s="66">
        <f>IF($AD15="N","N",SUM('調查資料(OUT)'!F21:F24))</f>
        <v>0</v>
      </c>
      <c r="AO15" s="66">
        <f>IF($AD15="N","N",SUM('調查資料(OUT)'!J21:J24))</f>
        <v>0</v>
      </c>
      <c r="AP15" s="383" t="e">
        <f t="shared" si="35"/>
        <v>#DIV/0!</v>
      </c>
      <c r="AQ15" s="66">
        <f t="shared" si="36"/>
        <v>0</v>
      </c>
      <c r="AR15" s="66">
        <f>IF($AD15="N","N",SUM('調查資料(OUT)'!D21:D24))</f>
        <v>0</v>
      </c>
      <c r="AS15" s="66">
        <f>IF($AD15="N","N",SUM('調查資料(OUT)'!G21:G24))</f>
        <v>0</v>
      </c>
      <c r="AT15" s="66">
        <f>IF($AD15="N","N",SUM('調查資料(OUT)'!K21:K24))</f>
        <v>0</v>
      </c>
      <c r="AU15" s="383" t="e">
        <f t="shared" si="37"/>
        <v>#DIV/0!</v>
      </c>
      <c r="AV15" s="66">
        <f t="shared" si="38"/>
        <v>0</v>
      </c>
      <c r="AW15" s="383" t="e">
        <f t="shared" si="39"/>
        <v>#DIV/0!</v>
      </c>
      <c r="AX15" s="66">
        <f t="shared" si="40"/>
        <v>0</v>
      </c>
      <c r="AY15" s="383" t="e">
        <f t="shared" si="41"/>
        <v>#DIV/0!</v>
      </c>
      <c r="AZ15" s="66">
        <f t="shared" si="42"/>
        <v>0</v>
      </c>
      <c r="BA15" s="383" t="e">
        <f t="shared" si="43"/>
        <v>#DIV/0!</v>
      </c>
      <c r="BB15" s="316">
        <f t="shared" si="44"/>
        <v>0</v>
      </c>
      <c r="BC15" s="309">
        <f t="shared" si="6"/>
        <v>0</v>
      </c>
      <c r="BD15" s="66">
        <f>IF($AD15="N","N",SUM('調查資料(OUT)'!L21:L24))</f>
        <v>0</v>
      </c>
      <c r="BE15" s="66">
        <f>IF($AD15="N","N",SUM('調查資料(OUT)'!O21:O24))</f>
        <v>0</v>
      </c>
      <c r="BF15" s="66">
        <f>IF($AD15="N","N",SUM('調查資料(OUT)'!S21:S24))</f>
        <v>0</v>
      </c>
      <c r="BG15" s="66">
        <f>IF($AD15="N","N",SUM('調查資料(OUT)'!R21:R24))</f>
        <v>0</v>
      </c>
      <c r="BH15" s="383" t="e">
        <f t="shared" si="7"/>
        <v>#DIV/0!</v>
      </c>
      <c r="BI15" s="66">
        <f t="shared" si="8"/>
        <v>0</v>
      </c>
      <c r="BJ15" s="66">
        <f>IF($AD15="N","N",SUM('調查資料(OUT)'!M21:M24))</f>
        <v>0</v>
      </c>
      <c r="BK15" s="66">
        <f>IF($AD15="N","N",SUM('調查資料(OUT)'!P21:P24))</f>
        <v>0</v>
      </c>
      <c r="BL15" s="66">
        <f>IF($AD15="N","N",SUM('調查資料(OUT)'!T21:T24))</f>
        <v>0</v>
      </c>
      <c r="BM15" s="383" t="e">
        <f t="shared" si="9"/>
        <v>#DIV/0!</v>
      </c>
      <c r="BN15" s="66">
        <f t="shared" si="10"/>
        <v>0</v>
      </c>
      <c r="BO15" s="66">
        <f>IF($AD15="N","N",SUM('調查資料(OUT)'!N21:N24))</f>
        <v>0</v>
      </c>
      <c r="BP15" s="66">
        <f>IF($AD15="N","N",SUM('調查資料(OUT)'!Q21:Q24))</f>
        <v>0</v>
      </c>
      <c r="BQ15" s="66">
        <f>IF($AD15="N","N",SUM('調查資料(OUT)'!U21:U24))</f>
        <v>0</v>
      </c>
      <c r="BR15" s="383" t="e">
        <f t="shared" si="11"/>
        <v>#DIV/0!</v>
      </c>
      <c r="BS15" s="66">
        <f t="shared" si="45"/>
        <v>0</v>
      </c>
      <c r="BT15" s="383" t="e">
        <f t="shared" si="46"/>
        <v>#DIV/0!</v>
      </c>
      <c r="BU15" s="66">
        <f t="shared" si="47"/>
        <v>0</v>
      </c>
      <c r="BV15" s="383" t="e">
        <f t="shared" si="48"/>
        <v>#DIV/0!</v>
      </c>
      <c r="BW15" s="66">
        <f t="shared" si="49"/>
        <v>0</v>
      </c>
      <c r="BX15" s="383" t="e">
        <f t="shared" si="50"/>
        <v>#DIV/0!</v>
      </c>
      <c r="BY15" s="316">
        <f t="shared" si="51"/>
        <v>0</v>
      </c>
      <c r="BZ15" s="309">
        <f t="shared" si="12"/>
        <v>0</v>
      </c>
      <c r="CA15" s="66">
        <f>IF($AD15="N","N",SUM('調查資料(OUT)'!V21:V24))</f>
        <v>0</v>
      </c>
      <c r="CB15" s="66">
        <f>IF($AD15="N","N",SUM('調查資料(OUT)'!Y21:Y24))</f>
        <v>0</v>
      </c>
      <c r="CC15" s="66">
        <f>IF($AD15="N","N",SUM('調查資料(OUT)'!AC21:AC24))</f>
        <v>0</v>
      </c>
      <c r="CD15" s="66">
        <f>IF($AD15="N","N",SUM('調查資料(OUT)'!AB21:AB24))</f>
        <v>0</v>
      </c>
      <c r="CE15" s="383" t="e">
        <f t="shared" si="13"/>
        <v>#DIV/0!</v>
      </c>
      <c r="CF15" s="66">
        <f t="shared" si="14"/>
        <v>0</v>
      </c>
      <c r="CG15" s="66">
        <f>IF($AD15="N","N",SUM('調查資料(OUT)'!W21:W24))</f>
        <v>0</v>
      </c>
      <c r="CH15" s="66">
        <f>IF($AD15="N","N",SUM('調查資料(OUT)'!Z21:Z24))</f>
        <v>0</v>
      </c>
      <c r="CI15" s="66">
        <f>IF($AD15="N","N",SUM('調查資料(OUT)'!AD21:AD24))</f>
        <v>0</v>
      </c>
      <c r="CJ15" s="383" t="e">
        <f t="shared" si="15"/>
        <v>#DIV/0!</v>
      </c>
      <c r="CK15" s="66">
        <f t="shared" si="16"/>
        <v>0</v>
      </c>
      <c r="CL15" s="66">
        <f>IF($AD15="N","N",SUM('調查資料(OUT)'!X21:X24))</f>
        <v>0</v>
      </c>
      <c r="CM15" s="66">
        <f>IF($AD15="N","N",SUM('調查資料(OUT)'!AA21:AA24))</f>
        <v>0</v>
      </c>
      <c r="CN15" s="66">
        <f>IF($AD15="N","N",SUM('調查資料(OUT)'!AE21:AE24))</f>
        <v>0</v>
      </c>
      <c r="CO15" s="383" t="e">
        <f t="shared" si="17"/>
        <v>#DIV/0!</v>
      </c>
      <c r="CP15" s="66">
        <f t="shared" si="52"/>
        <v>0</v>
      </c>
      <c r="CQ15" s="383" t="e">
        <f t="shared" si="53"/>
        <v>#DIV/0!</v>
      </c>
      <c r="CR15" s="66">
        <f t="shared" si="54"/>
        <v>0</v>
      </c>
      <c r="CS15" s="383" t="e">
        <f t="shared" si="55"/>
        <v>#DIV/0!</v>
      </c>
      <c r="CT15" s="66">
        <f t="shared" si="56"/>
        <v>0</v>
      </c>
      <c r="CU15" s="383" t="e">
        <f t="shared" si="57"/>
        <v>#DIV/0!</v>
      </c>
      <c r="CV15" s="316">
        <f t="shared" si="58"/>
        <v>0</v>
      </c>
      <c r="CW15" s="309">
        <f t="shared" si="18"/>
        <v>0</v>
      </c>
      <c r="CX15" s="66">
        <f>IF($AD15="N","N",SUM('調查資料(OUT)'!AF21:AF24))</f>
        <v>0</v>
      </c>
      <c r="CY15" s="66">
        <f>IF($AD15="N","N",SUM('調查資料(OUT)'!AI21:AI24))</f>
        <v>0</v>
      </c>
      <c r="CZ15" s="66">
        <f>IF($AD15="N","N",SUM('調查資料(OUT)'!AM21:AM24))</f>
        <v>0</v>
      </c>
      <c r="DA15" s="66">
        <f>IF($AD15="N","N",SUM('調查資料(OUT)'!AL21:AL24))</f>
        <v>0</v>
      </c>
      <c r="DB15" s="383" t="e">
        <f t="shared" si="19"/>
        <v>#DIV/0!</v>
      </c>
      <c r="DC15" s="66">
        <f t="shared" si="20"/>
        <v>0</v>
      </c>
      <c r="DD15" s="66">
        <f>IF($AD15="N","N",SUM('調查資料(OUT)'!AG21:AG24))</f>
        <v>0</v>
      </c>
      <c r="DE15" s="66">
        <f>IF($AD15="N","N",SUM('調查資料(OUT)'!AJ21:AJ24))</f>
        <v>0</v>
      </c>
      <c r="DF15" s="66">
        <f>IF($AD15="N","N",SUM('調查資料(OUT)'!AN21:AN24))</f>
        <v>0</v>
      </c>
      <c r="DG15" s="383" t="e">
        <f t="shared" si="21"/>
        <v>#DIV/0!</v>
      </c>
      <c r="DH15" s="66">
        <f t="shared" si="22"/>
        <v>0</v>
      </c>
      <c r="DI15" s="66">
        <f>IF($AD15="N","N",SUM('調查資料(OUT)'!AH21:AH24))</f>
        <v>0</v>
      </c>
      <c r="DJ15" s="66">
        <f>IF($AD15="N","N",SUM('調查資料(OUT)'!AK21:AK24))</f>
        <v>0</v>
      </c>
      <c r="DK15" s="66">
        <f>IF($AD15="N","N",SUM('調查資料(OUT)'!AO21:AO24))</f>
        <v>0</v>
      </c>
      <c r="DL15" s="383" t="e">
        <f t="shared" si="23"/>
        <v>#DIV/0!</v>
      </c>
      <c r="DM15" s="66">
        <f t="shared" si="59"/>
        <v>0</v>
      </c>
      <c r="DN15" s="383" t="e">
        <f t="shared" si="60"/>
        <v>#DIV/0!</v>
      </c>
      <c r="DO15" s="66">
        <f t="shared" si="61"/>
        <v>0</v>
      </c>
      <c r="DP15" s="383" t="e">
        <f t="shared" si="62"/>
        <v>#DIV/0!</v>
      </c>
      <c r="DQ15" s="66">
        <f t="shared" si="63"/>
        <v>0</v>
      </c>
      <c r="DR15" s="383" t="e">
        <f t="shared" si="64"/>
        <v>#DIV/0!</v>
      </c>
      <c r="DS15" s="316">
        <f t="shared" si="65"/>
        <v>0</v>
      </c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</row>
    <row r="16" spans="1:170">
      <c r="A16" s="118">
        <f>'調查資料(OUT)'!A22</f>
        <v>245</v>
      </c>
      <c r="B16" s="309">
        <f t="shared" si="0"/>
        <v>0</v>
      </c>
      <c r="C16" s="66">
        <f>IFERROR('調查資料(OUT)'!B$1*'調查資料(OUT)'!B22,0)+IFERROR('調查資料(OUT)'!E$1*'調查資料(OUT)'!E22,0)+IFERROR('調查資料(OUT)'!H$1*'調查資料(OUT)'!H22,0)+IFERROR('調查資料(OUT)'!I$1*'調查資料(OUT)'!I22,0)</f>
        <v>0</v>
      </c>
      <c r="D16" s="66">
        <f>IFERROR('調查資料(OUT)'!C$1*'調查資料(OUT)'!C22,0)+IFERROR('調查資料(OUT)'!F$1*'調查資料(OUT)'!F22,0)+IFERROR('調查資料(OUT)'!J$1*'調查資料(OUT)'!J22,0)</f>
        <v>0</v>
      </c>
      <c r="E16" s="316">
        <f>IFERROR('調查資料(OUT)'!D$1*'調查資料(OUT)'!D22,0)+IFERROR('調查資料(OUT)'!G$1*'調查資料(OUT)'!G22,0)+IFERROR('調查資料(OUT)'!K$1*'調查資料(OUT)'!K22,0)</f>
        <v>0</v>
      </c>
      <c r="F16" s="309">
        <f t="shared" si="1"/>
        <v>0</v>
      </c>
      <c r="G16" s="66">
        <f>IFERROR('調查資料(OUT)'!L$1*'調查資料(OUT)'!L22,0)+IFERROR('調查資料(OUT)'!O$1*'調查資料(OUT)'!O22,0)+IFERROR('調查資料(OUT)'!R$1*'調查資料(OUT)'!R22,0)+IFERROR('調查資料(OUT)'!S$1*'調查資料(OUT)'!S22,0)</f>
        <v>0</v>
      </c>
      <c r="H16" s="66">
        <f>IFERROR('調查資料(OUT)'!M$1*'調查資料(OUT)'!M22,0)+IFERROR('調查資料(OUT)'!P$1*'調查資料(OUT)'!P22,0)+IFERROR('調查資料(OUT)'!T$1*'調查資料(OUT)'!T22,0)</f>
        <v>0</v>
      </c>
      <c r="I16" s="316">
        <f>IFERROR('調查資料(OUT)'!N$1*'調查資料(OUT)'!N22,0)+IFERROR('調查資料(OUT)'!Q$1*'調查資料(OUT)'!Q22,0)+IFERROR('調查資料(OUT)'!U$1*'調查資料(OUT)'!U22,0)</f>
        <v>0</v>
      </c>
      <c r="J16" s="309">
        <f t="shared" si="24"/>
        <v>0</v>
      </c>
      <c r="K16" s="66">
        <f>IFERROR('調查資料(OUT)'!V$1*'調查資料(OUT)'!V22,0)+IFERROR('調查資料(OUT)'!Y$1*'調查資料(OUT)'!Y22,0)+IFERROR('調查資料(OUT)'!AB$1*'調查資料(OUT)'!AB22,0)+IFERROR('調查資料(OUT)'!AC$1*'調查資料(OUT)'!AC22,0)</f>
        <v>0</v>
      </c>
      <c r="L16" s="66">
        <f>IFERROR('調查資料(OUT)'!W$1*'調查資料(OUT)'!W22,0)+IFERROR('調查資料(OUT)'!Z$1*'調查資料(OUT)'!Z22,0)+IFERROR('調查資料(OUT)'!AD$1*'調查資料(OUT)'!AD22,0)</f>
        <v>0</v>
      </c>
      <c r="M16" s="316">
        <f>IFERROR('調查資料(OUT)'!X$1*'調查資料(OUT)'!X22,0)+IFERROR('調查資料(OUT)'!AA$1*'調查資料(OUT)'!AA22,0)+IFERROR('調查資料(OUT)'!AE$1*'調查資料(OUT)'!AE22,0)</f>
        <v>0</v>
      </c>
      <c r="N16" s="309">
        <f t="shared" si="25"/>
        <v>0</v>
      </c>
      <c r="O16" s="66">
        <f>IFERROR('調查資料(OUT)'!AF$1*'調查資料(OUT)'!AF22,0)+IFERROR('調查資料(OUT)'!AI$1*'調查資料(OUT)'!AI22,0)+IFERROR('調查資料(OUT)'!AL$1*'調查資料(OUT)'!AL22,0)+IFERROR('調查資料(OUT)'!AM$1*'調查資料(OUT)'!AM22,0)</f>
        <v>0</v>
      </c>
      <c r="P16" s="66">
        <f>IFERROR('調查資料(OUT)'!AG$1*'調查資料(OUT)'!AG22,0)+IFERROR('調查資料(OUT)'!AJ$1*'調查資料(OUT)'!AJ22,0)+IFERROR('調查資料(OUT)'!AN$1*'調查資料(OUT)'!AN22,0)</f>
        <v>0</v>
      </c>
      <c r="Q16" s="316">
        <f>IFERROR('調查資料(OUT)'!AH$1*'調查資料(OUT)'!AH22,0)+IFERROR('調查資料(OUT)'!AK$1*'調查資料(OUT)'!AK22,0)+IFERROR('調查資料(OUT)'!AO$1*'調查資料(OUT)'!AO22,0)</f>
        <v>0</v>
      </c>
      <c r="R16" s="133">
        <f t="shared" si="4"/>
        <v>0</v>
      </c>
      <c r="S16" s="66"/>
      <c r="T16" s="366">
        <f>'調查資料(OUT)'!A22</f>
        <v>245</v>
      </c>
      <c r="U16" s="101">
        <f t="shared" si="66"/>
        <v>345</v>
      </c>
      <c r="V16" s="66">
        <f t="shared" si="67"/>
        <v>0</v>
      </c>
      <c r="W16" s="381"/>
      <c r="X16" s="66">
        <f t="shared" si="5"/>
        <v>0</v>
      </c>
      <c r="Y16" s="379" t="e">
        <f t="shared" si="26"/>
        <v>#DIV/0!</v>
      </c>
      <c r="Z16" s="379" t="e">
        <f t="shared" si="27"/>
        <v>#DIV/0!</v>
      </c>
      <c r="AA16" s="379" t="e">
        <f t="shared" si="28"/>
        <v>#DIV/0!</v>
      </c>
      <c r="AB16" s="379" t="e">
        <f t="shared" si="29"/>
        <v>#DIV/0!</v>
      </c>
      <c r="AC16" s="67"/>
      <c r="AD16" s="66">
        <f t="shared" si="30"/>
        <v>245</v>
      </c>
      <c r="AE16" s="316">
        <f t="shared" si="31"/>
        <v>345</v>
      </c>
      <c r="AF16" s="309">
        <f t="shared" si="32"/>
        <v>0</v>
      </c>
      <c r="AG16" s="66">
        <f>IF($AD16="N","N",SUM('調查資料(OUT)'!B22:B25))</f>
        <v>0</v>
      </c>
      <c r="AH16" s="66">
        <f>IF($AD16="N","N",SUM('調查資料(OUT)'!E22:E25))</f>
        <v>0</v>
      </c>
      <c r="AI16" s="66">
        <f>IF($AD16="N","N",SUM('調查資料(OUT)'!I22:I25))</f>
        <v>0</v>
      </c>
      <c r="AJ16" s="66">
        <f>IF($AD16="N","N",SUM('調查資料(OUT)'!H22:H25))</f>
        <v>0</v>
      </c>
      <c r="AK16" s="383" t="e">
        <f t="shared" si="33"/>
        <v>#DIV/0!</v>
      </c>
      <c r="AL16" s="66">
        <f t="shared" si="34"/>
        <v>0</v>
      </c>
      <c r="AM16" s="66">
        <f>IF($AD16="N","N",SUM('調查資料(OUT)'!C22:C25))</f>
        <v>0</v>
      </c>
      <c r="AN16" s="66">
        <f>IF($AD16="N","N",SUM('調查資料(OUT)'!F22:F25))</f>
        <v>0</v>
      </c>
      <c r="AO16" s="66">
        <f>IF($AD16="N","N",SUM('調查資料(OUT)'!J22:J25))</f>
        <v>0</v>
      </c>
      <c r="AP16" s="383" t="e">
        <f t="shared" si="35"/>
        <v>#DIV/0!</v>
      </c>
      <c r="AQ16" s="66">
        <f t="shared" si="36"/>
        <v>0</v>
      </c>
      <c r="AR16" s="66">
        <f>IF($AD16="N","N",SUM('調查資料(OUT)'!D22:D25))</f>
        <v>0</v>
      </c>
      <c r="AS16" s="66">
        <f>IF($AD16="N","N",SUM('調查資料(OUT)'!G22:G25))</f>
        <v>0</v>
      </c>
      <c r="AT16" s="66">
        <f>IF($AD16="N","N",SUM('調查資料(OUT)'!K22:K25))</f>
        <v>0</v>
      </c>
      <c r="AU16" s="383" t="e">
        <f t="shared" si="37"/>
        <v>#DIV/0!</v>
      </c>
      <c r="AV16" s="66">
        <f t="shared" si="38"/>
        <v>0</v>
      </c>
      <c r="AW16" s="383" t="e">
        <f t="shared" si="39"/>
        <v>#DIV/0!</v>
      </c>
      <c r="AX16" s="66">
        <f t="shared" si="40"/>
        <v>0</v>
      </c>
      <c r="AY16" s="383" t="e">
        <f t="shared" si="41"/>
        <v>#DIV/0!</v>
      </c>
      <c r="AZ16" s="66">
        <f t="shared" si="42"/>
        <v>0</v>
      </c>
      <c r="BA16" s="383" t="e">
        <f t="shared" si="43"/>
        <v>#DIV/0!</v>
      </c>
      <c r="BB16" s="316">
        <f t="shared" si="44"/>
        <v>0</v>
      </c>
      <c r="BC16" s="309">
        <f t="shared" si="6"/>
        <v>0</v>
      </c>
      <c r="BD16" s="66">
        <f>IF($AD16="N","N",SUM('調查資料(OUT)'!L22:L25))</f>
        <v>0</v>
      </c>
      <c r="BE16" s="66">
        <f>IF($AD16="N","N",SUM('調查資料(OUT)'!O22:O25))</f>
        <v>0</v>
      </c>
      <c r="BF16" s="66">
        <f>IF($AD16="N","N",SUM('調查資料(OUT)'!S22:S25))</f>
        <v>0</v>
      </c>
      <c r="BG16" s="66">
        <f>IF($AD16="N","N",SUM('調查資料(OUT)'!R22:R25))</f>
        <v>0</v>
      </c>
      <c r="BH16" s="383" t="e">
        <f t="shared" si="7"/>
        <v>#DIV/0!</v>
      </c>
      <c r="BI16" s="66">
        <f t="shared" si="8"/>
        <v>0</v>
      </c>
      <c r="BJ16" s="66">
        <f>IF($AD16="N","N",SUM('調查資料(OUT)'!M22:M25))</f>
        <v>0</v>
      </c>
      <c r="BK16" s="66">
        <f>IF($AD16="N","N",SUM('調查資料(OUT)'!P22:P25))</f>
        <v>0</v>
      </c>
      <c r="BL16" s="66">
        <f>IF($AD16="N","N",SUM('調查資料(OUT)'!T22:T25))</f>
        <v>0</v>
      </c>
      <c r="BM16" s="383" t="e">
        <f t="shared" si="9"/>
        <v>#DIV/0!</v>
      </c>
      <c r="BN16" s="66">
        <f t="shared" si="10"/>
        <v>0</v>
      </c>
      <c r="BO16" s="66">
        <f>IF($AD16="N","N",SUM('調查資料(OUT)'!N22:N25))</f>
        <v>0</v>
      </c>
      <c r="BP16" s="66">
        <f>IF($AD16="N","N",SUM('調查資料(OUT)'!Q22:Q25))</f>
        <v>0</v>
      </c>
      <c r="BQ16" s="66">
        <f>IF($AD16="N","N",SUM('調查資料(OUT)'!U22:U25))</f>
        <v>0</v>
      </c>
      <c r="BR16" s="383" t="e">
        <f t="shared" si="11"/>
        <v>#DIV/0!</v>
      </c>
      <c r="BS16" s="66">
        <f t="shared" si="45"/>
        <v>0</v>
      </c>
      <c r="BT16" s="383" t="e">
        <f t="shared" si="46"/>
        <v>#DIV/0!</v>
      </c>
      <c r="BU16" s="66">
        <f t="shared" si="47"/>
        <v>0</v>
      </c>
      <c r="BV16" s="383" t="e">
        <f t="shared" si="48"/>
        <v>#DIV/0!</v>
      </c>
      <c r="BW16" s="66">
        <f t="shared" si="49"/>
        <v>0</v>
      </c>
      <c r="BX16" s="383" t="e">
        <f t="shared" si="50"/>
        <v>#DIV/0!</v>
      </c>
      <c r="BY16" s="316">
        <f t="shared" si="51"/>
        <v>0</v>
      </c>
      <c r="BZ16" s="309">
        <f t="shared" si="12"/>
        <v>0</v>
      </c>
      <c r="CA16" s="66">
        <f>IF($AD16="N","N",SUM('調查資料(OUT)'!V22:V25))</f>
        <v>0</v>
      </c>
      <c r="CB16" s="66">
        <f>IF($AD16="N","N",SUM('調查資料(OUT)'!Y22:Y25))</f>
        <v>0</v>
      </c>
      <c r="CC16" s="66">
        <f>IF($AD16="N","N",SUM('調查資料(OUT)'!AC22:AC25))</f>
        <v>0</v>
      </c>
      <c r="CD16" s="66">
        <f>IF($AD16="N","N",SUM('調查資料(OUT)'!AB22:AB25))</f>
        <v>0</v>
      </c>
      <c r="CE16" s="383" t="e">
        <f t="shared" si="13"/>
        <v>#DIV/0!</v>
      </c>
      <c r="CF16" s="66">
        <f t="shared" si="14"/>
        <v>0</v>
      </c>
      <c r="CG16" s="66">
        <f>IF($AD16="N","N",SUM('調查資料(OUT)'!W22:W25))</f>
        <v>0</v>
      </c>
      <c r="CH16" s="66">
        <f>IF($AD16="N","N",SUM('調查資料(OUT)'!Z22:Z25))</f>
        <v>0</v>
      </c>
      <c r="CI16" s="66">
        <f>IF($AD16="N","N",SUM('調查資料(OUT)'!AD22:AD25))</f>
        <v>0</v>
      </c>
      <c r="CJ16" s="383" t="e">
        <f t="shared" si="15"/>
        <v>#DIV/0!</v>
      </c>
      <c r="CK16" s="66">
        <f t="shared" si="16"/>
        <v>0</v>
      </c>
      <c r="CL16" s="66">
        <f>IF($AD16="N","N",SUM('調查資料(OUT)'!X22:X25))</f>
        <v>0</v>
      </c>
      <c r="CM16" s="66">
        <f>IF($AD16="N","N",SUM('調查資料(OUT)'!AA22:AA25))</f>
        <v>0</v>
      </c>
      <c r="CN16" s="66">
        <f>IF($AD16="N","N",SUM('調查資料(OUT)'!AE22:AE25))</f>
        <v>0</v>
      </c>
      <c r="CO16" s="383" t="e">
        <f t="shared" si="17"/>
        <v>#DIV/0!</v>
      </c>
      <c r="CP16" s="66">
        <f t="shared" si="52"/>
        <v>0</v>
      </c>
      <c r="CQ16" s="383" t="e">
        <f t="shared" si="53"/>
        <v>#DIV/0!</v>
      </c>
      <c r="CR16" s="66">
        <f t="shared" si="54"/>
        <v>0</v>
      </c>
      <c r="CS16" s="383" t="e">
        <f t="shared" si="55"/>
        <v>#DIV/0!</v>
      </c>
      <c r="CT16" s="66">
        <f t="shared" si="56"/>
        <v>0</v>
      </c>
      <c r="CU16" s="383" t="e">
        <f t="shared" si="57"/>
        <v>#DIV/0!</v>
      </c>
      <c r="CV16" s="316">
        <f t="shared" si="58"/>
        <v>0</v>
      </c>
      <c r="CW16" s="309">
        <f t="shared" si="18"/>
        <v>0</v>
      </c>
      <c r="CX16" s="66">
        <f>IF($AD16="N","N",SUM('調查資料(OUT)'!AF22:AF25))</f>
        <v>0</v>
      </c>
      <c r="CY16" s="66">
        <f>IF($AD16="N","N",SUM('調查資料(OUT)'!AI22:AI25))</f>
        <v>0</v>
      </c>
      <c r="CZ16" s="66">
        <f>IF($AD16="N","N",SUM('調查資料(OUT)'!AM22:AM25))</f>
        <v>0</v>
      </c>
      <c r="DA16" s="66">
        <f>IF($AD16="N","N",SUM('調查資料(OUT)'!AL22:AL25))</f>
        <v>0</v>
      </c>
      <c r="DB16" s="383" t="e">
        <f t="shared" si="19"/>
        <v>#DIV/0!</v>
      </c>
      <c r="DC16" s="66">
        <f t="shared" si="20"/>
        <v>0</v>
      </c>
      <c r="DD16" s="66">
        <f>IF($AD16="N","N",SUM('調查資料(OUT)'!AG22:AG25))</f>
        <v>0</v>
      </c>
      <c r="DE16" s="66">
        <f>IF($AD16="N","N",SUM('調查資料(OUT)'!AJ22:AJ25))</f>
        <v>0</v>
      </c>
      <c r="DF16" s="66">
        <f>IF($AD16="N","N",SUM('調查資料(OUT)'!AN22:AN25))</f>
        <v>0</v>
      </c>
      <c r="DG16" s="383" t="e">
        <f t="shared" si="21"/>
        <v>#DIV/0!</v>
      </c>
      <c r="DH16" s="66">
        <f t="shared" si="22"/>
        <v>0</v>
      </c>
      <c r="DI16" s="66">
        <f>IF($AD16="N","N",SUM('調查資料(OUT)'!AH22:AH25))</f>
        <v>0</v>
      </c>
      <c r="DJ16" s="66">
        <f>IF($AD16="N","N",SUM('調查資料(OUT)'!AK22:AK25))</f>
        <v>0</v>
      </c>
      <c r="DK16" s="66">
        <f>IF($AD16="N","N",SUM('調查資料(OUT)'!AO22:AO25))</f>
        <v>0</v>
      </c>
      <c r="DL16" s="383" t="e">
        <f t="shared" si="23"/>
        <v>#DIV/0!</v>
      </c>
      <c r="DM16" s="66">
        <f t="shared" si="59"/>
        <v>0</v>
      </c>
      <c r="DN16" s="383" t="e">
        <f t="shared" si="60"/>
        <v>#DIV/0!</v>
      </c>
      <c r="DO16" s="66">
        <f t="shared" si="61"/>
        <v>0</v>
      </c>
      <c r="DP16" s="383" t="e">
        <f t="shared" si="62"/>
        <v>#DIV/0!</v>
      </c>
      <c r="DQ16" s="66">
        <f t="shared" si="63"/>
        <v>0</v>
      </c>
      <c r="DR16" s="383" t="e">
        <f t="shared" si="64"/>
        <v>#DIV/0!</v>
      </c>
      <c r="DS16" s="316">
        <f t="shared" si="65"/>
        <v>0</v>
      </c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</row>
    <row r="17" spans="1:170">
      <c r="A17" s="118">
        <f>'調查資料(OUT)'!A23</f>
        <v>300</v>
      </c>
      <c r="B17" s="309">
        <f t="shared" si="0"/>
        <v>0</v>
      </c>
      <c r="C17" s="66">
        <f>IFERROR('調查資料(OUT)'!B$1*'調查資料(OUT)'!B23,0)+IFERROR('調查資料(OUT)'!E$1*'調查資料(OUT)'!E23,0)+IFERROR('調查資料(OUT)'!H$1*'調查資料(OUT)'!H23,0)+IFERROR('調查資料(OUT)'!I$1*'調查資料(OUT)'!I23,0)</f>
        <v>0</v>
      </c>
      <c r="D17" s="66">
        <f>IFERROR('調查資料(OUT)'!C$1*'調查資料(OUT)'!C23,0)+IFERROR('調查資料(OUT)'!F$1*'調查資料(OUT)'!F23,0)+IFERROR('調查資料(OUT)'!J$1*'調查資料(OUT)'!J23,0)</f>
        <v>0</v>
      </c>
      <c r="E17" s="316">
        <f>IFERROR('調查資料(OUT)'!D$1*'調查資料(OUT)'!D23,0)+IFERROR('調查資料(OUT)'!G$1*'調查資料(OUT)'!G23,0)+IFERROR('調查資料(OUT)'!K$1*'調查資料(OUT)'!K23,0)</f>
        <v>0</v>
      </c>
      <c r="F17" s="309">
        <f t="shared" si="1"/>
        <v>0</v>
      </c>
      <c r="G17" s="66">
        <f>IFERROR('調查資料(OUT)'!L$1*'調查資料(OUT)'!L23,0)+IFERROR('調查資料(OUT)'!O$1*'調查資料(OUT)'!O23,0)+IFERROR('調查資料(OUT)'!R$1*'調查資料(OUT)'!R23,0)+IFERROR('調查資料(OUT)'!S$1*'調查資料(OUT)'!S23,0)</f>
        <v>0</v>
      </c>
      <c r="H17" s="66">
        <f>IFERROR('調查資料(OUT)'!M$1*'調查資料(OUT)'!M23,0)+IFERROR('調查資料(OUT)'!P$1*'調查資料(OUT)'!P23,0)+IFERROR('調查資料(OUT)'!T$1*'調查資料(OUT)'!T23,0)</f>
        <v>0</v>
      </c>
      <c r="I17" s="316">
        <f>IFERROR('調查資料(OUT)'!N$1*'調查資料(OUT)'!N23,0)+IFERROR('調查資料(OUT)'!Q$1*'調查資料(OUT)'!Q23,0)+IFERROR('調查資料(OUT)'!U$1*'調查資料(OUT)'!U23,0)</f>
        <v>0</v>
      </c>
      <c r="J17" s="309">
        <f t="shared" si="24"/>
        <v>0</v>
      </c>
      <c r="K17" s="66">
        <f>IFERROR('調查資料(OUT)'!V$1*'調查資料(OUT)'!V23,0)+IFERROR('調查資料(OUT)'!Y$1*'調查資料(OUT)'!Y23,0)+IFERROR('調查資料(OUT)'!AB$1*'調查資料(OUT)'!AB23,0)+IFERROR('調查資料(OUT)'!AC$1*'調查資料(OUT)'!AC23,0)</f>
        <v>0</v>
      </c>
      <c r="L17" s="66">
        <f>IFERROR('調查資料(OUT)'!W$1*'調查資料(OUT)'!W23,0)+IFERROR('調查資料(OUT)'!Z$1*'調查資料(OUT)'!Z23,0)+IFERROR('調查資料(OUT)'!AD$1*'調查資料(OUT)'!AD23,0)</f>
        <v>0</v>
      </c>
      <c r="M17" s="316">
        <f>IFERROR('調查資料(OUT)'!X$1*'調查資料(OUT)'!X23,0)+IFERROR('調查資料(OUT)'!AA$1*'調查資料(OUT)'!AA23,0)+IFERROR('調查資料(OUT)'!AE$1*'調查資料(OUT)'!AE23,0)</f>
        <v>0</v>
      </c>
      <c r="N17" s="309">
        <f t="shared" si="25"/>
        <v>0</v>
      </c>
      <c r="O17" s="66">
        <f>IFERROR('調查資料(OUT)'!AF$1*'調查資料(OUT)'!AF23,0)+IFERROR('調查資料(OUT)'!AI$1*'調查資料(OUT)'!AI23,0)+IFERROR('調查資料(OUT)'!AL$1*'調查資料(OUT)'!AL23,0)+IFERROR('調查資料(OUT)'!AM$1*'調查資料(OUT)'!AM23,0)</f>
        <v>0</v>
      </c>
      <c r="P17" s="66">
        <f>IFERROR('調查資料(OUT)'!AG$1*'調查資料(OUT)'!AG23,0)+IFERROR('調查資料(OUT)'!AJ$1*'調查資料(OUT)'!AJ23,0)+IFERROR('調查資料(OUT)'!AN$1*'調查資料(OUT)'!AN23,0)</f>
        <v>0</v>
      </c>
      <c r="Q17" s="316">
        <f>IFERROR('調查資料(OUT)'!AH$1*'調查資料(OUT)'!AH23,0)+IFERROR('調查資料(OUT)'!AK$1*'調查資料(OUT)'!AK23,0)+IFERROR('調查資料(OUT)'!AO$1*'調查資料(OUT)'!AO23,0)</f>
        <v>0</v>
      </c>
      <c r="R17" s="133">
        <f t="shared" si="4"/>
        <v>0</v>
      </c>
      <c r="S17" s="66"/>
      <c r="T17" s="366">
        <f>'調查資料(OUT)'!A23</f>
        <v>300</v>
      </c>
      <c r="U17" s="101">
        <f t="shared" si="66"/>
        <v>400</v>
      </c>
      <c r="V17" s="66">
        <f t="shared" si="67"/>
        <v>0</v>
      </c>
      <c r="W17" s="381"/>
      <c r="X17" s="66">
        <f t="shared" si="5"/>
        <v>0</v>
      </c>
      <c r="Y17" s="379" t="e">
        <f t="shared" si="26"/>
        <v>#DIV/0!</v>
      </c>
      <c r="Z17" s="379" t="e">
        <f t="shared" si="27"/>
        <v>#DIV/0!</v>
      </c>
      <c r="AA17" s="379" t="e">
        <f t="shared" si="28"/>
        <v>#DIV/0!</v>
      </c>
      <c r="AB17" s="379" t="e">
        <f t="shared" si="29"/>
        <v>#DIV/0!</v>
      </c>
      <c r="AC17" s="67"/>
      <c r="AD17" s="66">
        <f t="shared" si="30"/>
        <v>300</v>
      </c>
      <c r="AE17" s="316">
        <f t="shared" si="31"/>
        <v>400</v>
      </c>
      <c r="AF17" s="309">
        <f t="shared" si="32"/>
        <v>0</v>
      </c>
      <c r="AG17" s="66">
        <f>IF($AD17="N","N",SUM('調查資料(OUT)'!B23:B26))</f>
        <v>0</v>
      </c>
      <c r="AH17" s="66">
        <f>IF($AD17="N","N",SUM('調查資料(OUT)'!E23:E26))</f>
        <v>0</v>
      </c>
      <c r="AI17" s="66">
        <f>IF($AD17="N","N",SUM('調查資料(OUT)'!I23:I26))</f>
        <v>0</v>
      </c>
      <c r="AJ17" s="66">
        <f>IF($AD17="N","N",SUM('調查資料(OUT)'!H23:H26))</f>
        <v>0</v>
      </c>
      <c r="AK17" s="383" t="e">
        <f t="shared" si="33"/>
        <v>#DIV/0!</v>
      </c>
      <c r="AL17" s="66">
        <f t="shared" si="34"/>
        <v>0</v>
      </c>
      <c r="AM17" s="66">
        <f>IF($AD17="N","N",SUM('調查資料(OUT)'!C23:C26))</f>
        <v>0</v>
      </c>
      <c r="AN17" s="66">
        <f>IF($AD17="N","N",SUM('調查資料(OUT)'!F23:F26))</f>
        <v>0</v>
      </c>
      <c r="AO17" s="66">
        <f>IF($AD17="N","N",SUM('調查資料(OUT)'!J23:J26))</f>
        <v>0</v>
      </c>
      <c r="AP17" s="383" t="e">
        <f t="shared" si="35"/>
        <v>#DIV/0!</v>
      </c>
      <c r="AQ17" s="66">
        <f t="shared" si="36"/>
        <v>0</v>
      </c>
      <c r="AR17" s="66">
        <f>IF($AD17="N","N",SUM('調查資料(OUT)'!D23:D26))</f>
        <v>0</v>
      </c>
      <c r="AS17" s="66">
        <f>IF($AD17="N","N",SUM('調查資料(OUT)'!G23:G26))</f>
        <v>0</v>
      </c>
      <c r="AT17" s="66">
        <f>IF($AD17="N","N",SUM('調查資料(OUT)'!K23:K26))</f>
        <v>0</v>
      </c>
      <c r="AU17" s="383" t="e">
        <f t="shared" si="37"/>
        <v>#DIV/0!</v>
      </c>
      <c r="AV17" s="66">
        <f t="shared" si="38"/>
        <v>0</v>
      </c>
      <c r="AW17" s="383" t="e">
        <f t="shared" si="39"/>
        <v>#DIV/0!</v>
      </c>
      <c r="AX17" s="66">
        <f t="shared" si="40"/>
        <v>0</v>
      </c>
      <c r="AY17" s="383" t="e">
        <f t="shared" si="41"/>
        <v>#DIV/0!</v>
      </c>
      <c r="AZ17" s="66">
        <f t="shared" si="42"/>
        <v>0</v>
      </c>
      <c r="BA17" s="383" t="e">
        <f t="shared" si="43"/>
        <v>#DIV/0!</v>
      </c>
      <c r="BB17" s="316">
        <f t="shared" si="44"/>
        <v>0</v>
      </c>
      <c r="BC17" s="309">
        <f t="shared" si="6"/>
        <v>0</v>
      </c>
      <c r="BD17" s="66">
        <f>IF($AD17="N","N",SUM('調查資料(OUT)'!L23:L26))</f>
        <v>0</v>
      </c>
      <c r="BE17" s="66">
        <f>IF($AD17="N","N",SUM('調查資料(OUT)'!O23:O26))</f>
        <v>0</v>
      </c>
      <c r="BF17" s="66">
        <f>IF($AD17="N","N",SUM('調查資料(OUT)'!S23:S26))</f>
        <v>0</v>
      </c>
      <c r="BG17" s="66">
        <f>IF($AD17="N","N",SUM('調查資料(OUT)'!R23:R26))</f>
        <v>0</v>
      </c>
      <c r="BH17" s="383" t="e">
        <f t="shared" si="7"/>
        <v>#DIV/0!</v>
      </c>
      <c r="BI17" s="66">
        <f t="shared" si="8"/>
        <v>0</v>
      </c>
      <c r="BJ17" s="66">
        <f>IF($AD17="N","N",SUM('調查資料(OUT)'!M23:M26))</f>
        <v>0</v>
      </c>
      <c r="BK17" s="66">
        <f>IF($AD17="N","N",SUM('調查資料(OUT)'!P23:P26))</f>
        <v>0</v>
      </c>
      <c r="BL17" s="66">
        <f>IF($AD17="N","N",SUM('調查資料(OUT)'!T23:T26))</f>
        <v>0</v>
      </c>
      <c r="BM17" s="383" t="e">
        <f t="shared" si="9"/>
        <v>#DIV/0!</v>
      </c>
      <c r="BN17" s="66">
        <f t="shared" si="10"/>
        <v>0</v>
      </c>
      <c r="BO17" s="66">
        <f>IF($AD17="N","N",SUM('調查資料(OUT)'!N23:N26))</f>
        <v>0</v>
      </c>
      <c r="BP17" s="66">
        <f>IF($AD17="N","N",SUM('調查資料(OUT)'!Q23:Q26))</f>
        <v>0</v>
      </c>
      <c r="BQ17" s="66">
        <f>IF($AD17="N","N",SUM('調查資料(OUT)'!U23:U26))</f>
        <v>0</v>
      </c>
      <c r="BR17" s="383" t="e">
        <f t="shared" si="11"/>
        <v>#DIV/0!</v>
      </c>
      <c r="BS17" s="66">
        <f t="shared" si="45"/>
        <v>0</v>
      </c>
      <c r="BT17" s="383" t="e">
        <f t="shared" si="46"/>
        <v>#DIV/0!</v>
      </c>
      <c r="BU17" s="66">
        <f t="shared" si="47"/>
        <v>0</v>
      </c>
      <c r="BV17" s="383" t="e">
        <f t="shared" si="48"/>
        <v>#DIV/0!</v>
      </c>
      <c r="BW17" s="66">
        <f t="shared" si="49"/>
        <v>0</v>
      </c>
      <c r="BX17" s="383" t="e">
        <f t="shared" si="50"/>
        <v>#DIV/0!</v>
      </c>
      <c r="BY17" s="316">
        <f t="shared" si="51"/>
        <v>0</v>
      </c>
      <c r="BZ17" s="309">
        <f t="shared" si="12"/>
        <v>0</v>
      </c>
      <c r="CA17" s="66">
        <f>IF($AD17="N","N",SUM('調查資料(OUT)'!V23:V26))</f>
        <v>0</v>
      </c>
      <c r="CB17" s="66">
        <f>IF($AD17="N","N",SUM('調查資料(OUT)'!Y23:Y26))</f>
        <v>0</v>
      </c>
      <c r="CC17" s="66">
        <f>IF($AD17="N","N",SUM('調查資料(OUT)'!AC23:AC26))</f>
        <v>0</v>
      </c>
      <c r="CD17" s="66">
        <f>IF($AD17="N","N",SUM('調查資料(OUT)'!AB23:AB26))</f>
        <v>0</v>
      </c>
      <c r="CE17" s="383" t="e">
        <f t="shared" si="13"/>
        <v>#DIV/0!</v>
      </c>
      <c r="CF17" s="66">
        <f t="shared" si="14"/>
        <v>0</v>
      </c>
      <c r="CG17" s="66">
        <f>IF($AD17="N","N",SUM('調查資料(OUT)'!W23:W26))</f>
        <v>0</v>
      </c>
      <c r="CH17" s="66">
        <f>IF($AD17="N","N",SUM('調查資料(OUT)'!Z23:Z26))</f>
        <v>0</v>
      </c>
      <c r="CI17" s="66">
        <f>IF($AD17="N","N",SUM('調查資料(OUT)'!AD23:AD26))</f>
        <v>0</v>
      </c>
      <c r="CJ17" s="383" t="e">
        <f t="shared" si="15"/>
        <v>#DIV/0!</v>
      </c>
      <c r="CK17" s="66">
        <f t="shared" si="16"/>
        <v>0</v>
      </c>
      <c r="CL17" s="66">
        <f>IF($AD17="N","N",SUM('調查資料(OUT)'!X23:X26))</f>
        <v>0</v>
      </c>
      <c r="CM17" s="66">
        <f>IF($AD17="N","N",SUM('調查資料(OUT)'!AA23:AA26))</f>
        <v>0</v>
      </c>
      <c r="CN17" s="66">
        <f>IF($AD17="N","N",SUM('調查資料(OUT)'!AE23:AE26))</f>
        <v>0</v>
      </c>
      <c r="CO17" s="383" t="e">
        <f t="shared" si="17"/>
        <v>#DIV/0!</v>
      </c>
      <c r="CP17" s="66">
        <f t="shared" si="52"/>
        <v>0</v>
      </c>
      <c r="CQ17" s="383" t="e">
        <f t="shared" si="53"/>
        <v>#DIV/0!</v>
      </c>
      <c r="CR17" s="66">
        <f t="shared" si="54"/>
        <v>0</v>
      </c>
      <c r="CS17" s="383" t="e">
        <f t="shared" si="55"/>
        <v>#DIV/0!</v>
      </c>
      <c r="CT17" s="66">
        <f t="shared" si="56"/>
        <v>0</v>
      </c>
      <c r="CU17" s="383" t="e">
        <f t="shared" si="57"/>
        <v>#DIV/0!</v>
      </c>
      <c r="CV17" s="316">
        <f t="shared" si="58"/>
        <v>0</v>
      </c>
      <c r="CW17" s="309">
        <f t="shared" si="18"/>
        <v>0</v>
      </c>
      <c r="CX17" s="66">
        <f>IF($AD17="N","N",SUM('調查資料(OUT)'!AF23:AF26))</f>
        <v>0</v>
      </c>
      <c r="CY17" s="66">
        <f>IF($AD17="N","N",SUM('調查資料(OUT)'!AI23:AI26))</f>
        <v>0</v>
      </c>
      <c r="CZ17" s="66">
        <f>IF($AD17="N","N",SUM('調查資料(OUT)'!AM23:AM26))</f>
        <v>0</v>
      </c>
      <c r="DA17" s="66">
        <f>IF($AD17="N","N",SUM('調查資料(OUT)'!AL23:AL26))</f>
        <v>0</v>
      </c>
      <c r="DB17" s="383" t="e">
        <f t="shared" si="19"/>
        <v>#DIV/0!</v>
      </c>
      <c r="DC17" s="66">
        <f t="shared" si="20"/>
        <v>0</v>
      </c>
      <c r="DD17" s="66">
        <f>IF($AD17="N","N",SUM('調查資料(OUT)'!AG23:AG26))</f>
        <v>0</v>
      </c>
      <c r="DE17" s="66">
        <f>IF($AD17="N","N",SUM('調查資料(OUT)'!AJ23:AJ26))</f>
        <v>0</v>
      </c>
      <c r="DF17" s="66">
        <f>IF($AD17="N","N",SUM('調查資料(OUT)'!AN23:AN26))</f>
        <v>0</v>
      </c>
      <c r="DG17" s="383" t="e">
        <f t="shared" si="21"/>
        <v>#DIV/0!</v>
      </c>
      <c r="DH17" s="66">
        <f t="shared" si="22"/>
        <v>0</v>
      </c>
      <c r="DI17" s="66">
        <f>IF($AD17="N","N",SUM('調查資料(OUT)'!AH23:AH26))</f>
        <v>0</v>
      </c>
      <c r="DJ17" s="66">
        <f>IF($AD17="N","N",SUM('調查資料(OUT)'!AK23:AK26))</f>
        <v>0</v>
      </c>
      <c r="DK17" s="66">
        <f>IF($AD17="N","N",SUM('調查資料(OUT)'!AO23:AO26))</f>
        <v>0</v>
      </c>
      <c r="DL17" s="383" t="e">
        <f t="shared" si="23"/>
        <v>#DIV/0!</v>
      </c>
      <c r="DM17" s="66">
        <f t="shared" si="59"/>
        <v>0</v>
      </c>
      <c r="DN17" s="383" t="e">
        <f t="shared" si="60"/>
        <v>#DIV/0!</v>
      </c>
      <c r="DO17" s="66">
        <f t="shared" si="61"/>
        <v>0</v>
      </c>
      <c r="DP17" s="383" t="e">
        <f t="shared" si="62"/>
        <v>#DIV/0!</v>
      </c>
      <c r="DQ17" s="66">
        <f t="shared" si="63"/>
        <v>0</v>
      </c>
      <c r="DR17" s="383" t="e">
        <f t="shared" si="64"/>
        <v>#DIV/0!</v>
      </c>
      <c r="DS17" s="316">
        <f t="shared" si="65"/>
        <v>0</v>
      </c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</row>
    <row r="18" spans="1:170">
      <c r="A18" s="118">
        <f>'調查資料(OUT)'!A24</f>
        <v>315</v>
      </c>
      <c r="B18" s="309">
        <f t="shared" si="0"/>
        <v>0</v>
      </c>
      <c r="C18" s="66">
        <f>IFERROR('調查資料(OUT)'!B$1*'調查資料(OUT)'!B24,0)+IFERROR('調查資料(OUT)'!E$1*'調查資料(OUT)'!E24,0)+IFERROR('調查資料(OUT)'!H$1*'調查資料(OUT)'!H24,0)+IFERROR('調查資料(OUT)'!I$1*'調查資料(OUT)'!I24,0)</f>
        <v>0</v>
      </c>
      <c r="D18" s="66">
        <f>IFERROR('調查資料(OUT)'!C$1*'調查資料(OUT)'!C24,0)+IFERROR('調查資料(OUT)'!F$1*'調查資料(OUT)'!F24,0)+IFERROR('調查資料(OUT)'!J$1*'調查資料(OUT)'!J24,0)</f>
        <v>0</v>
      </c>
      <c r="E18" s="316">
        <f>IFERROR('調查資料(OUT)'!D$1*'調查資料(OUT)'!D24,0)+IFERROR('調查資料(OUT)'!G$1*'調查資料(OUT)'!G24,0)+IFERROR('調查資料(OUT)'!K$1*'調查資料(OUT)'!K24,0)</f>
        <v>0</v>
      </c>
      <c r="F18" s="309">
        <f t="shared" si="1"/>
        <v>0</v>
      </c>
      <c r="G18" s="66">
        <f>IFERROR('調查資料(OUT)'!L$1*'調查資料(OUT)'!L24,0)+IFERROR('調查資料(OUT)'!O$1*'調查資料(OUT)'!O24,0)+IFERROR('調查資料(OUT)'!R$1*'調查資料(OUT)'!R24,0)+IFERROR('調查資料(OUT)'!S$1*'調查資料(OUT)'!S24,0)</f>
        <v>0</v>
      </c>
      <c r="H18" s="66">
        <f>IFERROR('調查資料(OUT)'!M$1*'調查資料(OUT)'!M24,0)+IFERROR('調查資料(OUT)'!P$1*'調查資料(OUT)'!P24,0)+IFERROR('調查資料(OUT)'!T$1*'調查資料(OUT)'!T24,0)</f>
        <v>0</v>
      </c>
      <c r="I18" s="316">
        <f>IFERROR('調查資料(OUT)'!N$1*'調查資料(OUT)'!N24,0)+IFERROR('調查資料(OUT)'!Q$1*'調查資料(OUT)'!Q24,0)+IFERROR('調查資料(OUT)'!U$1*'調查資料(OUT)'!U24,0)</f>
        <v>0</v>
      </c>
      <c r="J18" s="309">
        <f t="shared" si="24"/>
        <v>0</v>
      </c>
      <c r="K18" s="66">
        <f>IFERROR('調查資料(OUT)'!V$1*'調查資料(OUT)'!V24,0)+IFERROR('調查資料(OUT)'!Y$1*'調查資料(OUT)'!Y24,0)+IFERROR('調查資料(OUT)'!AB$1*'調查資料(OUT)'!AB24,0)+IFERROR('調查資料(OUT)'!AC$1*'調查資料(OUT)'!AC24,0)</f>
        <v>0</v>
      </c>
      <c r="L18" s="66">
        <f>IFERROR('調查資料(OUT)'!W$1*'調查資料(OUT)'!W24,0)+IFERROR('調查資料(OUT)'!Z$1*'調查資料(OUT)'!Z24,0)+IFERROR('調查資料(OUT)'!AD$1*'調查資料(OUT)'!AD24,0)</f>
        <v>0</v>
      </c>
      <c r="M18" s="316">
        <f>IFERROR('調查資料(OUT)'!X$1*'調查資料(OUT)'!X24,0)+IFERROR('調查資料(OUT)'!AA$1*'調查資料(OUT)'!AA24,0)+IFERROR('調查資料(OUT)'!AE$1*'調查資料(OUT)'!AE24,0)</f>
        <v>0</v>
      </c>
      <c r="N18" s="309">
        <f t="shared" si="25"/>
        <v>0</v>
      </c>
      <c r="O18" s="66">
        <f>IFERROR('調查資料(OUT)'!AF$1*'調查資料(OUT)'!AF24,0)+IFERROR('調查資料(OUT)'!AI$1*'調查資料(OUT)'!AI24,0)+IFERROR('調查資料(OUT)'!AL$1*'調查資料(OUT)'!AL24,0)+IFERROR('調查資料(OUT)'!AM$1*'調查資料(OUT)'!AM24,0)</f>
        <v>0</v>
      </c>
      <c r="P18" s="66">
        <f>IFERROR('調查資料(OUT)'!AG$1*'調查資料(OUT)'!AG24,0)+IFERROR('調查資料(OUT)'!AJ$1*'調查資料(OUT)'!AJ24,0)+IFERROR('調查資料(OUT)'!AN$1*'調查資料(OUT)'!AN24,0)</f>
        <v>0</v>
      </c>
      <c r="Q18" s="316">
        <f>IFERROR('調查資料(OUT)'!AH$1*'調查資料(OUT)'!AH24,0)+IFERROR('調查資料(OUT)'!AK$1*'調查資料(OUT)'!AK24,0)+IFERROR('調查資料(OUT)'!AO$1*'調查資料(OUT)'!AO24,0)</f>
        <v>0</v>
      </c>
      <c r="R18" s="133">
        <f t="shared" si="4"/>
        <v>0</v>
      </c>
      <c r="S18" s="66"/>
      <c r="T18" s="366">
        <f>'調查資料(OUT)'!A24</f>
        <v>315</v>
      </c>
      <c r="U18" s="101">
        <f>T18+100</f>
        <v>415</v>
      </c>
      <c r="V18" s="66">
        <f>SUM(R18:R21)</f>
        <v>0</v>
      </c>
      <c r="W18" s="381"/>
      <c r="X18" s="66">
        <f t="shared" si="5"/>
        <v>0</v>
      </c>
      <c r="Y18" s="379" t="e">
        <f t="shared" si="26"/>
        <v>#DIV/0!</v>
      </c>
      <c r="Z18" s="379" t="e">
        <f t="shared" si="27"/>
        <v>#DIV/0!</v>
      </c>
      <c r="AA18" s="379" t="e">
        <f t="shared" si="28"/>
        <v>#DIV/0!</v>
      </c>
      <c r="AB18" s="379" t="e">
        <f t="shared" si="29"/>
        <v>#DIV/0!</v>
      </c>
      <c r="AC18" s="67"/>
      <c r="AD18" s="66">
        <f t="shared" si="30"/>
        <v>315</v>
      </c>
      <c r="AE18" s="316">
        <f t="shared" si="31"/>
        <v>415</v>
      </c>
      <c r="AF18" s="309">
        <f t="shared" si="32"/>
        <v>0</v>
      </c>
      <c r="AG18" s="66">
        <f>IF($AD18="N","N",SUM('調查資料(OUT)'!B24:B27))</f>
        <v>0</v>
      </c>
      <c r="AH18" s="66">
        <f>IF($AD18="N","N",SUM('調查資料(OUT)'!E24:E27))</f>
        <v>0</v>
      </c>
      <c r="AI18" s="66">
        <f>IF($AD18="N","N",SUM('調查資料(OUT)'!I24:I27))</f>
        <v>0</v>
      </c>
      <c r="AJ18" s="66">
        <f>IF($AD18="N","N",SUM('調查資料(OUT)'!H24:H27))</f>
        <v>0</v>
      </c>
      <c r="AK18" s="383" t="e">
        <f t="shared" si="33"/>
        <v>#DIV/0!</v>
      </c>
      <c r="AL18" s="66">
        <f t="shared" si="34"/>
        <v>0</v>
      </c>
      <c r="AM18" s="66">
        <f>IF($AD18="N","N",SUM('調查資料(OUT)'!C24:C27))</f>
        <v>0</v>
      </c>
      <c r="AN18" s="66">
        <f>IF($AD18="N","N",SUM('調查資料(OUT)'!F24:F27))</f>
        <v>0</v>
      </c>
      <c r="AO18" s="66">
        <f>IF($AD18="N","N",SUM('調查資料(OUT)'!J24:J27))</f>
        <v>0</v>
      </c>
      <c r="AP18" s="383" t="e">
        <f t="shared" si="35"/>
        <v>#DIV/0!</v>
      </c>
      <c r="AQ18" s="66">
        <f t="shared" si="36"/>
        <v>0</v>
      </c>
      <c r="AR18" s="66">
        <f>IF($AD18="N","N",SUM('調查資料(OUT)'!D24:D27))</f>
        <v>0</v>
      </c>
      <c r="AS18" s="66">
        <f>IF($AD18="N","N",SUM('調查資料(OUT)'!G24:G27))</f>
        <v>0</v>
      </c>
      <c r="AT18" s="66">
        <f>IF($AD18="N","N",SUM('調查資料(OUT)'!K24:K27))</f>
        <v>0</v>
      </c>
      <c r="AU18" s="383" t="e">
        <f t="shared" si="37"/>
        <v>#DIV/0!</v>
      </c>
      <c r="AV18" s="66">
        <f t="shared" si="38"/>
        <v>0</v>
      </c>
      <c r="AW18" s="383" t="e">
        <f t="shared" si="39"/>
        <v>#DIV/0!</v>
      </c>
      <c r="AX18" s="66">
        <f t="shared" si="40"/>
        <v>0</v>
      </c>
      <c r="AY18" s="383" t="e">
        <f t="shared" si="41"/>
        <v>#DIV/0!</v>
      </c>
      <c r="AZ18" s="66">
        <f t="shared" si="42"/>
        <v>0</v>
      </c>
      <c r="BA18" s="383" t="e">
        <f t="shared" si="43"/>
        <v>#DIV/0!</v>
      </c>
      <c r="BB18" s="316">
        <f t="shared" si="44"/>
        <v>0</v>
      </c>
      <c r="BC18" s="309">
        <f t="shared" si="6"/>
        <v>0</v>
      </c>
      <c r="BD18" s="66">
        <f>IF($AD18="N","N",SUM('調查資料(OUT)'!L24:L27))</f>
        <v>0</v>
      </c>
      <c r="BE18" s="66">
        <f>IF($AD18="N","N",SUM('調查資料(OUT)'!O24:O27))</f>
        <v>0</v>
      </c>
      <c r="BF18" s="66">
        <f>IF($AD18="N","N",SUM('調查資料(OUT)'!S24:S27))</f>
        <v>0</v>
      </c>
      <c r="BG18" s="66">
        <f>IF($AD18="N","N",SUM('調查資料(OUT)'!R24:R27))</f>
        <v>0</v>
      </c>
      <c r="BH18" s="383" t="e">
        <f t="shared" si="7"/>
        <v>#DIV/0!</v>
      </c>
      <c r="BI18" s="66">
        <f t="shared" si="8"/>
        <v>0</v>
      </c>
      <c r="BJ18" s="66">
        <f>IF($AD18="N","N",SUM('調查資料(OUT)'!M24:M27))</f>
        <v>0</v>
      </c>
      <c r="BK18" s="66">
        <f>IF($AD18="N","N",SUM('調查資料(OUT)'!P24:P27))</f>
        <v>0</v>
      </c>
      <c r="BL18" s="66">
        <f>IF($AD18="N","N",SUM('調查資料(OUT)'!T24:T27))</f>
        <v>0</v>
      </c>
      <c r="BM18" s="383" t="e">
        <f t="shared" si="9"/>
        <v>#DIV/0!</v>
      </c>
      <c r="BN18" s="66">
        <f t="shared" si="10"/>
        <v>0</v>
      </c>
      <c r="BO18" s="66">
        <f>IF($AD18="N","N",SUM('調查資料(OUT)'!N24:N27))</f>
        <v>0</v>
      </c>
      <c r="BP18" s="66">
        <f>IF($AD18="N","N",SUM('調查資料(OUT)'!Q24:Q27))</f>
        <v>0</v>
      </c>
      <c r="BQ18" s="66">
        <f>IF($AD18="N","N",SUM('調查資料(OUT)'!U24:U27))</f>
        <v>0</v>
      </c>
      <c r="BR18" s="383" t="e">
        <f t="shared" si="11"/>
        <v>#DIV/0!</v>
      </c>
      <c r="BS18" s="66">
        <f t="shared" si="45"/>
        <v>0</v>
      </c>
      <c r="BT18" s="383" t="e">
        <f t="shared" si="46"/>
        <v>#DIV/0!</v>
      </c>
      <c r="BU18" s="66">
        <f t="shared" si="47"/>
        <v>0</v>
      </c>
      <c r="BV18" s="383" t="e">
        <f t="shared" si="48"/>
        <v>#DIV/0!</v>
      </c>
      <c r="BW18" s="66">
        <f t="shared" si="49"/>
        <v>0</v>
      </c>
      <c r="BX18" s="383" t="e">
        <f t="shared" si="50"/>
        <v>#DIV/0!</v>
      </c>
      <c r="BY18" s="316">
        <f t="shared" si="51"/>
        <v>0</v>
      </c>
      <c r="BZ18" s="309">
        <f t="shared" si="12"/>
        <v>0</v>
      </c>
      <c r="CA18" s="66">
        <f>IF($AD18="N","N",SUM('調查資料(OUT)'!V24:V27))</f>
        <v>0</v>
      </c>
      <c r="CB18" s="66">
        <f>IF($AD18="N","N",SUM('調查資料(OUT)'!Y24:Y27))</f>
        <v>0</v>
      </c>
      <c r="CC18" s="66">
        <f>IF($AD18="N","N",SUM('調查資料(OUT)'!AC24:AC27))</f>
        <v>0</v>
      </c>
      <c r="CD18" s="66">
        <f>IF($AD18="N","N",SUM('調查資料(OUT)'!AB24:AB27))</f>
        <v>0</v>
      </c>
      <c r="CE18" s="383" t="e">
        <f t="shared" si="13"/>
        <v>#DIV/0!</v>
      </c>
      <c r="CF18" s="66">
        <f t="shared" si="14"/>
        <v>0</v>
      </c>
      <c r="CG18" s="66">
        <f>IF($AD18="N","N",SUM('調查資料(OUT)'!W24:W27))</f>
        <v>0</v>
      </c>
      <c r="CH18" s="66">
        <f>IF($AD18="N","N",SUM('調查資料(OUT)'!Z24:Z27))</f>
        <v>0</v>
      </c>
      <c r="CI18" s="66">
        <f>IF($AD18="N","N",SUM('調查資料(OUT)'!AD24:AD27))</f>
        <v>0</v>
      </c>
      <c r="CJ18" s="383" t="e">
        <f t="shared" si="15"/>
        <v>#DIV/0!</v>
      </c>
      <c r="CK18" s="66">
        <f t="shared" si="16"/>
        <v>0</v>
      </c>
      <c r="CL18" s="66">
        <f>IF($AD18="N","N",SUM('調查資料(OUT)'!X24:X27))</f>
        <v>0</v>
      </c>
      <c r="CM18" s="66">
        <f>IF($AD18="N","N",SUM('調查資料(OUT)'!AA24:AA27))</f>
        <v>0</v>
      </c>
      <c r="CN18" s="66">
        <f>IF($AD18="N","N",SUM('調查資料(OUT)'!AE24:AE27))</f>
        <v>0</v>
      </c>
      <c r="CO18" s="383" t="e">
        <f t="shared" si="17"/>
        <v>#DIV/0!</v>
      </c>
      <c r="CP18" s="66">
        <f t="shared" si="52"/>
        <v>0</v>
      </c>
      <c r="CQ18" s="383" t="e">
        <f t="shared" si="53"/>
        <v>#DIV/0!</v>
      </c>
      <c r="CR18" s="66">
        <f t="shared" si="54"/>
        <v>0</v>
      </c>
      <c r="CS18" s="383" t="e">
        <f t="shared" si="55"/>
        <v>#DIV/0!</v>
      </c>
      <c r="CT18" s="66">
        <f t="shared" si="56"/>
        <v>0</v>
      </c>
      <c r="CU18" s="383" t="e">
        <f t="shared" si="57"/>
        <v>#DIV/0!</v>
      </c>
      <c r="CV18" s="316">
        <f t="shared" si="58"/>
        <v>0</v>
      </c>
      <c r="CW18" s="309">
        <f t="shared" si="18"/>
        <v>0</v>
      </c>
      <c r="CX18" s="66">
        <f>IF($AD18="N","N",SUM('調查資料(OUT)'!AF24:AF27))</f>
        <v>0</v>
      </c>
      <c r="CY18" s="66">
        <f>IF($AD18="N","N",SUM('調查資料(OUT)'!AI24:AI27))</f>
        <v>0</v>
      </c>
      <c r="CZ18" s="66">
        <f>IF($AD18="N","N",SUM('調查資料(OUT)'!AM24:AM27))</f>
        <v>0</v>
      </c>
      <c r="DA18" s="66">
        <f>IF($AD18="N","N",SUM('調查資料(OUT)'!AL24:AL27))</f>
        <v>0</v>
      </c>
      <c r="DB18" s="383" t="e">
        <f t="shared" si="19"/>
        <v>#DIV/0!</v>
      </c>
      <c r="DC18" s="66">
        <f t="shared" si="20"/>
        <v>0</v>
      </c>
      <c r="DD18" s="66">
        <f>IF($AD18="N","N",SUM('調查資料(OUT)'!AG24:AG27))</f>
        <v>0</v>
      </c>
      <c r="DE18" s="66">
        <f>IF($AD18="N","N",SUM('調查資料(OUT)'!AJ24:AJ27))</f>
        <v>0</v>
      </c>
      <c r="DF18" s="66">
        <f>IF($AD18="N","N",SUM('調查資料(OUT)'!AN24:AN27))</f>
        <v>0</v>
      </c>
      <c r="DG18" s="383" t="e">
        <f t="shared" si="21"/>
        <v>#DIV/0!</v>
      </c>
      <c r="DH18" s="66">
        <f t="shared" si="22"/>
        <v>0</v>
      </c>
      <c r="DI18" s="66">
        <f>IF($AD18="N","N",SUM('調查資料(OUT)'!AH24:AH27))</f>
        <v>0</v>
      </c>
      <c r="DJ18" s="66">
        <f>IF($AD18="N","N",SUM('調查資料(OUT)'!AK24:AK27))</f>
        <v>0</v>
      </c>
      <c r="DK18" s="66">
        <f>IF($AD18="N","N",SUM('調查資料(OUT)'!AO24:AO27))</f>
        <v>0</v>
      </c>
      <c r="DL18" s="383" t="e">
        <f t="shared" si="23"/>
        <v>#DIV/0!</v>
      </c>
      <c r="DM18" s="66">
        <f t="shared" si="59"/>
        <v>0</v>
      </c>
      <c r="DN18" s="383" t="e">
        <f t="shared" si="60"/>
        <v>#DIV/0!</v>
      </c>
      <c r="DO18" s="66">
        <f t="shared" si="61"/>
        <v>0</v>
      </c>
      <c r="DP18" s="383" t="e">
        <f t="shared" si="62"/>
        <v>#DIV/0!</v>
      </c>
      <c r="DQ18" s="66">
        <f t="shared" si="63"/>
        <v>0</v>
      </c>
      <c r="DR18" s="383" t="e">
        <f t="shared" si="64"/>
        <v>#DIV/0!</v>
      </c>
      <c r="DS18" s="316">
        <f t="shared" si="65"/>
        <v>0</v>
      </c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</row>
    <row r="19" spans="1:170">
      <c r="A19" s="118">
        <f>'調查資料(OUT)'!A25</f>
        <v>330</v>
      </c>
      <c r="B19" s="309">
        <f t="shared" si="0"/>
        <v>0</v>
      </c>
      <c r="C19" s="66">
        <f>IFERROR('調查資料(OUT)'!B$1*'調查資料(OUT)'!B25,0)+IFERROR('調查資料(OUT)'!E$1*'調查資料(OUT)'!E25,0)+IFERROR('調查資料(OUT)'!H$1*'調查資料(OUT)'!H25,0)+IFERROR('調查資料(OUT)'!I$1*'調查資料(OUT)'!I25,0)</f>
        <v>0</v>
      </c>
      <c r="D19" s="66">
        <f>IFERROR('調查資料(OUT)'!C$1*'調查資料(OUT)'!C25,0)+IFERROR('調查資料(OUT)'!F$1*'調查資料(OUT)'!F25,0)+IFERROR('調查資料(OUT)'!J$1*'調查資料(OUT)'!J25,0)</f>
        <v>0</v>
      </c>
      <c r="E19" s="316">
        <f>IFERROR('調查資料(OUT)'!D$1*'調查資料(OUT)'!D25,0)+IFERROR('調查資料(OUT)'!G$1*'調查資料(OUT)'!G25,0)+IFERROR('調查資料(OUT)'!K$1*'調查資料(OUT)'!K25,0)</f>
        <v>0</v>
      </c>
      <c r="F19" s="309">
        <f t="shared" si="1"/>
        <v>0</v>
      </c>
      <c r="G19" s="66">
        <f>IFERROR('調查資料(OUT)'!L$1*'調查資料(OUT)'!L25,0)+IFERROR('調查資料(OUT)'!O$1*'調查資料(OUT)'!O25,0)+IFERROR('調查資料(OUT)'!R$1*'調查資料(OUT)'!R25,0)+IFERROR('調查資料(OUT)'!S$1*'調查資料(OUT)'!S25,0)</f>
        <v>0</v>
      </c>
      <c r="H19" s="66">
        <f>IFERROR('調查資料(OUT)'!M$1*'調查資料(OUT)'!M25,0)+IFERROR('調查資料(OUT)'!P$1*'調查資料(OUT)'!P25,0)+IFERROR('調查資料(OUT)'!T$1*'調查資料(OUT)'!T25,0)</f>
        <v>0</v>
      </c>
      <c r="I19" s="316">
        <f>IFERROR('調查資料(OUT)'!N$1*'調查資料(OUT)'!N25,0)+IFERROR('調查資料(OUT)'!Q$1*'調查資料(OUT)'!Q25,0)+IFERROR('調查資料(OUT)'!U$1*'調查資料(OUT)'!U25,0)</f>
        <v>0</v>
      </c>
      <c r="J19" s="309">
        <f t="shared" si="24"/>
        <v>0</v>
      </c>
      <c r="K19" s="66">
        <f>IFERROR('調查資料(OUT)'!V$1*'調查資料(OUT)'!V25,0)+IFERROR('調查資料(OUT)'!Y$1*'調查資料(OUT)'!Y25,0)+IFERROR('調查資料(OUT)'!AB$1*'調查資料(OUT)'!AB25,0)+IFERROR('調查資料(OUT)'!AC$1*'調查資料(OUT)'!AC25,0)</f>
        <v>0</v>
      </c>
      <c r="L19" s="66">
        <f>IFERROR('調查資料(OUT)'!W$1*'調查資料(OUT)'!W25,0)+IFERROR('調查資料(OUT)'!Z$1*'調查資料(OUT)'!Z25,0)+IFERROR('調查資料(OUT)'!AD$1*'調查資料(OUT)'!AD25,0)</f>
        <v>0</v>
      </c>
      <c r="M19" s="316">
        <f>IFERROR('調查資料(OUT)'!X$1*'調查資料(OUT)'!X25,0)+IFERROR('調查資料(OUT)'!AA$1*'調查資料(OUT)'!AA25,0)+IFERROR('調查資料(OUT)'!AE$1*'調查資料(OUT)'!AE25,0)</f>
        <v>0</v>
      </c>
      <c r="N19" s="309">
        <f t="shared" si="25"/>
        <v>0</v>
      </c>
      <c r="O19" s="66">
        <f>IFERROR('調查資料(OUT)'!AF$1*'調查資料(OUT)'!AF25,0)+IFERROR('調查資料(OUT)'!AI$1*'調查資料(OUT)'!AI25,0)+IFERROR('調查資料(OUT)'!AL$1*'調查資料(OUT)'!AL25,0)+IFERROR('調查資料(OUT)'!AM$1*'調查資料(OUT)'!AM25,0)</f>
        <v>0</v>
      </c>
      <c r="P19" s="66">
        <f>IFERROR('調查資料(OUT)'!AG$1*'調查資料(OUT)'!AG25,0)+IFERROR('調查資料(OUT)'!AJ$1*'調查資料(OUT)'!AJ25,0)+IFERROR('調查資料(OUT)'!AN$1*'調查資料(OUT)'!AN25,0)</f>
        <v>0</v>
      </c>
      <c r="Q19" s="316">
        <f>IFERROR('調查資料(OUT)'!AH$1*'調查資料(OUT)'!AH25,0)+IFERROR('調查資料(OUT)'!AK$1*'調查資料(OUT)'!AK25,0)+IFERROR('調查資料(OUT)'!AO$1*'調查資料(OUT)'!AO25,0)</f>
        <v>0</v>
      </c>
      <c r="R19" s="133">
        <f t="shared" si="4"/>
        <v>0</v>
      </c>
      <c r="S19" s="66"/>
      <c r="T19" s="366">
        <f>'調查資料(OUT)'!A25</f>
        <v>330</v>
      </c>
      <c r="U19" s="101">
        <f>T19+100</f>
        <v>430</v>
      </c>
      <c r="V19" s="66">
        <f>SUM(R19:R22)</f>
        <v>0</v>
      </c>
      <c r="W19" s="381"/>
      <c r="X19" s="66">
        <f t="shared" si="5"/>
        <v>0</v>
      </c>
      <c r="Y19" s="379" t="e">
        <f t="shared" si="26"/>
        <v>#DIV/0!</v>
      </c>
      <c r="Z19" s="379" t="e">
        <f t="shared" si="27"/>
        <v>#DIV/0!</v>
      </c>
      <c r="AA19" s="379" t="e">
        <f t="shared" si="28"/>
        <v>#DIV/0!</v>
      </c>
      <c r="AB19" s="379" t="e">
        <f t="shared" si="29"/>
        <v>#DIV/0!</v>
      </c>
      <c r="AC19" s="67"/>
      <c r="AD19" s="66">
        <f t="shared" si="30"/>
        <v>330</v>
      </c>
      <c r="AE19" s="316">
        <f t="shared" si="31"/>
        <v>430</v>
      </c>
      <c r="AF19" s="309">
        <f t="shared" si="32"/>
        <v>0</v>
      </c>
      <c r="AG19" s="66">
        <f>IF($AD19="N","N",SUM('調查資料(OUT)'!B25:B28))</f>
        <v>0</v>
      </c>
      <c r="AH19" s="66">
        <f>IF($AD19="N","N",SUM('調查資料(OUT)'!E25:E28))</f>
        <v>0</v>
      </c>
      <c r="AI19" s="66">
        <f>IF($AD19="N","N",SUM('調查資料(OUT)'!I25:I28))</f>
        <v>0</v>
      </c>
      <c r="AJ19" s="66">
        <f>IF($AD19="N","N",SUM('調查資料(OUT)'!H25:H28))</f>
        <v>0</v>
      </c>
      <c r="AK19" s="383" t="e">
        <f t="shared" si="33"/>
        <v>#DIV/0!</v>
      </c>
      <c r="AL19" s="66">
        <f t="shared" si="34"/>
        <v>0</v>
      </c>
      <c r="AM19" s="66">
        <f>IF($AD19="N","N",SUM('調查資料(OUT)'!C25:C28))</f>
        <v>0</v>
      </c>
      <c r="AN19" s="66">
        <f>IF($AD19="N","N",SUM('調查資料(OUT)'!F25:F28))</f>
        <v>0</v>
      </c>
      <c r="AO19" s="66">
        <f>IF($AD19="N","N",SUM('調查資料(OUT)'!J25:J28))</f>
        <v>0</v>
      </c>
      <c r="AP19" s="383" t="e">
        <f t="shared" si="35"/>
        <v>#DIV/0!</v>
      </c>
      <c r="AQ19" s="66">
        <f t="shared" si="36"/>
        <v>0</v>
      </c>
      <c r="AR19" s="66">
        <f>IF($AD19="N","N",SUM('調查資料(OUT)'!D25:D28))</f>
        <v>0</v>
      </c>
      <c r="AS19" s="66">
        <f>IF($AD19="N","N",SUM('調查資料(OUT)'!G25:G28))</f>
        <v>0</v>
      </c>
      <c r="AT19" s="66">
        <f>IF($AD19="N","N",SUM('調查資料(OUT)'!K25:K28))</f>
        <v>0</v>
      </c>
      <c r="AU19" s="383" t="e">
        <f t="shared" si="37"/>
        <v>#DIV/0!</v>
      </c>
      <c r="AV19" s="66">
        <f t="shared" si="38"/>
        <v>0</v>
      </c>
      <c r="AW19" s="383" t="e">
        <f t="shared" si="39"/>
        <v>#DIV/0!</v>
      </c>
      <c r="AX19" s="66">
        <f t="shared" si="40"/>
        <v>0</v>
      </c>
      <c r="AY19" s="383" t="e">
        <f t="shared" si="41"/>
        <v>#DIV/0!</v>
      </c>
      <c r="AZ19" s="66">
        <f t="shared" si="42"/>
        <v>0</v>
      </c>
      <c r="BA19" s="383" t="e">
        <f t="shared" si="43"/>
        <v>#DIV/0!</v>
      </c>
      <c r="BB19" s="316">
        <f t="shared" si="44"/>
        <v>0</v>
      </c>
      <c r="BC19" s="309">
        <f t="shared" si="6"/>
        <v>0</v>
      </c>
      <c r="BD19" s="66">
        <f>IF($AD19="N","N",SUM('調查資料(OUT)'!L25:L28))</f>
        <v>0</v>
      </c>
      <c r="BE19" s="66">
        <f>IF($AD19="N","N",SUM('調查資料(OUT)'!O25:O28))</f>
        <v>0</v>
      </c>
      <c r="BF19" s="66">
        <f>IF($AD19="N","N",SUM('調查資料(OUT)'!S25:S28))</f>
        <v>0</v>
      </c>
      <c r="BG19" s="66">
        <f>IF($AD19="N","N",SUM('調查資料(OUT)'!R25:R28))</f>
        <v>0</v>
      </c>
      <c r="BH19" s="383" t="e">
        <f t="shared" si="7"/>
        <v>#DIV/0!</v>
      </c>
      <c r="BI19" s="66">
        <f t="shared" si="8"/>
        <v>0</v>
      </c>
      <c r="BJ19" s="66">
        <f>IF($AD19="N","N",SUM('調查資料(OUT)'!M25:M28))</f>
        <v>0</v>
      </c>
      <c r="BK19" s="66">
        <f>IF($AD19="N","N",SUM('調查資料(OUT)'!P25:P28))</f>
        <v>0</v>
      </c>
      <c r="BL19" s="66">
        <f>IF($AD19="N","N",SUM('調查資料(OUT)'!T25:T28))</f>
        <v>0</v>
      </c>
      <c r="BM19" s="383" t="e">
        <f t="shared" si="9"/>
        <v>#DIV/0!</v>
      </c>
      <c r="BN19" s="66">
        <f t="shared" si="10"/>
        <v>0</v>
      </c>
      <c r="BO19" s="66">
        <f>IF($AD19="N","N",SUM('調查資料(OUT)'!N25:N28))</f>
        <v>0</v>
      </c>
      <c r="BP19" s="66">
        <f>IF($AD19="N","N",SUM('調查資料(OUT)'!Q25:Q28))</f>
        <v>0</v>
      </c>
      <c r="BQ19" s="66">
        <f>IF($AD19="N","N",SUM('調查資料(OUT)'!U25:U28))</f>
        <v>0</v>
      </c>
      <c r="BR19" s="383" t="e">
        <f t="shared" si="11"/>
        <v>#DIV/0!</v>
      </c>
      <c r="BS19" s="66">
        <f t="shared" si="45"/>
        <v>0</v>
      </c>
      <c r="BT19" s="383" t="e">
        <f t="shared" si="46"/>
        <v>#DIV/0!</v>
      </c>
      <c r="BU19" s="66">
        <f t="shared" si="47"/>
        <v>0</v>
      </c>
      <c r="BV19" s="383" t="e">
        <f t="shared" si="48"/>
        <v>#DIV/0!</v>
      </c>
      <c r="BW19" s="66">
        <f t="shared" si="49"/>
        <v>0</v>
      </c>
      <c r="BX19" s="383" t="e">
        <f t="shared" si="50"/>
        <v>#DIV/0!</v>
      </c>
      <c r="BY19" s="316">
        <f t="shared" si="51"/>
        <v>0</v>
      </c>
      <c r="BZ19" s="309">
        <f t="shared" si="12"/>
        <v>0</v>
      </c>
      <c r="CA19" s="66">
        <f>IF($AD19="N","N",SUM('調查資料(OUT)'!V25:V28))</f>
        <v>0</v>
      </c>
      <c r="CB19" s="66">
        <f>IF($AD19="N","N",SUM('調查資料(OUT)'!Y25:Y28))</f>
        <v>0</v>
      </c>
      <c r="CC19" s="66">
        <f>IF($AD19="N","N",SUM('調查資料(OUT)'!AC25:AC28))</f>
        <v>0</v>
      </c>
      <c r="CD19" s="66">
        <f>IF($AD19="N","N",SUM('調查資料(OUT)'!AB25:AB28))</f>
        <v>0</v>
      </c>
      <c r="CE19" s="383" t="e">
        <f t="shared" si="13"/>
        <v>#DIV/0!</v>
      </c>
      <c r="CF19" s="66">
        <f t="shared" si="14"/>
        <v>0</v>
      </c>
      <c r="CG19" s="66">
        <f>IF($AD19="N","N",SUM('調查資料(OUT)'!W25:W28))</f>
        <v>0</v>
      </c>
      <c r="CH19" s="66">
        <f>IF($AD19="N","N",SUM('調查資料(OUT)'!Z25:Z28))</f>
        <v>0</v>
      </c>
      <c r="CI19" s="66">
        <f>IF($AD19="N","N",SUM('調查資料(OUT)'!AD25:AD28))</f>
        <v>0</v>
      </c>
      <c r="CJ19" s="383" t="e">
        <f t="shared" si="15"/>
        <v>#DIV/0!</v>
      </c>
      <c r="CK19" s="66">
        <f t="shared" si="16"/>
        <v>0</v>
      </c>
      <c r="CL19" s="66">
        <f>IF($AD19="N","N",SUM('調查資料(OUT)'!X25:X28))</f>
        <v>0</v>
      </c>
      <c r="CM19" s="66">
        <f>IF($AD19="N","N",SUM('調查資料(OUT)'!AA25:AA28))</f>
        <v>0</v>
      </c>
      <c r="CN19" s="66">
        <f>IF($AD19="N","N",SUM('調查資料(OUT)'!AE25:AE28))</f>
        <v>0</v>
      </c>
      <c r="CO19" s="383" t="e">
        <f t="shared" si="17"/>
        <v>#DIV/0!</v>
      </c>
      <c r="CP19" s="66">
        <f t="shared" si="52"/>
        <v>0</v>
      </c>
      <c r="CQ19" s="383" t="e">
        <f t="shared" si="53"/>
        <v>#DIV/0!</v>
      </c>
      <c r="CR19" s="66">
        <f t="shared" si="54"/>
        <v>0</v>
      </c>
      <c r="CS19" s="383" t="e">
        <f t="shared" si="55"/>
        <v>#DIV/0!</v>
      </c>
      <c r="CT19" s="66">
        <f t="shared" si="56"/>
        <v>0</v>
      </c>
      <c r="CU19" s="383" t="e">
        <f t="shared" si="57"/>
        <v>#DIV/0!</v>
      </c>
      <c r="CV19" s="316">
        <f t="shared" si="58"/>
        <v>0</v>
      </c>
      <c r="CW19" s="309">
        <f t="shared" si="18"/>
        <v>0</v>
      </c>
      <c r="CX19" s="66">
        <f>IF($AD19="N","N",SUM('調查資料(OUT)'!AF25:AF28))</f>
        <v>0</v>
      </c>
      <c r="CY19" s="66">
        <f>IF($AD19="N","N",SUM('調查資料(OUT)'!AI25:AI28))</f>
        <v>0</v>
      </c>
      <c r="CZ19" s="66">
        <f>IF($AD19="N","N",SUM('調查資料(OUT)'!AM25:AM28))</f>
        <v>0</v>
      </c>
      <c r="DA19" s="66">
        <f>IF($AD19="N","N",SUM('調查資料(OUT)'!AL25:AL28))</f>
        <v>0</v>
      </c>
      <c r="DB19" s="383" t="e">
        <f t="shared" si="19"/>
        <v>#DIV/0!</v>
      </c>
      <c r="DC19" s="66">
        <f t="shared" si="20"/>
        <v>0</v>
      </c>
      <c r="DD19" s="66">
        <f>IF($AD19="N","N",SUM('調查資料(OUT)'!AG25:AG28))</f>
        <v>0</v>
      </c>
      <c r="DE19" s="66">
        <f>IF($AD19="N","N",SUM('調查資料(OUT)'!AJ25:AJ28))</f>
        <v>0</v>
      </c>
      <c r="DF19" s="66">
        <f>IF($AD19="N","N",SUM('調查資料(OUT)'!AN25:AN28))</f>
        <v>0</v>
      </c>
      <c r="DG19" s="383" t="e">
        <f t="shared" si="21"/>
        <v>#DIV/0!</v>
      </c>
      <c r="DH19" s="66">
        <f t="shared" si="22"/>
        <v>0</v>
      </c>
      <c r="DI19" s="66">
        <f>IF($AD19="N","N",SUM('調查資料(OUT)'!AH25:AH28))</f>
        <v>0</v>
      </c>
      <c r="DJ19" s="66">
        <f>IF($AD19="N","N",SUM('調查資料(OUT)'!AK25:AK28))</f>
        <v>0</v>
      </c>
      <c r="DK19" s="66">
        <f>IF($AD19="N","N",SUM('調查資料(OUT)'!AO25:AO28))</f>
        <v>0</v>
      </c>
      <c r="DL19" s="383" t="e">
        <f t="shared" si="23"/>
        <v>#DIV/0!</v>
      </c>
      <c r="DM19" s="66">
        <f t="shared" si="59"/>
        <v>0</v>
      </c>
      <c r="DN19" s="383" t="e">
        <f t="shared" si="60"/>
        <v>#DIV/0!</v>
      </c>
      <c r="DO19" s="66">
        <f t="shared" si="61"/>
        <v>0</v>
      </c>
      <c r="DP19" s="383" t="e">
        <f t="shared" si="62"/>
        <v>#DIV/0!</v>
      </c>
      <c r="DQ19" s="66">
        <f t="shared" si="63"/>
        <v>0</v>
      </c>
      <c r="DR19" s="383" t="e">
        <f t="shared" si="64"/>
        <v>#DIV/0!</v>
      </c>
      <c r="DS19" s="316">
        <f t="shared" si="65"/>
        <v>0</v>
      </c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</row>
    <row r="20" spans="1:170">
      <c r="A20" s="118">
        <f>'調查資料(OUT)'!A26</f>
        <v>345</v>
      </c>
      <c r="B20" s="309">
        <f t="shared" si="0"/>
        <v>0</v>
      </c>
      <c r="C20" s="66">
        <f>IFERROR('調查資料(OUT)'!B$1*'調查資料(OUT)'!B26,0)+IFERROR('調查資料(OUT)'!E$1*'調查資料(OUT)'!E26,0)+IFERROR('調查資料(OUT)'!H$1*'調查資料(OUT)'!H26,0)+IFERROR('調查資料(OUT)'!I$1*'調查資料(OUT)'!I26,0)</f>
        <v>0</v>
      </c>
      <c r="D20" s="66">
        <f>IFERROR('調查資料(OUT)'!C$1*'調查資料(OUT)'!C26,0)+IFERROR('調查資料(OUT)'!F$1*'調查資料(OUT)'!F26,0)+IFERROR('調查資料(OUT)'!J$1*'調查資料(OUT)'!J26,0)</f>
        <v>0</v>
      </c>
      <c r="E20" s="316">
        <f>IFERROR('調查資料(OUT)'!D$1*'調查資料(OUT)'!D26,0)+IFERROR('調查資料(OUT)'!G$1*'調查資料(OUT)'!G26,0)+IFERROR('調查資料(OUT)'!K$1*'調查資料(OUT)'!K26,0)</f>
        <v>0</v>
      </c>
      <c r="F20" s="309">
        <f t="shared" si="1"/>
        <v>0</v>
      </c>
      <c r="G20" s="66">
        <f>IFERROR('調查資料(OUT)'!L$1*'調查資料(OUT)'!L26,0)+IFERROR('調查資料(OUT)'!O$1*'調查資料(OUT)'!O26,0)+IFERROR('調查資料(OUT)'!R$1*'調查資料(OUT)'!R26,0)+IFERROR('調查資料(OUT)'!S$1*'調查資料(OUT)'!S26,0)</f>
        <v>0</v>
      </c>
      <c r="H20" s="66">
        <f>IFERROR('調查資料(OUT)'!M$1*'調查資料(OUT)'!M26,0)+IFERROR('調查資料(OUT)'!P$1*'調查資料(OUT)'!P26,0)+IFERROR('調查資料(OUT)'!T$1*'調查資料(OUT)'!T26,0)</f>
        <v>0</v>
      </c>
      <c r="I20" s="316">
        <f>IFERROR('調查資料(OUT)'!N$1*'調查資料(OUT)'!N26,0)+IFERROR('調查資料(OUT)'!Q$1*'調查資料(OUT)'!Q26,0)+IFERROR('調查資料(OUT)'!U$1*'調查資料(OUT)'!U26,0)</f>
        <v>0</v>
      </c>
      <c r="J20" s="309">
        <f t="shared" si="24"/>
        <v>0</v>
      </c>
      <c r="K20" s="66">
        <f>IFERROR('調查資料(OUT)'!V$1*'調查資料(OUT)'!V26,0)+IFERROR('調查資料(OUT)'!Y$1*'調查資料(OUT)'!Y26,0)+IFERROR('調查資料(OUT)'!AB$1*'調查資料(OUT)'!AB26,0)+IFERROR('調查資料(OUT)'!AC$1*'調查資料(OUT)'!AC26,0)</f>
        <v>0</v>
      </c>
      <c r="L20" s="66">
        <f>IFERROR('調查資料(OUT)'!W$1*'調查資料(OUT)'!W26,0)+IFERROR('調查資料(OUT)'!Z$1*'調查資料(OUT)'!Z26,0)+IFERROR('調查資料(OUT)'!AD$1*'調查資料(OUT)'!AD26,0)</f>
        <v>0</v>
      </c>
      <c r="M20" s="316">
        <f>IFERROR('調查資料(OUT)'!X$1*'調查資料(OUT)'!X26,0)+IFERROR('調查資料(OUT)'!AA$1*'調查資料(OUT)'!AA26,0)+IFERROR('調查資料(OUT)'!AE$1*'調查資料(OUT)'!AE26,0)</f>
        <v>0</v>
      </c>
      <c r="N20" s="309">
        <f t="shared" si="25"/>
        <v>0</v>
      </c>
      <c r="O20" s="66">
        <f>IFERROR('調查資料(OUT)'!AF$1*'調查資料(OUT)'!AF26,0)+IFERROR('調查資料(OUT)'!AI$1*'調查資料(OUT)'!AI26,0)+IFERROR('調查資料(OUT)'!AL$1*'調查資料(OUT)'!AL26,0)+IFERROR('調查資料(OUT)'!AM$1*'調查資料(OUT)'!AM26,0)</f>
        <v>0</v>
      </c>
      <c r="P20" s="66">
        <f>IFERROR('調查資料(OUT)'!AG$1*'調查資料(OUT)'!AG26,0)+IFERROR('調查資料(OUT)'!AJ$1*'調查資料(OUT)'!AJ26,0)+IFERROR('調查資料(OUT)'!AN$1*'調查資料(OUT)'!AN26,0)</f>
        <v>0</v>
      </c>
      <c r="Q20" s="316">
        <f>IFERROR('調查資料(OUT)'!AH$1*'調查資料(OUT)'!AH26,0)+IFERROR('調查資料(OUT)'!AK$1*'調查資料(OUT)'!AK26,0)+IFERROR('調查資料(OUT)'!AO$1*'調查資料(OUT)'!AO26,0)</f>
        <v>0</v>
      </c>
      <c r="R20" s="133">
        <f t="shared" si="4"/>
        <v>0</v>
      </c>
      <c r="S20" s="66"/>
      <c r="T20" s="366">
        <f>'調查資料(OUT)'!A26</f>
        <v>345</v>
      </c>
      <c r="U20" s="101">
        <f>T20+100</f>
        <v>445</v>
      </c>
      <c r="V20" s="66">
        <f>SUM(R20:R23)</f>
        <v>0</v>
      </c>
      <c r="W20" s="381"/>
      <c r="X20" s="66">
        <f t="shared" si="5"/>
        <v>0</v>
      </c>
      <c r="Y20" s="379" t="e">
        <f t="shared" si="26"/>
        <v>#DIV/0!</v>
      </c>
      <c r="Z20" s="379" t="e">
        <f t="shared" si="27"/>
        <v>#DIV/0!</v>
      </c>
      <c r="AA20" s="379" t="e">
        <f t="shared" si="28"/>
        <v>#DIV/0!</v>
      </c>
      <c r="AB20" s="379" t="e">
        <f t="shared" si="29"/>
        <v>#DIV/0!</v>
      </c>
      <c r="AC20" s="67"/>
      <c r="AD20" s="66">
        <f t="shared" si="30"/>
        <v>345</v>
      </c>
      <c r="AE20" s="316">
        <f t="shared" si="31"/>
        <v>445</v>
      </c>
      <c r="AF20" s="309">
        <f t="shared" si="32"/>
        <v>0</v>
      </c>
      <c r="AG20" s="66">
        <f>IF($AD20="N","N",SUM('調查資料(OUT)'!B26:B29))</f>
        <v>0</v>
      </c>
      <c r="AH20" s="66">
        <f>IF($AD20="N","N",SUM('調查資料(OUT)'!E26:E29))</f>
        <v>0</v>
      </c>
      <c r="AI20" s="66">
        <f>IF($AD20="N","N",SUM('調查資料(OUT)'!I26:I29))</f>
        <v>0</v>
      </c>
      <c r="AJ20" s="66">
        <f>IF($AD20="N","N",SUM('調查資料(OUT)'!H26:H29))</f>
        <v>0</v>
      </c>
      <c r="AK20" s="383" t="e">
        <f t="shared" si="33"/>
        <v>#DIV/0!</v>
      </c>
      <c r="AL20" s="66">
        <f t="shared" si="34"/>
        <v>0</v>
      </c>
      <c r="AM20" s="66">
        <f>IF($AD20="N","N",SUM('調查資料(OUT)'!C26:C29))</f>
        <v>0</v>
      </c>
      <c r="AN20" s="66">
        <f>IF($AD20="N","N",SUM('調查資料(OUT)'!F26:F29))</f>
        <v>0</v>
      </c>
      <c r="AO20" s="66">
        <f>IF($AD20="N","N",SUM('調查資料(OUT)'!J26:J29))</f>
        <v>0</v>
      </c>
      <c r="AP20" s="383" t="e">
        <f t="shared" si="35"/>
        <v>#DIV/0!</v>
      </c>
      <c r="AQ20" s="66">
        <f t="shared" si="36"/>
        <v>0</v>
      </c>
      <c r="AR20" s="66">
        <f>IF($AD20="N","N",SUM('調查資料(OUT)'!D26:D29))</f>
        <v>0</v>
      </c>
      <c r="AS20" s="66">
        <f>IF($AD20="N","N",SUM('調查資料(OUT)'!G26:G29))</f>
        <v>0</v>
      </c>
      <c r="AT20" s="66">
        <f>IF($AD20="N","N",SUM('調查資料(OUT)'!K26:K29))</f>
        <v>0</v>
      </c>
      <c r="AU20" s="383" t="e">
        <f t="shared" si="37"/>
        <v>#DIV/0!</v>
      </c>
      <c r="AV20" s="66">
        <f t="shared" si="38"/>
        <v>0</v>
      </c>
      <c r="AW20" s="383" t="e">
        <f t="shared" si="39"/>
        <v>#DIV/0!</v>
      </c>
      <c r="AX20" s="66">
        <f t="shared" si="40"/>
        <v>0</v>
      </c>
      <c r="AY20" s="383" t="e">
        <f t="shared" si="41"/>
        <v>#DIV/0!</v>
      </c>
      <c r="AZ20" s="66">
        <f t="shared" si="42"/>
        <v>0</v>
      </c>
      <c r="BA20" s="383" t="e">
        <f t="shared" si="43"/>
        <v>#DIV/0!</v>
      </c>
      <c r="BB20" s="316">
        <f t="shared" si="44"/>
        <v>0</v>
      </c>
      <c r="BC20" s="309">
        <f t="shared" si="6"/>
        <v>0</v>
      </c>
      <c r="BD20" s="66">
        <f>IF($AD20="N","N",SUM('調查資料(OUT)'!L26:L29))</f>
        <v>0</v>
      </c>
      <c r="BE20" s="66">
        <f>IF($AD20="N","N",SUM('調查資料(OUT)'!O26:O29))</f>
        <v>0</v>
      </c>
      <c r="BF20" s="66">
        <f>IF($AD20="N","N",SUM('調查資料(OUT)'!S26:S29))</f>
        <v>0</v>
      </c>
      <c r="BG20" s="66">
        <f>IF($AD20="N","N",SUM('調查資料(OUT)'!R26:R29))</f>
        <v>0</v>
      </c>
      <c r="BH20" s="383" t="e">
        <f t="shared" si="7"/>
        <v>#DIV/0!</v>
      </c>
      <c r="BI20" s="66">
        <f t="shared" si="8"/>
        <v>0</v>
      </c>
      <c r="BJ20" s="66">
        <f>IF($AD20="N","N",SUM('調查資料(OUT)'!M26:M29))</f>
        <v>0</v>
      </c>
      <c r="BK20" s="66">
        <f>IF($AD20="N","N",SUM('調查資料(OUT)'!P26:P29))</f>
        <v>0</v>
      </c>
      <c r="BL20" s="66">
        <f>IF($AD20="N","N",SUM('調查資料(OUT)'!T26:T29))</f>
        <v>0</v>
      </c>
      <c r="BM20" s="383" t="e">
        <f t="shared" si="9"/>
        <v>#DIV/0!</v>
      </c>
      <c r="BN20" s="66">
        <f t="shared" si="10"/>
        <v>0</v>
      </c>
      <c r="BO20" s="66">
        <f>IF($AD20="N","N",SUM('調查資料(OUT)'!N26:N29))</f>
        <v>0</v>
      </c>
      <c r="BP20" s="66">
        <f>IF($AD20="N","N",SUM('調查資料(OUT)'!Q26:Q29))</f>
        <v>0</v>
      </c>
      <c r="BQ20" s="66">
        <f>IF($AD20="N","N",SUM('調查資料(OUT)'!U26:U29))</f>
        <v>0</v>
      </c>
      <c r="BR20" s="383" t="e">
        <f t="shared" si="11"/>
        <v>#DIV/0!</v>
      </c>
      <c r="BS20" s="66">
        <f t="shared" si="45"/>
        <v>0</v>
      </c>
      <c r="BT20" s="383" t="e">
        <f t="shared" si="46"/>
        <v>#DIV/0!</v>
      </c>
      <c r="BU20" s="66">
        <f t="shared" si="47"/>
        <v>0</v>
      </c>
      <c r="BV20" s="383" t="e">
        <f t="shared" si="48"/>
        <v>#DIV/0!</v>
      </c>
      <c r="BW20" s="66">
        <f t="shared" si="49"/>
        <v>0</v>
      </c>
      <c r="BX20" s="383" t="e">
        <f t="shared" si="50"/>
        <v>#DIV/0!</v>
      </c>
      <c r="BY20" s="316">
        <f t="shared" si="51"/>
        <v>0</v>
      </c>
      <c r="BZ20" s="309">
        <f t="shared" si="12"/>
        <v>0</v>
      </c>
      <c r="CA20" s="66">
        <f>IF($AD20="N","N",SUM('調查資料(OUT)'!V26:V29))</f>
        <v>0</v>
      </c>
      <c r="CB20" s="66">
        <f>IF($AD20="N","N",SUM('調查資料(OUT)'!Y26:Y29))</f>
        <v>0</v>
      </c>
      <c r="CC20" s="66">
        <f>IF($AD20="N","N",SUM('調查資料(OUT)'!AC26:AC29))</f>
        <v>0</v>
      </c>
      <c r="CD20" s="66">
        <f>IF($AD20="N","N",SUM('調查資料(OUT)'!AB26:AB29))</f>
        <v>0</v>
      </c>
      <c r="CE20" s="383" t="e">
        <f t="shared" si="13"/>
        <v>#DIV/0!</v>
      </c>
      <c r="CF20" s="66">
        <f t="shared" si="14"/>
        <v>0</v>
      </c>
      <c r="CG20" s="66">
        <f>IF($AD20="N","N",SUM('調查資料(OUT)'!W26:W29))</f>
        <v>0</v>
      </c>
      <c r="CH20" s="66">
        <f>IF($AD20="N","N",SUM('調查資料(OUT)'!Z26:Z29))</f>
        <v>0</v>
      </c>
      <c r="CI20" s="66">
        <f>IF($AD20="N","N",SUM('調查資料(OUT)'!AD26:AD29))</f>
        <v>0</v>
      </c>
      <c r="CJ20" s="383" t="e">
        <f t="shared" si="15"/>
        <v>#DIV/0!</v>
      </c>
      <c r="CK20" s="66">
        <f t="shared" si="16"/>
        <v>0</v>
      </c>
      <c r="CL20" s="66">
        <f>IF($AD20="N","N",SUM('調查資料(OUT)'!X26:X29))</f>
        <v>0</v>
      </c>
      <c r="CM20" s="66">
        <f>IF($AD20="N","N",SUM('調查資料(OUT)'!AA26:AA29))</f>
        <v>0</v>
      </c>
      <c r="CN20" s="66">
        <f>IF($AD20="N","N",SUM('調查資料(OUT)'!AE26:AE29))</f>
        <v>0</v>
      </c>
      <c r="CO20" s="383" t="e">
        <f t="shared" si="17"/>
        <v>#DIV/0!</v>
      </c>
      <c r="CP20" s="66">
        <f t="shared" si="52"/>
        <v>0</v>
      </c>
      <c r="CQ20" s="383" t="e">
        <f t="shared" si="53"/>
        <v>#DIV/0!</v>
      </c>
      <c r="CR20" s="66">
        <f t="shared" si="54"/>
        <v>0</v>
      </c>
      <c r="CS20" s="383" t="e">
        <f t="shared" si="55"/>
        <v>#DIV/0!</v>
      </c>
      <c r="CT20" s="66">
        <f t="shared" si="56"/>
        <v>0</v>
      </c>
      <c r="CU20" s="383" t="e">
        <f t="shared" si="57"/>
        <v>#DIV/0!</v>
      </c>
      <c r="CV20" s="316">
        <f t="shared" si="58"/>
        <v>0</v>
      </c>
      <c r="CW20" s="309">
        <f t="shared" si="18"/>
        <v>0</v>
      </c>
      <c r="CX20" s="66">
        <f>IF($AD20="N","N",SUM('調查資料(OUT)'!AF26:AF29))</f>
        <v>0</v>
      </c>
      <c r="CY20" s="66">
        <f>IF($AD20="N","N",SUM('調查資料(OUT)'!AI26:AI29))</f>
        <v>0</v>
      </c>
      <c r="CZ20" s="66">
        <f>IF($AD20="N","N",SUM('調查資料(OUT)'!AM26:AM29))</f>
        <v>0</v>
      </c>
      <c r="DA20" s="66">
        <f>IF($AD20="N","N",SUM('調查資料(OUT)'!AL26:AL29))</f>
        <v>0</v>
      </c>
      <c r="DB20" s="383" t="e">
        <f t="shared" si="19"/>
        <v>#DIV/0!</v>
      </c>
      <c r="DC20" s="66">
        <f t="shared" si="20"/>
        <v>0</v>
      </c>
      <c r="DD20" s="66">
        <f>IF($AD20="N","N",SUM('調查資料(OUT)'!AG26:AG29))</f>
        <v>0</v>
      </c>
      <c r="DE20" s="66">
        <f>IF($AD20="N","N",SUM('調查資料(OUT)'!AJ26:AJ29))</f>
        <v>0</v>
      </c>
      <c r="DF20" s="66">
        <f>IF($AD20="N","N",SUM('調查資料(OUT)'!AN26:AN29))</f>
        <v>0</v>
      </c>
      <c r="DG20" s="383" t="e">
        <f t="shared" si="21"/>
        <v>#DIV/0!</v>
      </c>
      <c r="DH20" s="66">
        <f t="shared" si="22"/>
        <v>0</v>
      </c>
      <c r="DI20" s="66">
        <f>IF($AD20="N","N",SUM('調查資料(OUT)'!AH26:AH29))</f>
        <v>0</v>
      </c>
      <c r="DJ20" s="66">
        <f>IF($AD20="N","N",SUM('調查資料(OUT)'!AK26:AK29))</f>
        <v>0</v>
      </c>
      <c r="DK20" s="66">
        <f>IF($AD20="N","N",SUM('調查資料(OUT)'!AO26:AO29))</f>
        <v>0</v>
      </c>
      <c r="DL20" s="383" t="e">
        <f t="shared" si="23"/>
        <v>#DIV/0!</v>
      </c>
      <c r="DM20" s="66">
        <f t="shared" si="59"/>
        <v>0</v>
      </c>
      <c r="DN20" s="383" t="e">
        <f t="shared" si="60"/>
        <v>#DIV/0!</v>
      </c>
      <c r="DO20" s="66">
        <f t="shared" si="61"/>
        <v>0</v>
      </c>
      <c r="DP20" s="383" t="e">
        <f t="shared" si="62"/>
        <v>#DIV/0!</v>
      </c>
      <c r="DQ20" s="66">
        <f t="shared" si="63"/>
        <v>0</v>
      </c>
      <c r="DR20" s="383" t="e">
        <f t="shared" si="64"/>
        <v>#DIV/0!</v>
      </c>
      <c r="DS20" s="316">
        <f t="shared" si="65"/>
        <v>0</v>
      </c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</row>
    <row r="21" spans="1:170">
      <c r="A21" s="118">
        <f>'調查資料(OUT)'!A27</f>
        <v>400</v>
      </c>
      <c r="B21" s="309">
        <f t="shared" si="0"/>
        <v>0</v>
      </c>
      <c r="C21" s="66">
        <f>IFERROR('調查資料(OUT)'!B$1*'調查資料(OUT)'!B27,0)+IFERROR('調查資料(OUT)'!E$1*'調查資料(OUT)'!E27,0)+IFERROR('調查資料(OUT)'!H$1*'調查資料(OUT)'!H27,0)+IFERROR('調查資料(OUT)'!I$1*'調查資料(OUT)'!I27,0)</f>
        <v>0</v>
      </c>
      <c r="D21" s="66">
        <f>IFERROR('調查資料(OUT)'!C$1*'調查資料(OUT)'!C27,0)+IFERROR('調查資料(OUT)'!F$1*'調查資料(OUT)'!F27,0)+IFERROR('調查資料(OUT)'!J$1*'調查資料(OUT)'!J27,0)</f>
        <v>0</v>
      </c>
      <c r="E21" s="316">
        <f>IFERROR('調查資料(OUT)'!D$1*'調查資料(OUT)'!D27,0)+IFERROR('調查資料(OUT)'!G$1*'調查資料(OUT)'!G27,0)+IFERROR('調查資料(OUT)'!K$1*'調查資料(OUT)'!K27,0)</f>
        <v>0</v>
      </c>
      <c r="F21" s="309">
        <f t="shared" si="1"/>
        <v>0</v>
      </c>
      <c r="G21" s="66">
        <f>IFERROR('調查資料(OUT)'!L$1*'調查資料(OUT)'!L27,0)+IFERROR('調查資料(OUT)'!O$1*'調查資料(OUT)'!O27,0)+IFERROR('調查資料(OUT)'!R$1*'調查資料(OUT)'!R27,0)+IFERROR('調查資料(OUT)'!S$1*'調查資料(OUT)'!S27,0)</f>
        <v>0</v>
      </c>
      <c r="H21" s="66">
        <f>IFERROR('調查資料(OUT)'!M$1*'調查資料(OUT)'!M27,0)+IFERROR('調查資料(OUT)'!P$1*'調查資料(OUT)'!P27,0)+IFERROR('調查資料(OUT)'!T$1*'調查資料(OUT)'!T27,0)</f>
        <v>0</v>
      </c>
      <c r="I21" s="316">
        <f>IFERROR('調查資料(OUT)'!N$1*'調查資料(OUT)'!N27,0)+IFERROR('調查資料(OUT)'!Q$1*'調查資料(OUT)'!Q27,0)+IFERROR('調查資料(OUT)'!U$1*'調查資料(OUT)'!U27,0)</f>
        <v>0</v>
      </c>
      <c r="J21" s="309">
        <f t="shared" si="24"/>
        <v>0</v>
      </c>
      <c r="K21" s="66">
        <f>IFERROR('調查資料(OUT)'!V$1*'調查資料(OUT)'!V27,0)+IFERROR('調查資料(OUT)'!Y$1*'調查資料(OUT)'!Y27,0)+IFERROR('調查資料(OUT)'!AB$1*'調查資料(OUT)'!AB27,0)+IFERROR('調查資料(OUT)'!AC$1*'調查資料(OUT)'!AC27,0)</f>
        <v>0</v>
      </c>
      <c r="L21" s="66">
        <f>IFERROR('調查資料(OUT)'!W$1*'調查資料(OUT)'!W27,0)+IFERROR('調查資料(OUT)'!Z$1*'調查資料(OUT)'!Z27,0)+IFERROR('調查資料(OUT)'!AD$1*'調查資料(OUT)'!AD27,0)</f>
        <v>0</v>
      </c>
      <c r="M21" s="316">
        <f>IFERROR('調查資料(OUT)'!X$1*'調查資料(OUT)'!X27,0)+IFERROR('調查資料(OUT)'!AA$1*'調查資料(OUT)'!AA27,0)+IFERROR('調查資料(OUT)'!AE$1*'調查資料(OUT)'!AE27,0)</f>
        <v>0</v>
      </c>
      <c r="N21" s="309">
        <f t="shared" si="25"/>
        <v>0</v>
      </c>
      <c r="O21" s="66">
        <f>IFERROR('調查資料(OUT)'!AF$1*'調查資料(OUT)'!AF27,0)+IFERROR('調查資料(OUT)'!AI$1*'調查資料(OUT)'!AI27,0)+IFERROR('調查資料(OUT)'!AL$1*'調查資料(OUT)'!AL27,0)+IFERROR('調查資料(OUT)'!AM$1*'調查資料(OUT)'!AM27,0)</f>
        <v>0</v>
      </c>
      <c r="P21" s="66">
        <f>IFERROR('調查資料(OUT)'!AG$1*'調查資料(OUT)'!AG27,0)+IFERROR('調查資料(OUT)'!AJ$1*'調查資料(OUT)'!AJ27,0)+IFERROR('調查資料(OUT)'!AN$1*'調查資料(OUT)'!AN27,0)</f>
        <v>0</v>
      </c>
      <c r="Q21" s="316">
        <f>IFERROR('調查資料(OUT)'!AH$1*'調查資料(OUT)'!AH27,0)+IFERROR('調查資料(OUT)'!AK$1*'調查資料(OUT)'!AK27,0)+IFERROR('調查資料(OUT)'!AO$1*'調查資料(OUT)'!AO27,0)</f>
        <v>0</v>
      </c>
      <c r="R21" s="133">
        <f t="shared" si="4"/>
        <v>0</v>
      </c>
      <c r="S21" s="131"/>
      <c r="T21" s="366">
        <f>'調查資料(OUT)'!A27</f>
        <v>400</v>
      </c>
      <c r="U21" s="101">
        <f>T21+100</f>
        <v>500</v>
      </c>
      <c r="V21" s="66">
        <f>SUM(R21:R24)</f>
        <v>0</v>
      </c>
      <c r="X21" s="66">
        <f t="shared" ref="X21:X28" si="68">IF($V21=$W$41,MAX(R21:R24),0)</f>
        <v>0</v>
      </c>
      <c r="Y21" s="379" t="e">
        <f t="shared" si="26"/>
        <v>#DIV/0!</v>
      </c>
      <c r="Z21" s="379" t="e">
        <f t="shared" si="27"/>
        <v>#DIV/0!</v>
      </c>
      <c r="AA21" s="379" t="e">
        <f t="shared" si="28"/>
        <v>#DIV/0!</v>
      </c>
      <c r="AB21" s="379" t="e">
        <f t="shared" si="29"/>
        <v>#DIV/0!</v>
      </c>
      <c r="AD21" s="66">
        <f t="shared" si="30"/>
        <v>400</v>
      </c>
      <c r="AE21" s="316">
        <f t="shared" si="31"/>
        <v>500</v>
      </c>
      <c r="AF21" s="309">
        <f t="shared" ref="AF21:AF48" si="69">IF($AD21="N","N",SUM(C21:C24))</f>
        <v>0</v>
      </c>
      <c r="AG21" s="66">
        <f>IF($AD21="N","N",SUM('調查資料(OUT)'!B27:B30))</f>
        <v>0</v>
      </c>
      <c r="AH21" s="66">
        <f>IF($AD21="N","N",SUM('調查資料(OUT)'!E27:E30))</f>
        <v>0</v>
      </c>
      <c r="AI21" s="66">
        <f>IF($AD21="N","N",SUM('調查資料(OUT)'!I27:I30))</f>
        <v>0</v>
      </c>
      <c r="AJ21" s="66">
        <f>IF($AD21="N","N",SUM('調查資料(OUT)'!H27:H30))</f>
        <v>0</v>
      </c>
      <c r="AK21" s="383" t="e">
        <f t="shared" si="33"/>
        <v>#DIV/0!</v>
      </c>
      <c r="AL21" s="66">
        <f t="shared" si="34"/>
        <v>0</v>
      </c>
      <c r="AM21" s="66">
        <f>IF($AD21="N","N",SUM('調查資料(OUT)'!C27:C30))</f>
        <v>0</v>
      </c>
      <c r="AN21" s="66">
        <f>IF($AD21="N","N",SUM('調查資料(OUT)'!F27:F30))</f>
        <v>0</v>
      </c>
      <c r="AO21" s="66">
        <f>IF($AD21="N","N",SUM('調查資料(OUT)'!J27:J30))</f>
        <v>0</v>
      </c>
      <c r="AP21" s="383" t="e">
        <f t="shared" si="35"/>
        <v>#DIV/0!</v>
      </c>
      <c r="AQ21" s="66">
        <f t="shared" si="36"/>
        <v>0</v>
      </c>
      <c r="AR21" s="66">
        <f>IF($AD21="N","N",SUM('調查資料(OUT)'!D27:D30))</f>
        <v>0</v>
      </c>
      <c r="AS21" s="66">
        <f>IF($AD21="N","N",SUM('調查資料(OUT)'!G27:G30))</f>
        <v>0</v>
      </c>
      <c r="AT21" s="66">
        <f>IF($AD21="N","N",SUM('調查資料(OUT)'!K27:K30))</f>
        <v>0</v>
      </c>
      <c r="AU21" s="383" t="e">
        <f t="shared" si="37"/>
        <v>#DIV/0!</v>
      </c>
      <c r="AV21" s="66">
        <f t="shared" si="38"/>
        <v>0</v>
      </c>
      <c r="AW21" s="383" t="e">
        <f t="shared" si="39"/>
        <v>#DIV/0!</v>
      </c>
      <c r="AX21" s="66">
        <f t="shared" si="40"/>
        <v>0</v>
      </c>
      <c r="AY21" s="383" t="e">
        <f t="shared" si="41"/>
        <v>#DIV/0!</v>
      </c>
      <c r="AZ21" s="66">
        <f t="shared" si="42"/>
        <v>0</v>
      </c>
      <c r="BA21" s="383" t="e">
        <f t="shared" si="43"/>
        <v>#DIV/0!</v>
      </c>
      <c r="BB21" s="316">
        <f t="shared" si="44"/>
        <v>0</v>
      </c>
      <c r="BC21" s="309">
        <f t="shared" si="6"/>
        <v>0</v>
      </c>
      <c r="BD21" s="66">
        <f>IF($AD21="N","N",SUM('調查資料(OUT)'!L27:L30))</f>
        <v>0</v>
      </c>
      <c r="BE21" s="66">
        <f>IF($AD21="N","N",SUM('調查資料(OUT)'!O27:O30))</f>
        <v>0</v>
      </c>
      <c r="BF21" s="66">
        <f>IF($AD21="N","N",SUM('調查資料(OUT)'!S27:S30))</f>
        <v>0</v>
      </c>
      <c r="BG21" s="66">
        <f>IF($AD21="N","N",SUM('調查資料(OUT)'!R27:R30))</f>
        <v>0</v>
      </c>
      <c r="BH21" s="383" t="e">
        <f t="shared" si="7"/>
        <v>#DIV/0!</v>
      </c>
      <c r="BI21" s="66">
        <f t="shared" si="8"/>
        <v>0</v>
      </c>
      <c r="BJ21" s="66">
        <f>IF($AD21="N","N",SUM('調查資料(OUT)'!M27:M30))</f>
        <v>0</v>
      </c>
      <c r="BK21" s="66">
        <f>IF($AD21="N","N",SUM('調查資料(OUT)'!P27:P30))</f>
        <v>0</v>
      </c>
      <c r="BL21" s="66">
        <f>IF($AD21="N","N",SUM('調查資料(OUT)'!T27:T30))</f>
        <v>0</v>
      </c>
      <c r="BM21" s="383" t="e">
        <f t="shared" si="9"/>
        <v>#DIV/0!</v>
      </c>
      <c r="BN21" s="66">
        <f t="shared" si="10"/>
        <v>0</v>
      </c>
      <c r="BO21" s="66">
        <f>IF($AD21="N","N",SUM('調查資料(OUT)'!N27:N30))</f>
        <v>0</v>
      </c>
      <c r="BP21" s="66">
        <f>IF($AD21="N","N",SUM('調查資料(OUT)'!Q27:Q30))</f>
        <v>0</v>
      </c>
      <c r="BQ21" s="66">
        <f>IF($AD21="N","N",SUM('調查資料(OUT)'!U27:U30))</f>
        <v>0</v>
      </c>
      <c r="BR21" s="383" t="e">
        <f t="shared" si="11"/>
        <v>#DIV/0!</v>
      </c>
      <c r="BS21" s="66">
        <f t="shared" si="45"/>
        <v>0</v>
      </c>
      <c r="BT21" s="383" t="e">
        <f t="shared" si="46"/>
        <v>#DIV/0!</v>
      </c>
      <c r="BU21" s="66">
        <f t="shared" si="47"/>
        <v>0</v>
      </c>
      <c r="BV21" s="383" t="e">
        <f t="shared" si="48"/>
        <v>#DIV/0!</v>
      </c>
      <c r="BW21" s="66">
        <f t="shared" si="49"/>
        <v>0</v>
      </c>
      <c r="BX21" s="383" t="e">
        <f t="shared" si="50"/>
        <v>#DIV/0!</v>
      </c>
      <c r="BY21" s="316">
        <f t="shared" si="51"/>
        <v>0</v>
      </c>
      <c r="BZ21" s="309">
        <f t="shared" si="12"/>
        <v>0</v>
      </c>
      <c r="CA21" s="66">
        <f>IF($AD21="N","N",SUM('調查資料(OUT)'!V27:V30))</f>
        <v>0</v>
      </c>
      <c r="CB21" s="66">
        <f>IF($AD21="N","N",SUM('調查資料(OUT)'!Y27:Y30))</f>
        <v>0</v>
      </c>
      <c r="CC21" s="66">
        <f>IF($AD21="N","N",SUM('調查資料(OUT)'!AC27:AC30))</f>
        <v>0</v>
      </c>
      <c r="CD21" s="66">
        <f>IF($AD21="N","N",SUM('調查資料(OUT)'!AB27:AB30))</f>
        <v>0</v>
      </c>
      <c r="CE21" s="383" t="e">
        <f t="shared" si="13"/>
        <v>#DIV/0!</v>
      </c>
      <c r="CF21" s="66">
        <f t="shared" si="14"/>
        <v>0</v>
      </c>
      <c r="CG21" s="66">
        <f>IF($AD21="N","N",SUM('調查資料(OUT)'!W27:W30))</f>
        <v>0</v>
      </c>
      <c r="CH21" s="66">
        <f>IF($AD21="N","N",SUM('調查資料(OUT)'!Z27:Z30))</f>
        <v>0</v>
      </c>
      <c r="CI21" s="66">
        <f>IF($AD21="N","N",SUM('調查資料(OUT)'!AD27:AD30))</f>
        <v>0</v>
      </c>
      <c r="CJ21" s="383" t="e">
        <f t="shared" si="15"/>
        <v>#DIV/0!</v>
      </c>
      <c r="CK21" s="66">
        <f t="shared" si="16"/>
        <v>0</v>
      </c>
      <c r="CL21" s="66">
        <f>IF($AD21="N","N",SUM('調查資料(OUT)'!X27:X30))</f>
        <v>0</v>
      </c>
      <c r="CM21" s="66">
        <f>IF($AD21="N","N",SUM('調查資料(OUT)'!AA27:AA30))</f>
        <v>0</v>
      </c>
      <c r="CN21" s="66">
        <f>IF($AD21="N","N",SUM('調查資料(OUT)'!AE27:AE30))</f>
        <v>0</v>
      </c>
      <c r="CO21" s="383" t="e">
        <f t="shared" si="17"/>
        <v>#DIV/0!</v>
      </c>
      <c r="CP21" s="66">
        <f t="shared" si="52"/>
        <v>0</v>
      </c>
      <c r="CQ21" s="383" t="e">
        <f t="shared" si="53"/>
        <v>#DIV/0!</v>
      </c>
      <c r="CR21" s="66">
        <f t="shared" si="54"/>
        <v>0</v>
      </c>
      <c r="CS21" s="383" t="e">
        <f t="shared" si="55"/>
        <v>#DIV/0!</v>
      </c>
      <c r="CT21" s="66">
        <f t="shared" si="56"/>
        <v>0</v>
      </c>
      <c r="CU21" s="383" t="e">
        <f t="shared" si="57"/>
        <v>#DIV/0!</v>
      </c>
      <c r="CV21" s="316">
        <f t="shared" si="58"/>
        <v>0</v>
      </c>
      <c r="CW21" s="309">
        <f t="shared" si="18"/>
        <v>0</v>
      </c>
      <c r="CX21" s="66">
        <f>IF($AD21="N","N",SUM('調查資料(OUT)'!AF27:AF30))</f>
        <v>0</v>
      </c>
      <c r="CY21" s="66">
        <f>IF($AD21="N","N",SUM('調查資料(OUT)'!AI27:AI30))</f>
        <v>0</v>
      </c>
      <c r="CZ21" s="66">
        <f>IF($AD21="N","N",SUM('調查資料(OUT)'!AM27:AM30))</f>
        <v>0</v>
      </c>
      <c r="DA21" s="66">
        <f>IF($AD21="N","N",SUM('調查資料(OUT)'!AL27:AL30))</f>
        <v>0</v>
      </c>
      <c r="DB21" s="383" t="e">
        <f t="shared" si="19"/>
        <v>#DIV/0!</v>
      </c>
      <c r="DC21" s="66">
        <f t="shared" si="20"/>
        <v>0</v>
      </c>
      <c r="DD21" s="66">
        <f>IF($AD21="N","N",SUM('調查資料(OUT)'!AG27:AG30))</f>
        <v>0</v>
      </c>
      <c r="DE21" s="66">
        <f>IF($AD21="N","N",SUM('調查資料(OUT)'!AJ27:AJ30))</f>
        <v>0</v>
      </c>
      <c r="DF21" s="66">
        <f>IF($AD21="N","N",SUM('調查資料(OUT)'!AN27:AN30))</f>
        <v>0</v>
      </c>
      <c r="DG21" s="383" t="e">
        <f t="shared" si="21"/>
        <v>#DIV/0!</v>
      </c>
      <c r="DH21" s="66">
        <f t="shared" si="22"/>
        <v>0</v>
      </c>
      <c r="DI21" s="66">
        <f>IF($AD21="N","N",SUM('調查資料(OUT)'!AH27:AH30))</f>
        <v>0</v>
      </c>
      <c r="DJ21" s="66">
        <f>IF($AD21="N","N",SUM('調查資料(OUT)'!AK27:AK30))</f>
        <v>0</v>
      </c>
      <c r="DK21" s="66">
        <f>IF($AD21="N","N",SUM('調查資料(OUT)'!AO27:AO30))</f>
        <v>0</v>
      </c>
      <c r="DL21" s="383" t="e">
        <f t="shared" si="23"/>
        <v>#DIV/0!</v>
      </c>
      <c r="DM21" s="66">
        <f t="shared" si="59"/>
        <v>0</v>
      </c>
      <c r="DN21" s="383" t="e">
        <f t="shared" si="60"/>
        <v>#DIV/0!</v>
      </c>
      <c r="DO21" s="66">
        <f t="shared" si="61"/>
        <v>0</v>
      </c>
      <c r="DP21" s="383" t="e">
        <f t="shared" si="62"/>
        <v>#DIV/0!</v>
      </c>
      <c r="DQ21" s="66">
        <f t="shared" si="63"/>
        <v>0</v>
      </c>
      <c r="DR21" s="383" t="e">
        <f t="shared" si="64"/>
        <v>#DIV/0!</v>
      </c>
      <c r="DS21" s="316">
        <f t="shared" si="65"/>
        <v>0</v>
      </c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  <c r="FK21" s="67"/>
      <c r="FL21" s="67"/>
      <c r="FM21" s="67"/>
      <c r="FN21" s="67"/>
    </row>
    <row r="22" spans="1:170">
      <c r="A22" s="118">
        <f>'調查資料(OUT)'!A28</f>
        <v>415</v>
      </c>
      <c r="B22" s="309">
        <f t="shared" ref="B22:B44" si="70">SUM(C22:E22)</f>
        <v>0</v>
      </c>
      <c r="C22" s="66">
        <f>IFERROR('調查資料(OUT)'!B$1*'調查資料(OUT)'!B28,0)+IFERROR('調查資料(OUT)'!E$1*'調查資料(OUT)'!E28,0)+IFERROR('調查資料(OUT)'!H$1*'調查資料(OUT)'!H28,0)+IFERROR('調查資料(OUT)'!I$1*'調查資料(OUT)'!I28,0)</f>
        <v>0</v>
      </c>
      <c r="D22" s="66">
        <f>IFERROR('調查資料(OUT)'!C$1*'調查資料(OUT)'!C28,0)+IFERROR('調查資料(OUT)'!F$1*'調查資料(OUT)'!F28,0)+IFERROR('調查資料(OUT)'!J$1*'調查資料(OUT)'!J28,0)</f>
        <v>0</v>
      </c>
      <c r="E22" s="316">
        <f>IFERROR('調查資料(OUT)'!D$1*'調查資料(OUT)'!D28,0)+IFERROR('調查資料(OUT)'!G$1*'調查資料(OUT)'!G28,0)+IFERROR('調查資料(OUT)'!K$1*'調查資料(OUT)'!K28,0)</f>
        <v>0</v>
      </c>
      <c r="F22" s="309">
        <f t="shared" ref="F22:F44" si="71">SUM(G22:I22)</f>
        <v>0</v>
      </c>
      <c r="G22" s="66">
        <f>IFERROR('調查資料(OUT)'!L$1*'調查資料(OUT)'!L28,0)+IFERROR('調查資料(OUT)'!O$1*'調查資料(OUT)'!O28,0)+IFERROR('調查資料(OUT)'!R$1*'調查資料(OUT)'!R28,0)+IFERROR('調查資料(OUT)'!S$1*'調查資料(OUT)'!S28,0)</f>
        <v>0</v>
      </c>
      <c r="H22" s="66">
        <f>IFERROR('調查資料(OUT)'!M$1*'調查資料(OUT)'!M28,0)+IFERROR('調查資料(OUT)'!P$1*'調查資料(OUT)'!P28,0)+IFERROR('調查資料(OUT)'!T$1*'調查資料(OUT)'!T28,0)</f>
        <v>0</v>
      </c>
      <c r="I22" s="316">
        <f>IFERROR('調查資料(OUT)'!N$1*'調查資料(OUT)'!N28,0)+IFERROR('調查資料(OUT)'!Q$1*'調查資料(OUT)'!Q28,0)+IFERROR('調查資料(OUT)'!U$1*'調查資料(OUT)'!U28,0)</f>
        <v>0</v>
      </c>
      <c r="J22" s="309">
        <f t="shared" si="24"/>
        <v>0</v>
      </c>
      <c r="K22" s="66">
        <f>IFERROR('調查資料(OUT)'!V$1*'調查資料(OUT)'!V28,0)+IFERROR('調查資料(OUT)'!Y$1*'調查資料(OUT)'!Y28,0)+IFERROR('調查資料(OUT)'!AB$1*'調查資料(OUT)'!AB28,0)+IFERROR('調查資料(OUT)'!AC$1*'調查資料(OUT)'!AC28,0)</f>
        <v>0</v>
      </c>
      <c r="L22" s="66">
        <f>IFERROR('調查資料(OUT)'!W$1*'調查資料(OUT)'!W28,0)+IFERROR('調查資料(OUT)'!Z$1*'調查資料(OUT)'!Z28,0)+IFERROR('調查資料(OUT)'!AD$1*'調查資料(OUT)'!AD28,0)</f>
        <v>0</v>
      </c>
      <c r="M22" s="316">
        <f>IFERROR('調查資料(OUT)'!X$1*'調查資料(OUT)'!X28,0)+IFERROR('調查資料(OUT)'!AA$1*'調查資料(OUT)'!AA28,0)+IFERROR('調查資料(OUT)'!AE$1*'調查資料(OUT)'!AE28,0)</f>
        <v>0</v>
      </c>
      <c r="N22" s="309">
        <f t="shared" si="25"/>
        <v>0</v>
      </c>
      <c r="O22" s="66">
        <f>IFERROR('調查資料(OUT)'!AF$1*'調查資料(OUT)'!AF28,0)+IFERROR('調查資料(OUT)'!AI$1*'調查資料(OUT)'!AI28,0)+IFERROR('調查資料(OUT)'!AL$1*'調查資料(OUT)'!AL28,0)+IFERROR('調查資料(OUT)'!AM$1*'調查資料(OUT)'!AM28,0)</f>
        <v>0</v>
      </c>
      <c r="P22" s="66">
        <f>IFERROR('調查資料(OUT)'!AG$1*'調查資料(OUT)'!AG28,0)+IFERROR('調查資料(OUT)'!AJ$1*'調查資料(OUT)'!AJ28,0)+IFERROR('調查資料(OUT)'!AN$1*'調查資料(OUT)'!AN28,0)</f>
        <v>0</v>
      </c>
      <c r="Q22" s="316">
        <f>IFERROR('調查資料(OUT)'!AH$1*'調查資料(OUT)'!AH28,0)+IFERROR('調查資料(OUT)'!AK$1*'調查資料(OUT)'!AK28,0)+IFERROR('調查資料(OUT)'!AO$1*'調查資料(OUT)'!AO28,0)</f>
        <v>0</v>
      </c>
      <c r="R22" s="133">
        <f t="shared" ref="R22:R44" si="72">B22+F22+J22+N22</f>
        <v>0</v>
      </c>
      <c r="S22" s="131"/>
      <c r="T22" s="366">
        <f>'調查資料(OUT)'!A28</f>
        <v>415</v>
      </c>
      <c r="U22" s="101">
        <f t="shared" ref="U22:U44" si="73">T22+100</f>
        <v>515</v>
      </c>
      <c r="V22" s="66">
        <f t="shared" ref="V22:V44" si="74">SUM(R22:R25)</f>
        <v>0</v>
      </c>
      <c r="W22" s="381"/>
      <c r="X22" s="66">
        <f t="shared" si="68"/>
        <v>0</v>
      </c>
      <c r="Y22" s="379" t="e">
        <f t="shared" si="26"/>
        <v>#DIV/0!</v>
      </c>
      <c r="Z22" s="379" t="e">
        <f t="shared" si="27"/>
        <v>#DIV/0!</v>
      </c>
      <c r="AA22" s="379" t="e">
        <f t="shared" si="28"/>
        <v>#DIV/0!</v>
      </c>
      <c r="AB22" s="379" t="e">
        <f t="shared" si="29"/>
        <v>#DIV/0!</v>
      </c>
      <c r="AC22" s="67"/>
      <c r="AD22" s="66">
        <f t="shared" si="30"/>
        <v>415</v>
      </c>
      <c r="AE22" s="316">
        <f t="shared" si="31"/>
        <v>515</v>
      </c>
      <c r="AF22" s="309">
        <f t="shared" si="69"/>
        <v>0</v>
      </c>
      <c r="AG22" s="66">
        <f>IF($AD22="N","N",SUM('調查資料(OUT)'!B28:B31))</f>
        <v>0</v>
      </c>
      <c r="AH22" s="66">
        <f>IF($AD22="N","N",SUM('調查資料(OUT)'!E28:E31))</f>
        <v>0</v>
      </c>
      <c r="AI22" s="66">
        <f>IF($AD22="N","N",SUM('調查資料(OUT)'!I28:I31))</f>
        <v>0</v>
      </c>
      <c r="AJ22" s="66">
        <f>IF($AD22="N","N",SUM('調查資料(OUT)'!H28:H31))</f>
        <v>0</v>
      </c>
      <c r="AK22" s="383" t="e">
        <f t="shared" si="33"/>
        <v>#DIV/0!</v>
      </c>
      <c r="AL22" s="66">
        <f t="shared" si="34"/>
        <v>0</v>
      </c>
      <c r="AM22" s="66">
        <f>IF($AD22="N","N",SUM('調查資料(OUT)'!C28:C31))</f>
        <v>0</v>
      </c>
      <c r="AN22" s="66">
        <f>IF($AD22="N","N",SUM('調查資料(OUT)'!F28:F31))</f>
        <v>0</v>
      </c>
      <c r="AO22" s="66">
        <f>IF($AD22="N","N",SUM('調查資料(OUT)'!J28:J31))</f>
        <v>0</v>
      </c>
      <c r="AP22" s="383" t="e">
        <f t="shared" si="35"/>
        <v>#DIV/0!</v>
      </c>
      <c r="AQ22" s="66">
        <f t="shared" si="36"/>
        <v>0</v>
      </c>
      <c r="AR22" s="66">
        <f>IF($AD22="N","N",SUM('調查資料(OUT)'!D28:D31))</f>
        <v>0</v>
      </c>
      <c r="AS22" s="66">
        <f>IF($AD22="N","N",SUM('調查資料(OUT)'!G28:G31))</f>
        <v>0</v>
      </c>
      <c r="AT22" s="66">
        <f>IF($AD22="N","N",SUM('調查資料(OUT)'!K28:K31))</f>
        <v>0</v>
      </c>
      <c r="AU22" s="383" t="e">
        <f t="shared" si="37"/>
        <v>#DIV/0!</v>
      </c>
      <c r="AV22" s="66">
        <f t="shared" si="38"/>
        <v>0</v>
      </c>
      <c r="AW22" s="383" t="e">
        <f t="shared" si="39"/>
        <v>#DIV/0!</v>
      </c>
      <c r="AX22" s="66">
        <f t="shared" si="40"/>
        <v>0</v>
      </c>
      <c r="AY22" s="383" t="e">
        <f t="shared" si="41"/>
        <v>#DIV/0!</v>
      </c>
      <c r="AZ22" s="66">
        <f t="shared" si="42"/>
        <v>0</v>
      </c>
      <c r="BA22" s="383" t="e">
        <f t="shared" si="43"/>
        <v>#DIV/0!</v>
      </c>
      <c r="BB22" s="316">
        <f t="shared" si="44"/>
        <v>0</v>
      </c>
      <c r="BC22" s="309">
        <f t="shared" si="6"/>
        <v>0</v>
      </c>
      <c r="BD22" s="66">
        <f>IF($AD22="N","N",SUM('調查資料(OUT)'!L28:L31))</f>
        <v>0</v>
      </c>
      <c r="BE22" s="66">
        <f>IF($AD22="N","N",SUM('調查資料(OUT)'!O28:O31))</f>
        <v>0</v>
      </c>
      <c r="BF22" s="66">
        <f>IF($AD22="N","N",SUM('調查資料(OUT)'!S28:S31))</f>
        <v>0</v>
      </c>
      <c r="BG22" s="66">
        <f>IF($AD22="N","N",SUM('調查資料(OUT)'!R28:R31))</f>
        <v>0</v>
      </c>
      <c r="BH22" s="383" t="e">
        <f t="shared" si="7"/>
        <v>#DIV/0!</v>
      </c>
      <c r="BI22" s="66">
        <f t="shared" si="8"/>
        <v>0</v>
      </c>
      <c r="BJ22" s="66">
        <f>IF($AD22="N","N",SUM('調查資料(OUT)'!M28:M31))</f>
        <v>0</v>
      </c>
      <c r="BK22" s="66">
        <f>IF($AD22="N","N",SUM('調查資料(OUT)'!P28:P31))</f>
        <v>0</v>
      </c>
      <c r="BL22" s="66">
        <f>IF($AD22="N","N",SUM('調查資料(OUT)'!T28:T31))</f>
        <v>0</v>
      </c>
      <c r="BM22" s="383" t="e">
        <f t="shared" si="9"/>
        <v>#DIV/0!</v>
      </c>
      <c r="BN22" s="66">
        <f t="shared" si="10"/>
        <v>0</v>
      </c>
      <c r="BO22" s="66">
        <f>IF($AD22="N","N",SUM('調查資料(OUT)'!N28:N31))</f>
        <v>0</v>
      </c>
      <c r="BP22" s="66">
        <f>IF($AD22="N","N",SUM('調查資料(OUT)'!Q28:Q31))</f>
        <v>0</v>
      </c>
      <c r="BQ22" s="66">
        <f>IF($AD22="N","N",SUM('調查資料(OUT)'!U28:U31))</f>
        <v>0</v>
      </c>
      <c r="BR22" s="383" t="e">
        <f t="shared" si="11"/>
        <v>#DIV/0!</v>
      </c>
      <c r="BS22" s="66">
        <f t="shared" si="45"/>
        <v>0</v>
      </c>
      <c r="BT22" s="383" t="e">
        <f t="shared" si="46"/>
        <v>#DIV/0!</v>
      </c>
      <c r="BU22" s="66">
        <f t="shared" si="47"/>
        <v>0</v>
      </c>
      <c r="BV22" s="383" t="e">
        <f t="shared" si="48"/>
        <v>#DIV/0!</v>
      </c>
      <c r="BW22" s="66">
        <f t="shared" si="49"/>
        <v>0</v>
      </c>
      <c r="BX22" s="383" t="e">
        <f t="shared" si="50"/>
        <v>#DIV/0!</v>
      </c>
      <c r="BY22" s="316">
        <f t="shared" si="51"/>
        <v>0</v>
      </c>
      <c r="BZ22" s="309">
        <f t="shared" si="12"/>
        <v>0</v>
      </c>
      <c r="CA22" s="66">
        <f>IF($AD22="N","N",SUM('調查資料(OUT)'!V28:V31))</f>
        <v>0</v>
      </c>
      <c r="CB22" s="66">
        <f>IF($AD22="N","N",SUM('調查資料(OUT)'!Y28:Y31))</f>
        <v>0</v>
      </c>
      <c r="CC22" s="66">
        <f>IF($AD22="N","N",SUM('調查資料(OUT)'!AC28:AC31))</f>
        <v>0</v>
      </c>
      <c r="CD22" s="66">
        <f>IF($AD22="N","N",SUM('調查資料(OUT)'!AB28:AB31))</f>
        <v>0</v>
      </c>
      <c r="CE22" s="383" t="e">
        <f t="shared" si="13"/>
        <v>#DIV/0!</v>
      </c>
      <c r="CF22" s="66">
        <f t="shared" si="14"/>
        <v>0</v>
      </c>
      <c r="CG22" s="66">
        <f>IF($AD22="N","N",SUM('調查資料(OUT)'!W28:W31))</f>
        <v>0</v>
      </c>
      <c r="CH22" s="66">
        <f>IF($AD22="N","N",SUM('調查資料(OUT)'!Z28:Z31))</f>
        <v>0</v>
      </c>
      <c r="CI22" s="66">
        <f>IF($AD22="N","N",SUM('調查資料(OUT)'!AD28:AD31))</f>
        <v>0</v>
      </c>
      <c r="CJ22" s="383" t="e">
        <f t="shared" si="15"/>
        <v>#DIV/0!</v>
      </c>
      <c r="CK22" s="66">
        <f t="shared" si="16"/>
        <v>0</v>
      </c>
      <c r="CL22" s="66">
        <f>IF($AD22="N","N",SUM('調查資料(OUT)'!X28:X31))</f>
        <v>0</v>
      </c>
      <c r="CM22" s="66">
        <f>IF($AD22="N","N",SUM('調查資料(OUT)'!AA28:AA31))</f>
        <v>0</v>
      </c>
      <c r="CN22" s="66">
        <f>IF($AD22="N","N",SUM('調查資料(OUT)'!AE28:AE31))</f>
        <v>0</v>
      </c>
      <c r="CO22" s="383" t="e">
        <f t="shared" si="17"/>
        <v>#DIV/0!</v>
      </c>
      <c r="CP22" s="66">
        <f t="shared" si="52"/>
        <v>0</v>
      </c>
      <c r="CQ22" s="383" t="e">
        <f t="shared" si="53"/>
        <v>#DIV/0!</v>
      </c>
      <c r="CR22" s="66">
        <f t="shared" si="54"/>
        <v>0</v>
      </c>
      <c r="CS22" s="383" t="e">
        <f t="shared" si="55"/>
        <v>#DIV/0!</v>
      </c>
      <c r="CT22" s="66">
        <f t="shared" si="56"/>
        <v>0</v>
      </c>
      <c r="CU22" s="383" t="e">
        <f t="shared" si="57"/>
        <v>#DIV/0!</v>
      </c>
      <c r="CV22" s="316">
        <f t="shared" si="58"/>
        <v>0</v>
      </c>
      <c r="CW22" s="309">
        <f t="shared" si="18"/>
        <v>0</v>
      </c>
      <c r="CX22" s="66">
        <f>IF($AD22="N","N",SUM('調查資料(OUT)'!AF28:AF31))</f>
        <v>0</v>
      </c>
      <c r="CY22" s="66">
        <f>IF($AD22="N","N",SUM('調查資料(OUT)'!AI28:AI31))</f>
        <v>0</v>
      </c>
      <c r="CZ22" s="66">
        <f>IF($AD22="N","N",SUM('調查資料(OUT)'!AM28:AM31))</f>
        <v>0</v>
      </c>
      <c r="DA22" s="66">
        <f>IF($AD22="N","N",SUM('調查資料(OUT)'!AL28:AL31))</f>
        <v>0</v>
      </c>
      <c r="DB22" s="383" t="e">
        <f t="shared" si="19"/>
        <v>#DIV/0!</v>
      </c>
      <c r="DC22" s="66">
        <f t="shared" si="20"/>
        <v>0</v>
      </c>
      <c r="DD22" s="66">
        <f>IF($AD22="N","N",SUM('調查資料(OUT)'!AG28:AG31))</f>
        <v>0</v>
      </c>
      <c r="DE22" s="66">
        <f>IF($AD22="N","N",SUM('調查資料(OUT)'!AJ28:AJ31))</f>
        <v>0</v>
      </c>
      <c r="DF22" s="66">
        <f>IF($AD22="N","N",SUM('調查資料(OUT)'!AN28:AN31))</f>
        <v>0</v>
      </c>
      <c r="DG22" s="383" t="e">
        <f t="shared" si="21"/>
        <v>#DIV/0!</v>
      </c>
      <c r="DH22" s="66">
        <f t="shared" si="22"/>
        <v>0</v>
      </c>
      <c r="DI22" s="66">
        <f>IF($AD22="N","N",SUM('調查資料(OUT)'!AH28:AH31))</f>
        <v>0</v>
      </c>
      <c r="DJ22" s="66">
        <f>IF($AD22="N","N",SUM('調查資料(OUT)'!AK28:AK31))</f>
        <v>0</v>
      </c>
      <c r="DK22" s="66">
        <f>IF($AD22="N","N",SUM('調查資料(OUT)'!AO28:AO31))</f>
        <v>0</v>
      </c>
      <c r="DL22" s="383" t="e">
        <f t="shared" si="23"/>
        <v>#DIV/0!</v>
      </c>
      <c r="DM22" s="66">
        <f t="shared" si="59"/>
        <v>0</v>
      </c>
      <c r="DN22" s="383" t="e">
        <f t="shared" si="60"/>
        <v>#DIV/0!</v>
      </c>
      <c r="DO22" s="66">
        <f t="shared" si="61"/>
        <v>0</v>
      </c>
      <c r="DP22" s="383" t="e">
        <f t="shared" si="62"/>
        <v>#DIV/0!</v>
      </c>
      <c r="DQ22" s="66">
        <f t="shared" si="63"/>
        <v>0</v>
      </c>
      <c r="DR22" s="383" t="e">
        <f t="shared" si="64"/>
        <v>#DIV/0!</v>
      </c>
      <c r="DS22" s="316">
        <f t="shared" si="65"/>
        <v>0</v>
      </c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  <c r="FK22" s="67"/>
      <c r="FL22" s="67"/>
      <c r="FM22" s="67"/>
      <c r="FN22" s="67"/>
    </row>
    <row r="23" spans="1:170">
      <c r="A23" s="118">
        <f>'調查資料(OUT)'!A29</f>
        <v>430</v>
      </c>
      <c r="B23" s="309">
        <f t="shared" si="70"/>
        <v>0</v>
      </c>
      <c r="C23" s="66">
        <f>IFERROR('調查資料(OUT)'!B$1*'調查資料(OUT)'!B29,0)+IFERROR('調查資料(OUT)'!E$1*'調查資料(OUT)'!E29,0)+IFERROR('調查資料(OUT)'!H$1*'調查資料(OUT)'!H29,0)+IFERROR('調查資料(OUT)'!I$1*'調查資料(OUT)'!I29,0)</f>
        <v>0</v>
      </c>
      <c r="D23" s="66">
        <f>IFERROR('調查資料(OUT)'!C$1*'調查資料(OUT)'!C29,0)+IFERROR('調查資料(OUT)'!F$1*'調查資料(OUT)'!F29,0)+IFERROR('調查資料(OUT)'!J$1*'調查資料(OUT)'!J29,0)</f>
        <v>0</v>
      </c>
      <c r="E23" s="316">
        <f>IFERROR('調查資料(OUT)'!D$1*'調查資料(OUT)'!D29,0)+IFERROR('調查資料(OUT)'!G$1*'調查資料(OUT)'!G29,0)+IFERROR('調查資料(OUT)'!K$1*'調查資料(OUT)'!K29,0)</f>
        <v>0</v>
      </c>
      <c r="F23" s="309">
        <f t="shared" si="71"/>
        <v>0</v>
      </c>
      <c r="G23" s="66">
        <f>IFERROR('調查資料(OUT)'!L$1*'調查資料(OUT)'!L29,0)+IFERROR('調查資料(OUT)'!O$1*'調查資料(OUT)'!O29,0)+IFERROR('調查資料(OUT)'!R$1*'調查資料(OUT)'!R29,0)+IFERROR('調查資料(OUT)'!S$1*'調查資料(OUT)'!S29,0)</f>
        <v>0</v>
      </c>
      <c r="H23" s="66">
        <f>IFERROR('調查資料(OUT)'!M$1*'調查資料(OUT)'!M29,0)+IFERROR('調查資料(OUT)'!P$1*'調查資料(OUT)'!P29,0)+IFERROR('調查資料(OUT)'!T$1*'調查資料(OUT)'!T29,0)</f>
        <v>0</v>
      </c>
      <c r="I23" s="316">
        <f>IFERROR('調查資料(OUT)'!N$1*'調查資料(OUT)'!N29,0)+IFERROR('調查資料(OUT)'!Q$1*'調查資料(OUT)'!Q29,0)+IFERROR('調查資料(OUT)'!U$1*'調查資料(OUT)'!U29,0)</f>
        <v>0</v>
      </c>
      <c r="J23" s="309">
        <f t="shared" si="24"/>
        <v>0</v>
      </c>
      <c r="K23" s="66">
        <f>IFERROR('調查資料(OUT)'!V$1*'調查資料(OUT)'!V29,0)+IFERROR('調查資料(OUT)'!Y$1*'調查資料(OUT)'!Y29,0)+IFERROR('調查資料(OUT)'!AB$1*'調查資料(OUT)'!AB29,0)+IFERROR('調查資料(OUT)'!AC$1*'調查資料(OUT)'!AC29,0)</f>
        <v>0</v>
      </c>
      <c r="L23" s="66">
        <f>IFERROR('調查資料(OUT)'!W$1*'調查資料(OUT)'!W29,0)+IFERROR('調查資料(OUT)'!Z$1*'調查資料(OUT)'!Z29,0)+IFERROR('調查資料(OUT)'!AD$1*'調查資料(OUT)'!AD29,0)</f>
        <v>0</v>
      </c>
      <c r="M23" s="316">
        <f>IFERROR('調查資料(OUT)'!X$1*'調查資料(OUT)'!X29,0)+IFERROR('調查資料(OUT)'!AA$1*'調查資料(OUT)'!AA29,0)+IFERROR('調查資料(OUT)'!AE$1*'調查資料(OUT)'!AE29,0)</f>
        <v>0</v>
      </c>
      <c r="N23" s="309">
        <f t="shared" si="25"/>
        <v>0</v>
      </c>
      <c r="O23" s="66">
        <f>IFERROR('調查資料(OUT)'!AF$1*'調查資料(OUT)'!AF29,0)+IFERROR('調查資料(OUT)'!AI$1*'調查資料(OUT)'!AI29,0)+IFERROR('調查資料(OUT)'!AL$1*'調查資料(OUT)'!AL29,0)+IFERROR('調查資料(OUT)'!AM$1*'調查資料(OUT)'!AM29,0)</f>
        <v>0</v>
      </c>
      <c r="P23" s="66">
        <f>IFERROR('調查資料(OUT)'!AG$1*'調查資料(OUT)'!AG29,0)+IFERROR('調查資料(OUT)'!AJ$1*'調查資料(OUT)'!AJ29,0)+IFERROR('調查資料(OUT)'!AN$1*'調查資料(OUT)'!AN29,0)</f>
        <v>0</v>
      </c>
      <c r="Q23" s="316">
        <f>IFERROR('調查資料(OUT)'!AH$1*'調查資料(OUT)'!AH29,0)+IFERROR('調查資料(OUT)'!AK$1*'調查資料(OUT)'!AK29,0)+IFERROR('調查資料(OUT)'!AO$1*'調查資料(OUT)'!AO29,0)</f>
        <v>0</v>
      </c>
      <c r="R23" s="133">
        <f t="shared" si="72"/>
        <v>0</v>
      </c>
      <c r="S23" s="131"/>
      <c r="T23" s="366">
        <f>'調查資料(OUT)'!A29</f>
        <v>430</v>
      </c>
      <c r="U23" s="101">
        <f t="shared" si="73"/>
        <v>530</v>
      </c>
      <c r="V23" s="66">
        <f t="shared" si="74"/>
        <v>0</v>
      </c>
      <c r="W23" s="381"/>
      <c r="X23" s="66">
        <f t="shared" si="68"/>
        <v>0</v>
      </c>
      <c r="Y23" s="379" t="e">
        <f t="shared" si="26"/>
        <v>#DIV/0!</v>
      </c>
      <c r="Z23" s="379" t="e">
        <f t="shared" si="27"/>
        <v>#DIV/0!</v>
      </c>
      <c r="AA23" s="379" t="e">
        <f t="shared" si="28"/>
        <v>#DIV/0!</v>
      </c>
      <c r="AB23" s="379" t="e">
        <f t="shared" si="29"/>
        <v>#DIV/0!</v>
      </c>
      <c r="AC23" s="67"/>
      <c r="AD23" s="66">
        <f t="shared" si="30"/>
        <v>430</v>
      </c>
      <c r="AE23" s="316">
        <f t="shared" si="31"/>
        <v>530</v>
      </c>
      <c r="AF23" s="309">
        <f t="shared" si="69"/>
        <v>0</v>
      </c>
      <c r="AG23" s="66">
        <f>IF($AD23="N","N",SUM('調查資料(OUT)'!B29:B32))</f>
        <v>0</v>
      </c>
      <c r="AH23" s="66">
        <f>IF($AD23="N","N",SUM('調查資料(OUT)'!E29:E32))</f>
        <v>0</v>
      </c>
      <c r="AI23" s="66">
        <f>IF($AD23="N","N",SUM('調查資料(OUT)'!I29:I32))</f>
        <v>0</v>
      </c>
      <c r="AJ23" s="66">
        <f>IF($AD23="N","N",SUM('調查資料(OUT)'!H29:H32))</f>
        <v>0</v>
      </c>
      <c r="AK23" s="383" t="e">
        <f t="shared" si="33"/>
        <v>#DIV/0!</v>
      </c>
      <c r="AL23" s="66">
        <f t="shared" si="34"/>
        <v>0</v>
      </c>
      <c r="AM23" s="66">
        <f>IF($AD23="N","N",SUM('調查資料(OUT)'!C29:C32))</f>
        <v>0</v>
      </c>
      <c r="AN23" s="66">
        <f>IF($AD23="N","N",SUM('調查資料(OUT)'!F29:F32))</f>
        <v>0</v>
      </c>
      <c r="AO23" s="66">
        <f>IF($AD23="N","N",SUM('調查資料(OUT)'!J29:J32))</f>
        <v>0</v>
      </c>
      <c r="AP23" s="383" t="e">
        <f t="shared" si="35"/>
        <v>#DIV/0!</v>
      </c>
      <c r="AQ23" s="66">
        <f t="shared" si="36"/>
        <v>0</v>
      </c>
      <c r="AR23" s="66">
        <f>IF($AD23="N","N",SUM('調查資料(OUT)'!D29:D32))</f>
        <v>0</v>
      </c>
      <c r="AS23" s="66">
        <f>IF($AD23="N","N",SUM('調查資料(OUT)'!G29:G32))</f>
        <v>0</v>
      </c>
      <c r="AT23" s="66">
        <f>IF($AD23="N","N",SUM('調查資料(OUT)'!K29:K32))</f>
        <v>0</v>
      </c>
      <c r="AU23" s="383" t="e">
        <f t="shared" si="37"/>
        <v>#DIV/0!</v>
      </c>
      <c r="AV23" s="66">
        <f t="shared" si="38"/>
        <v>0</v>
      </c>
      <c r="AW23" s="383" t="e">
        <f t="shared" si="39"/>
        <v>#DIV/0!</v>
      </c>
      <c r="AX23" s="66">
        <f t="shared" si="40"/>
        <v>0</v>
      </c>
      <c r="AY23" s="383" t="e">
        <f t="shared" si="41"/>
        <v>#DIV/0!</v>
      </c>
      <c r="AZ23" s="66">
        <f t="shared" si="42"/>
        <v>0</v>
      </c>
      <c r="BA23" s="383" t="e">
        <f t="shared" si="43"/>
        <v>#DIV/0!</v>
      </c>
      <c r="BB23" s="316">
        <f t="shared" si="44"/>
        <v>0</v>
      </c>
      <c r="BC23" s="309">
        <f t="shared" si="6"/>
        <v>0</v>
      </c>
      <c r="BD23" s="66">
        <f>IF($AD23="N","N",SUM('調查資料(OUT)'!L29:L32))</f>
        <v>0</v>
      </c>
      <c r="BE23" s="66">
        <f>IF($AD23="N","N",SUM('調查資料(OUT)'!O29:O32))</f>
        <v>0</v>
      </c>
      <c r="BF23" s="66">
        <f>IF($AD23="N","N",SUM('調查資料(OUT)'!S29:S32))</f>
        <v>0</v>
      </c>
      <c r="BG23" s="66">
        <f>IF($AD23="N","N",SUM('調查資料(OUT)'!R29:R32))</f>
        <v>0</v>
      </c>
      <c r="BH23" s="383" t="e">
        <f t="shared" si="7"/>
        <v>#DIV/0!</v>
      </c>
      <c r="BI23" s="66">
        <f t="shared" si="8"/>
        <v>0</v>
      </c>
      <c r="BJ23" s="66">
        <f>IF($AD23="N","N",SUM('調查資料(OUT)'!M29:M32))</f>
        <v>0</v>
      </c>
      <c r="BK23" s="66">
        <f>IF($AD23="N","N",SUM('調查資料(OUT)'!P29:P32))</f>
        <v>0</v>
      </c>
      <c r="BL23" s="66">
        <f>IF($AD23="N","N",SUM('調查資料(OUT)'!T29:T32))</f>
        <v>0</v>
      </c>
      <c r="BM23" s="383" t="e">
        <f t="shared" si="9"/>
        <v>#DIV/0!</v>
      </c>
      <c r="BN23" s="66">
        <f t="shared" si="10"/>
        <v>0</v>
      </c>
      <c r="BO23" s="66">
        <f>IF($AD23="N","N",SUM('調查資料(OUT)'!N29:N32))</f>
        <v>0</v>
      </c>
      <c r="BP23" s="66">
        <f>IF($AD23="N","N",SUM('調查資料(OUT)'!Q29:Q32))</f>
        <v>0</v>
      </c>
      <c r="BQ23" s="66">
        <f>IF($AD23="N","N",SUM('調查資料(OUT)'!U29:U32))</f>
        <v>0</v>
      </c>
      <c r="BR23" s="383" t="e">
        <f t="shared" si="11"/>
        <v>#DIV/0!</v>
      </c>
      <c r="BS23" s="66">
        <f t="shared" si="45"/>
        <v>0</v>
      </c>
      <c r="BT23" s="383" t="e">
        <f t="shared" si="46"/>
        <v>#DIV/0!</v>
      </c>
      <c r="BU23" s="66">
        <f t="shared" si="47"/>
        <v>0</v>
      </c>
      <c r="BV23" s="383" t="e">
        <f t="shared" si="48"/>
        <v>#DIV/0!</v>
      </c>
      <c r="BW23" s="66">
        <f t="shared" si="49"/>
        <v>0</v>
      </c>
      <c r="BX23" s="383" t="e">
        <f t="shared" si="50"/>
        <v>#DIV/0!</v>
      </c>
      <c r="BY23" s="316">
        <f t="shared" si="51"/>
        <v>0</v>
      </c>
      <c r="BZ23" s="309">
        <f t="shared" si="12"/>
        <v>0</v>
      </c>
      <c r="CA23" s="66">
        <f>IF($AD23="N","N",SUM('調查資料(OUT)'!V29:V32))</f>
        <v>0</v>
      </c>
      <c r="CB23" s="66">
        <f>IF($AD23="N","N",SUM('調查資料(OUT)'!Y29:Y32))</f>
        <v>0</v>
      </c>
      <c r="CC23" s="66">
        <f>IF($AD23="N","N",SUM('調查資料(OUT)'!AC29:AC32))</f>
        <v>0</v>
      </c>
      <c r="CD23" s="66">
        <f>IF($AD23="N","N",SUM('調查資料(OUT)'!AB29:AB32))</f>
        <v>0</v>
      </c>
      <c r="CE23" s="383" t="e">
        <f t="shared" si="13"/>
        <v>#DIV/0!</v>
      </c>
      <c r="CF23" s="66">
        <f t="shared" si="14"/>
        <v>0</v>
      </c>
      <c r="CG23" s="66">
        <f>IF($AD23="N","N",SUM('調查資料(OUT)'!W29:W32))</f>
        <v>0</v>
      </c>
      <c r="CH23" s="66">
        <f>IF($AD23="N","N",SUM('調查資料(OUT)'!Z29:Z32))</f>
        <v>0</v>
      </c>
      <c r="CI23" s="66">
        <f>IF($AD23="N","N",SUM('調查資料(OUT)'!AD29:AD32))</f>
        <v>0</v>
      </c>
      <c r="CJ23" s="383" t="e">
        <f t="shared" si="15"/>
        <v>#DIV/0!</v>
      </c>
      <c r="CK23" s="66">
        <f t="shared" si="16"/>
        <v>0</v>
      </c>
      <c r="CL23" s="66">
        <f>IF($AD23="N","N",SUM('調查資料(OUT)'!X29:X32))</f>
        <v>0</v>
      </c>
      <c r="CM23" s="66">
        <f>IF($AD23="N","N",SUM('調查資料(OUT)'!AA29:AA32))</f>
        <v>0</v>
      </c>
      <c r="CN23" s="66">
        <f>IF($AD23="N","N",SUM('調查資料(OUT)'!AE29:AE32))</f>
        <v>0</v>
      </c>
      <c r="CO23" s="383" t="e">
        <f t="shared" si="17"/>
        <v>#DIV/0!</v>
      </c>
      <c r="CP23" s="66">
        <f t="shared" si="52"/>
        <v>0</v>
      </c>
      <c r="CQ23" s="383" t="e">
        <f t="shared" si="53"/>
        <v>#DIV/0!</v>
      </c>
      <c r="CR23" s="66">
        <f t="shared" si="54"/>
        <v>0</v>
      </c>
      <c r="CS23" s="383" t="e">
        <f t="shared" si="55"/>
        <v>#DIV/0!</v>
      </c>
      <c r="CT23" s="66">
        <f t="shared" si="56"/>
        <v>0</v>
      </c>
      <c r="CU23" s="383" t="e">
        <f t="shared" si="57"/>
        <v>#DIV/0!</v>
      </c>
      <c r="CV23" s="316">
        <f t="shared" si="58"/>
        <v>0</v>
      </c>
      <c r="CW23" s="309">
        <f t="shared" si="18"/>
        <v>0</v>
      </c>
      <c r="CX23" s="66">
        <f>IF($AD23="N","N",SUM('調查資料(OUT)'!AF29:AF32))</f>
        <v>0</v>
      </c>
      <c r="CY23" s="66">
        <f>IF($AD23="N","N",SUM('調查資料(OUT)'!AI29:AI32))</f>
        <v>0</v>
      </c>
      <c r="CZ23" s="66">
        <f>IF($AD23="N","N",SUM('調查資料(OUT)'!AM29:AM32))</f>
        <v>0</v>
      </c>
      <c r="DA23" s="66">
        <f>IF($AD23="N","N",SUM('調查資料(OUT)'!AL29:AL32))</f>
        <v>0</v>
      </c>
      <c r="DB23" s="383" t="e">
        <f t="shared" si="19"/>
        <v>#DIV/0!</v>
      </c>
      <c r="DC23" s="66">
        <f t="shared" si="20"/>
        <v>0</v>
      </c>
      <c r="DD23" s="66">
        <f>IF($AD23="N","N",SUM('調查資料(OUT)'!AG29:AG32))</f>
        <v>0</v>
      </c>
      <c r="DE23" s="66">
        <f>IF($AD23="N","N",SUM('調查資料(OUT)'!AJ29:AJ32))</f>
        <v>0</v>
      </c>
      <c r="DF23" s="66">
        <f>IF($AD23="N","N",SUM('調查資料(OUT)'!AN29:AN32))</f>
        <v>0</v>
      </c>
      <c r="DG23" s="383" t="e">
        <f t="shared" si="21"/>
        <v>#DIV/0!</v>
      </c>
      <c r="DH23" s="66">
        <f t="shared" si="22"/>
        <v>0</v>
      </c>
      <c r="DI23" s="66">
        <f>IF($AD23="N","N",SUM('調查資料(OUT)'!AH29:AH32))</f>
        <v>0</v>
      </c>
      <c r="DJ23" s="66">
        <f>IF($AD23="N","N",SUM('調查資料(OUT)'!AK29:AK32))</f>
        <v>0</v>
      </c>
      <c r="DK23" s="66">
        <f>IF($AD23="N","N",SUM('調查資料(OUT)'!AO29:AO32))</f>
        <v>0</v>
      </c>
      <c r="DL23" s="383" t="e">
        <f t="shared" si="23"/>
        <v>#DIV/0!</v>
      </c>
      <c r="DM23" s="66">
        <f t="shared" si="59"/>
        <v>0</v>
      </c>
      <c r="DN23" s="383" t="e">
        <f t="shared" si="60"/>
        <v>#DIV/0!</v>
      </c>
      <c r="DO23" s="66">
        <f t="shared" si="61"/>
        <v>0</v>
      </c>
      <c r="DP23" s="383" t="e">
        <f t="shared" si="62"/>
        <v>#DIV/0!</v>
      </c>
      <c r="DQ23" s="66">
        <f t="shared" si="63"/>
        <v>0</v>
      </c>
      <c r="DR23" s="383" t="e">
        <f t="shared" si="64"/>
        <v>#DIV/0!</v>
      </c>
      <c r="DS23" s="316">
        <f t="shared" si="65"/>
        <v>0</v>
      </c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  <c r="EO23" s="67"/>
      <c r="EP23" s="67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67"/>
      <c r="FC23" s="67"/>
      <c r="FD23" s="67"/>
      <c r="FE23" s="67"/>
      <c r="FF23" s="67"/>
      <c r="FG23" s="67"/>
      <c r="FH23" s="67"/>
      <c r="FI23" s="67"/>
      <c r="FJ23" s="67"/>
      <c r="FK23" s="67"/>
      <c r="FL23" s="67"/>
      <c r="FM23" s="67"/>
      <c r="FN23" s="67"/>
    </row>
    <row r="24" spans="1:170">
      <c r="A24" s="118">
        <f>'調查資料(OUT)'!A30</f>
        <v>445</v>
      </c>
      <c r="B24" s="309">
        <f t="shared" si="70"/>
        <v>0</v>
      </c>
      <c r="C24" s="66">
        <f>IFERROR('調查資料(OUT)'!B$1*'調查資料(OUT)'!B30,0)+IFERROR('調查資料(OUT)'!E$1*'調查資料(OUT)'!E30,0)+IFERROR('調查資料(OUT)'!H$1*'調查資料(OUT)'!H30,0)+IFERROR('調查資料(OUT)'!I$1*'調查資料(OUT)'!I30,0)</f>
        <v>0</v>
      </c>
      <c r="D24" s="66">
        <f>IFERROR('調查資料(OUT)'!C$1*'調查資料(OUT)'!C30,0)+IFERROR('調查資料(OUT)'!F$1*'調查資料(OUT)'!F30,0)+IFERROR('調查資料(OUT)'!J$1*'調查資料(OUT)'!J30,0)</f>
        <v>0</v>
      </c>
      <c r="E24" s="316">
        <f>IFERROR('調查資料(OUT)'!D$1*'調查資料(OUT)'!D30,0)+IFERROR('調查資料(OUT)'!G$1*'調查資料(OUT)'!G30,0)+IFERROR('調查資料(OUT)'!K$1*'調查資料(OUT)'!K30,0)</f>
        <v>0</v>
      </c>
      <c r="F24" s="309">
        <f t="shared" si="71"/>
        <v>0</v>
      </c>
      <c r="G24" s="66">
        <f>IFERROR('調查資料(OUT)'!L$1*'調查資料(OUT)'!L30,0)+IFERROR('調查資料(OUT)'!O$1*'調查資料(OUT)'!O30,0)+IFERROR('調查資料(OUT)'!R$1*'調查資料(OUT)'!R30,0)+IFERROR('調查資料(OUT)'!S$1*'調查資料(OUT)'!S30,0)</f>
        <v>0</v>
      </c>
      <c r="H24" s="66">
        <f>IFERROR('調查資料(OUT)'!M$1*'調查資料(OUT)'!M30,0)+IFERROR('調查資料(OUT)'!P$1*'調查資料(OUT)'!P30,0)+IFERROR('調查資料(OUT)'!T$1*'調查資料(OUT)'!T30,0)</f>
        <v>0</v>
      </c>
      <c r="I24" s="316">
        <f>IFERROR('調查資料(OUT)'!N$1*'調查資料(OUT)'!N30,0)+IFERROR('調查資料(OUT)'!Q$1*'調查資料(OUT)'!Q30,0)+IFERROR('調查資料(OUT)'!U$1*'調查資料(OUT)'!U30,0)</f>
        <v>0</v>
      </c>
      <c r="J24" s="309">
        <f t="shared" si="24"/>
        <v>0</v>
      </c>
      <c r="K24" s="66">
        <f>IFERROR('調查資料(OUT)'!V$1*'調查資料(OUT)'!V30,0)+IFERROR('調查資料(OUT)'!Y$1*'調查資料(OUT)'!Y30,0)+IFERROR('調查資料(OUT)'!AB$1*'調查資料(OUT)'!AB30,0)+IFERROR('調查資料(OUT)'!AC$1*'調查資料(OUT)'!AC30,0)</f>
        <v>0</v>
      </c>
      <c r="L24" s="66">
        <f>IFERROR('調查資料(OUT)'!W$1*'調查資料(OUT)'!W30,0)+IFERROR('調查資料(OUT)'!Z$1*'調查資料(OUT)'!Z30,0)+IFERROR('調查資料(OUT)'!AD$1*'調查資料(OUT)'!AD30,0)</f>
        <v>0</v>
      </c>
      <c r="M24" s="316">
        <f>IFERROR('調查資料(OUT)'!X$1*'調查資料(OUT)'!X30,0)+IFERROR('調查資料(OUT)'!AA$1*'調查資料(OUT)'!AA30,0)+IFERROR('調查資料(OUT)'!AE$1*'調查資料(OUT)'!AE30,0)</f>
        <v>0</v>
      </c>
      <c r="N24" s="309">
        <f t="shared" si="25"/>
        <v>0</v>
      </c>
      <c r="O24" s="66">
        <f>IFERROR('調查資料(OUT)'!AF$1*'調查資料(OUT)'!AF30,0)+IFERROR('調查資料(OUT)'!AI$1*'調查資料(OUT)'!AI30,0)+IFERROR('調查資料(OUT)'!AL$1*'調查資料(OUT)'!AL30,0)+IFERROR('調查資料(OUT)'!AM$1*'調查資料(OUT)'!AM30,0)</f>
        <v>0</v>
      </c>
      <c r="P24" s="66">
        <f>IFERROR('調查資料(OUT)'!AG$1*'調查資料(OUT)'!AG30,0)+IFERROR('調查資料(OUT)'!AJ$1*'調查資料(OUT)'!AJ30,0)+IFERROR('調查資料(OUT)'!AN$1*'調查資料(OUT)'!AN30,0)</f>
        <v>0</v>
      </c>
      <c r="Q24" s="316">
        <f>IFERROR('調查資料(OUT)'!AH$1*'調查資料(OUT)'!AH30,0)+IFERROR('調查資料(OUT)'!AK$1*'調查資料(OUT)'!AK30,0)+IFERROR('調查資料(OUT)'!AO$1*'調查資料(OUT)'!AO30,0)</f>
        <v>0</v>
      </c>
      <c r="R24" s="133">
        <f t="shared" si="72"/>
        <v>0</v>
      </c>
      <c r="S24" s="131"/>
      <c r="T24" s="366">
        <f>'調查資料(OUT)'!A30</f>
        <v>445</v>
      </c>
      <c r="U24" s="101">
        <f t="shared" si="73"/>
        <v>545</v>
      </c>
      <c r="V24" s="66">
        <f t="shared" si="74"/>
        <v>0</v>
      </c>
      <c r="W24" s="381"/>
      <c r="X24" s="66">
        <f t="shared" si="68"/>
        <v>0</v>
      </c>
      <c r="Y24" s="379" t="e">
        <f t="shared" si="26"/>
        <v>#DIV/0!</v>
      </c>
      <c r="Z24" s="379" t="e">
        <f t="shared" si="27"/>
        <v>#DIV/0!</v>
      </c>
      <c r="AA24" s="379" t="e">
        <f t="shared" si="28"/>
        <v>#DIV/0!</v>
      </c>
      <c r="AB24" s="379" t="e">
        <f t="shared" si="29"/>
        <v>#DIV/0!</v>
      </c>
      <c r="AC24" s="67"/>
      <c r="AD24" s="66">
        <f t="shared" si="30"/>
        <v>445</v>
      </c>
      <c r="AE24" s="316">
        <f t="shared" si="31"/>
        <v>545</v>
      </c>
      <c r="AF24" s="309">
        <f t="shared" si="69"/>
        <v>0</v>
      </c>
      <c r="AG24" s="66">
        <f>IF($AD24="N","N",SUM('調查資料(OUT)'!B30:B33))</f>
        <v>0</v>
      </c>
      <c r="AH24" s="66">
        <f>IF($AD24="N","N",SUM('調查資料(OUT)'!E30:E33))</f>
        <v>0</v>
      </c>
      <c r="AI24" s="66">
        <f>IF($AD24="N","N",SUM('調查資料(OUT)'!I30:I33))</f>
        <v>0</v>
      </c>
      <c r="AJ24" s="66">
        <f>IF($AD24="N","N",SUM('調查資料(OUT)'!H30:H33))</f>
        <v>0</v>
      </c>
      <c r="AK24" s="383" t="e">
        <f t="shared" si="33"/>
        <v>#DIV/0!</v>
      </c>
      <c r="AL24" s="66">
        <f t="shared" si="34"/>
        <v>0</v>
      </c>
      <c r="AM24" s="66">
        <f>IF($AD24="N","N",SUM('調查資料(OUT)'!C30:C33))</f>
        <v>0</v>
      </c>
      <c r="AN24" s="66">
        <f>IF($AD24="N","N",SUM('調查資料(OUT)'!F30:F33))</f>
        <v>0</v>
      </c>
      <c r="AO24" s="66">
        <f>IF($AD24="N","N",SUM('調查資料(OUT)'!J30:J33))</f>
        <v>0</v>
      </c>
      <c r="AP24" s="383" t="e">
        <f t="shared" si="35"/>
        <v>#DIV/0!</v>
      </c>
      <c r="AQ24" s="66">
        <f t="shared" si="36"/>
        <v>0</v>
      </c>
      <c r="AR24" s="66">
        <f>IF($AD24="N","N",SUM('調查資料(OUT)'!D30:D33))</f>
        <v>0</v>
      </c>
      <c r="AS24" s="66">
        <f>IF($AD24="N","N",SUM('調查資料(OUT)'!G30:G33))</f>
        <v>0</v>
      </c>
      <c r="AT24" s="66">
        <f>IF($AD24="N","N",SUM('調查資料(OUT)'!K30:K33))</f>
        <v>0</v>
      </c>
      <c r="AU24" s="383" t="e">
        <f t="shared" si="37"/>
        <v>#DIV/0!</v>
      </c>
      <c r="AV24" s="66">
        <f t="shared" si="38"/>
        <v>0</v>
      </c>
      <c r="AW24" s="383" t="e">
        <f t="shared" si="39"/>
        <v>#DIV/0!</v>
      </c>
      <c r="AX24" s="66">
        <f t="shared" si="40"/>
        <v>0</v>
      </c>
      <c r="AY24" s="383" t="e">
        <f t="shared" si="41"/>
        <v>#DIV/0!</v>
      </c>
      <c r="AZ24" s="66">
        <f t="shared" si="42"/>
        <v>0</v>
      </c>
      <c r="BA24" s="383" t="e">
        <f t="shared" si="43"/>
        <v>#DIV/0!</v>
      </c>
      <c r="BB24" s="316">
        <f t="shared" si="44"/>
        <v>0</v>
      </c>
      <c r="BC24" s="309">
        <f t="shared" si="6"/>
        <v>0</v>
      </c>
      <c r="BD24" s="66">
        <f>IF($AD24="N","N",SUM('調查資料(OUT)'!L30:L33))</f>
        <v>0</v>
      </c>
      <c r="BE24" s="66">
        <f>IF($AD24="N","N",SUM('調查資料(OUT)'!O30:O33))</f>
        <v>0</v>
      </c>
      <c r="BF24" s="66">
        <f>IF($AD24="N","N",SUM('調查資料(OUT)'!S30:S33))</f>
        <v>0</v>
      </c>
      <c r="BG24" s="66">
        <f>IF($AD24="N","N",SUM('調查資料(OUT)'!R30:R33))</f>
        <v>0</v>
      </c>
      <c r="BH24" s="383" t="e">
        <f t="shared" si="7"/>
        <v>#DIV/0!</v>
      </c>
      <c r="BI24" s="66">
        <f t="shared" si="8"/>
        <v>0</v>
      </c>
      <c r="BJ24" s="66">
        <f>IF($AD24="N","N",SUM('調查資料(OUT)'!M30:M33))</f>
        <v>0</v>
      </c>
      <c r="BK24" s="66">
        <f>IF($AD24="N","N",SUM('調查資料(OUT)'!P30:P33))</f>
        <v>0</v>
      </c>
      <c r="BL24" s="66">
        <f>IF($AD24="N","N",SUM('調查資料(OUT)'!T30:T33))</f>
        <v>0</v>
      </c>
      <c r="BM24" s="383" t="e">
        <f t="shared" si="9"/>
        <v>#DIV/0!</v>
      </c>
      <c r="BN24" s="66">
        <f t="shared" si="10"/>
        <v>0</v>
      </c>
      <c r="BO24" s="66">
        <f>IF($AD24="N","N",SUM('調查資料(OUT)'!N30:N33))</f>
        <v>0</v>
      </c>
      <c r="BP24" s="66">
        <f>IF($AD24="N","N",SUM('調查資料(OUT)'!Q30:Q33))</f>
        <v>0</v>
      </c>
      <c r="BQ24" s="66">
        <f>IF($AD24="N","N",SUM('調查資料(OUT)'!U30:U33))</f>
        <v>0</v>
      </c>
      <c r="BR24" s="383" t="e">
        <f t="shared" si="11"/>
        <v>#DIV/0!</v>
      </c>
      <c r="BS24" s="66">
        <f t="shared" si="45"/>
        <v>0</v>
      </c>
      <c r="BT24" s="383" t="e">
        <f t="shared" si="46"/>
        <v>#DIV/0!</v>
      </c>
      <c r="BU24" s="66">
        <f t="shared" si="47"/>
        <v>0</v>
      </c>
      <c r="BV24" s="383" t="e">
        <f t="shared" si="48"/>
        <v>#DIV/0!</v>
      </c>
      <c r="BW24" s="66">
        <f t="shared" si="49"/>
        <v>0</v>
      </c>
      <c r="BX24" s="383" t="e">
        <f t="shared" si="50"/>
        <v>#DIV/0!</v>
      </c>
      <c r="BY24" s="316">
        <f t="shared" si="51"/>
        <v>0</v>
      </c>
      <c r="BZ24" s="309">
        <f t="shared" si="12"/>
        <v>0</v>
      </c>
      <c r="CA24" s="66">
        <f>IF($AD24="N","N",SUM('調查資料(OUT)'!V30:V33))</f>
        <v>0</v>
      </c>
      <c r="CB24" s="66">
        <f>IF($AD24="N","N",SUM('調查資料(OUT)'!Y30:Y33))</f>
        <v>0</v>
      </c>
      <c r="CC24" s="66">
        <f>IF($AD24="N","N",SUM('調查資料(OUT)'!AC30:AC33))</f>
        <v>0</v>
      </c>
      <c r="CD24" s="66">
        <f>IF($AD24="N","N",SUM('調查資料(OUT)'!AB30:AB33))</f>
        <v>0</v>
      </c>
      <c r="CE24" s="383" t="e">
        <f t="shared" si="13"/>
        <v>#DIV/0!</v>
      </c>
      <c r="CF24" s="66">
        <f t="shared" si="14"/>
        <v>0</v>
      </c>
      <c r="CG24" s="66">
        <f>IF($AD24="N","N",SUM('調查資料(OUT)'!W30:W33))</f>
        <v>0</v>
      </c>
      <c r="CH24" s="66">
        <f>IF($AD24="N","N",SUM('調查資料(OUT)'!Z30:Z33))</f>
        <v>0</v>
      </c>
      <c r="CI24" s="66">
        <f>IF($AD24="N","N",SUM('調查資料(OUT)'!AD30:AD33))</f>
        <v>0</v>
      </c>
      <c r="CJ24" s="383" t="e">
        <f t="shared" si="15"/>
        <v>#DIV/0!</v>
      </c>
      <c r="CK24" s="66">
        <f t="shared" si="16"/>
        <v>0</v>
      </c>
      <c r="CL24" s="66">
        <f>IF($AD24="N","N",SUM('調查資料(OUT)'!X30:X33))</f>
        <v>0</v>
      </c>
      <c r="CM24" s="66">
        <f>IF($AD24="N","N",SUM('調查資料(OUT)'!AA30:AA33))</f>
        <v>0</v>
      </c>
      <c r="CN24" s="66">
        <f>IF($AD24="N","N",SUM('調查資料(OUT)'!AE30:AE33))</f>
        <v>0</v>
      </c>
      <c r="CO24" s="383" t="e">
        <f t="shared" si="17"/>
        <v>#DIV/0!</v>
      </c>
      <c r="CP24" s="66">
        <f t="shared" si="52"/>
        <v>0</v>
      </c>
      <c r="CQ24" s="383" t="e">
        <f t="shared" si="53"/>
        <v>#DIV/0!</v>
      </c>
      <c r="CR24" s="66">
        <f t="shared" si="54"/>
        <v>0</v>
      </c>
      <c r="CS24" s="383" t="e">
        <f t="shared" si="55"/>
        <v>#DIV/0!</v>
      </c>
      <c r="CT24" s="66">
        <f t="shared" si="56"/>
        <v>0</v>
      </c>
      <c r="CU24" s="383" t="e">
        <f t="shared" si="57"/>
        <v>#DIV/0!</v>
      </c>
      <c r="CV24" s="316">
        <f t="shared" si="58"/>
        <v>0</v>
      </c>
      <c r="CW24" s="309">
        <f t="shared" si="18"/>
        <v>0</v>
      </c>
      <c r="CX24" s="66">
        <f>IF($AD24="N","N",SUM('調查資料(OUT)'!AF30:AF33))</f>
        <v>0</v>
      </c>
      <c r="CY24" s="66">
        <f>IF($AD24="N","N",SUM('調查資料(OUT)'!AI30:AI33))</f>
        <v>0</v>
      </c>
      <c r="CZ24" s="66">
        <f>IF($AD24="N","N",SUM('調查資料(OUT)'!AM30:AM33))</f>
        <v>0</v>
      </c>
      <c r="DA24" s="66">
        <f>IF($AD24="N","N",SUM('調查資料(OUT)'!AL30:AL33))</f>
        <v>0</v>
      </c>
      <c r="DB24" s="383" t="e">
        <f t="shared" si="19"/>
        <v>#DIV/0!</v>
      </c>
      <c r="DC24" s="66">
        <f t="shared" si="20"/>
        <v>0</v>
      </c>
      <c r="DD24" s="66">
        <f>IF($AD24="N","N",SUM('調查資料(OUT)'!AG30:AG33))</f>
        <v>0</v>
      </c>
      <c r="DE24" s="66">
        <f>IF($AD24="N","N",SUM('調查資料(OUT)'!AJ30:AJ33))</f>
        <v>0</v>
      </c>
      <c r="DF24" s="66">
        <f>IF($AD24="N","N",SUM('調查資料(OUT)'!AN30:AN33))</f>
        <v>0</v>
      </c>
      <c r="DG24" s="383" t="e">
        <f t="shared" si="21"/>
        <v>#DIV/0!</v>
      </c>
      <c r="DH24" s="66">
        <f t="shared" si="22"/>
        <v>0</v>
      </c>
      <c r="DI24" s="66">
        <f>IF($AD24="N","N",SUM('調查資料(OUT)'!AH30:AH33))</f>
        <v>0</v>
      </c>
      <c r="DJ24" s="66">
        <f>IF($AD24="N","N",SUM('調查資料(OUT)'!AK30:AK33))</f>
        <v>0</v>
      </c>
      <c r="DK24" s="66">
        <f>IF($AD24="N","N",SUM('調查資料(OUT)'!AO30:AO33))</f>
        <v>0</v>
      </c>
      <c r="DL24" s="383" t="e">
        <f t="shared" si="23"/>
        <v>#DIV/0!</v>
      </c>
      <c r="DM24" s="66">
        <f t="shared" si="59"/>
        <v>0</v>
      </c>
      <c r="DN24" s="383" t="e">
        <f t="shared" si="60"/>
        <v>#DIV/0!</v>
      </c>
      <c r="DO24" s="66">
        <f t="shared" si="61"/>
        <v>0</v>
      </c>
      <c r="DP24" s="383" t="e">
        <f t="shared" si="62"/>
        <v>#DIV/0!</v>
      </c>
      <c r="DQ24" s="66">
        <f t="shared" si="63"/>
        <v>0</v>
      </c>
      <c r="DR24" s="383" t="e">
        <f t="shared" si="64"/>
        <v>#DIV/0!</v>
      </c>
      <c r="DS24" s="316">
        <f t="shared" si="65"/>
        <v>0</v>
      </c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  <c r="FK24" s="67"/>
      <c r="FL24" s="67"/>
      <c r="FM24" s="67"/>
      <c r="FN24" s="67"/>
    </row>
    <row r="25" spans="1:170">
      <c r="A25" s="118">
        <f>'調查資料(OUT)'!A31</f>
        <v>500</v>
      </c>
      <c r="B25" s="309">
        <f t="shared" si="70"/>
        <v>0</v>
      </c>
      <c r="C25" s="66">
        <f>IFERROR('調查資料(OUT)'!B$1*'調查資料(OUT)'!B31,0)+IFERROR('調查資料(OUT)'!E$1*'調查資料(OUT)'!E31,0)+IFERROR('調查資料(OUT)'!H$1*'調查資料(OUT)'!H31,0)+IFERROR('調查資料(OUT)'!I$1*'調查資料(OUT)'!I31,0)</f>
        <v>0</v>
      </c>
      <c r="D25" s="66">
        <f>IFERROR('調查資料(OUT)'!C$1*'調查資料(OUT)'!C31,0)+IFERROR('調查資料(OUT)'!F$1*'調查資料(OUT)'!F31,0)+IFERROR('調查資料(OUT)'!J$1*'調查資料(OUT)'!J31,0)</f>
        <v>0</v>
      </c>
      <c r="E25" s="316">
        <f>IFERROR('調查資料(OUT)'!D$1*'調查資料(OUT)'!D31,0)+IFERROR('調查資料(OUT)'!G$1*'調查資料(OUT)'!G31,0)+IFERROR('調查資料(OUT)'!K$1*'調查資料(OUT)'!K31,0)</f>
        <v>0</v>
      </c>
      <c r="F25" s="309">
        <f t="shared" si="71"/>
        <v>0</v>
      </c>
      <c r="G25" s="66">
        <f>IFERROR('調查資料(OUT)'!L$1*'調查資料(OUT)'!L31,0)+IFERROR('調查資料(OUT)'!O$1*'調查資料(OUT)'!O31,0)+IFERROR('調查資料(OUT)'!R$1*'調查資料(OUT)'!R31,0)+IFERROR('調查資料(OUT)'!S$1*'調查資料(OUT)'!S31,0)</f>
        <v>0</v>
      </c>
      <c r="H25" s="66">
        <f>IFERROR('調查資料(OUT)'!M$1*'調查資料(OUT)'!M31,0)+IFERROR('調查資料(OUT)'!P$1*'調查資料(OUT)'!P31,0)+IFERROR('調查資料(OUT)'!T$1*'調查資料(OUT)'!T31,0)</f>
        <v>0</v>
      </c>
      <c r="I25" s="316">
        <f>IFERROR('調查資料(OUT)'!N$1*'調查資料(OUT)'!N31,0)+IFERROR('調查資料(OUT)'!Q$1*'調查資料(OUT)'!Q31,0)+IFERROR('調查資料(OUT)'!U$1*'調查資料(OUT)'!U31,0)</f>
        <v>0</v>
      </c>
      <c r="J25" s="309">
        <f t="shared" si="24"/>
        <v>0</v>
      </c>
      <c r="K25" s="66">
        <f>IFERROR('調查資料(OUT)'!V$1*'調查資料(OUT)'!V31,0)+IFERROR('調查資料(OUT)'!Y$1*'調查資料(OUT)'!Y31,0)+IFERROR('調查資料(OUT)'!AB$1*'調查資料(OUT)'!AB31,0)+IFERROR('調查資料(OUT)'!AC$1*'調查資料(OUT)'!AC31,0)</f>
        <v>0</v>
      </c>
      <c r="L25" s="66">
        <f>IFERROR('調查資料(OUT)'!W$1*'調查資料(OUT)'!W31,0)+IFERROR('調查資料(OUT)'!Z$1*'調查資料(OUT)'!Z31,0)+IFERROR('調查資料(OUT)'!AD$1*'調查資料(OUT)'!AD31,0)</f>
        <v>0</v>
      </c>
      <c r="M25" s="316">
        <f>IFERROR('調查資料(OUT)'!X$1*'調查資料(OUT)'!X31,0)+IFERROR('調查資料(OUT)'!AA$1*'調查資料(OUT)'!AA31,0)+IFERROR('調查資料(OUT)'!AE$1*'調查資料(OUT)'!AE31,0)</f>
        <v>0</v>
      </c>
      <c r="N25" s="309">
        <f t="shared" si="25"/>
        <v>0</v>
      </c>
      <c r="O25" s="66">
        <f>IFERROR('調查資料(OUT)'!AF$1*'調查資料(OUT)'!AF31,0)+IFERROR('調查資料(OUT)'!AI$1*'調查資料(OUT)'!AI31,0)+IFERROR('調查資料(OUT)'!AL$1*'調查資料(OUT)'!AL31,0)+IFERROR('調查資料(OUT)'!AM$1*'調查資料(OUT)'!AM31,0)</f>
        <v>0</v>
      </c>
      <c r="P25" s="66">
        <f>IFERROR('調查資料(OUT)'!AG$1*'調查資料(OUT)'!AG31,0)+IFERROR('調查資料(OUT)'!AJ$1*'調查資料(OUT)'!AJ31,0)+IFERROR('調查資料(OUT)'!AN$1*'調查資料(OUT)'!AN31,0)</f>
        <v>0</v>
      </c>
      <c r="Q25" s="316">
        <f>IFERROR('調查資料(OUT)'!AH$1*'調查資料(OUT)'!AH31,0)+IFERROR('調查資料(OUT)'!AK$1*'調查資料(OUT)'!AK31,0)+IFERROR('調查資料(OUT)'!AO$1*'調查資料(OUT)'!AO31,0)</f>
        <v>0</v>
      </c>
      <c r="R25" s="133">
        <f t="shared" si="72"/>
        <v>0</v>
      </c>
      <c r="S25" s="131"/>
      <c r="T25" s="366">
        <f>'調查資料(OUT)'!A31</f>
        <v>500</v>
      </c>
      <c r="U25" s="101">
        <f t="shared" si="73"/>
        <v>600</v>
      </c>
      <c r="V25" s="66">
        <f t="shared" si="74"/>
        <v>0</v>
      </c>
      <c r="W25" s="381"/>
      <c r="X25" s="66">
        <f t="shared" si="68"/>
        <v>0</v>
      </c>
      <c r="Y25" s="379" t="e">
        <f t="shared" si="26"/>
        <v>#DIV/0!</v>
      </c>
      <c r="Z25" s="379" t="e">
        <f t="shared" si="27"/>
        <v>#DIV/0!</v>
      </c>
      <c r="AA25" s="379" t="e">
        <f t="shared" si="28"/>
        <v>#DIV/0!</v>
      </c>
      <c r="AB25" s="379" t="e">
        <f t="shared" si="29"/>
        <v>#DIV/0!</v>
      </c>
      <c r="AC25" s="67"/>
      <c r="AD25" s="66">
        <f t="shared" si="30"/>
        <v>500</v>
      </c>
      <c r="AE25" s="316">
        <f t="shared" si="31"/>
        <v>600</v>
      </c>
      <c r="AF25" s="309">
        <f t="shared" si="69"/>
        <v>0</v>
      </c>
      <c r="AG25" s="66">
        <f>IF($AD25="N","N",SUM('調查資料(OUT)'!B31:B34))</f>
        <v>0</v>
      </c>
      <c r="AH25" s="66">
        <f>IF($AD25="N","N",SUM('調查資料(OUT)'!E31:E34))</f>
        <v>0</v>
      </c>
      <c r="AI25" s="66">
        <f>IF($AD25="N","N",SUM('調查資料(OUT)'!I31:I34))</f>
        <v>0</v>
      </c>
      <c r="AJ25" s="66">
        <f>IF($AD25="N","N",SUM('調查資料(OUT)'!H31:H34))</f>
        <v>0</v>
      </c>
      <c r="AK25" s="383" t="e">
        <f t="shared" si="33"/>
        <v>#DIV/0!</v>
      </c>
      <c r="AL25" s="66">
        <f t="shared" si="34"/>
        <v>0</v>
      </c>
      <c r="AM25" s="66">
        <f>IF($AD25="N","N",SUM('調查資料(OUT)'!C31:C34))</f>
        <v>0</v>
      </c>
      <c r="AN25" s="66">
        <f>IF($AD25="N","N",SUM('調查資料(OUT)'!F31:F34))</f>
        <v>0</v>
      </c>
      <c r="AO25" s="66">
        <f>IF($AD25="N","N",SUM('調查資料(OUT)'!J31:J34))</f>
        <v>0</v>
      </c>
      <c r="AP25" s="383" t="e">
        <f t="shared" si="35"/>
        <v>#DIV/0!</v>
      </c>
      <c r="AQ25" s="66">
        <f t="shared" si="36"/>
        <v>0</v>
      </c>
      <c r="AR25" s="66">
        <f>IF($AD25="N","N",SUM('調查資料(OUT)'!D31:D34))</f>
        <v>0</v>
      </c>
      <c r="AS25" s="66">
        <f>IF($AD25="N","N",SUM('調查資料(OUT)'!G31:G34))</f>
        <v>0</v>
      </c>
      <c r="AT25" s="66">
        <f>IF($AD25="N","N",SUM('調查資料(OUT)'!K31:K34))</f>
        <v>0</v>
      </c>
      <c r="AU25" s="383" t="e">
        <f t="shared" si="37"/>
        <v>#DIV/0!</v>
      </c>
      <c r="AV25" s="66">
        <f t="shared" si="38"/>
        <v>0</v>
      </c>
      <c r="AW25" s="383" t="e">
        <f t="shared" si="39"/>
        <v>#DIV/0!</v>
      </c>
      <c r="AX25" s="66">
        <f t="shared" si="40"/>
        <v>0</v>
      </c>
      <c r="AY25" s="383" t="e">
        <f t="shared" si="41"/>
        <v>#DIV/0!</v>
      </c>
      <c r="AZ25" s="66">
        <f t="shared" si="42"/>
        <v>0</v>
      </c>
      <c r="BA25" s="383" t="e">
        <f t="shared" si="43"/>
        <v>#DIV/0!</v>
      </c>
      <c r="BB25" s="316">
        <f t="shared" si="44"/>
        <v>0</v>
      </c>
      <c r="BC25" s="309">
        <f t="shared" si="6"/>
        <v>0</v>
      </c>
      <c r="BD25" s="66">
        <f>IF($AD25="N","N",SUM('調查資料(OUT)'!L31:L34))</f>
        <v>0</v>
      </c>
      <c r="BE25" s="66">
        <f>IF($AD25="N","N",SUM('調查資料(OUT)'!O31:O34))</f>
        <v>0</v>
      </c>
      <c r="BF25" s="66">
        <f>IF($AD25="N","N",SUM('調查資料(OUT)'!S31:S34))</f>
        <v>0</v>
      </c>
      <c r="BG25" s="66">
        <f>IF($AD25="N","N",SUM('調查資料(OUT)'!R31:R34))</f>
        <v>0</v>
      </c>
      <c r="BH25" s="383" t="e">
        <f t="shared" si="7"/>
        <v>#DIV/0!</v>
      </c>
      <c r="BI25" s="66">
        <f t="shared" si="8"/>
        <v>0</v>
      </c>
      <c r="BJ25" s="66">
        <f>IF($AD25="N","N",SUM('調查資料(OUT)'!M31:M34))</f>
        <v>0</v>
      </c>
      <c r="BK25" s="66">
        <f>IF($AD25="N","N",SUM('調查資料(OUT)'!P31:P34))</f>
        <v>0</v>
      </c>
      <c r="BL25" s="66">
        <f>IF($AD25="N","N",SUM('調查資料(OUT)'!T31:T34))</f>
        <v>0</v>
      </c>
      <c r="BM25" s="383" t="e">
        <f t="shared" si="9"/>
        <v>#DIV/0!</v>
      </c>
      <c r="BN25" s="66">
        <f t="shared" si="10"/>
        <v>0</v>
      </c>
      <c r="BO25" s="66">
        <f>IF($AD25="N","N",SUM('調查資料(OUT)'!N31:N34))</f>
        <v>0</v>
      </c>
      <c r="BP25" s="66">
        <f>IF($AD25="N","N",SUM('調查資料(OUT)'!Q31:Q34))</f>
        <v>0</v>
      </c>
      <c r="BQ25" s="66">
        <f>IF($AD25="N","N",SUM('調查資料(OUT)'!U31:U34))</f>
        <v>0</v>
      </c>
      <c r="BR25" s="383" t="e">
        <f t="shared" si="11"/>
        <v>#DIV/0!</v>
      </c>
      <c r="BS25" s="66">
        <f t="shared" si="45"/>
        <v>0</v>
      </c>
      <c r="BT25" s="383" t="e">
        <f t="shared" si="46"/>
        <v>#DIV/0!</v>
      </c>
      <c r="BU25" s="66">
        <f t="shared" si="47"/>
        <v>0</v>
      </c>
      <c r="BV25" s="383" t="e">
        <f t="shared" si="48"/>
        <v>#DIV/0!</v>
      </c>
      <c r="BW25" s="66">
        <f t="shared" si="49"/>
        <v>0</v>
      </c>
      <c r="BX25" s="383" t="e">
        <f t="shared" si="50"/>
        <v>#DIV/0!</v>
      </c>
      <c r="BY25" s="316">
        <f t="shared" si="51"/>
        <v>0</v>
      </c>
      <c r="BZ25" s="309">
        <f t="shared" si="12"/>
        <v>0</v>
      </c>
      <c r="CA25" s="66">
        <f>IF($AD25="N","N",SUM('調查資料(OUT)'!V31:V34))</f>
        <v>0</v>
      </c>
      <c r="CB25" s="66">
        <f>IF($AD25="N","N",SUM('調查資料(OUT)'!Y31:Y34))</f>
        <v>0</v>
      </c>
      <c r="CC25" s="66">
        <f>IF($AD25="N","N",SUM('調查資料(OUT)'!AC31:AC34))</f>
        <v>0</v>
      </c>
      <c r="CD25" s="66">
        <f>IF($AD25="N","N",SUM('調查資料(OUT)'!AB31:AB34))</f>
        <v>0</v>
      </c>
      <c r="CE25" s="383" t="e">
        <f t="shared" si="13"/>
        <v>#DIV/0!</v>
      </c>
      <c r="CF25" s="66">
        <f t="shared" si="14"/>
        <v>0</v>
      </c>
      <c r="CG25" s="66">
        <f>IF($AD25="N","N",SUM('調查資料(OUT)'!W31:W34))</f>
        <v>0</v>
      </c>
      <c r="CH25" s="66">
        <f>IF($AD25="N","N",SUM('調查資料(OUT)'!Z31:Z34))</f>
        <v>0</v>
      </c>
      <c r="CI25" s="66">
        <f>IF($AD25="N","N",SUM('調查資料(OUT)'!AD31:AD34))</f>
        <v>0</v>
      </c>
      <c r="CJ25" s="383" t="e">
        <f t="shared" si="15"/>
        <v>#DIV/0!</v>
      </c>
      <c r="CK25" s="66">
        <f t="shared" si="16"/>
        <v>0</v>
      </c>
      <c r="CL25" s="66">
        <f>IF($AD25="N","N",SUM('調查資料(OUT)'!X31:X34))</f>
        <v>0</v>
      </c>
      <c r="CM25" s="66">
        <f>IF($AD25="N","N",SUM('調查資料(OUT)'!AA31:AA34))</f>
        <v>0</v>
      </c>
      <c r="CN25" s="66">
        <f>IF($AD25="N","N",SUM('調查資料(OUT)'!AE31:AE34))</f>
        <v>0</v>
      </c>
      <c r="CO25" s="383" t="e">
        <f t="shared" si="17"/>
        <v>#DIV/0!</v>
      </c>
      <c r="CP25" s="66">
        <f t="shared" si="52"/>
        <v>0</v>
      </c>
      <c r="CQ25" s="383" t="e">
        <f t="shared" si="53"/>
        <v>#DIV/0!</v>
      </c>
      <c r="CR25" s="66">
        <f t="shared" si="54"/>
        <v>0</v>
      </c>
      <c r="CS25" s="383" t="e">
        <f t="shared" si="55"/>
        <v>#DIV/0!</v>
      </c>
      <c r="CT25" s="66">
        <f t="shared" si="56"/>
        <v>0</v>
      </c>
      <c r="CU25" s="383" t="e">
        <f t="shared" si="57"/>
        <v>#DIV/0!</v>
      </c>
      <c r="CV25" s="316">
        <f t="shared" si="58"/>
        <v>0</v>
      </c>
      <c r="CW25" s="309">
        <f t="shared" si="18"/>
        <v>0</v>
      </c>
      <c r="CX25" s="66">
        <f>IF($AD25="N","N",SUM('調查資料(OUT)'!AF31:AF34))</f>
        <v>0</v>
      </c>
      <c r="CY25" s="66">
        <f>IF($AD25="N","N",SUM('調查資料(OUT)'!AI31:AI34))</f>
        <v>0</v>
      </c>
      <c r="CZ25" s="66">
        <f>IF($AD25="N","N",SUM('調查資料(OUT)'!AM31:AM34))</f>
        <v>0</v>
      </c>
      <c r="DA25" s="66">
        <f>IF($AD25="N","N",SUM('調查資料(OUT)'!AL31:AL34))</f>
        <v>0</v>
      </c>
      <c r="DB25" s="383" t="e">
        <f t="shared" si="19"/>
        <v>#DIV/0!</v>
      </c>
      <c r="DC25" s="66">
        <f t="shared" si="20"/>
        <v>0</v>
      </c>
      <c r="DD25" s="66">
        <f>IF($AD25="N","N",SUM('調查資料(OUT)'!AG31:AG34))</f>
        <v>0</v>
      </c>
      <c r="DE25" s="66">
        <f>IF($AD25="N","N",SUM('調查資料(OUT)'!AJ31:AJ34))</f>
        <v>0</v>
      </c>
      <c r="DF25" s="66">
        <f>IF($AD25="N","N",SUM('調查資料(OUT)'!AN31:AN34))</f>
        <v>0</v>
      </c>
      <c r="DG25" s="383" t="e">
        <f t="shared" si="21"/>
        <v>#DIV/0!</v>
      </c>
      <c r="DH25" s="66">
        <f t="shared" si="22"/>
        <v>0</v>
      </c>
      <c r="DI25" s="66">
        <f>IF($AD25="N","N",SUM('調查資料(OUT)'!AH31:AH34))</f>
        <v>0</v>
      </c>
      <c r="DJ25" s="66">
        <f>IF($AD25="N","N",SUM('調查資料(OUT)'!AK31:AK34))</f>
        <v>0</v>
      </c>
      <c r="DK25" s="66">
        <f>IF($AD25="N","N",SUM('調查資料(OUT)'!AO31:AO34))</f>
        <v>0</v>
      </c>
      <c r="DL25" s="383" t="e">
        <f t="shared" si="23"/>
        <v>#DIV/0!</v>
      </c>
      <c r="DM25" s="66">
        <f t="shared" si="59"/>
        <v>0</v>
      </c>
      <c r="DN25" s="383" t="e">
        <f t="shared" si="60"/>
        <v>#DIV/0!</v>
      </c>
      <c r="DO25" s="66">
        <f t="shared" si="61"/>
        <v>0</v>
      </c>
      <c r="DP25" s="383" t="e">
        <f t="shared" si="62"/>
        <v>#DIV/0!</v>
      </c>
      <c r="DQ25" s="66">
        <f t="shared" si="63"/>
        <v>0</v>
      </c>
      <c r="DR25" s="383" t="e">
        <f t="shared" si="64"/>
        <v>#DIV/0!</v>
      </c>
      <c r="DS25" s="316">
        <f t="shared" si="65"/>
        <v>0</v>
      </c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</row>
    <row r="26" spans="1:170">
      <c r="A26" s="118">
        <f>'調查資料(OUT)'!A32</f>
        <v>515</v>
      </c>
      <c r="B26" s="309">
        <f t="shared" si="70"/>
        <v>0</v>
      </c>
      <c r="C26" s="66">
        <f>IFERROR('調查資料(OUT)'!B$1*'調查資料(OUT)'!B32,0)+IFERROR('調查資料(OUT)'!E$1*'調查資料(OUT)'!E32,0)+IFERROR('調查資料(OUT)'!H$1*'調查資料(OUT)'!H32,0)+IFERROR('調查資料(OUT)'!I$1*'調查資料(OUT)'!I32,0)</f>
        <v>0</v>
      </c>
      <c r="D26" s="66">
        <f>IFERROR('調查資料(OUT)'!C$1*'調查資料(OUT)'!C32,0)+IFERROR('調查資料(OUT)'!F$1*'調查資料(OUT)'!F32,0)+IFERROR('調查資料(OUT)'!J$1*'調查資料(OUT)'!J32,0)</f>
        <v>0</v>
      </c>
      <c r="E26" s="316">
        <f>IFERROR('調查資料(OUT)'!D$1*'調查資料(OUT)'!D32,0)+IFERROR('調查資料(OUT)'!G$1*'調查資料(OUT)'!G32,0)+IFERROR('調查資料(OUT)'!K$1*'調查資料(OUT)'!K32,0)</f>
        <v>0</v>
      </c>
      <c r="F26" s="309">
        <f t="shared" si="71"/>
        <v>0</v>
      </c>
      <c r="G26" s="66">
        <f>IFERROR('調查資料(OUT)'!L$1*'調查資料(OUT)'!L32,0)+IFERROR('調查資料(OUT)'!O$1*'調查資料(OUT)'!O32,0)+IFERROR('調查資料(OUT)'!R$1*'調查資料(OUT)'!R32,0)+IFERROR('調查資料(OUT)'!S$1*'調查資料(OUT)'!S32,0)</f>
        <v>0</v>
      </c>
      <c r="H26" s="66">
        <f>IFERROR('調查資料(OUT)'!M$1*'調查資料(OUT)'!M32,0)+IFERROR('調查資料(OUT)'!P$1*'調查資料(OUT)'!P32,0)+IFERROR('調查資料(OUT)'!T$1*'調查資料(OUT)'!T32,0)</f>
        <v>0</v>
      </c>
      <c r="I26" s="316">
        <f>IFERROR('調查資料(OUT)'!N$1*'調查資料(OUT)'!N32,0)+IFERROR('調查資料(OUT)'!Q$1*'調查資料(OUT)'!Q32,0)+IFERROR('調查資料(OUT)'!U$1*'調查資料(OUT)'!U32,0)</f>
        <v>0</v>
      </c>
      <c r="J26" s="309">
        <f t="shared" si="24"/>
        <v>0</v>
      </c>
      <c r="K26" s="66">
        <f>IFERROR('調查資料(OUT)'!V$1*'調查資料(OUT)'!V32,0)+IFERROR('調查資料(OUT)'!Y$1*'調查資料(OUT)'!Y32,0)+IFERROR('調查資料(OUT)'!AB$1*'調查資料(OUT)'!AB32,0)+IFERROR('調查資料(OUT)'!AC$1*'調查資料(OUT)'!AC32,0)</f>
        <v>0</v>
      </c>
      <c r="L26" s="66">
        <f>IFERROR('調查資料(OUT)'!W$1*'調查資料(OUT)'!W32,0)+IFERROR('調查資料(OUT)'!Z$1*'調查資料(OUT)'!Z32,0)+IFERROR('調查資料(OUT)'!AD$1*'調查資料(OUT)'!AD32,0)</f>
        <v>0</v>
      </c>
      <c r="M26" s="316">
        <f>IFERROR('調查資料(OUT)'!X$1*'調查資料(OUT)'!X32,0)+IFERROR('調查資料(OUT)'!AA$1*'調查資料(OUT)'!AA32,0)+IFERROR('調查資料(OUT)'!AE$1*'調查資料(OUT)'!AE32,0)</f>
        <v>0</v>
      </c>
      <c r="N26" s="309">
        <f t="shared" si="25"/>
        <v>0</v>
      </c>
      <c r="O26" s="66">
        <f>IFERROR('調查資料(OUT)'!AF$1*'調查資料(OUT)'!AF32,0)+IFERROR('調查資料(OUT)'!AI$1*'調查資料(OUT)'!AI32,0)+IFERROR('調查資料(OUT)'!AL$1*'調查資料(OUT)'!AL32,0)+IFERROR('調查資料(OUT)'!AM$1*'調查資料(OUT)'!AM32,0)</f>
        <v>0</v>
      </c>
      <c r="P26" s="66">
        <f>IFERROR('調查資料(OUT)'!AG$1*'調查資料(OUT)'!AG32,0)+IFERROR('調查資料(OUT)'!AJ$1*'調查資料(OUT)'!AJ32,0)+IFERROR('調查資料(OUT)'!AN$1*'調查資料(OUT)'!AN32,0)</f>
        <v>0</v>
      </c>
      <c r="Q26" s="316">
        <f>IFERROR('調查資料(OUT)'!AH$1*'調查資料(OUT)'!AH32,0)+IFERROR('調查資料(OUT)'!AK$1*'調查資料(OUT)'!AK32,0)+IFERROR('調查資料(OUT)'!AO$1*'調查資料(OUT)'!AO32,0)</f>
        <v>0</v>
      </c>
      <c r="R26" s="133">
        <f t="shared" si="72"/>
        <v>0</v>
      </c>
      <c r="S26" s="131"/>
      <c r="T26" s="366">
        <f>'調查資料(OUT)'!A32</f>
        <v>515</v>
      </c>
      <c r="U26" s="101">
        <f t="shared" si="73"/>
        <v>615</v>
      </c>
      <c r="V26" s="66">
        <f t="shared" si="74"/>
        <v>0</v>
      </c>
      <c r="W26" s="381"/>
      <c r="X26" s="66">
        <f t="shared" si="68"/>
        <v>0</v>
      </c>
      <c r="Y26" s="379" t="e">
        <f t="shared" si="26"/>
        <v>#DIV/0!</v>
      </c>
      <c r="Z26" s="379" t="e">
        <f t="shared" si="27"/>
        <v>#DIV/0!</v>
      </c>
      <c r="AA26" s="379" t="e">
        <f t="shared" si="28"/>
        <v>#DIV/0!</v>
      </c>
      <c r="AB26" s="379" t="e">
        <f t="shared" si="29"/>
        <v>#DIV/0!</v>
      </c>
      <c r="AC26" s="67"/>
      <c r="AD26" s="66">
        <f t="shared" si="30"/>
        <v>515</v>
      </c>
      <c r="AE26" s="316">
        <f t="shared" si="31"/>
        <v>615</v>
      </c>
      <c r="AF26" s="309">
        <f t="shared" si="69"/>
        <v>0</v>
      </c>
      <c r="AG26" s="66">
        <f>IF($AD26="N","N",SUM('調查資料(OUT)'!B32:B35))</f>
        <v>0</v>
      </c>
      <c r="AH26" s="66">
        <f>IF($AD26="N","N",SUM('調查資料(OUT)'!E32:E35))</f>
        <v>0</v>
      </c>
      <c r="AI26" s="66">
        <f>IF($AD26="N","N",SUM('調查資料(OUT)'!I32:I35))</f>
        <v>0</v>
      </c>
      <c r="AJ26" s="66">
        <f>IF($AD26="N","N",SUM('調查資料(OUT)'!H32:H35))</f>
        <v>0</v>
      </c>
      <c r="AK26" s="383" t="e">
        <f t="shared" si="33"/>
        <v>#DIV/0!</v>
      </c>
      <c r="AL26" s="66">
        <f t="shared" si="34"/>
        <v>0</v>
      </c>
      <c r="AM26" s="66">
        <f>IF($AD26="N","N",SUM('調查資料(OUT)'!C32:C35))</f>
        <v>0</v>
      </c>
      <c r="AN26" s="66">
        <f>IF($AD26="N","N",SUM('調查資料(OUT)'!F32:F35))</f>
        <v>0</v>
      </c>
      <c r="AO26" s="66">
        <f>IF($AD26="N","N",SUM('調查資料(OUT)'!J32:J35))</f>
        <v>0</v>
      </c>
      <c r="AP26" s="383" t="e">
        <f t="shared" si="35"/>
        <v>#DIV/0!</v>
      </c>
      <c r="AQ26" s="66">
        <f t="shared" si="36"/>
        <v>0</v>
      </c>
      <c r="AR26" s="66">
        <f>IF($AD26="N","N",SUM('調查資料(OUT)'!D32:D35))</f>
        <v>0</v>
      </c>
      <c r="AS26" s="66">
        <f>IF($AD26="N","N",SUM('調查資料(OUT)'!G32:G35))</f>
        <v>0</v>
      </c>
      <c r="AT26" s="66">
        <f>IF($AD26="N","N",SUM('調查資料(OUT)'!K32:K35))</f>
        <v>0</v>
      </c>
      <c r="AU26" s="383" t="e">
        <f t="shared" si="37"/>
        <v>#DIV/0!</v>
      </c>
      <c r="AV26" s="66">
        <f t="shared" si="38"/>
        <v>0</v>
      </c>
      <c r="AW26" s="383" t="e">
        <f t="shared" si="39"/>
        <v>#DIV/0!</v>
      </c>
      <c r="AX26" s="66">
        <f t="shared" si="40"/>
        <v>0</v>
      </c>
      <c r="AY26" s="383" t="e">
        <f t="shared" si="41"/>
        <v>#DIV/0!</v>
      </c>
      <c r="AZ26" s="66">
        <f t="shared" si="42"/>
        <v>0</v>
      </c>
      <c r="BA26" s="383" t="e">
        <f t="shared" si="43"/>
        <v>#DIV/0!</v>
      </c>
      <c r="BB26" s="316">
        <f t="shared" si="44"/>
        <v>0</v>
      </c>
      <c r="BC26" s="309">
        <f t="shared" si="6"/>
        <v>0</v>
      </c>
      <c r="BD26" s="66">
        <f>IF($AD26="N","N",SUM('調查資料(OUT)'!L32:L35))</f>
        <v>0</v>
      </c>
      <c r="BE26" s="66">
        <f>IF($AD26="N","N",SUM('調查資料(OUT)'!O32:O35))</f>
        <v>0</v>
      </c>
      <c r="BF26" s="66">
        <f>IF($AD26="N","N",SUM('調查資料(OUT)'!S32:S35))</f>
        <v>0</v>
      </c>
      <c r="BG26" s="66">
        <f>IF($AD26="N","N",SUM('調查資料(OUT)'!R32:R35))</f>
        <v>0</v>
      </c>
      <c r="BH26" s="383" t="e">
        <f t="shared" si="7"/>
        <v>#DIV/0!</v>
      </c>
      <c r="BI26" s="66">
        <f t="shared" si="8"/>
        <v>0</v>
      </c>
      <c r="BJ26" s="66">
        <f>IF($AD26="N","N",SUM('調查資料(OUT)'!M32:M35))</f>
        <v>0</v>
      </c>
      <c r="BK26" s="66">
        <f>IF($AD26="N","N",SUM('調查資料(OUT)'!P32:P35))</f>
        <v>0</v>
      </c>
      <c r="BL26" s="66">
        <f>IF($AD26="N","N",SUM('調查資料(OUT)'!T32:T35))</f>
        <v>0</v>
      </c>
      <c r="BM26" s="383" t="e">
        <f t="shared" si="9"/>
        <v>#DIV/0!</v>
      </c>
      <c r="BN26" s="66">
        <f t="shared" si="10"/>
        <v>0</v>
      </c>
      <c r="BO26" s="66">
        <f>IF($AD26="N","N",SUM('調查資料(OUT)'!N32:N35))</f>
        <v>0</v>
      </c>
      <c r="BP26" s="66">
        <f>IF($AD26="N","N",SUM('調查資料(OUT)'!Q32:Q35))</f>
        <v>0</v>
      </c>
      <c r="BQ26" s="66">
        <f>IF($AD26="N","N",SUM('調查資料(OUT)'!U32:U35))</f>
        <v>0</v>
      </c>
      <c r="BR26" s="383" t="e">
        <f t="shared" si="11"/>
        <v>#DIV/0!</v>
      </c>
      <c r="BS26" s="66">
        <f t="shared" si="45"/>
        <v>0</v>
      </c>
      <c r="BT26" s="383" t="e">
        <f t="shared" si="46"/>
        <v>#DIV/0!</v>
      </c>
      <c r="BU26" s="66">
        <f t="shared" si="47"/>
        <v>0</v>
      </c>
      <c r="BV26" s="383" t="e">
        <f t="shared" si="48"/>
        <v>#DIV/0!</v>
      </c>
      <c r="BW26" s="66">
        <f t="shared" si="49"/>
        <v>0</v>
      </c>
      <c r="BX26" s="383" t="e">
        <f t="shared" si="50"/>
        <v>#DIV/0!</v>
      </c>
      <c r="BY26" s="316">
        <f t="shared" si="51"/>
        <v>0</v>
      </c>
      <c r="BZ26" s="309">
        <f t="shared" si="12"/>
        <v>0</v>
      </c>
      <c r="CA26" s="66">
        <f>IF($AD26="N","N",SUM('調查資料(OUT)'!V32:V35))</f>
        <v>0</v>
      </c>
      <c r="CB26" s="66">
        <f>IF($AD26="N","N",SUM('調查資料(OUT)'!Y32:Y35))</f>
        <v>0</v>
      </c>
      <c r="CC26" s="66">
        <f>IF($AD26="N","N",SUM('調查資料(OUT)'!AC32:AC35))</f>
        <v>0</v>
      </c>
      <c r="CD26" s="66">
        <f>IF($AD26="N","N",SUM('調查資料(OUT)'!AB32:AB35))</f>
        <v>0</v>
      </c>
      <c r="CE26" s="383" t="e">
        <f t="shared" si="13"/>
        <v>#DIV/0!</v>
      </c>
      <c r="CF26" s="66">
        <f t="shared" si="14"/>
        <v>0</v>
      </c>
      <c r="CG26" s="66">
        <f>IF($AD26="N","N",SUM('調查資料(OUT)'!W32:W35))</f>
        <v>0</v>
      </c>
      <c r="CH26" s="66">
        <f>IF($AD26="N","N",SUM('調查資料(OUT)'!Z32:Z35))</f>
        <v>0</v>
      </c>
      <c r="CI26" s="66">
        <f>IF($AD26="N","N",SUM('調查資料(OUT)'!AD32:AD35))</f>
        <v>0</v>
      </c>
      <c r="CJ26" s="383" t="e">
        <f t="shared" si="15"/>
        <v>#DIV/0!</v>
      </c>
      <c r="CK26" s="66">
        <f t="shared" si="16"/>
        <v>0</v>
      </c>
      <c r="CL26" s="66">
        <f>IF($AD26="N","N",SUM('調查資料(OUT)'!X32:X35))</f>
        <v>0</v>
      </c>
      <c r="CM26" s="66">
        <f>IF($AD26="N","N",SUM('調查資料(OUT)'!AA32:AA35))</f>
        <v>0</v>
      </c>
      <c r="CN26" s="66">
        <f>IF($AD26="N","N",SUM('調查資料(OUT)'!AE32:AE35))</f>
        <v>0</v>
      </c>
      <c r="CO26" s="383" t="e">
        <f t="shared" si="17"/>
        <v>#DIV/0!</v>
      </c>
      <c r="CP26" s="66">
        <f t="shared" si="52"/>
        <v>0</v>
      </c>
      <c r="CQ26" s="383" t="e">
        <f t="shared" si="53"/>
        <v>#DIV/0!</v>
      </c>
      <c r="CR26" s="66">
        <f t="shared" si="54"/>
        <v>0</v>
      </c>
      <c r="CS26" s="383" t="e">
        <f t="shared" si="55"/>
        <v>#DIV/0!</v>
      </c>
      <c r="CT26" s="66">
        <f t="shared" si="56"/>
        <v>0</v>
      </c>
      <c r="CU26" s="383" t="e">
        <f t="shared" si="57"/>
        <v>#DIV/0!</v>
      </c>
      <c r="CV26" s="316">
        <f t="shared" si="58"/>
        <v>0</v>
      </c>
      <c r="CW26" s="309">
        <f t="shared" si="18"/>
        <v>0</v>
      </c>
      <c r="CX26" s="66">
        <f>IF($AD26="N","N",SUM('調查資料(OUT)'!AF32:AF35))</f>
        <v>0</v>
      </c>
      <c r="CY26" s="66">
        <f>IF($AD26="N","N",SUM('調查資料(OUT)'!AI32:AI35))</f>
        <v>0</v>
      </c>
      <c r="CZ26" s="66">
        <f>IF($AD26="N","N",SUM('調查資料(OUT)'!AM32:AM35))</f>
        <v>0</v>
      </c>
      <c r="DA26" s="66">
        <f>IF($AD26="N","N",SUM('調查資料(OUT)'!AL32:AL35))</f>
        <v>0</v>
      </c>
      <c r="DB26" s="383" t="e">
        <f t="shared" si="19"/>
        <v>#DIV/0!</v>
      </c>
      <c r="DC26" s="66">
        <f t="shared" si="20"/>
        <v>0</v>
      </c>
      <c r="DD26" s="66">
        <f>IF($AD26="N","N",SUM('調查資料(OUT)'!AG32:AG35))</f>
        <v>0</v>
      </c>
      <c r="DE26" s="66">
        <f>IF($AD26="N","N",SUM('調查資料(OUT)'!AJ32:AJ35))</f>
        <v>0</v>
      </c>
      <c r="DF26" s="66">
        <f>IF($AD26="N","N",SUM('調查資料(OUT)'!AN32:AN35))</f>
        <v>0</v>
      </c>
      <c r="DG26" s="383" t="e">
        <f t="shared" si="21"/>
        <v>#DIV/0!</v>
      </c>
      <c r="DH26" s="66">
        <f t="shared" si="22"/>
        <v>0</v>
      </c>
      <c r="DI26" s="66">
        <f>IF($AD26="N","N",SUM('調查資料(OUT)'!AH32:AH35))</f>
        <v>0</v>
      </c>
      <c r="DJ26" s="66">
        <f>IF($AD26="N","N",SUM('調查資料(OUT)'!AK32:AK35))</f>
        <v>0</v>
      </c>
      <c r="DK26" s="66">
        <f>IF($AD26="N","N",SUM('調查資料(OUT)'!AO32:AO35))</f>
        <v>0</v>
      </c>
      <c r="DL26" s="383" t="e">
        <f t="shared" si="23"/>
        <v>#DIV/0!</v>
      </c>
      <c r="DM26" s="66">
        <f t="shared" si="59"/>
        <v>0</v>
      </c>
      <c r="DN26" s="383" t="e">
        <f t="shared" si="60"/>
        <v>#DIV/0!</v>
      </c>
      <c r="DO26" s="66">
        <f t="shared" si="61"/>
        <v>0</v>
      </c>
      <c r="DP26" s="383" t="e">
        <f t="shared" si="62"/>
        <v>#DIV/0!</v>
      </c>
      <c r="DQ26" s="66">
        <f t="shared" si="63"/>
        <v>0</v>
      </c>
      <c r="DR26" s="383" t="e">
        <f t="shared" si="64"/>
        <v>#DIV/0!</v>
      </c>
      <c r="DS26" s="316">
        <f t="shared" si="65"/>
        <v>0</v>
      </c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</row>
    <row r="27" spans="1:170">
      <c r="A27" s="118">
        <f>'調查資料(OUT)'!A33</f>
        <v>530</v>
      </c>
      <c r="B27" s="309">
        <f t="shared" si="70"/>
        <v>0</v>
      </c>
      <c r="C27" s="66">
        <f>IFERROR('調查資料(OUT)'!B$1*'調查資料(OUT)'!B33,0)+IFERROR('調查資料(OUT)'!E$1*'調查資料(OUT)'!E33,0)+IFERROR('調查資料(OUT)'!H$1*'調查資料(OUT)'!H33,0)+IFERROR('調查資料(OUT)'!I$1*'調查資料(OUT)'!I33,0)</f>
        <v>0</v>
      </c>
      <c r="D27" s="66">
        <f>IFERROR('調查資料(OUT)'!C$1*'調查資料(OUT)'!C33,0)+IFERROR('調查資料(OUT)'!F$1*'調查資料(OUT)'!F33,0)+IFERROR('調查資料(OUT)'!J$1*'調查資料(OUT)'!J33,0)</f>
        <v>0</v>
      </c>
      <c r="E27" s="316">
        <f>IFERROR('調查資料(OUT)'!D$1*'調查資料(OUT)'!D33,0)+IFERROR('調查資料(OUT)'!G$1*'調查資料(OUT)'!G33,0)+IFERROR('調查資料(OUT)'!K$1*'調查資料(OUT)'!K33,0)</f>
        <v>0</v>
      </c>
      <c r="F27" s="309">
        <f t="shared" si="71"/>
        <v>0</v>
      </c>
      <c r="G27" s="66">
        <f>IFERROR('調查資料(OUT)'!L$1*'調查資料(OUT)'!L33,0)+IFERROR('調查資料(OUT)'!O$1*'調查資料(OUT)'!O33,0)+IFERROR('調查資料(OUT)'!R$1*'調查資料(OUT)'!R33,0)+IFERROR('調查資料(OUT)'!S$1*'調查資料(OUT)'!S33,0)</f>
        <v>0</v>
      </c>
      <c r="H27" s="66">
        <f>IFERROR('調查資料(OUT)'!M$1*'調查資料(OUT)'!M33,0)+IFERROR('調查資料(OUT)'!P$1*'調查資料(OUT)'!P33,0)+IFERROR('調查資料(OUT)'!T$1*'調查資料(OUT)'!T33,0)</f>
        <v>0</v>
      </c>
      <c r="I27" s="316">
        <f>IFERROR('調查資料(OUT)'!N$1*'調查資料(OUT)'!N33,0)+IFERROR('調查資料(OUT)'!Q$1*'調查資料(OUT)'!Q33,0)+IFERROR('調查資料(OUT)'!U$1*'調查資料(OUT)'!U33,0)</f>
        <v>0</v>
      </c>
      <c r="J27" s="309">
        <f t="shared" si="24"/>
        <v>0</v>
      </c>
      <c r="K27" s="66">
        <f>IFERROR('調查資料(OUT)'!V$1*'調查資料(OUT)'!V33,0)+IFERROR('調查資料(OUT)'!Y$1*'調查資料(OUT)'!Y33,0)+IFERROR('調查資料(OUT)'!AB$1*'調查資料(OUT)'!AB33,0)+IFERROR('調查資料(OUT)'!AC$1*'調查資料(OUT)'!AC33,0)</f>
        <v>0</v>
      </c>
      <c r="L27" s="66">
        <f>IFERROR('調查資料(OUT)'!W$1*'調查資料(OUT)'!W33,0)+IFERROR('調查資料(OUT)'!Z$1*'調查資料(OUT)'!Z33,0)+IFERROR('調查資料(OUT)'!AD$1*'調查資料(OUT)'!AD33,0)</f>
        <v>0</v>
      </c>
      <c r="M27" s="316">
        <f>IFERROR('調查資料(OUT)'!X$1*'調查資料(OUT)'!X33,0)+IFERROR('調查資料(OUT)'!AA$1*'調查資料(OUT)'!AA33,0)+IFERROR('調查資料(OUT)'!AE$1*'調查資料(OUT)'!AE33,0)</f>
        <v>0</v>
      </c>
      <c r="N27" s="309">
        <f t="shared" si="25"/>
        <v>0</v>
      </c>
      <c r="O27" s="66">
        <f>IFERROR('調查資料(OUT)'!AF$1*'調查資料(OUT)'!AF33,0)+IFERROR('調查資料(OUT)'!AI$1*'調查資料(OUT)'!AI33,0)+IFERROR('調查資料(OUT)'!AL$1*'調查資料(OUT)'!AL33,0)+IFERROR('調查資料(OUT)'!AM$1*'調查資料(OUT)'!AM33,0)</f>
        <v>0</v>
      </c>
      <c r="P27" s="66">
        <f>IFERROR('調查資料(OUT)'!AG$1*'調查資料(OUT)'!AG33,0)+IFERROR('調查資料(OUT)'!AJ$1*'調查資料(OUT)'!AJ33,0)+IFERROR('調查資料(OUT)'!AN$1*'調查資料(OUT)'!AN33,0)</f>
        <v>0</v>
      </c>
      <c r="Q27" s="316">
        <f>IFERROR('調查資料(OUT)'!AH$1*'調查資料(OUT)'!AH33,0)+IFERROR('調查資料(OUT)'!AK$1*'調查資料(OUT)'!AK33,0)+IFERROR('調查資料(OUT)'!AO$1*'調查資料(OUT)'!AO33,0)</f>
        <v>0</v>
      </c>
      <c r="R27" s="133">
        <f t="shared" si="72"/>
        <v>0</v>
      </c>
      <c r="S27" s="131"/>
      <c r="T27" s="366">
        <f>'調查資料(OUT)'!A33</f>
        <v>530</v>
      </c>
      <c r="U27" s="101">
        <f t="shared" si="73"/>
        <v>630</v>
      </c>
      <c r="V27" s="66">
        <f t="shared" si="74"/>
        <v>0</v>
      </c>
      <c r="W27" s="381"/>
      <c r="X27" s="66">
        <f t="shared" si="68"/>
        <v>0</v>
      </c>
      <c r="Y27" s="379" t="e">
        <f t="shared" si="26"/>
        <v>#DIV/0!</v>
      </c>
      <c r="Z27" s="379" t="e">
        <f t="shared" si="27"/>
        <v>#DIV/0!</v>
      </c>
      <c r="AA27" s="379" t="e">
        <f t="shared" si="28"/>
        <v>#DIV/0!</v>
      </c>
      <c r="AB27" s="379" t="e">
        <f t="shared" si="29"/>
        <v>#DIV/0!</v>
      </c>
      <c r="AC27" s="67"/>
      <c r="AD27" s="66">
        <f t="shared" si="30"/>
        <v>530</v>
      </c>
      <c r="AE27" s="316">
        <f t="shared" si="31"/>
        <v>630</v>
      </c>
      <c r="AF27" s="309">
        <f t="shared" si="69"/>
        <v>0</v>
      </c>
      <c r="AG27" s="66">
        <f>IF($AD27="N","N",SUM('調查資料(OUT)'!B33:B36))</f>
        <v>0</v>
      </c>
      <c r="AH27" s="66">
        <f>IF($AD27="N","N",SUM('調查資料(OUT)'!E33:E36))</f>
        <v>0</v>
      </c>
      <c r="AI27" s="66">
        <f>IF($AD27="N","N",SUM('調查資料(OUT)'!I33:I36))</f>
        <v>0</v>
      </c>
      <c r="AJ27" s="66">
        <f>IF($AD27="N","N",SUM('調查資料(OUT)'!H33:H36))</f>
        <v>0</v>
      </c>
      <c r="AK27" s="383" t="e">
        <f t="shared" si="33"/>
        <v>#DIV/0!</v>
      </c>
      <c r="AL27" s="66">
        <f t="shared" si="34"/>
        <v>0</v>
      </c>
      <c r="AM27" s="66">
        <f>IF($AD27="N","N",SUM('調查資料(OUT)'!C33:C36))</f>
        <v>0</v>
      </c>
      <c r="AN27" s="66">
        <f>IF($AD27="N","N",SUM('調查資料(OUT)'!F33:F36))</f>
        <v>0</v>
      </c>
      <c r="AO27" s="66">
        <f>IF($AD27="N","N",SUM('調查資料(OUT)'!J33:J36))</f>
        <v>0</v>
      </c>
      <c r="AP27" s="383" t="e">
        <f t="shared" si="35"/>
        <v>#DIV/0!</v>
      </c>
      <c r="AQ27" s="66">
        <f t="shared" si="36"/>
        <v>0</v>
      </c>
      <c r="AR27" s="66">
        <f>IF($AD27="N","N",SUM('調查資料(OUT)'!D33:D36))</f>
        <v>0</v>
      </c>
      <c r="AS27" s="66">
        <f>IF($AD27="N","N",SUM('調查資料(OUT)'!G33:G36))</f>
        <v>0</v>
      </c>
      <c r="AT27" s="66">
        <f>IF($AD27="N","N",SUM('調查資料(OUT)'!K33:K36))</f>
        <v>0</v>
      </c>
      <c r="AU27" s="383" t="e">
        <f t="shared" si="37"/>
        <v>#DIV/0!</v>
      </c>
      <c r="AV27" s="66">
        <f t="shared" si="38"/>
        <v>0</v>
      </c>
      <c r="AW27" s="383" t="e">
        <f t="shared" si="39"/>
        <v>#DIV/0!</v>
      </c>
      <c r="AX27" s="66">
        <f t="shared" si="40"/>
        <v>0</v>
      </c>
      <c r="AY27" s="383" t="e">
        <f t="shared" si="41"/>
        <v>#DIV/0!</v>
      </c>
      <c r="AZ27" s="66">
        <f t="shared" si="42"/>
        <v>0</v>
      </c>
      <c r="BA27" s="383" t="e">
        <f t="shared" si="43"/>
        <v>#DIV/0!</v>
      </c>
      <c r="BB27" s="316">
        <f t="shared" si="44"/>
        <v>0</v>
      </c>
      <c r="BC27" s="309">
        <f t="shared" si="6"/>
        <v>0</v>
      </c>
      <c r="BD27" s="66">
        <f>IF($AD27="N","N",SUM('調查資料(OUT)'!L33:L36))</f>
        <v>0</v>
      </c>
      <c r="BE27" s="66">
        <f>IF($AD27="N","N",SUM('調查資料(OUT)'!O33:O36))</f>
        <v>0</v>
      </c>
      <c r="BF27" s="66">
        <f>IF($AD27="N","N",SUM('調查資料(OUT)'!S33:S36))</f>
        <v>0</v>
      </c>
      <c r="BG27" s="66">
        <f>IF($AD27="N","N",SUM('調查資料(OUT)'!R33:R36))</f>
        <v>0</v>
      </c>
      <c r="BH27" s="383" t="e">
        <f t="shared" si="7"/>
        <v>#DIV/0!</v>
      </c>
      <c r="BI27" s="66">
        <f t="shared" si="8"/>
        <v>0</v>
      </c>
      <c r="BJ27" s="66">
        <f>IF($AD27="N","N",SUM('調查資料(OUT)'!M33:M36))</f>
        <v>0</v>
      </c>
      <c r="BK27" s="66">
        <f>IF($AD27="N","N",SUM('調查資料(OUT)'!P33:P36))</f>
        <v>0</v>
      </c>
      <c r="BL27" s="66">
        <f>IF($AD27="N","N",SUM('調查資料(OUT)'!T33:T36))</f>
        <v>0</v>
      </c>
      <c r="BM27" s="383" t="e">
        <f t="shared" si="9"/>
        <v>#DIV/0!</v>
      </c>
      <c r="BN27" s="66">
        <f t="shared" si="10"/>
        <v>0</v>
      </c>
      <c r="BO27" s="66">
        <f>IF($AD27="N","N",SUM('調查資料(OUT)'!N33:N36))</f>
        <v>0</v>
      </c>
      <c r="BP27" s="66">
        <f>IF($AD27="N","N",SUM('調查資料(OUT)'!Q33:Q36))</f>
        <v>0</v>
      </c>
      <c r="BQ27" s="66">
        <f>IF($AD27="N","N",SUM('調查資料(OUT)'!U33:U36))</f>
        <v>0</v>
      </c>
      <c r="BR27" s="383" t="e">
        <f t="shared" si="11"/>
        <v>#DIV/0!</v>
      </c>
      <c r="BS27" s="66">
        <f t="shared" si="45"/>
        <v>0</v>
      </c>
      <c r="BT27" s="383" t="e">
        <f t="shared" si="46"/>
        <v>#DIV/0!</v>
      </c>
      <c r="BU27" s="66">
        <f t="shared" si="47"/>
        <v>0</v>
      </c>
      <c r="BV27" s="383" t="e">
        <f t="shared" si="48"/>
        <v>#DIV/0!</v>
      </c>
      <c r="BW27" s="66">
        <f t="shared" si="49"/>
        <v>0</v>
      </c>
      <c r="BX27" s="383" t="e">
        <f t="shared" si="50"/>
        <v>#DIV/0!</v>
      </c>
      <c r="BY27" s="316">
        <f t="shared" si="51"/>
        <v>0</v>
      </c>
      <c r="BZ27" s="309">
        <f t="shared" si="12"/>
        <v>0</v>
      </c>
      <c r="CA27" s="66">
        <f>IF($AD27="N","N",SUM('調查資料(OUT)'!V33:V36))</f>
        <v>0</v>
      </c>
      <c r="CB27" s="66">
        <f>IF($AD27="N","N",SUM('調查資料(OUT)'!Y33:Y36))</f>
        <v>0</v>
      </c>
      <c r="CC27" s="66">
        <f>IF($AD27="N","N",SUM('調查資料(OUT)'!AC33:AC36))</f>
        <v>0</v>
      </c>
      <c r="CD27" s="66">
        <f>IF($AD27="N","N",SUM('調查資料(OUT)'!AB33:AB36))</f>
        <v>0</v>
      </c>
      <c r="CE27" s="383" t="e">
        <f t="shared" si="13"/>
        <v>#DIV/0!</v>
      </c>
      <c r="CF27" s="66">
        <f t="shared" si="14"/>
        <v>0</v>
      </c>
      <c r="CG27" s="66">
        <f>IF($AD27="N","N",SUM('調查資料(OUT)'!W33:W36))</f>
        <v>0</v>
      </c>
      <c r="CH27" s="66">
        <f>IF($AD27="N","N",SUM('調查資料(OUT)'!Z33:Z36))</f>
        <v>0</v>
      </c>
      <c r="CI27" s="66">
        <f>IF($AD27="N","N",SUM('調查資料(OUT)'!AD33:AD36))</f>
        <v>0</v>
      </c>
      <c r="CJ27" s="383" t="e">
        <f t="shared" si="15"/>
        <v>#DIV/0!</v>
      </c>
      <c r="CK27" s="66">
        <f t="shared" si="16"/>
        <v>0</v>
      </c>
      <c r="CL27" s="66">
        <f>IF($AD27="N","N",SUM('調查資料(OUT)'!X33:X36))</f>
        <v>0</v>
      </c>
      <c r="CM27" s="66">
        <f>IF($AD27="N","N",SUM('調查資料(OUT)'!AA33:AA36))</f>
        <v>0</v>
      </c>
      <c r="CN27" s="66">
        <f>IF($AD27="N","N",SUM('調查資料(OUT)'!AE33:AE36))</f>
        <v>0</v>
      </c>
      <c r="CO27" s="383" t="e">
        <f t="shared" si="17"/>
        <v>#DIV/0!</v>
      </c>
      <c r="CP27" s="66">
        <f t="shared" si="52"/>
        <v>0</v>
      </c>
      <c r="CQ27" s="383" t="e">
        <f t="shared" si="53"/>
        <v>#DIV/0!</v>
      </c>
      <c r="CR27" s="66">
        <f t="shared" si="54"/>
        <v>0</v>
      </c>
      <c r="CS27" s="383" t="e">
        <f t="shared" si="55"/>
        <v>#DIV/0!</v>
      </c>
      <c r="CT27" s="66">
        <f t="shared" si="56"/>
        <v>0</v>
      </c>
      <c r="CU27" s="383" t="e">
        <f t="shared" si="57"/>
        <v>#DIV/0!</v>
      </c>
      <c r="CV27" s="316">
        <f t="shared" si="58"/>
        <v>0</v>
      </c>
      <c r="CW27" s="309">
        <f t="shared" si="18"/>
        <v>0</v>
      </c>
      <c r="CX27" s="66">
        <f>IF($AD27="N","N",SUM('調查資料(OUT)'!AF33:AF36))</f>
        <v>0</v>
      </c>
      <c r="CY27" s="66">
        <f>IF($AD27="N","N",SUM('調查資料(OUT)'!AI33:AI36))</f>
        <v>0</v>
      </c>
      <c r="CZ27" s="66">
        <f>IF($AD27="N","N",SUM('調查資料(OUT)'!AM33:AM36))</f>
        <v>0</v>
      </c>
      <c r="DA27" s="66">
        <f>IF($AD27="N","N",SUM('調查資料(OUT)'!AL33:AL36))</f>
        <v>0</v>
      </c>
      <c r="DB27" s="383" t="e">
        <f t="shared" si="19"/>
        <v>#DIV/0!</v>
      </c>
      <c r="DC27" s="66">
        <f t="shared" si="20"/>
        <v>0</v>
      </c>
      <c r="DD27" s="66">
        <f>IF($AD27="N","N",SUM('調查資料(OUT)'!AG33:AG36))</f>
        <v>0</v>
      </c>
      <c r="DE27" s="66">
        <f>IF($AD27="N","N",SUM('調查資料(OUT)'!AJ33:AJ36))</f>
        <v>0</v>
      </c>
      <c r="DF27" s="66">
        <f>IF($AD27="N","N",SUM('調查資料(OUT)'!AN33:AN36))</f>
        <v>0</v>
      </c>
      <c r="DG27" s="383" t="e">
        <f t="shared" si="21"/>
        <v>#DIV/0!</v>
      </c>
      <c r="DH27" s="66">
        <f t="shared" si="22"/>
        <v>0</v>
      </c>
      <c r="DI27" s="66">
        <f>IF($AD27="N","N",SUM('調查資料(OUT)'!AH33:AH36))</f>
        <v>0</v>
      </c>
      <c r="DJ27" s="66">
        <f>IF($AD27="N","N",SUM('調查資料(OUT)'!AK33:AK36))</f>
        <v>0</v>
      </c>
      <c r="DK27" s="66">
        <f>IF($AD27="N","N",SUM('調查資料(OUT)'!AO33:AO36))</f>
        <v>0</v>
      </c>
      <c r="DL27" s="383" t="e">
        <f t="shared" si="23"/>
        <v>#DIV/0!</v>
      </c>
      <c r="DM27" s="66">
        <f t="shared" si="59"/>
        <v>0</v>
      </c>
      <c r="DN27" s="383" t="e">
        <f t="shared" si="60"/>
        <v>#DIV/0!</v>
      </c>
      <c r="DO27" s="66">
        <f t="shared" si="61"/>
        <v>0</v>
      </c>
      <c r="DP27" s="383" t="e">
        <f t="shared" si="62"/>
        <v>#DIV/0!</v>
      </c>
      <c r="DQ27" s="66">
        <f t="shared" si="63"/>
        <v>0</v>
      </c>
      <c r="DR27" s="383" t="e">
        <f t="shared" si="64"/>
        <v>#DIV/0!</v>
      </c>
      <c r="DS27" s="316">
        <f t="shared" si="65"/>
        <v>0</v>
      </c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</row>
    <row r="28" spans="1:170">
      <c r="A28" s="118">
        <f>'調查資料(OUT)'!A34</f>
        <v>545</v>
      </c>
      <c r="B28" s="309">
        <f t="shared" si="70"/>
        <v>0</v>
      </c>
      <c r="C28" s="66">
        <f>IFERROR('調查資料(OUT)'!B$1*'調查資料(OUT)'!B34,0)+IFERROR('調查資料(OUT)'!E$1*'調查資料(OUT)'!E34,0)+IFERROR('調查資料(OUT)'!H$1*'調查資料(OUT)'!H34,0)+IFERROR('調查資料(OUT)'!I$1*'調查資料(OUT)'!I34,0)</f>
        <v>0</v>
      </c>
      <c r="D28" s="66">
        <f>IFERROR('調查資料(OUT)'!C$1*'調查資料(OUT)'!C34,0)+IFERROR('調查資料(OUT)'!F$1*'調查資料(OUT)'!F34,0)+IFERROR('調查資料(OUT)'!J$1*'調查資料(OUT)'!J34,0)</f>
        <v>0</v>
      </c>
      <c r="E28" s="316">
        <f>IFERROR('調查資料(OUT)'!D$1*'調查資料(OUT)'!D34,0)+IFERROR('調查資料(OUT)'!G$1*'調查資料(OUT)'!G34,0)+IFERROR('調查資料(OUT)'!K$1*'調查資料(OUT)'!K34,0)</f>
        <v>0</v>
      </c>
      <c r="F28" s="309">
        <f t="shared" si="71"/>
        <v>0</v>
      </c>
      <c r="G28" s="66">
        <f>IFERROR('調查資料(OUT)'!L$1*'調查資料(OUT)'!L34,0)+IFERROR('調查資料(OUT)'!O$1*'調查資料(OUT)'!O34,0)+IFERROR('調查資料(OUT)'!R$1*'調查資料(OUT)'!R34,0)+IFERROR('調查資料(OUT)'!S$1*'調查資料(OUT)'!S34,0)</f>
        <v>0</v>
      </c>
      <c r="H28" s="66">
        <f>IFERROR('調查資料(OUT)'!M$1*'調查資料(OUT)'!M34,0)+IFERROR('調查資料(OUT)'!P$1*'調查資料(OUT)'!P34,0)+IFERROR('調查資料(OUT)'!T$1*'調查資料(OUT)'!T34,0)</f>
        <v>0</v>
      </c>
      <c r="I28" s="316">
        <f>IFERROR('調查資料(OUT)'!N$1*'調查資料(OUT)'!N34,0)+IFERROR('調查資料(OUT)'!Q$1*'調查資料(OUT)'!Q34,0)+IFERROR('調查資料(OUT)'!U$1*'調查資料(OUT)'!U34,0)</f>
        <v>0</v>
      </c>
      <c r="J28" s="309">
        <f t="shared" si="24"/>
        <v>0</v>
      </c>
      <c r="K28" s="66">
        <f>IFERROR('調查資料(OUT)'!V$1*'調查資料(OUT)'!V34,0)+IFERROR('調查資料(OUT)'!Y$1*'調查資料(OUT)'!Y34,0)+IFERROR('調查資料(OUT)'!AB$1*'調查資料(OUT)'!AB34,0)+IFERROR('調查資料(OUT)'!AC$1*'調查資料(OUT)'!AC34,0)</f>
        <v>0</v>
      </c>
      <c r="L28" s="66">
        <f>IFERROR('調查資料(OUT)'!W$1*'調查資料(OUT)'!W34,0)+IFERROR('調查資料(OUT)'!Z$1*'調查資料(OUT)'!Z34,0)+IFERROR('調查資料(OUT)'!AD$1*'調查資料(OUT)'!AD34,0)</f>
        <v>0</v>
      </c>
      <c r="M28" s="316">
        <f>IFERROR('調查資料(OUT)'!X$1*'調查資料(OUT)'!X34,0)+IFERROR('調查資料(OUT)'!AA$1*'調查資料(OUT)'!AA34,0)+IFERROR('調查資料(OUT)'!AE$1*'調查資料(OUT)'!AE34,0)</f>
        <v>0</v>
      </c>
      <c r="N28" s="309">
        <f t="shared" si="25"/>
        <v>0</v>
      </c>
      <c r="O28" s="66">
        <f>IFERROR('調查資料(OUT)'!AF$1*'調查資料(OUT)'!AF34,0)+IFERROR('調查資料(OUT)'!AI$1*'調查資料(OUT)'!AI34,0)+IFERROR('調查資料(OUT)'!AL$1*'調查資料(OUT)'!AL34,0)+IFERROR('調查資料(OUT)'!AM$1*'調查資料(OUT)'!AM34,0)</f>
        <v>0</v>
      </c>
      <c r="P28" s="66">
        <f>IFERROR('調查資料(OUT)'!AG$1*'調查資料(OUT)'!AG34,0)+IFERROR('調查資料(OUT)'!AJ$1*'調查資料(OUT)'!AJ34,0)+IFERROR('調查資料(OUT)'!AN$1*'調查資料(OUT)'!AN34,0)</f>
        <v>0</v>
      </c>
      <c r="Q28" s="316">
        <f>IFERROR('調查資料(OUT)'!AH$1*'調查資料(OUT)'!AH34,0)+IFERROR('調查資料(OUT)'!AK$1*'調查資料(OUT)'!AK34,0)+IFERROR('調查資料(OUT)'!AO$1*'調查資料(OUT)'!AO34,0)</f>
        <v>0</v>
      </c>
      <c r="R28" s="133">
        <f t="shared" si="72"/>
        <v>0</v>
      </c>
      <c r="S28" s="131"/>
      <c r="T28" s="366">
        <f>'調查資料(OUT)'!A34</f>
        <v>545</v>
      </c>
      <c r="U28" s="101">
        <f t="shared" si="73"/>
        <v>645</v>
      </c>
      <c r="V28" s="66">
        <f t="shared" si="74"/>
        <v>0</v>
      </c>
      <c r="W28" s="381"/>
      <c r="X28" s="66">
        <f t="shared" si="68"/>
        <v>0</v>
      </c>
      <c r="Y28" s="379" t="e">
        <f t="shared" si="26"/>
        <v>#DIV/0!</v>
      </c>
      <c r="Z28" s="379" t="e">
        <f t="shared" si="27"/>
        <v>#DIV/0!</v>
      </c>
      <c r="AA28" s="379" t="e">
        <f t="shared" si="28"/>
        <v>#DIV/0!</v>
      </c>
      <c r="AB28" s="379" t="e">
        <f t="shared" si="29"/>
        <v>#DIV/0!</v>
      </c>
      <c r="AC28" s="67"/>
      <c r="AD28" s="66">
        <f t="shared" si="30"/>
        <v>545</v>
      </c>
      <c r="AE28" s="316">
        <f t="shared" si="31"/>
        <v>645</v>
      </c>
      <c r="AF28" s="309">
        <f t="shared" si="69"/>
        <v>0</v>
      </c>
      <c r="AG28" s="66">
        <f>IF($AD28="N","N",SUM('調查資料(OUT)'!B34:B37))</f>
        <v>0</v>
      </c>
      <c r="AH28" s="66">
        <f>IF($AD28="N","N",SUM('調查資料(OUT)'!E34:E37))</f>
        <v>0</v>
      </c>
      <c r="AI28" s="66">
        <f>IF($AD28="N","N",SUM('調查資料(OUT)'!I34:I37))</f>
        <v>0</v>
      </c>
      <c r="AJ28" s="66">
        <f>IF($AD28="N","N",SUM('調查資料(OUT)'!H34:H37))</f>
        <v>0</v>
      </c>
      <c r="AK28" s="383" t="e">
        <f t="shared" si="33"/>
        <v>#DIV/0!</v>
      </c>
      <c r="AL28" s="66">
        <f t="shared" si="34"/>
        <v>0</v>
      </c>
      <c r="AM28" s="66">
        <f>IF($AD28="N","N",SUM('調查資料(OUT)'!C34:C37))</f>
        <v>0</v>
      </c>
      <c r="AN28" s="66">
        <f>IF($AD28="N","N",SUM('調查資料(OUT)'!F34:F37))</f>
        <v>0</v>
      </c>
      <c r="AO28" s="66">
        <f>IF($AD28="N","N",SUM('調查資料(OUT)'!J34:J37))</f>
        <v>0</v>
      </c>
      <c r="AP28" s="383" t="e">
        <f t="shared" si="35"/>
        <v>#DIV/0!</v>
      </c>
      <c r="AQ28" s="66">
        <f t="shared" si="36"/>
        <v>0</v>
      </c>
      <c r="AR28" s="66">
        <f>IF($AD28="N","N",SUM('調查資料(OUT)'!D34:D37))</f>
        <v>0</v>
      </c>
      <c r="AS28" s="66">
        <f>IF($AD28="N","N",SUM('調查資料(OUT)'!G34:G37))</f>
        <v>0</v>
      </c>
      <c r="AT28" s="66">
        <f>IF($AD28="N","N",SUM('調查資料(OUT)'!K34:K37))</f>
        <v>0</v>
      </c>
      <c r="AU28" s="383" t="e">
        <f t="shared" si="37"/>
        <v>#DIV/0!</v>
      </c>
      <c r="AV28" s="66">
        <f t="shared" si="38"/>
        <v>0</v>
      </c>
      <c r="AW28" s="383" t="e">
        <f t="shared" si="39"/>
        <v>#DIV/0!</v>
      </c>
      <c r="AX28" s="66">
        <f t="shared" si="40"/>
        <v>0</v>
      </c>
      <c r="AY28" s="383" t="e">
        <f t="shared" si="41"/>
        <v>#DIV/0!</v>
      </c>
      <c r="AZ28" s="66">
        <f t="shared" si="42"/>
        <v>0</v>
      </c>
      <c r="BA28" s="383" t="e">
        <f t="shared" si="43"/>
        <v>#DIV/0!</v>
      </c>
      <c r="BB28" s="316">
        <f t="shared" si="44"/>
        <v>0</v>
      </c>
      <c r="BC28" s="309">
        <f t="shared" si="6"/>
        <v>0</v>
      </c>
      <c r="BD28" s="66">
        <f>IF($AD28="N","N",SUM('調查資料(OUT)'!L34:L37))</f>
        <v>0</v>
      </c>
      <c r="BE28" s="66">
        <f>IF($AD28="N","N",SUM('調查資料(OUT)'!O34:O37))</f>
        <v>0</v>
      </c>
      <c r="BF28" s="66">
        <f>IF($AD28="N","N",SUM('調查資料(OUT)'!S34:S37))</f>
        <v>0</v>
      </c>
      <c r="BG28" s="66">
        <f>IF($AD28="N","N",SUM('調查資料(OUT)'!R34:R37))</f>
        <v>0</v>
      </c>
      <c r="BH28" s="383" t="e">
        <f t="shared" si="7"/>
        <v>#DIV/0!</v>
      </c>
      <c r="BI28" s="66">
        <f t="shared" si="8"/>
        <v>0</v>
      </c>
      <c r="BJ28" s="66">
        <f>IF($AD28="N","N",SUM('調查資料(OUT)'!M34:M37))</f>
        <v>0</v>
      </c>
      <c r="BK28" s="66">
        <f>IF($AD28="N","N",SUM('調查資料(OUT)'!P34:P37))</f>
        <v>0</v>
      </c>
      <c r="BL28" s="66">
        <f>IF($AD28="N","N",SUM('調查資料(OUT)'!T34:T37))</f>
        <v>0</v>
      </c>
      <c r="BM28" s="383" t="e">
        <f t="shared" si="9"/>
        <v>#DIV/0!</v>
      </c>
      <c r="BN28" s="66">
        <f t="shared" si="10"/>
        <v>0</v>
      </c>
      <c r="BO28" s="66">
        <f>IF($AD28="N","N",SUM('調查資料(OUT)'!N34:N37))</f>
        <v>0</v>
      </c>
      <c r="BP28" s="66">
        <f>IF($AD28="N","N",SUM('調查資料(OUT)'!Q34:Q37))</f>
        <v>0</v>
      </c>
      <c r="BQ28" s="66">
        <f>IF($AD28="N","N",SUM('調查資料(OUT)'!U34:U37))</f>
        <v>0</v>
      </c>
      <c r="BR28" s="383" t="e">
        <f t="shared" si="11"/>
        <v>#DIV/0!</v>
      </c>
      <c r="BS28" s="66">
        <f t="shared" si="45"/>
        <v>0</v>
      </c>
      <c r="BT28" s="383" t="e">
        <f t="shared" si="46"/>
        <v>#DIV/0!</v>
      </c>
      <c r="BU28" s="66">
        <f t="shared" si="47"/>
        <v>0</v>
      </c>
      <c r="BV28" s="383" t="e">
        <f t="shared" si="48"/>
        <v>#DIV/0!</v>
      </c>
      <c r="BW28" s="66">
        <f t="shared" si="49"/>
        <v>0</v>
      </c>
      <c r="BX28" s="383" t="e">
        <f t="shared" si="50"/>
        <v>#DIV/0!</v>
      </c>
      <c r="BY28" s="316">
        <f t="shared" si="51"/>
        <v>0</v>
      </c>
      <c r="BZ28" s="309">
        <f t="shared" si="12"/>
        <v>0</v>
      </c>
      <c r="CA28" s="66">
        <f>IF($AD28="N","N",SUM('調查資料(OUT)'!V34:V37))</f>
        <v>0</v>
      </c>
      <c r="CB28" s="66">
        <f>IF($AD28="N","N",SUM('調查資料(OUT)'!Y34:Y37))</f>
        <v>0</v>
      </c>
      <c r="CC28" s="66">
        <f>IF($AD28="N","N",SUM('調查資料(OUT)'!AC34:AC37))</f>
        <v>0</v>
      </c>
      <c r="CD28" s="66">
        <f>IF($AD28="N","N",SUM('調查資料(OUT)'!AB34:AB37))</f>
        <v>0</v>
      </c>
      <c r="CE28" s="383" t="e">
        <f t="shared" si="13"/>
        <v>#DIV/0!</v>
      </c>
      <c r="CF28" s="66">
        <f t="shared" si="14"/>
        <v>0</v>
      </c>
      <c r="CG28" s="66">
        <f>IF($AD28="N","N",SUM('調查資料(OUT)'!W34:W37))</f>
        <v>0</v>
      </c>
      <c r="CH28" s="66">
        <f>IF($AD28="N","N",SUM('調查資料(OUT)'!Z34:Z37))</f>
        <v>0</v>
      </c>
      <c r="CI28" s="66">
        <f>IF($AD28="N","N",SUM('調查資料(OUT)'!AD34:AD37))</f>
        <v>0</v>
      </c>
      <c r="CJ28" s="383" t="e">
        <f t="shared" si="15"/>
        <v>#DIV/0!</v>
      </c>
      <c r="CK28" s="66">
        <f t="shared" si="16"/>
        <v>0</v>
      </c>
      <c r="CL28" s="66">
        <f>IF($AD28="N","N",SUM('調查資料(OUT)'!X34:X37))</f>
        <v>0</v>
      </c>
      <c r="CM28" s="66">
        <f>IF($AD28="N","N",SUM('調查資料(OUT)'!AA34:AA37))</f>
        <v>0</v>
      </c>
      <c r="CN28" s="66">
        <f>IF($AD28="N","N",SUM('調查資料(OUT)'!AE34:AE37))</f>
        <v>0</v>
      </c>
      <c r="CO28" s="383" t="e">
        <f t="shared" si="17"/>
        <v>#DIV/0!</v>
      </c>
      <c r="CP28" s="66">
        <f t="shared" si="52"/>
        <v>0</v>
      </c>
      <c r="CQ28" s="383" t="e">
        <f t="shared" si="53"/>
        <v>#DIV/0!</v>
      </c>
      <c r="CR28" s="66">
        <f t="shared" si="54"/>
        <v>0</v>
      </c>
      <c r="CS28" s="383" t="e">
        <f t="shared" si="55"/>
        <v>#DIV/0!</v>
      </c>
      <c r="CT28" s="66">
        <f t="shared" si="56"/>
        <v>0</v>
      </c>
      <c r="CU28" s="383" t="e">
        <f t="shared" si="57"/>
        <v>#DIV/0!</v>
      </c>
      <c r="CV28" s="316">
        <f t="shared" si="58"/>
        <v>0</v>
      </c>
      <c r="CW28" s="309">
        <f t="shared" si="18"/>
        <v>0</v>
      </c>
      <c r="CX28" s="66">
        <f>IF($AD28="N","N",SUM('調查資料(OUT)'!AF34:AF37))</f>
        <v>0</v>
      </c>
      <c r="CY28" s="66">
        <f>IF($AD28="N","N",SUM('調查資料(OUT)'!AI34:AI37))</f>
        <v>0</v>
      </c>
      <c r="CZ28" s="66">
        <f>IF($AD28="N","N",SUM('調查資料(OUT)'!AM34:AM37))</f>
        <v>0</v>
      </c>
      <c r="DA28" s="66">
        <f>IF($AD28="N","N",SUM('調查資料(OUT)'!AL34:AL37))</f>
        <v>0</v>
      </c>
      <c r="DB28" s="383" t="e">
        <f t="shared" si="19"/>
        <v>#DIV/0!</v>
      </c>
      <c r="DC28" s="66">
        <f t="shared" si="20"/>
        <v>0</v>
      </c>
      <c r="DD28" s="66">
        <f>IF($AD28="N","N",SUM('調查資料(OUT)'!AG34:AG37))</f>
        <v>0</v>
      </c>
      <c r="DE28" s="66">
        <f>IF($AD28="N","N",SUM('調查資料(OUT)'!AJ34:AJ37))</f>
        <v>0</v>
      </c>
      <c r="DF28" s="66">
        <f>IF($AD28="N","N",SUM('調查資料(OUT)'!AN34:AN37))</f>
        <v>0</v>
      </c>
      <c r="DG28" s="383" t="e">
        <f t="shared" si="21"/>
        <v>#DIV/0!</v>
      </c>
      <c r="DH28" s="66">
        <f t="shared" si="22"/>
        <v>0</v>
      </c>
      <c r="DI28" s="66">
        <f>IF($AD28="N","N",SUM('調查資料(OUT)'!AH34:AH37))</f>
        <v>0</v>
      </c>
      <c r="DJ28" s="66">
        <f>IF($AD28="N","N",SUM('調查資料(OUT)'!AK34:AK37))</f>
        <v>0</v>
      </c>
      <c r="DK28" s="66">
        <f>IF($AD28="N","N",SUM('調查資料(OUT)'!AO34:AO37))</f>
        <v>0</v>
      </c>
      <c r="DL28" s="383" t="e">
        <f t="shared" si="23"/>
        <v>#DIV/0!</v>
      </c>
      <c r="DM28" s="66">
        <f t="shared" si="59"/>
        <v>0</v>
      </c>
      <c r="DN28" s="383" t="e">
        <f t="shared" si="60"/>
        <v>#DIV/0!</v>
      </c>
      <c r="DO28" s="66">
        <f t="shared" si="61"/>
        <v>0</v>
      </c>
      <c r="DP28" s="383" t="e">
        <f t="shared" si="62"/>
        <v>#DIV/0!</v>
      </c>
      <c r="DQ28" s="66">
        <f t="shared" si="63"/>
        <v>0</v>
      </c>
      <c r="DR28" s="383" t="e">
        <f t="shared" si="64"/>
        <v>#DIV/0!</v>
      </c>
      <c r="DS28" s="316">
        <f t="shared" si="65"/>
        <v>0</v>
      </c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</row>
    <row r="29" spans="1:170">
      <c r="A29" s="487">
        <f>'調查資料(OUT)'!A35</f>
        <v>600</v>
      </c>
      <c r="B29" s="66">
        <f t="shared" si="70"/>
        <v>0</v>
      </c>
      <c r="C29" s="66">
        <f>IFERROR('調查資料(OUT)'!B$1*'調查資料(OUT)'!B35,0)+IFERROR('調查資料(OUT)'!E$1*'調查資料(OUT)'!E35,0)+IFERROR('調查資料(OUT)'!H$1*'調查資料(OUT)'!H35,0)+IFERROR('調查資料(OUT)'!I$1*'調查資料(OUT)'!I35,0)</f>
        <v>0</v>
      </c>
      <c r="D29" s="66">
        <f>IFERROR('調查資料(OUT)'!C$1*'調查資料(OUT)'!C35,0)+IFERROR('調查資料(OUT)'!F$1*'調查資料(OUT)'!F35,0)+IFERROR('調查資料(OUT)'!J$1*'調查資料(OUT)'!J35,0)</f>
        <v>0</v>
      </c>
      <c r="E29" s="316">
        <f>IFERROR('調查資料(OUT)'!D$1*'調查資料(OUT)'!D35,0)+IFERROR('調查資料(OUT)'!G$1*'調查資料(OUT)'!G35,0)+IFERROR('調查資料(OUT)'!K$1*'調查資料(OUT)'!K35,0)</f>
        <v>0</v>
      </c>
      <c r="F29" s="66">
        <f t="shared" si="71"/>
        <v>0</v>
      </c>
      <c r="G29" s="66">
        <f>IFERROR('調查資料(OUT)'!L$1*'調查資料(OUT)'!L35,0)+IFERROR('調查資料(OUT)'!O$1*'調查資料(OUT)'!O35,0)+IFERROR('調查資料(OUT)'!R$1*'調查資料(OUT)'!R35,0)+IFERROR('調查資料(OUT)'!S$1*'調查資料(OUT)'!S35,0)</f>
        <v>0</v>
      </c>
      <c r="H29" s="66">
        <f>IFERROR('調查資料(OUT)'!M$1*'調查資料(OUT)'!M35,0)+IFERROR('調查資料(OUT)'!P$1*'調查資料(OUT)'!P35,0)+IFERROR('調查資料(OUT)'!T$1*'調查資料(OUT)'!T35,0)</f>
        <v>0</v>
      </c>
      <c r="I29" s="316">
        <f>IFERROR('調查資料(OUT)'!N$1*'調查資料(OUT)'!N35,0)+IFERROR('調查資料(OUT)'!Q$1*'調查資料(OUT)'!Q35,0)+IFERROR('調查資料(OUT)'!U$1*'調查資料(OUT)'!U35,0)</f>
        <v>0</v>
      </c>
      <c r="J29" s="66">
        <f t="shared" si="24"/>
        <v>0</v>
      </c>
      <c r="K29" s="66">
        <f>IFERROR('調查資料(OUT)'!V$1*'調查資料(OUT)'!V35,0)+IFERROR('調查資料(OUT)'!Y$1*'調查資料(OUT)'!Y35,0)+IFERROR('調查資料(OUT)'!AB$1*'調查資料(OUT)'!AB35,0)+IFERROR('調查資料(OUT)'!AC$1*'調查資料(OUT)'!AC35,0)</f>
        <v>0</v>
      </c>
      <c r="L29" s="66">
        <f>IFERROR('調查資料(OUT)'!W$1*'調查資料(OUT)'!W35,0)+IFERROR('調查資料(OUT)'!Z$1*'調查資料(OUT)'!Z35,0)+IFERROR('調查資料(OUT)'!AD$1*'調查資料(OUT)'!AD35,0)</f>
        <v>0</v>
      </c>
      <c r="M29" s="316">
        <f>IFERROR('調查資料(OUT)'!X$1*'調查資料(OUT)'!X35,0)+IFERROR('調查資料(OUT)'!AA$1*'調查資料(OUT)'!AA35,0)+IFERROR('調查資料(OUT)'!AE$1*'調查資料(OUT)'!AE35,0)</f>
        <v>0</v>
      </c>
      <c r="N29" s="66">
        <f t="shared" si="25"/>
        <v>0</v>
      </c>
      <c r="O29" s="66">
        <f>IFERROR('調查資料(OUT)'!AF$1*'調查資料(OUT)'!AF35,0)+IFERROR('調查資料(OUT)'!AI$1*'調查資料(OUT)'!AI35,0)+IFERROR('調查資料(OUT)'!AL$1*'調查資料(OUT)'!AL35,0)+IFERROR('調查資料(OUT)'!AM$1*'調查資料(OUT)'!AM35,0)</f>
        <v>0</v>
      </c>
      <c r="P29" s="66">
        <f>IFERROR('調查資料(OUT)'!AG$1*'調查資料(OUT)'!AG35,0)+IFERROR('調查資料(OUT)'!AJ$1*'調查資料(OUT)'!AJ35,0)+IFERROR('調查資料(OUT)'!AN$1*'調查資料(OUT)'!AN35,0)</f>
        <v>0</v>
      </c>
      <c r="Q29" s="316">
        <f>IFERROR('調查資料(OUT)'!AH$1*'調查資料(OUT)'!AH35,0)+IFERROR('調查資料(OUT)'!AK$1*'調查資料(OUT)'!AK35,0)+IFERROR('調查資料(OUT)'!AO$1*'調查資料(OUT)'!AO35,0)</f>
        <v>0</v>
      </c>
      <c r="R29" s="133">
        <f t="shared" si="72"/>
        <v>0</v>
      </c>
      <c r="S29" s="131"/>
      <c r="T29" s="366">
        <f>'調查資料(OUT)'!A35</f>
        <v>600</v>
      </c>
      <c r="U29" s="101">
        <f t="shared" si="73"/>
        <v>700</v>
      </c>
      <c r="V29" s="66">
        <f t="shared" si="74"/>
        <v>0</v>
      </c>
      <c r="W29" s="381"/>
      <c r="X29" s="66">
        <f>IF($V29=$W$29,MAX(R29:R32),0)</f>
        <v>0</v>
      </c>
      <c r="Y29" s="379" t="e">
        <f t="shared" si="26"/>
        <v>#DIV/0!</v>
      </c>
      <c r="Z29" s="379" t="e">
        <f>IF($V29=W$5,SUM(F29:F32)/(4*(MAX(F29:F32))),0)</f>
        <v>#DIV/0!</v>
      </c>
      <c r="AA29" s="379" t="e">
        <f t="shared" si="28"/>
        <v>#DIV/0!</v>
      </c>
      <c r="AB29" s="379" t="e">
        <f t="shared" si="29"/>
        <v>#DIV/0!</v>
      </c>
      <c r="AC29" s="382"/>
      <c r="AD29" s="66">
        <f t="shared" si="30"/>
        <v>600</v>
      </c>
      <c r="AE29" s="316">
        <f t="shared" si="31"/>
        <v>700</v>
      </c>
      <c r="AF29" s="309">
        <f t="shared" si="69"/>
        <v>0</v>
      </c>
      <c r="AG29" s="66">
        <f>IF($AD29="N","N",SUM('調查資料(OUT)'!B35:B38))</f>
        <v>0</v>
      </c>
      <c r="AH29" s="66">
        <f>IF($AD29="N","N",SUM('調查資料(OUT)'!E35:E38))</f>
        <v>0</v>
      </c>
      <c r="AI29" s="66">
        <f>IF($AD29="N","N",SUM('調查資料(OUT)'!I35:I38))</f>
        <v>0</v>
      </c>
      <c r="AJ29" s="66">
        <f>IF($AD29="N","N",SUM('調查資料(OUT)'!H35:H38))</f>
        <v>0</v>
      </c>
      <c r="AK29" s="383" t="e">
        <f t="shared" si="33"/>
        <v>#DIV/0!</v>
      </c>
      <c r="AL29" s="66">
        <f t="shared" si="34"/>
        <v>0</v>
      </c>
      <c r="AM29" s="66">
        <f>IF($AD29="N","N",SUM('調查資料(OUT)'!C35:C38))</f>
        <v>0</v>
      </c>
      <c r="AN29" s="66">
        <f>IF($AD29="N","N",SUM('調查資料(OUT)'!F35:F38))</f>
        <v>0</v>
      </c>
      <c r="AO29" s="66">
        <f>IF($AD29="N","N",SUM('調查資料(OUT)'!J35:J38))</f>
        <v>0</v>
      </c>
      <c r="AP29" s="383" t="e">
        <f t="shared" si="35"/>
        <v>#DIV/0!</v>
      </c>
      <c r="AQ29" s="66">
        <f t="shared" si="36"/>
        <v>0</v>
      </c>
      <c r="AR29" s="66">
        <f>IF($AD29="N","N",SUM('調查資料(OUT)'!D35:D38))</f>
        <v>0</v>
      </c>
      <c r="AS29" s="66">
        <f>IF($AD29="N","N",SUM('調查資料(OUT)'!G35:G38))</f>
        <v>0</v>
      </c>
      <c r="AT29" s="66">
        <f>IF($AD29="N","N",SUM('調查資料(OUT)'!K35:K38))</f>
        <v>0</v>
      </c>
      <c r="AU29" s="383" t="e">
        <f t="shared" si="37"/>
        <v>#DIV/0!</v>
      </c>
      <c r="AV29" s="66">
        <f t="shared" si="38"/>
        <v>0</v>
      </c>
      <c r="AW29" s="383" t="e">
        <f t="shared" si="39"/>
        <v>#DIV/0!</v>
      </c>
      <c r="AX29" s="66">
        <f t="shared" si="40"/>
        <v>0</v>
      </c>
      <c r="AY29" s="383" t="e">
        <f t="shared" si="41"/>
        <v>#DIV/0!</v>
      </c>
      <c r="AZ29" s="66">
        <f t="shared" si="42"/>
        <v>0</v>
      </c>
      <c r="BA29" s="383" t="e">
        <f t="shared" si="43"/>
        <v>#DIV/0!</v>
      </c>
      <c r="BB29" s="316">
        <f t="shared" si="44"/>
        <v>0</v>
      </c>
      <c r="BC29" s="309">
        <f t="shared" si="6"/>
        <v>0</v>
      </c>
      <c r="BD29" s="66">
        <f>IF($AD29="N","N",SUM('調查資料(OUT)'!L35:L38))</f>
        <v>0</v>
      </c>
      <c r="BE29" s="66">
        <f>IF($AD29="N","N",SUM('調查資料(OUT)'!O35:O38))</f>
        <v>0</v>
      </c>
      <c r="BF29" s="66">
        <f>IF($AD29="N","N",SUM('調查資料(OUT)'!S35:S38))</f>
        <v>0</v>
      </c>
      <c r="BG29" s="66">
        <f>IF($AD29="N","N",SUM('調查資料(OUT)'!R35:R38))</f>
        <v>0</v>
      </c>
      <c r="BH29" s="383" t="e">
        <f t="shared" si="7"/>
        <v>#DIV/0!</v>
      </c>
      <c r="BI29" s="66">
        <f t="shared" si="8"/>
        <v>0</v>
      </c>
      <c r="BJ29" s="66">
        <f>IF($AD29="N","N",SUM('調查資料(OUT)'!M35:M38))</f>
        <v>0</v>
      </c>
      <c r="BK29" s="66">
        <f>IF($AD29="N","N",SUM('調查資料(OUT)'!P35:P38))</f>
        <v>0</v>
      </c>
      <c r="BL29" s="66">
        <f>IF($AD29="N","N",SUM('調查資料(OUT)'!T35:T38))</f>
        <v>0</v>
      </c>
      <c r="BM29" s="383" t="e">
        <f t="shared" si="9"/>
        <v>#DIV/0!</v>
      </c>
      <c r="BN29" s="66">
        <f t="shared" si="10"/>
        <v>0</v>
      </c>
      <c r="BO29" s="66">
        <f>IF($AD29="N","N",SUM('調查資料(OUT)'!N35:N38))</f>
        <v>0</v>
      </c>
      <c r="BP29" s="66">
        <f>IF($AD29="N","N",SUM('調查資料(OUT)'!Q35:Q38))</f>
        <v>0</v>
      </c>
      <c r="BQ29" s="66">
        <f>IF($AD29="N","N",SUM('調查資料(OUT)'!U35:U38))</f>
        <v>0</v>
      </c>
      <c r="BR29" s="383" t="e">
        <f t="shared" si="11"/>
        <v>#DIV/0!</v>
      </c>
      <c r="BS29" s="66">
        <f t="shared" si="45"/>
        <v>0</v>
      </c>
      <c r="BT29" s="383" t="e">
        <f t="shared" si="46"/>
        <v>#DIV/0!</v>
      </c>
      <c r="BU29" s="66">
        <f t="shared" si="47"/>
        <v>0</v>
      </c>
      <c r="BV29" s="383" t="e">
        <f t="shared" si="48"/>
        <v>#DIV/0!</v>
      </c>
      <c r="BW29" s="66">
        <f t="shared" si="49"/>
        <v>0</v>
      </c>
      <c r="BX29" s="383" t="e">
        <f t="shared" si="50"/>
        <v>#DIV/0!</v>
      </c>
      <c r="BY29" s="316">
        <f t="shared" si="51"/>
        <v>0</v>
      </c>
      <c r="BZ29" s="309">
        <f t="shared" si="12"/>
        <v>0</v>
      </c>
      <c r="CA29" s="66">
        <f>IF($AD29="N","N",SUM('調查資料(OUT)'!V35:V38))</f>
        <v>0</v>
      </c>
      <c r="CB29" s="66">
        <f>IF($AD29="N","N",SUM('調查資料(OUT)'!Y35:Y38))</f>
        <v>0</v>
      </c>
      <c r="CC29" s="66">
        <f>IF($AD29="N","N",SUM('調查資料(OUT)'!AC35:AC38))</f>
        <v>0</v>
      </c>
      <c r="CD29" s="66">
        <f>IF($AD29="N","N",SUM('調查資料(OUT)'!AB35:AB38))</f>
        <v>0</v>
      </c>
      <c r="CE29" s="383" t="e">
        <f t="shared" si="13"/>
        <v>#DIV/0!</v>
      </c>
      <c r="CF29" s="66">
        <f t="shared" si="14"/>
        <v>0</v>
      </c>
      <c r="CG29" s="66">
        <f>IF($AD29="N","N",SUM('調查資料(OUT)'!W35:W38))</f>
        <v>0</v>
      </c>
      <c r="CH29" s="66">
        <f>IF($AD29="N","N",SUM('調查資料(OUT)'!Z35:Z38))</f>
        <v>0</v>
      </c>
      <c r="CI29" s="66">
        <f>IF($AD29="N","N",SUM('調查資料(OUT)'!AD35:AD38))</f>
        <v>0</v>
      </c>
      <c r="CJ29" s="383" t="e">
        <f t="shared" si="15"/>
        <v>#DIV/0!</v>
      </c>
      <c r="CK29" s="66">
        <f t="shared" si="16"/>
        <v>0</v>
      </c>
      <c r="CL29" s="66">
        <f>IF($AD29="N","N",SUM('調查資料(OUT)'!X35:X38))</f>
        <v>0</v>
      </c>
      <c r="CM29" s="66">
        <f>IF($AD29="N","N",SUM('調查資料(OUT)'!AA35:AA38))</f>
        <v>0</v>
      </c>
      <c r="CN29" s="66">
        <f>IF($AD29="N","N",SUM('調查資料(OUT)'!AE35:AE38))</f>
        <v>0</v>
      </c>
      <c r="CO29" s="383" t="e">
        <f t="shared" si="17"/>
        <v>#DIV/0!</v>
      </c>
      <c r="CP29" s="66">
        <f t="shared" si="52"/>
        <v>0</v>
      </c>
      <c r="CQ29" s="383" t="e">
        <f t="shared" si="53"/>
        <v>#DIV/0!</v>
      </c>
      <c r="CR29" s="66">
        <f t="shared" si="54"/>
        <v>0</v>
      </c>
      <c r="CS29" s="383" t="e">
        <f t="shared" si="55"/>
        <v>#DIV/0!</v>
      </c>
      <c r="CT29" s="66">
        <f t="shared" si="56"/>
        <v>0</v>
      </c>
      <c r="CU29" s="383" t="e">
        <f t="shared" si="57"/>
        <v>#DIV/0!</v>
      </c>
      <c r="CV29" s="316">
        <f t="shared" si="58"/>
        <v>0</v>
      </c>
      <c r="CW29" s="309">
        <f t="shared" si="18"/>
        <v>0</v>
      </c>
      <c r="CX29" s="66">
        <f>IF($AD29="N","N",SUM('調查資料(OUT)'!AF35:AF38))</f>
        <v>0</v>
      </c>
      <c r="CY29" s="66">
        <f>IF($AD29="N","N",SUM('調查資料(OUT)'!AI35:AI38))</f>
        <v>0</v>
      </c>
      <c r="CZ29" s="66">
        <f>IF($AD29="N","N",SUM('調查資料(OUT)'!AM35:AM38))</f>
        <v>0</v>
      </c>
      <c r="DA29" s="66">
        <f>IF($AD29="N","N",SUM('調查資料(OUT)'!AL35:AL38))</f>
        <v>0</v>
      </c>
      <c r="DB29" s="383" t="e">
        <f t="shared" si="19"/>
        <v>#DIV/0!</v>
      </c>
      <c r="DC29" s="66">
        <f t="shared" si="20"/>
        <v>0</v>
      </c>
      <c r="DD29" s="66">
        <f>IF($AD29="N","N",SUM('調查資料(OUT)'!AG35:AG38))</f>
        <v>0</v>
      </c>
      <c r="DE29" s="66">
        <f>IF($AD29="N","N",SUM('調查資料(OUT)'!AJ35:AJ38))</f>
        <v>0</v>
      </c>
      <c r="DF29" s="66">
        <f>IF($AD29="N","N",SUM('調查資料(OUT)'!AN35:AN38))</f>
        <v>0</v>
      </c>
      <c r="DG29" s="383" t="e">
        <f t="shared" si="21"/>
        <v>#DIV/0!</v>
      </c>
      <c r="DH29" s="66">
        <f t="shared" si="22"/>
        <v>0</v>
      </c>
      <c r="DI29" s="66">
        <f>IF($AD29="N","N",SUM('調查資料(OUT)'!AH35:AH38))</f>
        <v>0</v>
      </c>
      <c r="DJ29" s="66">
        <f>IF($AD29="N","N",SUM('調查資料(OUT)'!AK35:AK38))</f>
        <v>0</v>
      </c>
      <c r="DK29" s="66">
        <f>IF($AD29="N","N",SUM('調查資料(OUT)'!AO35:AO38))</f>
        <v>0</v>
      </c>
      <c r="DL29" s="383" t="e">
        <f t="shared" si="23"/>
        <v>#DIV/0!</v>
      </c>
      <c r="DM29" s="66">
        <f t="shared" si="59"/>
        <v>0</v>
      </c>
      <c r="DN29" s="383" t="e">
        <f t="shared" si="60"/>
        <v>#DIV/0!</v>
      </c>
      <c r="DO29" s="66">
        <f t="shared" si="61"/>
        <v>0</v>
      </c>
      <c r="DP29" s="383" t="e">
        <f t="shared" si="62"/>
        <v>#DIV/0!</v>
      </c>
      <c r="DQ29" s="66">
        <f t="shared" si="63"/>
        <v>0</v>
      </c>
      <c r="DR29" s="383" t="e">
        <f t="shared" si="64"/>
        <v>#DIV/0!</v>
      </c>
      <c r="DS29" s="316">
        <f t="shared" si="65"/>
        <v>0</v>
      </c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</row>
    <row r="30" spans="1:170">
      <c r="A30" s="118">
        <f>'調查資料(OUT)'!A36</f>
        <v>615</v>
      </c>
      <c r="B30" s="309">
        <f t="shared" si="70"/>
        <v>0</v>
      </c>
      <c r="C30" s="66">
        <f>IFERROR('調查資料(OUT)'!B$1*'調查資料(OUT)'!B36,0)+IFERROR('調查資料(OUT)'!E$1*'調查資料(OUT)'!E36,0)+IFERROR('調查資料(OUT)'!H$1*'調查資料(OUT)'!H36,0)+IFERROR('調查資料(OUT)'!I$1*'調查資料(OUT)'!I36,0)</f>
        <v>0</v>
      </c>
      <c r="D30" s="66">
        <f>IFERROR('調查資料(OUT)'!C$1*'調查資料(OUT)'!C36,0)+IFERROR('調查資料(OUT)'!F$1*'調查資料(OUT)'!F36,0)+IFERROR('調查資料(OUT)'!J$1*'調查資料(OUT)'!J36,0)</f>
        <v>0</v>
      </c>
      <c r="E30" s="316">
        <f>IFERROR('調查資料(OUT)'!D$1*'調查資料(OUT)'!D36,0)+IFERROR('調查資料(OUT)'!G$1*'調查資料(OUT)'!G36,0)+IFERROR('調查資料(OUT)'!K$1*'調查資料(OUT)'!K36,0)</f>
        <v>0</v>
      </c>
      <c r="F30" s="309">
        <f t="shared" si="71"/>
        <v>0</v>
      </c>
      <c r="G30" s="66">
        <f>IFERROR('調查資料(OUT)'!L$1*'調查資料(OUT)'!L36,0)+IFERROR('調查資料(OUT)'!O$1*'調查資料(OUT)'!O36,0)+IFERROR('調查資料(OUT)'!R$1*'調查資料(OUT)'!R36,0)+IFERROR('調查資料(OUT)'!S$1*'調查資料(OUT)'!S36,0)</f>
        <v>0</v>
      </c>
      <c r="H30" s="66">
        <f>IFERROR('調查資料(OUT)'!M$1*'調查資料(OUT)'!M36,0)+IFERROR('調查資料(OUT)'!P$1*'調查資料(OUT)'!P36,0)+IFERROR('調查資料(OUT)'!T$1*'調查資料(OUT)'!T36,0)</f>
        <v>0</v>
      </c>
      <c r="I30" s="316">
        <f>IFERROR('調查資料(OUT)'!N$1*'調查資料(OUT)'!N36,0)+IFERROR('調查資料(OUT)'!Q$1*'調查資料(OUT)'!Q36,0)+IFERROR('調查資料(OUT)'!U$1*'調查資料(OUT)'!U36,0)</f>
        <v>0</v>
      </c>
      <c r="J30" s="309">
        <f t="shared" si="24"/>
        <v>0</v>
      </c>
      <c r="K30" s="66">
        <f>IFERROR('調查資料(OUT)'!V$1*'調查資料(OUT)'!V36,0)+IFERROR('調查資料(OUT)'!Y$1*'調查資料(OUT)'!Y36,0)+IFERROR('調查資料(OUT)'!AB$1*'調查資料(OUT)'!AB36,0)+IFERROR('調查資料(OUT)'!AC$1*'調查資料(OUT)'!AC36,0)</f>
        <v>0</v>
      </c>
      <c r="L30" s="66">
        <f>IFERROR('調查資料(OUT)'!W$1*'調查資料(OUT)'!W36,0)+IFERROR('調查資料(OUT)'!Z$1*'調查資料(OUT)'!Z36,0)+IFERROR('調查資料(OUT)'!AD$1*'調查資料(OUT)'!AD36,0)</f>
        <v>0</v>
      </c>
      <c r="M30" s="316">
        <f>IFERROR('調查資料(OUT)'!X$1*'調查資料(OUT)'!X36,0)+IFERROR('調查資料(OUT)'!AA$1*'調查資料(OUT)'!AA36,0)+IFERROR('調查資料(OUT)'!AE$1*'調查資料(OUT)'!AE36,0)</f>
        <v>0</v>
      </c>
      <c r="N30" s="309">
        <f t="shared" si="25"/>
        <v>0</v>
      </c>
      <c r="O30" s="66">
        <f>IFERROR('調查資料(OUT)'!AF$1*'調查資料(OUT)'!AF36,0)+IFERROR('調查資料(OUT)'!AI$1*'調查資料(OUT)'!AI36,0)+IFERROR('調查資料(OUT)'!AL$1*'調查資料(OUT)'!AL36,0)+IFERROR('調查資料(OUT)'!AM$1*'調查資料(OUT)'!AM36,0)</f>
        <v>0</v>
      </c>
      <c r="P30" s="66">
        <f>IFERROR('調查資料(OUT)'!AG$1*'調查資料(OUT)'!AG36,0)+IFERROR('調查資料(OUT)'!AJ$1*'調查資料(OUT)'!AJ36,0)+IFERROR('調查資料(OUT)'!AN$1*'調查資料(OUT)'!AN36,0)</f>
        <v>0</v>
      </c>
      <c r="Q30" s="316">
        <f>IFERROR('調查資料(OUT)'!AH$1*'調查資料(OUT)'!AH36,0)+IFERROR('調查資料(OUT)'!AK$1*'調查資料(OUT)'!AK36,0)+IFERROR('調查資料(OUT)'!AO$1*'調查資料(OUT)'!AO36,0)</f>
        <v>0</v>
      </c>
      <c r="R30" s="133">
        <f t="shared" si="72"/>
        <v>0</v>
      </c>
      <c r="S30" s="131"/>
      <c r="T30" s="366">
        <f>'調查資料(OUT)'!A36</f>
        <v>615</v>
      </c>
      <c r="U30" s="101">
        <f t="shared" si="73"/>
        <v>715</v>
      </c>
      <c r="V30" s="66">
        <f t="shared" si="74"/>
        <v>0</v>
      </c>
      <c r="W30" s="381"/>
      <c r="X30" s="66">
        <f t="shared" ref="X30:X40" si="75">IF($V30=$W$29,MAX(R30:R33),0)</f>
        <v>0</v>
      </c>
      <c r="Y30" s="379" t="e">
        <f t="shared" si="26"/>
        <v>#DIV/0!</v>
      </c>
      <c r="Z30" s="379" t="e">
        <f t="shared" si="27"/>
        <v>#DIV/0!</v>
      </c>
      <c r="AA30" s="379" t="e">
        <f t="shared" si="28"/>
        <v>#DIV/0!</v>
      </c>
      <c r="AB30" s="379" t="e">
        <f t="shared" si="29"/>
        <v>#DIV/0!</v>
      </c>
      <c r="AC30" s="67"/>
      <c r="AD30" s="66">
        <f t="shared" si="30"/>
        <v>615</v>
      </c>
      <c r="AE30" s="316">
        <f t="shared" si="31"/>
        <v>715</v>
      </c>
      <c r="AF30" s="309">
        <f t="shared" si="69"/>
        <v>0</v>
      </c>
      <c r="AG30" s="66">
        <f>IF($AD30="N","N",SUM('調查資料(OUT)'!B36:B39))</f>
        <v>0</v>
      </c>
      <c r="AH30" s="66">
        <f>IF($AD30="N","N",SUM('調查資料(OUT)'!E36:E39))</f>
        <v>0</v>
      </c>
      <c r="AI30" s="66">
        <f>IF($AD30="N","N",SUM('調查資料(OUT)'!I36:I39))</f>
        <v>0</v>
      </c>
      <c r="AJ30" s="66">
        <f>IF($AD30="N","N",SUM('調查資料(OUT)'!H36:H39))</f>
        <v>0</v>
      </c>
      <c r="AK30" s="383" t="e">
        <f t="shared" si="33"/>
        <v>#DIV/0!</v>
      </c>
      <c r="AL30" s="66">
        <f t="shared" si="34"/>
        <v>0</v>
      </c>
      <c r="AM30" s="66">
        <f>IF($AD30="N","N",SUM('調查資料(OUT)'!C36:C39))</f>
        <v>0</v>
      </c>
      <c r="AN30" s="66">
        <f>IF($AD30="N","N",SUM('調查資料(OUT)'!F36:F39))</f>
        <v>0</v>
      </c>
      <c r="AO30" s="66">
        <f>IF($AD30="N","N",SUM('調查資料(OUT)'!J36:J39))</f>
        <v>0</v>
      </c>
      <c r="AP30" s="383" t="e">
        <f t="shared" si="35"/>
        <v>#DIV/0!</v>
      </c>
      <c r="AQ30" s="66">
        <f t="shared" si="36"/>
        <v>0</v>
      </c>
      <c r="AR30" s="66">
        <f>IF($AD30="N","N",SUM('調查資料(OUT)'!D36:D39))</f>
        <v>0</v>
      </c>
      <c r="AS30" s="66">
        <f>IF($AD30="N","N",SUM('調查資料(OUT)'!G36:G39))</f>
        <v>0</v>
      </c>
      <c r="AT30" s="66">
        <f>IF($AD30="N","N",SUM('調查資料(OUT)'!K36:K39))</f>
        <v>0</v>
      </c>
      <c r="AU30" s="383" t="e">
        <f t="shared" si="37"/>
        <v>#DIV/0!</v>
      </c>
      <c r="AV30" s="66">
        <f t="shared" si="38"/>
        <v>0</v>
      </c>
      <c r="AW30" s="383" t="e">
        <f t="shared" si="39"/>
        <v>#DIV/0!</v>
      </c>
      <c r="AX30" s="66">
        <f t="shared" si="40"/>
        <v>0</v>
      </c>
      <c r="AY30" s="383" t="e">
        <f t="shared" si="41"/>
        <v>#DIV/0!</v>
      </c>
      <c r="AZ30" s="66">
        <f t="shared" si="42"/>
        <v>0</v>
      </c>
      <c r="BA30" s="383" t="e">
        <f t="shared" si="43"/>
        <v>#DIV/0!</v>
      </c>
      <c r="BB30" s="316">
        <f t="shared" si="44"/>
        <v>0</v>
      </c>
      <c r="BC30" s="309">
        <f t="shared" si="6"/>
        <v>0</v>
      </c>
      <c r="BD30" s="66">
        <f>IF($AD30="N","N",SUM('調查資料(OUT)'!L36:L39))</f>
        <v>0</v>
      </c>
      <c r="BE30" s="66">
        <f>IF($AD30="N","N",SUM('調查資料(OUT)'!O36:O39))</f>
        <v>0</v>
      </c>
      <c r="BF30" s="66">
        <f>IF($AD30="N","N",SUM('調查資料(OUT)'!S36:S39))</f>
        <v>0</v>
      </c>
      <c r="BG30" s="66">
        <f>IF($AD30="N","N",SUM('調查資料(OUT)'!R36:R39))</f>
        <v>0</v>
      </c>
      <c r="BH30" s="383" t="e">
        <f t="shared" si="7"/>
        <v>#DIV/0!</v>
      </c>
      <c r="BI30" s="66">
        <f t="shared" si="8"/>
        <v>0</v>
      </c>
      <c r="BJ30" s="66">
        <f>IF($AD30="N","N",SUM('調查資料(OUT)'!M36:M39))</f>
        <v>0</v>
      </c>
      <c r="BK30" s="66">
        <f>IF($AD30="N","N",SUM('調查資料(OUT)'!P36:P39))</f>
        <v>0</v>
      </c>
      <c r="BL30" s="66">
        <f>IF($AD30="N","N",SUM('調查資料(OUT)'!T36:T39))</f>
        <v>0</v>
      </c>
      <c r="BM30" s="383" t="e">
        <f t="shared" si="9"/>
        <v>#DIV/0!</v>
      </c>
      <c r="BN30" s="66">
        <f t="shared" si="10"/>
        <v>0</v>
      </c>
      <c r="BO30" s="66">
        <f>IF($AD30="N","N",SUM('調查資料(OUT)'!N36:N39))</f>
        <v>0</v>
      </c>
      <c r="BP30" s="66">
        <f>IF($AD30="N","N",SUM('調查資料(OUT)'!Q36:Q39))</f>
        <v>0</v>
      </c>
      <c r="BQ30" s="66">
        <f>IF($AD30="N","N",SUM('調查資料(OUT)'!U36:U39))</f>
        <v>0</v>
      </c>
      <c r="BR30" s="383" t="e">
        <f t="shared" si="11"/>
        <v>#DIV/0!</v>
      </c>
      <c r="BS30" s="66">
        <f t="shared" si="45"/>
        <v>0</v>
      </c>
      <c r="BT30" s="383" t="e">
        <f t="shared" si="46"/>
        <v>#DIV/0!</v>
      </c>
      <c r="BU30" s="66">
        <f t="shared" si="47"/>
        <v>0</v>
      </c>
      <c r="BV30" s="383" t="e">
        <f t="shared" si="48"/>
        <v>#DIV/0!</v>
      </c>
      <c r="BW30" s="66">
        <f t="shared" si="49"/>
        <v>0</v>
      </c>
      <c r="BX30" s="383" t="e">
        <f t="shared" si="50"/>
        <v>#DIV/0!</v>
      </c>
      <c r="BY30" s="316">
        <f t="shared" si="51"/>
        <v>0</v>
      </c>
      <c r="BZ30" s="309">
        <f t="shared" si="12"/>
        <v>0</v>
      </c>
      <c r="CA30" s="66">
        <f>IF($AD30="N","N",SUM('調查資料(OUT)'!V36:V39))</f>
        <v>0</v>
      </c>
      <c r="CB30" s="66">
        <f>IF($AD30="N","N",SUM('調查資料(OUT)'!Y36:Y39))</f>
        <v>0</v>
      </c>
      <c r="CC30" s="66">
        <f>IF($AD30="N","N",SUM('調查資料(OUT)'!AC36:AC39))</f>
        <v>0</v>
      </c>
      <c r="CD30" s="66">
        <f>IF($AD30="N","N",SUM('調查資料(OUT)'!AB36:AB39))</f>
        <v>0</v>
      </c>
      <c r="CE30" s="383" t="e">
        <f t="shared" si="13"/>
        <v>#DIV/0!</v>
      </c>
      <c r="CF30" s="66">
        <f t="shared" si="14"/>
        <v>0</v>
      </c>
      <c r="CG30" s="66">
        <f>IF($AD30="N","N",SUM('調查資料(OUT)'!W36:W39))</f>
        <v>0</v>
      </c>
      <c r="CH30" s="66">
        <f>IF($AD30="N","N",SUM('調查資料(OUT)'!Z36:Z39))</f>
        <v>0</v>
      </c>
      <c r="CI30" s="66">
        <f>IF($AD30="N","N",SUM('調查資料(OUT)'!AD36:AD39))</f>
        <v>0</v>
      </c>
      <c r="CJ30" s="383" t="e">
        <f t="shared" si="15"/>
        <v>#DIV/0!</v>
      </c>
      <c r="CK30" s="66">
        <f t="shared" si="16"/>
        <v>0</v>
      </c>
      <c r="CL30" s="66">
        <f>IF($AD30="N","N",SUM('調查資料(OUT)'!X36:X39))</f>
        <v>0</v>
      </c>
      <c r="CM30" s="66">
        <f>IF($AD30="N","N",SUM('調查資料(OUT)'!AA36:AA39))</f>
        <v>0</v>
      </c>
      <c r="CN30" s="66">
        <f>IF($AD30="N","N",SUM('調查資料(OUT)'!AE36:AE39))</f>
        <v>0</v>
      </c>
      <c r="CO30" s="383" t="e">
        <f t="shared" si="17"/>
        <v>#DIV/0!</v>
      </c>
      <c r="CP30" s="66">
        <f t="shared" si="52"/>
        <v>0</v>
      </c>
      <c r="CQ30" s="383" t="e">
        <f t="shared" si="53"/>
        <v>#DIV/0!</v>
      </c>
      <c r="CR30" s="66">
        <f t="shared" si="54"/>
        <v>0</v>
      </c>
      <c r="CS30" s="383" t="e">
        <f t="shared" si="55"/>
        <v>#DIV/0!</v>
      </c>
      <c r="CT30" s="66">
        <f t="shared" si="56"/>
        <v>0</v>
      </c>
      <c r="CU30" s="383" t="e">
        <f t="shared" si="57"/>
        <v>#DIV/0!</v>
      </c>
      <c r="CV30" s="316">
        <f t="shared" si="58"/>
        <v>0</v>
      </c>
      <c r="CW30" s="309">
        <f t="shared" si="18"/>
        <v>0</v>
      </c>
      <c r="CX30" s="66">
        <f>IF($AD30="N","N",SUM('調查資料(OUT)'!AF36:AF39))</f>
        <v>0</v>
      </c>
      <c r="CY30" s="66">
        <f>IF($AD30="N","N",SUM('調查資料(OUT)'!AI36:AI39))</f>
        <v>0</v>
      </c>
      <c r="CZ30" s="66">
        <f>IF($AD30="N","N",SUM('調查資料(OUT)'!AM36:AM39))</f>
        <v>0</v>
      </c>
      <c r="DA30" s="66">
        <f>IF($AD30="N","N",SUM('調查資料(OUT)'!AL36:AL39))</f>
        <v>0</v>
      </c>
      <c r="DB30" s="383" t="e">
        <f t="shared" si="19"/>
        <v>#DIV/0!</v>
      </c>
      <c r="DC30" s="66">
        <f t="shared" si="20"/>
        <v>0</v>
      </c>
      <c r="DD30" s="66">
        <f>IF($AD30="N","N",SUM('調查資料(OUT)'!AG36:AG39))</f>
        <v>0</v>
      </c>
      <c r="DE30" s="66">
        <f>IF($AD30="N","N",SUM('調查資料(OUT)'!AJ36:AJ39))</f>
        <v>0</v>
      </c>
      <c r="DF30" s="66">
        <f>IF($AD30="N","N",SUM('調查資料(OUT)'!AN36:AN39))</f>
        <v>0</v>
      </c>
      <c r="DG30" s="383" t="e">
        <f t="shared" si="21"/>
        <v>#DIV/0!</v>
      </c>
      <c r="DH30" s="66">
        <f t="shared" si="22"/>
        <v>0</v>
      </c>
      <c r="DI30" s="66">
        <f>IF($AD30="N","N",SUM('調查資料(OUT)'!AH36:AH39))</f>
        <v>0</v>
      </c>
      <c r="DJ30" s="66">
        <f>IF($AD30="N","N",SUM('調查資料(OUT)'!AK36:AK39))</f>
        <v>0</v>
      </c>
      <c r="DK30" s="66">
        <f>IF($AD30="N","N",SUM('調查資料(OUT)'!AO36:AO39))</f>
        <v>0</v>
      </c>
      <c r="DL30" s="383" t="e">
        <f t="shared" si="23"/>
        <v>#DIV/0!</v>
      </c>
      <c r="DM30" s="66">
        <f t="shared" si="59"/>
        <v>0</v>
      </c>
      <c r="DN30" s="383" t="e">
        <f t="shared" si="60"/>
        <v>#DIV/0!</v>
      </c>
      <c r="DO30" s="66">
        <f t="shared" si="61"/>
        <v>0</v>
      </c>
      <c r="DP30" s="383" t="e">
        <f t="shared" si="62"/>
        <v>#DIV/0!</v>
      </c>
      <c r="DQ30" s="66">
        <f t="shared" si="63"/>
        <v>0</v>
      </c>
      <c r="DR30" s="383" t="e">
        <f t="shared" si="64"/>
        <v>#DIV/0!</v>
      </c>
      <c r="DS30" s="316">
        <f t="shared" si="65"/>
        <v>0</v>
      </c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</row>
    <row r="31" spans="1:170">
      <c r="A31" s="118">
        <f>'調查資料(OUT)'!A37</f>
        <v>630</v>
      </c>
      <c r="B31" s="309">
        <f t="shared" si="70"/>
        <v>0</v>
      </c>
      <c r="C31" s="66">
        <f>IFERROR('調查資料(OUT)'!B$1*'調查資料(OUT)'!B37,0)+IFERROR('調查資料(OUT)'!E$1*'調查資料(OUT)'!E37,0)+IFERROR('調查資料(OUT)'!H$1*'調查資料(OUT)'!H37,0)+IFERROR('調查資料(OUT)'!I$1*'調查資料(OUT)'!I37,0)</f>
        <v>0</v>
      </c>
      <c r="D31" s="66">
        <f>IFERROR('調查資料(OUT)'!C$1*'調查資料(OUT)'!C37,0)+IFERROR('調查資料(OUT)'!F$1*'調查資料(OUT)'!F37,0)+IFERROR('調查資料(OUT)'!J$1*'調查資料(OUT)'!J37,0)</f>
        <v>0</v>
      </c>
      <c r="E31" s="316">
        <f>IFERROR('調查資料(OUT)'!D$1*'調查資料(OUT)'!D37,0)+IFERROR('調查資料(OUT)'!G$1*'調查資料(OUT)'!G37,0)+IFERROR('調查資料(OUT)'!K$1*'調查資料(OUT)'!K37,0)</f>
        <v>0</v>
      </c>
      <c r="F31" s="309">
        <f t="shared" si="71"/>
        <v>0</v>
      </c>
      <c r="G31" s="66">
        <f>IFERROR('調查資料(OUT)'!L$1*'調查資料(OUT)'!L37,0)+IFERROR('調查資料(OUT)'!O$1*'調查資料(OUT)'!O37,0)+IFERROR('調查資料(OUT)'!R$1*'調查資料(OUT)'!R37,0)+IFERROR('調查資料(OUT)'!S$1*'調查資料(OUT)'!S37,0)</f>
        <v>0</v>
      </c>
      <c r="H31" s="66">
        <f>IFERROR('調查資料(OUT)'!M$1*'調查資料(OUT)'!M37,0)+IFERROR('調查資料(OUT)'!P$1*'調查資料(OUT)'!P37,0)+IFERROR('調查資料(OUT)'!T$1*'調查資料(OUT)'!T37,0)</f>
        <v>0</v>
      </c>
      <c r="I31" s="316">
        <f>IFERROR('調查資料(OUT)'!N$1*'調查資料(OUT)'!N37,0)+IFERROR('調查資料(OUT)'!Q$1*'調查資料(OUT)'!Q37,0)+IFERROR('調查資料(OUT)'!U$1*'調查資料(OUT)'!U37,0)</f>
        <v>0</v>
      </c>
      <c r="J31" s="309">
        <f t="shared" si="24"/>
        <v>0</v>
      </c>
      <c r="K31" s="66">
        <f>IFERROR('調查資料(OUT)'!V$1*'調查資料(OUT)'!V37,0)+IFERROR('調查資料(OUT)'!Y$1*'調查資料(OUT)'!Y37,0)+IFERROR('調查資料(OUT)'!AB$1*'調查資料(OUT)'!AB37,0)+IFERROR('調查資料(OUT)'!AC$1*'調查資料(OUT)'!AC37,0)</f>
        <v>0</v>
      </c>
      <c r="L31" s="66">
        <f>IFERROR('調查資料(OUT)'!W$1*'調查資料(OUT)'!W37,0)+IFERROR('調查資料(OUT)'!Z$1*'調查資料(OUT)'!Z37,0)+IFERROR('調查資料(OUT)'!AD$1*'調查資料(OUT)'!AD37,0)</f>
        <v>0</v>
      </c>
      <c r="M31" s="316">
        <f>IFERROR('調查資料(OUT)'!X$1*'調查資料(OUT)'!X37,0)+IFERROR('調查資料(OUT)'!AA$1*'調查資料(OUT)'!AA37,0)+IFERROR('調查資料(OUT)'!AE$1*'調查資料(OUT)'!AE37,0)</f>
        <v>0</v>
      </c>
      <c r="N31" s="309">
        <f t="shared" si="25"/>
        <v>0</v>
      </c>
      <c r="O31" s="66">
        <f>IFERROR('調查資料(OUT)'!AF$1*'調查資料(OUT)'!AF37,0)+IFERROR('調查資料(OUT)'!AI$1*'調查資料(OUT)'!AI37,0)+IFERROR('調查資料(OUT)'!AL$1*'調查資料(OUT)'!AL37,0)+IFERROR('調查資料(OUT)'!AM$1*'調查資料(OUT)'!AM37,0)</f>
        <v>0</v>
      </c>
      <c r="P31" s="66">
        <f>IFERROR('調查資料(OUT)'!AG$1*'調查資料(OUT)'!AG37,0)+IFERROR('調查資料(OUT)'!AJ$1*'調查資料(OUT)'!AJ37,0)+IFERROR('調查資料(OUT)'!AN$1*'調查資料(OUT)'!AN37,0)</f>
        <v>0</v>
      </c>
      <c r="Q31" s="316">
        <f>IFERROR('調查資料(OUT)'!AH$1*'調查資料(OUT)'!AH37,0)+IFERROR('調查資料(OUT)'!AK$1*'調查資料(OUT)'!AK37,0)+IFERROR('調查資料(OUT)'!AO$1*'調查資料(OUT)'!AO37,0)</f>
        <v>0</v>
      </c>
      <c r="R31" s="133">
        <f t="shared" si="72"/>
        <v>0</v>
      </c>
      <c r="S31" s="131"/>
      <c r="T31" s="366">
        <f>'調查資料(OUT)'!A37</f>
        <v>630</v>
      </c>
      <c r="U31" s="101">
        <f t="shared" si="73"/>
        <v>730</v>
      </c>
      <c r="V31" s="66">
        <f t="shared" si="74"/>
        <v>0</v>
      </c>
      <c r="W31" s="381"/>
      <c r="X31" s="66">
        <f t="shared" si="75"/>
        <v>0</v>
      </c>
      <c r="Y31" s="379" t="e">
        <f t="shared" si="26"/>
        <v>#DIV/0!</v>
      </c>
      <c r="Z31" s="379" t="e">
        <f t="shared" si="27"/>
        <v>#DIV/0!</v>
      </c>
      <c r="AA31" s="379" t="e">
        <f t="shared" si="28"/>
        <v>#DIV/0!</v>
      </c>
      <c r="AB31" s="379" t="e">
        <f t="shared" si="29"/>
        <v>#DIV/0!</v>
      </c>
      <c r="AC31" s="67"/>
      <c r="AD31" s="66">
        <f t="shared" si="30"/>
        <v>630</v>
      </c>
      <c r="AE31" s="316">
        <f t="shared" si="31"/>
        <v>730</v>
      </c>
      <c r="AF31" s="309">
        <f t="shared" si="69"/>
        <v>0</v>
      </c>
      <c r="AG31" s="66">
        <f>IF($AD31="N","N",SUM('調查資料(OUT)'!B37:B40))</f>
        <v>0</v>
      </c>
      <c r="AH31" s="66">
        <f>IF($AD31="N","N",SUM('調查資料(OUT)'!E37:E40))</f>
        <v>0</v>
      </c>
      <c r="AI31" s="66">
        <f>IF($AD31="N","N",SUM('調查資料(OUT)'!I37:I40))</f>
        <v>0</v>
      </c>
      <c r="AJ31" s="66">
        <f>IF($AD31="N","N",SUM('調查資料(OUT)'!H37:H40))</f>
        <v>0</v>
      </c>
      <c r="AK31" s="383" t="e">
        <f t="shared" si="33"/>
        <v>#DIV/0!</v>
      </c>
      <c r="AL31" s="66">
        <f t="shared" si="34"/>
        <v>0</v>
      </c>
      <c r="AM31" s="66">
        <f>IF($AD31="N","N",SUM('調查資料(OUT)'!C37:C40))</f>
        <v>0</v>
      </c>
      <c r="AN31" s="66">
        <f>IF($AD31="N","N",SUM('調查資料(OUT)'!F37:F40))</f>
        <v>0</v>
      </c>
      <c r="AO31" s="66">
        <f>IF($AD31="N","N",SUM('調查資料(OUT)'!J37:J40))</f>
        <v>0</v>
      </c>
      <c r="AP31" s="383" t="e">
        <f t="shared" si="35"/>
        <v>#DIV/0!</v>
      </c>
      <c r="AQ31" s="66">
        <f t="shared" si="36"/>
        <v>0</v>
      </c>
      <c r="AR31" s="66">
        <f>IF($AD31="N","N",SUM('調查資料(OUT)'!D37:D40))</f>
        <v>0</v>
      </c>
      <c r="AS31" s="66">
        <f>IF($AD31="N","N",SUM('調查資料(OUT)'!G37:G40))</f>
        <v>0</v>
      </c>
      <c r="AT31" s="66">
        <f>IF($AD31="N","N",SUM('調查資料(OUT)'!K37:K40))</f>
        <v>0</v>
      </c>
      <c r="AU31" s="383" t="e">
        <f t="shared" si="37"/>
        <v>#DIV/0!</v>
      </c>
      <c r="AV31" s="66">
        <f t="shared" si="38"/>
        <v>0</v>
      </c>
      <c r="AW31" s="383" t="e">
        <f t="shared" si="39"/>
        <v>#DIV/0!</v>
      </c>
      <c r="AX31" s="66">
        <f t="shared" si="40"/>
        <v>0</v>
      </c>
      <c r="AY31" s="383" t="e">
        <f t="shared" si="41"/>
        <v>#DIV/0!</v>
      </c>
      <c r="AZ31" s="66">
        <f t="shared" si="42"/>
        <v>0</v>
      </c>
      <c r="BA31" s="383" t="e">
        <f t="shared" si="43"/>
        <v>#DIV/0!</v>
      </c>
      <c r="BB31" s="316">
        <f t="shared" si="44"/>
        <v>0</v>
      </c>
      <c r="BC31" s="309">
        <f t="shared" si="6"/>
        <v>0</v>
      </c>
      <c r="BD31" s="66">
        <f>IF($AD31="N","N",SUM('調查資料(OUT)'!L37:L40))</f>
        <v>0</v>
      </c>
      <c r="BE31" s="66">
        <f>IF($AD31="N","N",SUM('調查資料(OUT)'!O37:O40))</f>
        <v>0</v>
      </c>
      <c r="BF31" s="66">
        <f>IF($AD31="N","N",SUM('調查資料(OUT)'!S37:S40))</f>
        <v>0</v>
      </c>
      <c r="BG31" s="66">
        <f>IF($AD31="N","N",SUM('調查資料(OUT)'!R37:R40))</f>
        <v>0</v>
      </c>
      <c r="BH31" s="383" t="e">
        <f t="shared" si="7"/>
        <v>#DIV/0!</v>
      </c>
      <c r="BI31" s="66">
        <f t="shared" si="8"/>
        <v>0</v>
      </c>
      <c r="BJ31" s="66">
        <f>IF($AD31="N","N",SUM('調查資料(OUT)'!M37:M40))</f>
        <v>0</v>
      </c>
      <c r="BK31" s="66">
        <f>IF($AD31="N","N",SUM('調查資料(OUT)'!P37:P40))</f>
        <v>0</v>
      </c>
      <c r="BL31" s="66">
        <f>IF($AD31="N","N",SUM('調查資料(OUT)'!T37:T40))</f>
        <v>0</v>
      </c>
      <c r="BM31" s="383" t="e">
        <f t="shared" si="9"/>
        <v>#DIV/0!</v>
      </c>
      <c r="BN31" s="66">
        <f t="shared" si="10"/>
        <v>0</v>
      </c>
      <c r="BO31" s="66">
        <f>IF($AD31="N","N",SUM('調查資料(OUT)'!N37:N40))</f>
        <v>0</v>
      </c>
      <c r="BP31" s="66">
        <f>IF($AD31="N","N",SUM('調查資料(OUT)'!Q37:Q40))</f>
        <v>0</v>
      </c>
      <c r="BQ31" s="66">
        <f>IF($AD31="N","N",SUM('調查資料(OUT)'!U37:U40))</f>
        <v>0</v>
      </c>
      <c r="BR31" s="383" t="e">
        <f t="shared" si="11"/>
        <v>#DIV/0!</v>
      </c>
      <c r="BS31" s="66">
        <f t="shared" si="45"/>
        <v>0</v>
      </c>
      <c r="BT31" s="383" t="e">
        <f t="shared" si="46"/>
        <v>#DIV/0!</v>
      </c>
      <c r="BU31" s="66">
        <f t="shared" si="47"/>
        <v>0</v>
      </c>
      <c r="BV31" s="383" t="e">
        <f t="shared" si="48"/>
        <v>#DIV/0!</v>
      </c>
      <c r="BW31" s="66">
        <f t="shared" si="49"/>
        <v>0</v>
      </c>
      <c r="BX31" s="383" t="e">
        <f t="shared" si="50"/>
        <v>#DIV/0!</v>
      </c>
      <c r="BY31" s="316">
        <f t="shared" si="51"/>
        <v>0</v>
      </c>
      <c r="BZ31" s="309">
        <f t="shared" si="12"/>
        <v>0</v>
      </c>
      <c r="CA31" s="66">
        <f>IF($AD31="N","N",SUM('調查資料(OUT)'!V37:V40))</f>
        <v>0</v>
      </c>
      <c r="CB31" s="66">
        <f>IF($AD31="N","N",SUM('調查資料(OUT)'!Y37:Y40))</f>
        <v>0</v>
      </c>
      <c r="CC31" s="66">
        <f>IF($AD31="N","N",SUM('調查資料(OUT)'!AC37:AC40))</f>
        <v>0</v>
      </c>
      <c r="CD31" s="66">
        <f>IF($AD31="N","N",SUM('調查資料(OUT)'!AB37:AB40))</f>
        <v>0</v>
      </c>
      <c r="CE31" s="383" t="e">
        <f t="shared" si="13"/>
        <v>#DIV/0!</v>
      </c>
      <c r="CF31" s="66">
        <f t="shared" si="14"/>
        <v>0</v>
      </c>
      <c r="CG31" s="66">
        <f>IF($AD31="N","N",SUM('調查資料(OUT)'!W37:W40))</f>
        <v>0</v>
      </c>
      <c r="CH31" s="66">
        <f>IF($AD31="N","N",SUM('調查資料(OUT)'!Z37:Z40))</f>
        <v>0</v>
      </c>
      <c r="CI31" s="66">
        <f>IF($AD31="N","N",SUM('調查資料(OUT)'!AD37:AD40))</f>
        <v>0</v>
      </c>
      <c r="CJ31" s="383" t="e">
        <f t="shared" si="15"/>
        <v>#DIV/0!</v>
      </c>
      <c r="CK31" s="66">
        <f t="shared" si="16"/>
        <v>0</v>
      </c>
      <c r="CL31" s="66">
        <f>IF($AD31="N","N",SUM('調查資料(OUT)'!X37:X40))</f>
        <v>0</v>
      </c>
      <c r="CM31" s="66">
        <f>IF($AD31="N","N",SUM('調查資料(OUT)'!AA37:AA40))</f>
        <v>0</v>
      </c>
      <c r="CN31" s="66">
        <f>IF($AD31="N","N",SUM('調查資料(OUT)'!AE37:AE40))</f>
        <v>0</v>
      </c>
      <c r="CO31" s="383" t="e">
        <f t="shared" si="17"/>
        <v>#DIV/0!</v>
      </c>
      <c r="CP31" s="66">
        <f t="shared" si="52"/>
        <v>0</v>
      </c>
      <c r="CQ31" s="383" t="e">
        <f t="shared" si="53"/>
        <v>#DIV/0!</v>
      </c>
      <c r="CR31" s="66">
        <f t="shared" si="54"/>
        <v>0</v>
      </c>
      <c r="CS31" s="383" t="e">
        <f t="shared" si="55"/>
        <v>#DIV/0!</v>
      </c>
      <c r="CT31" s="66">
        <f t="shared" si="56"/>
        <v>0</v>
      </c>
      <c r="CU31" s="383" t="e">
        <f t="shared" si="57"/>
        <v>#DIV/0!</v>
      </c>
      <c r="CV31" s="316">
        <f t="shared" si="58"/>
        <v>0</v>
      </c>
      <c r="CW31" s="309">
        <f t="shared" si="18"/>
        <v>0</v>
      </c>
      <c r="CX31" s="66">
        <f>IF($AD31="N","N",SUM('調查資料(OUT)'!AF37:AF40))</f>
        <v>0</v>
      </c>
      <c r="CY31" s="66">
        <f>IF($AD31="N","N",SUM('調查資料(OUT)'!AI37:AI40))</f>
        <v>0</v>
      </c>
      <c r="CZ31" s="66">
        <f>IF($AD31="N","N",SUM('調查資料(OUT)'!AM37:AM40))</f>
        <v>0</v>
      </c>
      <c r="DA31" s="66">
        <f>IF($AD31="N","N",SUM('調查資料(OUT)'!AL37:AL40))</f>
        <v>0</v>
      </c>
      <c r="DB31" s="383" t="e">
        <f t="shared" si="19"/>
        <v>#DIV/0!</v>
      </c>
      <c r="DC31" s="66">
        <f t="shared" si="20"/>
        <v>0</v>
      </c>
      <c r="DD31" s="66">
        <f>IF($AD31="N","N",SUM('調查資料(OUT)'!AG37:AG40))</f>
        <v>0</v>
      </c>
      <c r="DE31" s="66">
        <f>IF($AD31="N","N",SUM('調查資料(OUT)'!AJ37:AJ40))</f>
        <v>0</v>
      </c>
      <c r="DF31" s="66">
        <f>IF($AD31="N","N",SUM('調查資料(OUT)'!AN37:AN40))</f>
        <v>0</v>
      </c>
      <c r="DG31" s="383" t="e">
        <f t="shared" si="21"/>
        <v>#DIV/0!</v>
      </c>
      <c r="DH31" s="66">
        <f t="shared" si="22"/>
        <v>0</v>
      </c>
      <c r="DI31" s="66">
        <f>IF($AD31="N","N",SUM('調查資料(OUT)'!AH37:AH40))</f>
        <v>0</v>
      </c>
      <c r="DJ31" s="66">
        <f>IF($AD31="N","N",SUM('調查資料(OUT)'!AK37:AK40))</f>
        <v>0</v>
      </c>
      <c r="DK31" s="66">
        <f>IF($AD31="N","N",SUM('調查資料(OUT)'!AO37:AO40))</f>
        <v>0</v>
      </c>
      <c r="DL31" s="383" t="e">
        <f t="shared" si="23"/>
        <v>#DIV/0!</v>
      </c>
      <c r="DM31" s="66">
        <f t="shared" si="59"/>
        <v>0</v>
      </c>
      <c r="DN31" s="383" t="e">
        <f t="shared" si="60"/>
        <v>#DIV/0!</v>
      </c>
      <c r="DO31" s="66">
        <f t="shared" si="61"/>
        <v>0</v>
      </c>
      <c r="DP31" s="383" t="e">
        <f t="shared" si="62"/>
        <v>#DIV/0!</v>
      </c>
      <c r="DQ31" s="66">
        <f t="shared" si="63"/>
        <v>0</v>
      </c>
      <c r="DR31" s="383" t="e">
        <f t="shared" si="64"/>
        <v>#DIV/0!</v>
      </c>
      <c r="DS31" s="316">
        <f t="shared" si="65"/>
        <v>0</v>
      </c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</row>
    <row r="32" spans="1:170">
      <c r="A32" s="118">
        <f>'調查資料(OUT)'!A38</f>
        <v>645</v>
      </c>
      <c r="B32" s="309">
        <f t="shared" si="70"/>
        <v>0</v>
      </c>
      <c r="C32" s="66">
        <f>IFERROR('調查資料(OUT)'!B$1*'調查資料(OUT)'!B38,0)+IFERROR('調查資料(OUT)'!E$1*'調查資料(OUT)'!E38,0)+IFERROR('調查資料(OUT)'!H$1*'調查資料(OUT)'!H38,0)+IFERROR('調查資料(OUT)'!I$1*'調查資料(OUT)'!I38,0)</f>
        <v>0</v>
      </c>
      <c r="D32" s="66">
        <f>IFERROR('調查資料(OUT)'!C$1*'調查資料(OUT)'!C38,0)+IFERROR('調查資料(OUT)'!F$1*'調查資料(OUT)'!F38,0)+IFERROR('調查資料(OUT)'!J$1*'調查資料(OUT)'!J38,0)</f>
        <v>0</v>
      </c>
      <c r="E32" s="316">
        <f>IFERROR('調查資料(OUT)'!D$1*'調查資料(OUT)'!D38,0)+IFERROR('調查資料(OUT)'!G$1*'調查資料(OUT)'!G38,0)+IFERROR('調查資料(OUT)'!K$1*'調查資料(OUT)'!K38,0)</f>
        <v>0</v>
      </c>
      <c r="F32" s="309">
        <f t="shared" si="71"/>
        <v>0</v>
      </c>
      <c r="G32" s="66">
        <f>IFERROR('調查資料(OUT)'!L$1*'調查資料(OUT)'!L38,0)+IFERROR('調查資料(OUT)'!O$1*'調查資料(OUT)'!O38,0)+IFERROR('調查資料(OUT)'!R$1*'調查資料(OUT)'!R38,0)+IFERROR('調查資料(OUT)'!S$1*'調查資料(OUT)'!S38,0)</f>
        <v>0</v>
      </c>
      <c r="H32" s="66">
        <f>IFERROR('調查資料(OUT)'!M$1*'調查資料(OUT)'!M38,0)+IFERROR('調查資料(OUT)'!P$1*'調查資料(OUT)'!P38,0)+IFERROR('調查資料(OUT)'!T$1*'調查資料(OUT)'!T38,0)</f>
        <v>0</v>
      </c>
      <c r="I32" s="316">
        <f>IFERROR('調查資料(OUT)'!N$1*'調查資料(OUT)'!N38,0)+IFERROR('調查資料(OUT)'!Q$1*'調查資料(OUT)'!Q38,0)+IFERROR('調查資料(OUT)'!U$1*'調查資料(OUT)'!U38,0)</f>
        <v>0</v>
      </c>
      <c r="J32" s="309">
        <f t="shared" si="24"/>
        <v>0</v>
      </c>
      <c r="K32" s="66">
        <f>IFERROR('調查資料(OUT)'!V$1*'調查資料(OUT)'!V38,0)+IFERROR('調查資料(OUT)'!Y$1*'調查資料(OUT)'!Y38,0)+IFERROR('調查資料(OUT)'!AB$1*'調查資料(OUT)'!AB38,0)+IFERROR('調查資料(OUT)'!AC$1*'調查資料(OUT)'!AC38,0)</f>
        <v>0</v>
      </c>
      <c r="L32" s="66">
        <f>IFERROR('調查資料(OUT)'!W$1*'調查資料(OUT)'!W38,0)+IFERROR('調查資料(OUT)'!Z$1*'調查資料(OUT)'!Z38,0)+IFERROR('調查資料(OUT)'!AD$1*'調查資料(OUT)'!AD38,0)</f>
        <v>0</v>
      </c>
      <c r="M32" s="316">
        <f>IFERROR('調查資料(OUT)'!X$1*'調查資料(OUT)'!X38,0)+IFERROR('調查資料(OUT)'!AA$1*'調查資料(OUT)'!AA38,0)+IFERROR('調查資料(OUT)'!AE$1*'調查資料(OUT)'!AE38,0)</f>
        <v>0</v>
      </c>
      <c r="N32" s="309">
        <f t="shared" si="25"/>
        <v>0</v>
      </c>
      <c r="O32" s="66">
        <f>IFERROR('調查資料(OUT)'!AF$1*'調查資料(OUT)'!AF38,0)+IFERROR('調查資料(OUT)'!AI$1*'調查資料(OUT)'!AI38,0)+IFERROR('調查資料(OUT)'!AL$1*'調查資料(OUT)'!AL38,0)+IFERROR('調查資料(OUT)'!AM$1*'調查資料(OUT)'!AM38,0)</f>
        <v>0</v>
      </c>
      <c r="P32" s="66">
        <f>IFERROR('調查資料(OUT)'!AG$1*'調查資料(OUT)'!AG38,0)+IFERROR('調查資料(OUT)'!AJ$1*'調查資料(OUT)'!AJ38,0)+IFERROR('調查資料(OUT)'!AN$1*'調查資料(OUT)'!AN38,0)</f>
        <v>0</v>
      </c>
      <c r="Q32" s="316">
        <f>IFERROR('調查資料(OUT)'!AH$1*'調查資料(OUT)'!AH38,0)+IFERROR('調查資料(OUT)'!AK$1*'調查資料(OUT)'!AK38,0)+IFERROR('調查資料(OUT)'!AO$1*'調查資料(OUT)'!AO38,0)</f>
        <v>0</v>
      </c>
      <c r="R32" s="133">
        <f t="shared" si="72"/>
        <v>0</v>
      </c>
      <c r="S32" s="131"/>
      <c r="T32" s="366">
        <f>'調查資料(OUT)'!A38</f>
        <v>645</v>
      </c>
      <c r="U32" s="101">
        <f t="shared" si="73"/>
        <v>745</v>
      </c>
      <c r="V32" s="66">
        <f t="shared" si="74"/>
        <v>0</v>
      </c>
      <c r="W32" s="381"/>
      <c r="X32" s="66">
        <f t="shared" si="75"/>
        <v>0</v>
      </c>
      <c r="Y32" s="379" t="e">
        <f t="shared" si="26"/>
        <v>#DIV/0!</v>
      </c>
      <c r="Z32" s="379" t="e">
        <f t="shared" si="27"/>
        <v>#DIV/0!</v>
      </c>
      <c r="AA32" s="379" t="e">
        <f t="shared" si="28"/>
        <v>#DIV/0!</v>
      </c>
      <c r="AB32" s="379" t="e">
        <f t="shared" si="29"/>
        <v>#DIV/0!</v>
      </c>
      <c r="AC32" s="67"/>
      <c r="AD32" s="66">
        <f t="shared" si="30"/>
        <v>645</v>
      </c>
      <c r="AE32" s="316">
        <f t="shared" si="31"/>
        <v>745</v>
      </c>
      <c r="AF32" s="309">
        <f t="shared" si="69"/>
        <v>0</v>
      </c>
      <c r="AG32" s="66">
        <f>IF($AD32="N","N",SUM('調查資料(OUT)'!B38:B41))</f>
        <v>0</v>
      </c>
      <c r="AH32" s="66">
        <f>IF($AD32="N","N",SUM('調查資料(OUT)'!E38:E41))</f>
        <v>0</v>
      </c>
      <c r="AI32" s="66">
        <f>IF($AD32="N","N",SUM('調查資料(OUT)'!I38:I41))</f>
        <v>0</v>
      </c>
      <c r="AJ32" s="66">
        <f>IF($AD32="N","N",SUM('調查資料(OUT)'!H38:H41))</f>
        <v>0</v>
      </c>
      <c r="AK32" s="383" t="e">
        <f t="shared" si="33"/>
        <v>#DIV/0!</v>
      </c>
      <c r="AL32" s="66">
        <f t="shared" si="34"/>
        <v>0</v>
      </c>
      <c r="AM32" s="66">
        <f>IF($AD32="N","N",SUM('調查資料(OUT)'!C38:C41))</f>
        <v>0</v>
      </c>
      <c r="AN32" s="66">
        <f>IF($AD32="N","N",SUM('調查資料(OUT)'!F38:F41))</f>
        <v>0</v>
      </c>
      <c r="AO32" s="66">
        <f>IF($AD32="N","N",SUM('調查資料(OUT)'!J38:J41))</f>
        <v>0</v>
      </c>
      <c r="AP32" s="383" t="e">
        <f t="shared" si="35"/>
        <v>#DIV/0!</v>
      </c>
      <c r="AQ32" s="66">
        <f t="shared" si="36"/>
        <v>0</v>
      </c>
      <c r="AR32" s="66">
        <f>IF($AD32="N","N",SUM('調查資料(OUT)'!D38:D41))</f>
        <v>0</v>
      </c>
      <c r="AS32" s="66">
        <f>IF($AD32="N","N",SUM('調查資料(OUT)'!G38:G41))</f>
        <v>0</v>
      </c>
      <c r="AT32" s="66">
        <f>IF($AD32="N","N",SUM('調查資料(OUT)'!K38:K41))</f>
        <v>0</v>
      </c>
      <c r="AU32" s="383" t="e">
        <f t="shared" si="37"/>
        <v>#DIV/0!</v>
      </c>
      <c r="AV32" s="66">
        <f t="shared" si="38"/>
        <v>0</v>
      </c>
      <c r="AW32" s="383" t="e">
        <f t="shared" si="39"/>
        <v>#DIV/0!</v>
      </c>
      <c r="AX32" s="66">
        <f t="shared" si="40"/>
        <v>0</v>
      </c>
      <c r="AY32" s="383" t="e">
        <f t="shared" si="41"/>
        <v>#DIV/0!</v>
      </c>
      <c r="AZ32" s="66">
        <f t="shared" si="42"/>
        <v>0</v>
      </c>
      <c r="BA32" s="383" t="e">
        <f t="shared" si="43"/>
        <v>#DIV/0!</v>
      </c>
      <c r="BB32" s="316">
        <f t="shared" si="44"/>
        <v>0</v>
      </c>
      <c r="BC32" s="309">
        <f t="shared" si="6"/>
        <v>0</v>
      </c>
      <c r="BD32" s="66">
        <f>IF($AD32="N","N",SUM('調查資料(OUT)'!L38:L41))</f>
        <v>0</v>
      </c>
      <c r="BE32" s="66">
        <f>IF($AD32="N","N",SUM('調查資料(OUT)'!O38:O41))</f>
        <v>0</v>
      </c>
      <c r="BF32" s="66">
        <f>IF($AD32="N","N",SUM('調查資料(OUT)'!S38:S41))</f>
        <v>0</v>
      </c>
      <c r="BG32" s="66">
        <f>IF($AD32="N","N",SUM('調查資料(OUT)'!R38:R41))</f>
        <v>0</v>
      </c>
      <c r="BH32" s="383" t="e">
        <f t="shared" si="7"/>
        <v>#DIV/0!</v>
      </c>
      <c r="BI32" s="66">
        <f t="shared" si="8"/>
        <v>0</v>
      </c>
      <c r="BJ32" s="66">
        <f>IF($AD32="N","N",SUM('調查資料(OUT)'!M38:M41))</f>
        <v>0</v>
      </c>
      <c r="BK32" s="66">
        <f>IF($AD32="N","N",SUM('調查資料(OUT)'!P38:P41))</f>
        <v>0</v>
      </c>
      <c r="BL32" s="66">
        <f>IF($AD32="N","N",SUM('調查資料(OUT)'!T38:T41))</f>
        <v>0</v>
      </c>
      <c r="BM32" s="383" t="e">
        <f t="shared" si="9"/>
        <v>#DIV/0!</v>
      </c>
      <c r="BN32" s="66">
        <f t="shared" si="10"/>
        <v>0</v>
      </c>
      <c r="BO32" s="66">
        <f>IF($AD32="N","N",SUM('調查資料(OUT)'!N38:N41))</f>
        <v>0</v>
      </c>
      <c r="BP32" s="66">
        <f>IF($AD32="N","N",SUM('調查資料(OUT)'!Q38:Q41))</f>
        <v>0</v>
      </c>
      <c r="BQ32" s="66">
        <f>IF($AD32="N","N",SUM('調查資料(OUT)'!U38:U41))</f>
        <v>0</v>
      </c>
      <c r="BR32" s="383" t="e">
        <f t="shared" si="11"/>
        <v>#DIV/0!</v>
      </c>
      <c r="BS32" s="66">
        <f t="shared" si="45"/>
        <v>0</v>
      </c>
      <c r="BT32" s="383" t="e">
        <f t="shared" si="46"/>
        <v>#DIV/0!</v>
      </c>
      <c r="BU32" s="66">
        <f t="shared" si="47"/>
        <v>0</v>
      </c>
      <c r="BV32" s="383" t="e">
        <f t="shared" si="48"/>
        <v>#DIV/0!</v>
      </c>
      <c r="BW32" s="66">
        <f t="shared" si="49"/>
        <v>0</v>
      </c>
      <c r="BX32" s="383" t="e">
        <f t="shared" si="50"/>
        <v>#DIV/0!</v>
      </c>
      <c r="BY32" s="316">
        <f t="shared" si="51"/>
        <v>0</v>
      </c>
      <c r="BZ32" s="309">
        <f t="shared" si="12"/>
        <v>0</v>
      </c>
      <c r="CA32" s="66">
        <f>IF($AD32="N","N",SUM('調查資料(OUT)'!V38:V41))</f>
        <v>0</v>
      </c>
      <c r="CB32" s="66">
        <f>IF($AD32="N","N",SUM('調查資料(OUT)'!Y38:Y41))</f>
        <v>0</v>
      </c>
      <c r="CC32" s="66">
        <f>IF($AD32="N","N",SUM('調查資料(OUT)'!AC38:AC41))</f>
        <v>0</v>
      </c>
      <c r="CD32" s="66">
        <f>IF($AD32="N","N",SUM('調查資料(OUT)'!AB38:AB41))</f>
        <v>0</v>
      </c>
      <c r="CE32" s="383" t="e">
        <f t="shared" si="13"/>
        <v>#DIV/0!</v>
      </c>
      <c r="CF32" s="66">
        <f t="shared" si="14"/>
        <v>0</v>
      </c>
      <c r="CG32" s="66">
        <f>IF($AD32="N","N",SUM('調查資料(OUT)'!W38:W41))</f>
        <v>0</v>
      </c>
      <c r="CH32" s="66">
        <f>IF($AD32="N","N",SUM('調查資料(OUT)'!Z38:Z41))</f>
        <v>0</v>
      </c>
      <c r="CI32" s="66">
        <f>IF($AD32="N","N",SUM('調查資料(OUT)'!AD38:AD41))</f>
        <v>0</v>
      </c>
      <c r="CJ32" s="383" t="e">
        <f t="shared" si="15"/>
        <v>#DIV/0!</v>
      </c>
      <c r="CK32" s="66">
        <f t="shared" si="16"/>
        <v>0</v>
      </c>
      <c r="CL32" s="66">
        <f>IF($AD32="N","N",SUM('調查資料(OUT)'!X38:X41))</f>
        <v>0</v>
      </c>
      <c r="CM32" s="66">
        <f>IF($AD32="N","N",SUM('調查資料(OUT)'!AA38:AA41))</f>
        <v>0</v>
      </c>
      <c r="CN32" s="66">
        <f>IF($AD32="N","N",SUM('調查資料(OUT)'!AE38:AE41))</f>
        <v>0</v>
      </c>
      <c r="CO32" s="383" t="e">
        <f t="shared" si="17"/>
        <v>#DIV/0!</v>
      </c>
      <c r="CP32" s="66">
        <f t="shared" si="52"/>
        <v>0</v>
      </c>
      <c r="CQ32" s="383" t="e">
        <f t="shared" si="53"/>
        <v>#DIV/0!</v>
      </c>
      <c r="CR32" s="66">
        <f t="shared" si="54"/>
        <v>0</v>
      </c>
      <c r="CS32" s="383" t="e">
        <f t="shared" si="55"/>
        <v>#DIV/0!</v>
      </c>
      <c r="CT32" s="66">
        <f t="shared" si="56"/>
        <v>0</v>
      </c>
      <c r="CU32" s="383" t="e">
        <f t="shared" si="57"/>
        <v>#DIV/0!</v>
      </c>
      <c r="CV32" s="316">
        <f t="shared" si="58"/>
        <v>0</v>
      </c>
      <c r="CW32" s="309">
        <f t="shared" si="18"/>
        <v>0</v>
      </c>
      <c r="CX32" s="66">
        <f>IF($AD32="N","N",SUM('調查資料(OUT)'!AF38:AF41))</f>
        <v>0</v>
      </c>
      <c r="CY32" s="66">
        <f>IF($AD32="N","N",SUM('調查資料(OUT)'!AI38:AI41))</f>
        <v>0</v>
      </c>
      <c r="CZ32" s="66">
        <f>IF($AD32="N","N",SUM('調查資料(OUT)'!AM38:AM41))</f>
        <v>0</v>
      </c>
      <c r="DA32" s="66">
        <f>IF($AD32="N","N",SUM('調查資料(OUT)'!AL38:AL41))</f>
        <v>0</v>
      </c>
      <c r="DB32" s="383" t="e">
        <f t="shared" si="19"/>
        <v>#DIV/0!</v>
      </c>
      <c r="DC32" s="66">
        <f t="shared" si="20"/>
        <v>0</v>
      </c>
      <c r="DD32" s="66">
        <f>IF($AD32="N","N",SUM('調查資料(OUT)'!AG38:AG41))</f>
        <v>0</v>
      </c>
      <c r="DE32" s="66">
        <f>IF($AD32="N","N",SUM('調查資料(OUT)'!AJ38:AJ41))</f>
        <v>0</v>
      </c>
      <c r="DF32" s="66">
        <f>IF($AD32="N","N",SUM('調查資料(OUT)'!AN38:AN41))</f>
        <v>0</v>
      </c>
      <c r="DG32" s="383" t="e">
        <f t="shared" si="21"/>
        <v>#DIV/0!</v>
      </c>
      <c r="DH32" s="66">
        <f t="shared" si="22"/>
        <v>0</v>
      </c>
      <c r="DI32" s="66">
        <f>IF($AD32="N","N",SUM('調查資料(OUT)'!AH38:AH41))</f>
        <v>0</v>
      </c>
      <c r="DJ32" s="66">
        <f>IF($AD32="N","N",SUM('調查資料(OUT)'!AK38:AK41))</f>
        <v>0</v>
      </c>
      <c r="DK32" s="66">
        <f>IF($AD32="N","N",SUM('調查資料(OUT)'!AO38:AO41))</f>
        <v>0</v>
      </c>
      <c r="DL32" s="383" t="e">
        <f t="shared" si="23"/>
        <v>#DIV/0!</v>
      </c>
      <c r="DM32" s="66">
        <f t="shared" si="59"/>
        <v>0</v>
      </c>
      <c r="DN32" s="383" t="e">
        <f t="shared" si="60"/>
        <v>#DIV/0!</v>
      </c>
      <c r="DO32" s="66">
        <f t="shared" si="61"/>
        <v>0</v>
      </c>
      <c r="DP32" s="383" t="e">
        <f t="shared" si="62"/>
        <v>#DIV/0!</v>
      </c>
      <c r="DQ32" s="66">
        <f t="shared" si="63"/>
        <v>0</v>
      </c>
      <c r="DR32" s="383" t="e">
        <f t="shared" si="64"/>
        <v>#DIV/0!</v>
      </c>
      <c r="DS32" s="316">
        <f t="shared" si="65"/>
        <v>0</v>
      </c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  <c r="FL32" s="67"/>
      <c r="FM32" s="67"/>
      <c r="FN32" s="67"/>
    </row>
    <row r="33" spans="1:170">
      <c r="A33" s="118">
        <f>'調查資料(OUT)'!A39</f>
        <v>700</v>
      </c>
      <c r="B33" s="309">
        <f t="shared" si="70"/>
        <v>0</v>
      </c>
      <c r="C33" s="66">
        <f>IFERROR('調查資料(OUT)'!B$1*'調查資料(OUT)'!B39,0)+IFERROR('調查資料(OUT)'!E$1*'調查資料(OUT)'!E39,0)+IFERROR('調查資料(OUT)'!H$1*'調查資料(OUT)'!H39,0)+IFERROR('調查資料(OUT)'!I$1*'調查資料(OUT)'!I39,0)</f>
        <v>0</v>
      </c>
      <c r="D33" s="66">
        <f>IFERROR('調查資料(OUT)'!C$1*'調查資料(OUT)'!C39,0)+IFERROR('調查資料(OUT)'!F$1*'調查資料(OUT)'!F39,0)+IFERROR('調查資料(OUT)'!J$1*'調查資料(OUT)'!J39,0)</f>
        <v>0</v>
      </c>
      <c r="E33" s="316">
        <f>IFERROR('調查資料(OUT)'!D$1*'調查資料(OUT)'!D39,0)+IFERROR('調查資料(OUT)'!G$1*'調查資料(OUT)'!G39,0)+IFERROR('調查資料(OUT)'!K$1*'調查資料(OUT)'!K39,0)</f>
        <v>0</v>
      </c>
      <c r="F33" s="309">
        <f t="shared" si="71"/>
        <v>0</v>
      </c>
      <c r="G33" s="66">
        <f>IFERROR('調查資料(OUT)'!L$1*'調查資料(OUT)'!L39,0)+IFERROR('調查資料(OUT)'!O$1*'調查資料(OUT)'!O39,0)+IFERROR('調查資料(OUT)'!R$1*'調查資料(OUT)'!R39,0)+IFERROR('調查資料(OUT)'!S$1*'調查資料(OUT)'!S39,0)</f>
        <v>0</v>
      </c>
      <c r="H33" s="66">
        <f>IFERROR('調查資料(OUT)'!M$1*'調查資料(OUT)'!M39,0)+IFERROR('調查資料(OUT)'!P$1*'調查資料(OUT)'!P39,0)+IFERROR('調查資料(OUT)'!T$1*'調查資料(OUT)'!T39,0)</f>
        <v>0</v>
      </c>
      <c r="I33" s="316">
        <f>IFERROR('調查資料(OUT)'!N$1*'調查資料(OUT)'!N39,0)+IFERROR('調查資料(OUT)'!Q$1*'調查資料(OUT)'!Q39,0)+IFERROR('調查資料(OUT)'!U$1*'調查資料(OUT)'!U39,0)</f>
        <v>0</v>
      </c>
      <c r="J33" s="309">
        <f t="shared" si="24"/>
        <v>0</v>
      </c>
      <c r="K33" s="66">
        <f>IFERROR('調查資料(OUT)'!V$1*'調查資料(OUT)'!V39,0)+IFERROR('調查資料(OUT)'!Y$1*'調查資料(OUT)'!Y39,0)+IFERROR('調查資料(OUT)'!AB$1*'調查資料(OUT)'!AB39,0)+IFERROR('調查資料(OUT)'!AC$1*'調查資料(OUT)'!AC39,0)</f>
        <v>0</v>
      </c>
      <c r="L33" s="66">
        <f>IFERROR('調查資料(OUT)'!W$1*'調查資料(OUT)'!W39,0)+IFERROR('調查資料(OUT)'!Z$1*'調查資料(OUT)'!Z39,0)+IFERROR('調查資料(OUT)'!AD$1*'調查資料(OUT)'!AD39,0)</f>
        <v>0</v>
      </c>
      <c r="M33" s="316">
        <f>IFERROR('調查資料(OUT)'!X$1*'調查資料(OUT)'!X39,0)+IFERROR('調查資料(OUT)'!AA$1*'調查資料(OUT)'!AA39,0)+IFERROR('調查資料(OUT)'!AE$1*'調查資料(OUT)'!AE39,0)</f>
        <v>0</v>
      </c>
      <c r="N33" s="309">
        <f t="shared" si="25"/>
        <v>0</v>
      </c>
      <c r="O33" s="66">
        <f>IFERROR('調查資料(OUT)'!AF$1*'調查資料(OUT)'!AF39,0)+IFERROR('調查資料(OUT)'!AI$1*'調查資料(OUT)'!AI39,0)+IFERROR('調查資料(OUT)'!AL$1*'調查資料(OUT)'!AL39,0)+IFERROR('調查資料(OUT)'!AM$1*'調查資料(OUT)'!AM39,0)</f>
        <v>0</v>
      </c>
      <c r="P33" s="66">
        <f>IFERROR('調查資料(OUT)'!AG$1*'調查資料(OUT)'!AG39,0)+IFERROR('調查資料(OUT)'!AJ$1*'調查資料(OUT)'!AJ39,0)+IFERROR('調查資料(OUT)'!AN$1*'調查資料(OUT)'!AN39,0)</f>
        <v>0</v>
      </c>
      <c r="Q33" s="316">
        <f>IFERROR('調查資料(OUT)'!AH$1*'調查資料(OUT)'!AH39,0)+IFERROR('調查資料(OUT)'!AK$1*'調查資料(OUT)'!AK39,0)+IFERROR('調查資料(OUT)'!AO$1*'調查資料(OUT)'!AO39,0)</f>
        <v>0</v>
      </c>
      <c r="R33" s="133">
        <f t="shared" si="72"/>
        <v>0</v>
      </c>
      <c r="S33" s="131"/>
      <c r="T33" s="366">
        <f>'調查資料(OUT)'!A39</f>
        <v>700</v>
      </c>
      <c r="U33" s="101">
        <f t="shared" si="73"/>
        <v>800</v>
      </c>
      <c r="V33" s="66">
        <f t="shared" si="74"/>
        <v>0</v>
      </c>
      <c r="W33" s="381"/>
      <c r="X33" s="66">
        <f t="shared" si="75"/>
        <v>0</v>
      </c>
      <c r="Y33" s="379" t="e">
        <f t="shared" si="26"/>
        <v>#DIV/0!</v>
      </c>
      <c r="Z33" s="379" t="e">
        <f t="shared" si="27"/>
        <v>#DIV/0!</v>
      </c>
      <c r="AA33" s="379" t="e">
        <f t="shared" si="28"/>
        <v>#DIV/0!</v>
      </c>
      <c r="AB33" s="379" t="e">
        <f t="shared" si="29"/>
        <v>#DIV/0!</v>
      </c>
      <c r="AC33" s="382"/>
      <c r="AD33" s="66">
        <f t="shared" si="30"/>
        <v>700</v>
      </c>
      <c r="AE33" s="316">
        <f t="shared" si="31"/>
        <v>800</v>
      </c>
      <c r="AF33" s="309">
        <f t="shared" si="69"/>
        <v>0</v>
      </c>
      <c r="AG33" s="66">
        <f>IF($AD33="N","N",SUM('調查資料(OUT)'!B39:B42))</f>
        <v>0</v>
      </c>
      <c r="AH33" s="66">
        <f>IF($AD33="N","N",SUM('調查資料(OUT)'!E39:E42))</f>
        <v>0</v>
      </c>
      <c r="AI33" s="66">
        <f>IF($AD33="N","N",SUM('調查資料(OUT)'!I39:I42))</f>
        <v>0</v>
      </c>
      <c r="AJ33" s="66">
        <f>IF($AD33="N","N",SUM('調查資料(OUT)'!H39:H42))</f>
        <v>0</v>
      </c>
      <c r="AK33" s="383" t="e">
        <f t="shared" si="33"/>
        <v>#DIV/0!</v>
      </c>
      <c r="AL33" s="66">
        <f t="shared" si="34"/>
        <v>0</v>
      </c>
      <c r="AM33" s="66">
        <f>IF($AD33="N","N",SUM('調查資料(OUT)'!C39:C42))</f>
        <v>0</v>
      </c>
      <c r="AN33" s="66">
        <f>IF($AD33="N","N",SUM('調查資料(OUT)'!F39:F42))</f>
        <v>0</v>
      </c>
      <c r="AO33" s="66">
        <f>IF($AD33="N","N",SUM('調查資料(OUT)'!J39:J42))</f>
        <v>0</v>
      </c>
      <c r="AP33" s="383" t="e">
        <f t="shared" si="35"/>
        <v>#DIV/0!</v>
      </c>
      <c r="AQ33" s="66">
        <f t="shared" si="36"/>
        <v>0</v>
      </c>
      <c r="AR33" s="66">
        <f>IF($AD33="N","N",SUM('調查資料(OUT)'!D39:D42))</f>
        <v>0</v>
      </c>
      <c r="AS33" s="66">
        <f>IF($AD33="N","N",SUM('調查資料(OUT)'!G39:G42))</f>
        <v>0</v>
      </c>
      <c r="AT33" s="66">
        <f>IF($AD33="N","N",SUM('調查資料(OUT)'!K39:K42))</f>
        <v>0</v>
      </c>
      <c r="AU33" s="383" t="e">
        <f t="shared" si="37"/>
        <v>#DIV/0!</v>
      </c>
      <c r="AV33" s="66">
        <f t="shared" si="38"/>
        <v>0</v>
      </c>
      <c r="AW33" s="383" t="e">
        <f t="shared" si="39"/>
        <v>#DIV/0!</v>
      </c>
      <c r="AX33" s="66">
        <f t="shared" si="40"/>
        <v>0</v>
      </c>
      <c r="AY33" s="383" t="e">
        <f t="shared" si="41"/>
        <v>#DIV/0!</v>
      </c>
      <c r="AZ33" s="66">
        <f t="shared" si="42"/>
        <v>0</v>
      </c>
      <c r="BA33" s="383" t="e">
        <f t="shared" si="43"/>
        <v>#DIV/0!</v>
      </c>
      <c r="BB33" s="316">
        <f t="shared" si="44"/>
        <v>0</v>
      </c>
      <c r="BC33" s="309">
        <f t="shared" si="6"/>
        <v>0</v>
      </c>
      <c r="BD33" s="66">
        <f>IF($AD33="N","N",SUM('調查資料(OUT)'!L39:L42))</f>
        <v>0</v>
      </c>
      <c r="BE33" s="66">
        <f>IF($AD33="N","N",SUM('調查資料(OUT)'!O39:O42))</f>
        <v>0</v>
      </c>
      <c r="BF33" s="66">
        <f>IF($AD33="N","N",SUM('調查資料(OUT)'!S39:S42))</f>
        <v>0</v>
      </c>
      <c r="BG33" s="66">
        <f>IF($AD33="N","N",SUM('調查資料(OUT)'!R39:R42))</f>
        <v>0</v>
      </c>
      <c r="BH33" s="383" t="e">
        <f t="shared" si="7"/>
        <v>#DIV/0!</v>
      </c>
      <c r="BI33" s="66">
        <f t="shared" si="8"/>
        <v>0</v>
      </c>
      <c r="BJ33" s="66">
        <f>IF($AD33="N","N",SUM('調查資料(OUT)'!M39:M42))</f>
        <v>0</v>
      </c>
      <c r="BK33" s="66">
        <f>IF($AD33="N","N",SUM('調查資料(OUT)'!P39:P42))</f>
        <v>0</v>
      </c>
      <c r="BL33" s="66">
        <f>IF($AD33="N","N",SUM('調查資料(OUT)'!T39:T42))</f>
        <v>0</v>
      </c>
      <c r="BM33" s="383" t="e">
        <f t="shared" si="9"/>
        <v>#DIV/0!</v>
      </c>
      <c r="BN33" s="66">
        <f t="shared" si="10"/>
        <v>0</v>
      </c>
      <c r="BO33" s="66">
        <f>IF($AD33="N","N",SUM('調查資料(OUT)'!N39:N42))</f>
        <v>0</v>
      </c>
      <c r="BP33" s="66">
        <f>IF($AD33="N","N",SUM('調查資料(OUT)'!Q39:Q42))</f>
        <v>0</v>
      </c>
      <c r="BQ33" s="66">
        <f>IF($AD33="N","N",SUM('調查資料(OUT)'!U39:U42))</f>
        <v>0</v>
      </c>
      <c r="BR33" s="383" t="e">
        <f t="shared" si="11"/>
        <v>#DIV/0!</v>
      </c>
      <c r="BS33" s="66">
        <f t="shared" si="45"/>
        <v>0</v>
      </c>
      <c r="BT33" s="383" t="e">
        <f t="shared" si="46"/>
        <v>#DIV/0!</v>
      </c>
      <c r="BU33" s="66">
        <f t="shared" si="47"/>
        <v>0</v>
      </c>
      <c r="BV33" s="383" t="e">
        <f t="shared" si="48"/>
        <v>#DIV/0!</v>
      </c>
      <c r="BW33" s="66">
        <f t="shared" si="49"/>
        <v>0</v>
      </c>
      <c r="BX33" s="383" t="e">
        <f t="shared" si="50"/>
        <v>#DIV/0!</v>
      </c>
      <c r="BY33" s="316">
        <f t="shared" si="51"/>
        <v>0</v>
      </c>
      <c r="BZ33" s="309">
        <f t="shared" si="12"/>
        <v>0</v>
      </c>
      <c r="CA33" s="66">
        <f>IF($AD33="N","N",SUM('調查資料(OUT)'!V39:V42))</f>
        <v>0</v>
      </c>
      <c r="CB33" s="66">
        <f>IF($AD33="N","N",SUM('調查資料(OUT)'!Y39:Y42))</f>
        <v>0</v>
      </c>
      <c r="CC33" s="66">
        <f>IF($AD33="N","N",SUM('調查資料(OUT)'!AC39:AC42))</f>
        <v>0</v>
      </c>
      <c r="CD33" s="66">
        <f>IF($AD33="N","N",SUM('調查資料(OUT)'!AB39:AB42))</f>
        <v>0</v>
      </c>
      <c r="CE33" s="383" t="e">
        <f t="shared" si="13"/>
        <v>#DIV/0!</v>
      </c>
      <c r="CF33" s="66">
        <f t="shared" si="14"/>
        <v>0</v>
      </c>
      <c r="CG33" s="66">
        <f>IF($AD33="N","N",SUM('調查資料(OUT)'!W39:W42))</f>
        <v>0</v>
      </c>
      <c r="CH33" s="66">
        <f>IF($AD33="N","N",SUM('調查資料(OUT)'!Z39:Z42))</f>
        <v>0</v>
      </c>
      <c r="CI33" s="66">
        <f>IF($AD33="N","N",SUM('調查資料(OUT)'!AD39:AD42))</f>
        <v>0</v>
      </c>
      <c r="CJ33" s="383" t="e">
        <f t="shared" si="15"/>
        <v>#DIV/0!</v>
      </c>
      <c r="CK33" s="66">
        <f t="shared" si="16"/>
        <v>0</v>
      </c>
      <c r="CL33" s="66">
        <f>IF($AD33="N","N",SUM('調查資料(OUT)'!X39:X42))</f>
        <v>0</v>
      </c>
      <c r="CM33" s="66">
        <f>IF($AD33="N","N",SUM('調查資料(OUT)'!AA39:AA42))</f>
        <v>0</v>
      </c>
      <c r="CN33" s="66">
        <f>IF($AD33="N","N",SUM('調查資料(OUT)'!AE39:AE42))</f>
        <v>0</v>
      </c>
      <c r="CO33" s="383" t="e">
        <f t="shared" si="17"/>
        <v>#DIV/0!</v>
      </c>
      <c r="CP33" s="66">
        <f t="shared" si="52"/>
        <v>0</v>
      </c>
      <c r="CQ33" s="383" t="e">
        <f t="shared" si="53"/>
        <v>#DIV/0!</v>
      </c>
      <c r="CR33" s="66">
        <f t="shared" si="54"/>
        <v>0</v>
      </c>
      <c r="CS33" s="383" t="e">
        <f t="shared" si="55"/>
        <v>#DIV/0!</v>
      </c>
      <c r="CT33" s="66">
        <f t="shared" si="56"/>
        <v>0</v>
      </c>
      <c r="CU33" s="383" t="e">
        <f t="shared" si="57"/>
        <v>#DIV/0!</v>
      </c>
      <c r="CV33" s="316">
        <f t="shared" si="58"/>
        <v>0</v>
      </c>
      <c r="CW33" s="309">
        <f t="shared" si="18"/>
        <v>0</v>
      </c>
      <c r="CX33" s="66">
        <f>IF($AD33="N","N",SUM('調查資料(OUT)'!AF39:AF42))</f>
        <v>0</v>
      </c>
      <c r="CY33" s="66">
        <f>IF($AD33="N","N",SUM('調查資料(OUT)'!AI39:AI42))</f>
        <v>0</v>
      </c>
      <c r="CZ33" s="66">
        <f>IF($AD33="N","N",SUM('調查資料(OUT)'!AM39:AM42))</f>
        <v>0</v>
      </c>
      <c r="DA33" s="66">
        <f>IF($AD33="N","N",SUM('調查資料(OUT)'!AL39:AL42))</f>
        <v>0</v>
      </c>
      <c r="DB33" s="383" t="e">
        <f t="shared" si="19"/>
        <v>#DIV/0!</v>
      </c>
      <c r="DC33" s="66">
        <f t="shared" si="20"/>
        <v>0</v>
      </c>
      <c r="DD33" s="66">
        <f>IF($AD33="N","N",SUM('調查資料(OUT)'!AG39:AG42))</f>
        <v>0</v>
      </c>
      <c r="DE33" s="66">
        <f>IF($AD33="N","N",SUM('調查資料(OUT)'!AJ39:AJ42))</f>
        <v>0</v>
      </c>
      <c r="DF33" s="66">
        <f>IF($AD33="N","N",SUM('調查資料(OUT)'!AN39:AN42))</f>
        <v>0</v>
      </c>
      <c r="DG33" s="383" t="e">
        <f t="shared" si="21"/>
        <v>#DIV/0!</v>
      </c>
      <c r="DH33" s="66">
        <f t="shared" si="22"/>
        <v>0</v>
      </c>
      <c r="DI33" s="66">
        <f>IF($AD33="N","N",SUM('調查資料(OUT)'!AH39:AH42))</f>
        <v>0</v>
      </c>
      <c r="DJ33" s="66">
        <f>IF($AD33="N","N",SUM('調查資料(OUT)'!AK39:AK42))</f>
        <v>0</v>
      </c>
      <c r="DK33" s="66">
        <f>IF($AD33="N","N",SUM('調查資料(OUT)'!AO39:AO42))</f>
        <v>0</v>
      </c>
      <c r="DL33" s="383" t="e">
        <f t="shared" si="23"/>
        <v>#DIV/0!</v>
      </c>
      <c r="DM33" s="66">
        <f t="shared" si="59"/>
        <v>0</v>
      </c>
      <c r="DN33" s="383" t="e">
        <f t="shared" si="60"/>
        <v>#DIV/0!</v>
      </c>
      <c r="DO33" s="66">
        <f t="shared" si="61"/>
        <v>0</v>
      </c>
      <c r="DP33" s="383" t="e">
        <f t="shared" si="62"/>
        <v>#DIV/0!</v>
      </c>
      <c r="DQ33" s="66">
        <f t="shared" si="63"/>
        <v>0</v>
      </c>
      <c r="DR33" s="383" t="e">
        <f t="shared" si="64"/>
        <v>#DIV/0!</v>
      </c>
      <c r="DS33" s="316">
        <f t="shared" si="65"/>
        <v>0</v>
      </c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  <c r="FK33" s="67"/>
      <c r="FL33" s="67"/>
      <c r="FM33" s="67"/>
      <c r="FN33" s="67"/>
    </row>
    <row r="34" spans="1:170">
      <c r="A34" s="118">
        <f>'調查資料(OUT)'!A40</f>
        <v>715</v>
      </c>
      <c r="B34" s="309">
        <f t="shared" si="70"/>
        <v>0</v>
      </c>
      <c r="C34" s="66">
        <f>IFERROR('調查資料(OUT)'!B$1*'調查資料(OUT)'!B40,0)+IFERROR('調查資料(OUT)'!E$1*'調查資料(OUT)'!E40,0)+IFERROR('調查資料(OUT)'!H$1*'調查資料(OUT)'!H40,0)+IFERROR('調查資料(OUT)'!I$1*'調查資料(OUT)'!I40,0)</f>
        <v>0</v>
      </c>
      <c r="D34" s="66">
        <f>IFERROR('調查資料(OUT)'!C$1*'調查資料(OUT)'!C40,0)+IFERROR('調查資料(OUT)'!F$1*'調查資料(OUT)'!F40,0)+IFERROR('調查資料(OUT)'!J$1*'調查資料(OUT)'!J40,0)</f>
        <v>0</v>
      </c>
      <c r="E34" s="316">
        <f>IFERROR('調查資料(OUT)'!D$1*'調查資料(OUT)'!D40,0)+IFERROR('調查資料(OUT)'!G$1*'調查資料(OUT)'!G40,0)+IFERROR('調查資料(OUT)'!K$1*'調查資料(OUT)'!K40,0)</f>
        <v>0</v>
      </c>
      <c r="F34" s="309">
        <f t="shared" si="71"/>
        <v>0</v>
      </c>
      <c r="G34" s="66">
        <f>IFERROR('調查資料(OUT)'!L$1*'調查資料(OUT)'!L40,0)+IFERROR('調查資料(OUT)'!O$1*'調查資料(OUT)'!O40,0)+IFERROR('調查資料(OUT)'!R$1*'調查資料(OUT)'!R40,0)+IFERROR('調查資料(OUT)'!S$1*'調查資料(OUT)'!S40,0)</f>
        <v>0</v>
      </c>
      <c r="H34" s="66">
        <f>IFERROR('調查資料(OUT)'!M$1*'調查資料(OUT)'!M40,0)+IFERROR('調查資料(OUT)'!P$1*'調查資料(OUT)'!P40,0)+IFERROR('調查資料(OUT)'!T$1*'調查資料(OUT)'!T40,0)</f>
        <v>0</v>
      </c>
      <c r="I34" s="316">
        <f>IFERROR('調查資料(OUT)'!N$1*'調查資料(OUT)'!N40,0)+IFERROR('調查資料(OUT)'!Q$1*'調查資料(OUT)'!Q40,0)+IFERROR('調查資料(OUT)'!U$1*'調查資料(OUT)'!U40,0)</f>
        <v>0</v>
      </c>
      <c r="J34" s="309">
        <f t="shared" si="24"/>
        <v>0</v>
      </c>
      <c r="K34" s="66">
        <f>IFERROR('調查資料(OUT)'!V$1*'調查資料(OUT)'!V40,0)+IFERROR('調查資料(OUT)'!Y$1*'調查資料(OUT)'!Y40,0)+IFERROR('調查資料(OUT)'!AB$1*'調查資料(OUT)'!AB40,0)+IFERROR('調查資料(OUT)'!AC$1*'調查資料(OUT)'!AC40,0)</f>
        <v>0</v>
      </c>
      <c r="L34" s="66">
        <f>IFERROR('調查資料(OUT)'!W$1*'調查資料(OUT)'!W40,0)+IFERROR('調查資料(OUT)'!Z$1*'調查資料(OUT)'!Z40,0)+IFERROR('調查資料(OUT)'!AD$1*'調查資料(OUT)'!AD40,0)</f>
        <v>0</v>
      </c>
      <c r="M34" s="316">
        <f>IFERROR('調查資料(OUT)'!X$1*'調查資料(OUT)'!X40,0)+IFERROR('調查資料(OUT)'!AA$1*'調查資料(OUT)'!AA40,0)+IFERROR('調查資料(OUT)'!AE$1*'調查資料(OUT)'!AE40,0)</f>
        <v>0</v>
      </c>
      <c r="N34" s="309">
        <f t="shared" si="25"/>
        <v>0</v>
      </c>
      <c r="O34" s="66">
        <f>IFERROR('調查資料(OUT)'!AF$1*'調查資料(OUT)'!AF40,0)+IFERROR('調查資料(OUT)'!AI$1*'調查資料(OUT)'!AI40,0)+IFERROR('調查資料(OUT)'!AL$1*'調查資料(OUT)'!AL40,0)+IFERROR('調查資料(OUT)'!AM$1*'調查資料(OUT)'!AM40,0)</f>
        <v>0</v>
      </c>
      <c r="P34" s="66">
        <f>IFERROR('調查資料(OUT)'!AG$1*'調查資料(OUT)'!AG40,0)+IFERROR('調查資料(OUT)'!AJ$1*'調查資料(OUT)'!AJ40,0)+IFERROR('調查資料(OUT)'!AN$1*'調查資料(OUT)'!AN40,0)</f>
        <v>0</v>
      </c>
      <c r="Q34" s="316">
        <f>IFERROR('調查資料(OUT)'!AH$1*'調查資料(OUT)'!AH40,0)+IFERROR('調查資料(OUT)'!AK$1*'調查資料(OUT)'!AK40,0)+IFERROR('調查資料(OUT)'!AO$1*'調查資料(OUT)'!AO40,0)</f>
        <v>0</v>
      </c>
      <c r="R34" s="133">
        <f t="shared" si="72"/>
        <v>0</v>
      </c>
      <c r="S34" s="131"/>
      <c r="T34" s="366">
        <f>'調查資料(OUT)'!A40</f>
        <v>715</v>
      </c>
      <c r="U34" s="101">
        <f t="shared" si="73"/>
        <v>815</v>
      </c>
      <c r="V34" s="66">
        <f t="shared" si="74"/>
        <v>0</v>
      </c>
      <c r="W34" s="381"/>
      <c r="X34" s="66">
        <f t="shared" si="75"/>
        <v>0</v>
      </c>
      <c r="Y34" s="379" t="e">
        <f t="shared" si="26"/>
        <v>#DIV/0!</v>
      </c>
      <c r="Z34" s="379" t="e">
        <f t="shared" si="27"/>
        <v>#DIV/0!</v>
      </c>
      <c r="AA34" s="379" t="e">
        <f t="shared" si="28"/>
        <v>#DIV/0!</v>
      </c>
      <c r="AB34" s="379" t="e">
        <f t="shared" si="29"/>
        <v>#DIV/0!</v>
      </c>
      <c r="AC34" s="382"/>
      <c r="AD34" s="66">
        <f t="shared" si="30"/>
        <v>715</v>
      </c>
      <c r="AE34" s="316">
        <f t="shared" si="31"/>
        <v>815</v>
      </c>
      <c r="AF34" s="309">
        <f t="shared" ref="AF34:AF44" si="76">IF($AD34="N","N",SUM(C34:C37))</f>
        <v>0</v>
      </c>
      <c r="AG34" s="66">
        <f>IF($AD34="N","N",SUM('調查資料(OUT)'!B40:B43))</f>
        <v>0</v>
      </c>
      <c r="AH34" s="66">
        <f>IF($AD34="N","N",SUM('調查資料(OUT)'!E40:E43))</f>
        <v>0</v>
      </c>
      <c r="AI34" s="66">
        <f>IF($AD34="N","N",SUM('調查資料(OUT)'!I40:I43))</f>
        <v>0</v>
      </c>
      <c r="AJ34" s="66">
        <f>IF($AD34="N","N",SUM('調查資料(OUT)'!H40:H43))</f>
        <v>0</v>
      </c>
      <c r="AK34" s="383" t="e">
        <f t="shared" si="33"/>
        <v>#DIV/0!</v>
      </c>
      <c r="AL34" s="66">
        <f t="shared" si="34"/>
        <v>0</v>
      </c>
      <c r="AM34" s="66">
        <f>IF($AD34="N","N",SUM('調查資料(OUT)'!C40:C43))</f>
        <v>0</v>
      </c>
      <c r="AN34" s="66">
        <f>IF($AD34="N","N",SUM('調查資料(OUT)'!F40:F43))</f>
        <v>0</v>
      </c>
      <c r="AO34" s="66">
        <f>IF($AD34="N","N",SUM('調查資料(OUT)'!J40:J43))</f>
        <v>0</v>
      </c>
      <c r="AP34" s="383" t="e">
        <f t="shared" si="35"/>
        <v>#DIV/0!</v>
      </c>
      <c r="AQ34" s="66">
        <f t="shared" si="36"/>
        <v>0</v>
      </c>
      <c r="AR34" s="66">
        <f>IF($AD34="N","N",SUM('調查資料(OUT)'!D40:D43))</f>
        <v>0</v>
      </c>
      <c r="AS34" s="66">
        <f>IF($AD34="N","N",SUM('調查資料(OUT)'!G40:G43))</f>
        <v>0</v>
      </c>
      <c r="AT34" s="66">
        <f>IF($AD34="N","N",SUM('調查資料(OUT)'!K40:K43))</f>
        <v>0</v>
      </c>
      <c r="AU34" s="383" t="e">
        <f t="shared" si="37"/>
        <v>#DIV/0!</v>
      </c>
      <c r="AV34" s="66">
        <f t="shared" si="38"/>
        <v>0</v>
      </c>
      <c r="AW34" s="383" t="e">
        <f t="shared" si="39"/>
        <v>#DIV/0!</v>
      </c>
      <c r="AX34" s="66">
        <f t="shared" si="40"/>
        <v>0</v>
      </c>
      <c r="AY34" s="383" t="e">
        <f t="shared" si="41"/>
        <v>#DIV/0!</v>
      </c>
      <c r="AZ34" s="66">
        <f t="shared" si="42"/>
        <v>0</v>
      </c>
      <c r="BA34" s="383" t="e">
        <f t="shared" si="43"/>
        <v>#DIV/0!</v>
      </c>
      <c r="BB34" s="316">
        <f t="shared" si="44"/>
        <v>0</v>
      </c>
      <c r="BC34" s="309">
        <f t="shared" si="6"/>
        <v>0</v>
      </c>
      <c r="BD34" s="66">
        <f>IF($AD34="N","N",SUM('調查資料(OUT)'!L40:L43))</f>
        <v>0</v>
      </c>
      <c r="BE34" s="66">
        <f>IF($AD34="N","N",SUM('調查資料(OUT)'!O40:O43))</f>
        <v>0</v>
      </c>
      <c r="BF34" s="66">
        <f>IF($AD34="N","N",SUM('調查資料(OUT)'!S40:S43))</f>
        <v>0</v>
      </c>
      <c r="BG34" s="66">
        <f>IF($AD34="N","N",SUM('調查資料(OUT)'!R40:R43))</f>
        <v>0</v>
      </c>
      <c r="BH34" s="383" t="e">
        <f t="shared" si="7"/>
        <v>#DIV/0!</v>
      </c>
      <c r="BI34" s="66">
        <f t="shared" si="8"/>
        <v>0</v>
      </c>
      <c r="BJ34" s="66">
        <f>IF($AD34="N","N",SUM('調查資料(OUT)'!M40:M43))</f>
        <v>0</v>
      </c>
      <c r="BK34" s="66">
        <f>IF($AD34="N","N",SUM('調查資料(OUT)'!P40:P43))</f>
        <v>0</v>
      </c>
      <c r="BL34" s="66">
        <f>IF($AD34="N","N",SUM('調查資料(OUT)'!T40:T43))</f>
        <v>0</v>
      </c>
      <c r="BM34" s="383" t="e">
        <f t="shared" si="9"/>
        <v>#DIV/0!</v>
      </c>
      <c r="BN34" s="66">
        <f t="shared" si="10"/>
        <v>0</v>
      </c>
      <c r="BO34" s="66">
        <f>IF($AD34="N","N",SUM('調查資料(OUT)'!N40:N43))</f>
        <v>0</v>
      </c>
      <c r="BP34" s="66">
        <f>IF($AD34="N","N",SUM('調查資料(OUT)'!Q40:Q43))</f>
        <v>0</v>
      </c>
      <c r="BQ34" s="66">
        <f>IF($AD34="N","N",SUM('調查資料(OUT)'!U40:U43))</f>
        <v>0</v>
      </c>
      <c r="BR34" s="383" t="e">
        <f t="shared" si="11"/>
        <v>#DIV/0!</v>
      </c>
      <c r="BS34" s="66">
        <f t="shared" si="45"/>
        <v>0</v>
      </c>
      <c r="BT34" s="383" t="e">
        <f t="shared" si="46"/>
        <v>#DIV/0!</v>
      </c>
      <c r="BU34" s="66">
        <f t="shared" si="47"/>
        <v>0</v>
      </c>
      <c r="BV34" s="383" t="e">
        <f t="shared" si="48"/>
        <v>#DIV/0!</v>
      </c>
      <c r="BW34" s="66">
        <f t="shared" si="49"/>
        <v>0</v>
      </c>
      <c r="BX34" s="383" t="e">
        <f t="shared" si="50"/>
        <v>#DIV/0!</v>
      </c>
      <c r="BY34" s="316">
        <f t="shared" si="51"/>
        <v>0</v>
      </c>
      <c r="BZ34" s="309">
        <f t="shared" si="12"/>
        <v>0</v>
      </c>
      <c r="CA34" s="66">
        <f>IF($AD34="N","N",SUM('調查資料(OUT)'!V40:V43))</f>
        <v>0</v>
      </c>
      <c r="CB34" s="66">
        <f>IF($AD34="N","N",SUM('調查資料(OUT)'!Y40:Y43))</f>
        <v>0</v>
      </c>
      <c r="CC34" s="66">
        <f>IF($AD34="N","N",SUM('調查資料(OUT)'!AC40:AC43))</f>
        <v>0</v>
      </c>
      <c r="CD34" s="66">
        <f>IF($AD34="N","N",SUM('調查資料(OUT)'!AB40:AB43))</f>
        <v>0</v>
      </c>
      <c r="CE34" s="383" t="e">
        <f t="shared" si="13"/>
        <v>#DIV/0!</v>
      </c>
      <c r="CF34" s="66">
        <f t="shared" si="14"/>
        <v>0</v>
      </c>
      <c r="CG34" s="66">
        <f>IF($AD34="N","N",SUM('調查資料(OUT)'!W40:W43))</f>
        <v>0</v>
      </c>
      <c r="CH34" s="66">
        <f>IF($AD34="N","N",SUM('調查資料(OUT)'!Z40:Z43))</f>
        <v>0</v>
      </c>
      <c r="CI34" s="66">
        <f>IF($AD34="N","N",SUM('調查資料(OUT)'!AD40:AD43))</f>
        <v>0</v>
      </c>
      <c r="CJ34" s="383" t="e">
        <f t="shared" si="15"/>
        <v>#DIV/0!</v>
      </c>
      <c r="CK34" s="66">
        <f t="shared" si="16"/>
        <v>0</v>
      </c>
      <c r="CL34" s="66">
        <f>IF($AD34="N","N",SUM('調查資料(OUT)'!X40:X43))</f>
        <v>0</v>
      </c>
      <c r="CM34" s="66">
        <f>IF($AD34="N","N",SUM('調查資料(OUT)'!AA40:AA43))</f>
        <v>0</v>
      </c>
      <c r="CN34" s="66">
        <f>IF($AD34="N","N",SUM('調查資料(OUT)'!AE40:AE43))</f>
        <v>0</v>
      </c>
      <c r="CO34" s="383" t="e">
        <f t="shared" si="17"/>
        <v>#DIV/0!</v>
      </c>
      <c r="CP34" s="66">
        <f t="shared" si="52"/>
        <v>0</v>
      </c>
      <c r="CQ34" s="383" t="e">
        <f t="shared" si="53"/>
        <v>#DIV/0!</v>
      </c>
      <c r="CR34" s="66">
        <f t="shared" si="54"/>
        <v>0</v>
      </c>
      <c r="CS34" s="383" t="e">
        <f t="shared" si="55"/>
        <v>#DIV/0!</v>
      </c>
      <c r="CT34" s="66">
        <f t="shared" si="56"/>
        <v>0</v>
      </c>
      <c r="CU34" s="383" t="e">
        <f t="shared" si="57"/>
        <v>#DIV/0!</v>
      </c>
      <c r="CV34" s="316">
        <f t="shared" si="58"/>
        <v>0</v>
      </c>
      <c r="CW34" s="309">
        <f t="shared" si="18"/>
        <v>0</v>
      </c>
      <c r="CX34" s="66">
        <f>IF($AD34="N","N",SUM('調查資料(OUT)'!AF40:AF43))</f>
        <v>0</v>
      </c>
      <c r="CY34" s="66">
        <f>IF($AD34="N","N",SUM('調查資料(OUT)'!AI40:AI43))</f>
        <v>0</v>
      </c>
      <c r="CZ34" s="66">
        <f>IF($AD34="N","N",SUM('調查資料(OUT)'!AM40:AM43))</f>
        <v>0</v>
      </c>
      <c r="DA34" s="66">
        <f>IF($AD34="N","N",SUM('調查資料(OUT)'!AL40:AL43))</f>
        <v>0</v>
      </c>
      <c r="DB34" s="383" t="e">
        <f t="shared" si="19"/>
        <v>#DIV/0!</v>
      </c>
      <c r="DC34" s="66">
        <f t="shared" si="20"/>
        <v>0</v>
      </c>
      <c r="DD34" s="66">
        <f>IF($AD34="N","N",SUM('調查資料(OUT)'!AG40:AG43))</f>
        <v>0</v>
      </c>
      <c r="DE34" s="66">
        <f>IF($AD34="N","N",SUM('調查資料(OUT)'!AJ40:AJ43))</f>
        <v>0</v>
      </c>
      <c r="DF34" s="66">
        <f>IF($AD34="N","N",SUM('調查資料(OUT)'!AN40:AN43))</f>
        <v>0</v>
      </c>
      <c r="DG34" s="383" t="e">
        <f t="shared" si="21"/>
        <v>#DIV/0!</v>
      </c>
      <c r="DH34" s="66">
        <f t="shared" si="22"/>
        <v>0</v>
      </c>
      <c r="DI34" s="66">
        <f>IF($AD34="N","N",SUM('調查資料(OUT)'!AH40:AH43))</f>
        <v>0</v>
      </c>
      <c r="DJ34" s="66">
        <f>IF($AD34="N","N",SUM('調查資料(OUT)'!AK40:AK43))</f>
        <v>0</v>
      </c>
      <c r="DK34" s="66">
        <f>IF($AD34="N","N",SUM('調查資料(OUT)'!AO40:AO43))</f>
        <v>0</v>
      </c>
      <c r="DL34" s="383" t="e">
        <f t="shared" si="23"/>
        <v>#DIV/0!</v>
      </c>
      <c r="DM34" s="66">
        <f t="shared" si="59"/>
        <v>0</v>
      </c>
      <c r="DN34" s="383" t="e">
        <f t="shared" si="60"/>
        <v>#DIV/0!</v>
      </c>
      <c r="DO34" s="66">
        <f t="shared" si="61"/>
        <v>0</v>
      </c>
      <c r="DP34" s="383" t="e">
        <f t="shared" si="62"/>
        <v>#DIV/0!</v>
      </c>
      <c r="DQ34" s="66">
        <f t="shared" si="63"/>
        <v>0</v>
      </c>
      <c r="DR34" s="383" t="e">
        <f t="shared" si="64"/>
        <v>#DIV/0!</v>
      </c>
      <c r="DS34" s="316">
        <f t="shared" si="65"/>
        <v>0</v>
      </c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</row>
    <row r="35" spans="1:170">
      <c r="A35" s="118">
        <f>'調查資料(OUT)'!A41</f>
        <v>730</v>
      </c>
      <c r="B35" s="309">
        <f t="shared" si="70"/>
        <v>0</v>
      </c>
      <c r="C35" s="66">
        <f>IFERROR('調查資料(OUT)'!B$1*'調查資料(OUT)'!B41,0)+IFERROR('調查資料(OUT)'!E$1*'調查資料(OUT)'!E41,0)+IFERROR('調查資料(OUT)'!H$1*'調查資料(OUT)'!H41,0)+IFERROR('調查資料(OUT)'!I$1*'調查資料(OUT)'!I41,0)</f>
        <v>0</v>
      </c>
      <c r="D35" s="66">
        <f>IFERROR('調查資料(OUT)'!C$1*'調查資料(OUT)'!C41,0)+IFERROR('調查資料(OUT)'!F$1*'調查資料(OUT)'!F41,0)+IFERROR('調查資料(OUT)'!J$1*'調查資料(OUT)'!J41,0)</f>
        <v>0</v>
      </c>
      <c r="E35" s="316">
        <f>IFERROR('調查資料(OUT)'!D$1*'調查資料(OUT)'!D41,0)+IFERROR('調查資料(OUT)'!G$1*'調查資料(OUT)'!G41,0)+IFERROR('調查資料(OUT)'!K$1*'調查資料(OUT)'!K41,0)</f>
        <v>0</v>
      </c>
      <c r="F35" s="309">
        <f t="shared" si="71"/>
        <v>0</v>
      </c>
      <c r="G35" s="66">
        <f>IFERROR('調查資料(OUT)'!L$1*'調查資料(OUT)'!L41,0)+IFERROR('調查資料(OUT)'!O$1*'調查資料(OUT)'!O41,0)+IFERROR('調查資料(OUT)'!R$1*'調查資料(OUT)'!R41,0)+IFERROR('調查資料(OUT)'!S$1*'調查資料(OUT)'!S41,0)</f>
        <v>0</v>
      </c>
      <c r="H35" s="66">
        <f>IFERROR('調查資料(OUT)'!M$1*'調查資料(OUT)'!M41,0)+IFERROR('調查資料(OUT)'!P$1*'調查資料(OUT)'!P41,0)+IFERROR('調查資料(OUT)'!T$1*'調查資料(OUT)'!T41,0)</f>
        <v>0</v>
      </c>
      <c r="I35" s="316">
        <f>IFERROR('調查資料(OUT)'!N$1*'調查資料(OUT)'!N41,0)+IFERROR('調查資料(OUT)'!Q$1*'調查資料(OUT)'!Q41,0)+IFERROR('調查資料(OUT)'!U$1*'調查資料(OUT)'!U41,0)</f>
        <v>0</v>
      </c>
      <c r="J35" s="309">
        <f t="shared" si="24"/>
        <v>0</v>
      </c>
      <c r="K35" s="66">
        <f>IFERROR('調查資料(OUT)'!V$1*'調查資料(OUT)'!V41,0)+IFERROR('調查資料(OUT)'!Y$1*'調查資料(OUT)'!Y41,0)+IFERROR('調查資料(OUT)'!AB$1*'調查資料(OUT)'!AB41,0)+IFERROR('調查資料(OUT)'!AC$1*'調查資料(OUT)'!AC41,0)</f>
        <v>0</v>
      </c>
      <c r="L35" s="66">
        <f>IFERROR('調查資料(OUT)'!W$1*'調查資料(OUT)'!W41,0)+IFERROR('調查資料(OUT)'!Z$1*'調查資料(OUT)'!Z41,0)+IFERROR('調查資料(OUT)'!AD$1*'調查資料(OUT)'!AD41,0)</f>
        <v>0</v>
      </c>
      <c r="M35" s="316">
        <f>IFERROR('調查資料(OUT)'!X$1*'調查資料(OUT)'!X41,0)+IFERROR('調查資料(OUT)'!AA$1*'調查資料(OUT)'!AA41,0)+IFERROR('調查資料(OUT)'!AE$1*'調查資料(OUT)'!AE41,0)</f>
        <v>0</v>
      </c>
      <c r="N35" s="309">
        <f t="shared" si="25"/>
        <v>0</v>
      </c>
      <c r="O35" s="66">
        <f>IFERROR('調查資料(OUT)'!AF$1*'調查資料(OUT)'!AF41,0)+IFERROR('調查資料(OUT)'!AI$1*'調查資料(OUT)'!AI41,0)+IFERROR('調查資料(OUT)'!AL$1*'調查資料(OUT)'!AL41,0)+IFERROR('調查資料(OUT)'!AM$1*'調查資料(OUT)'!AM41,0)</f>
        <v>0</v>
      </c>
      <c r="P35" s="66">
        <f>IFERROR('調查資料(OUT)'!AG$1*'調查資料(OUT)'!AG41,0)+IFERROR('調查資料(OUT)'!AJ$1*'調查資料(OUT)'!AJ41,0)+IFERROR('調查資料(OUT)'!AN$1*'調查資料(OUT)'!AN41,0)</f>
        <v>0</v>
      </c>
      <c r="Q35" s="316">
        <f>IFERROR('調查資料(OUT)'!AH$1*'調查資料(OUT)'!AH41,0)+IFERROR('調查資料(OUT)'!AK$1*'調查資料(OUT)'!AK41,0)+IFERROR('調查資料(OUT)'!AO$1*'調查資料(OUT)'!AO41,0)</f>
        <v>0</v>
      </c>
      <c r="R35" s="133">
        <f t="shared" si="72"/>
        <v>0</v>
      </c>
      <c r="S35" s="131"/>
      <c r="T35" s="366">
        <f>'調查資料(OUT)'!A41</f>
        <v>730</v>
      </c>
      <c r="U35" s="101">
        <f t="shared" si="73"/>
        <v>830</v>
      </c>
      <c r="V35" s="66">
        <f t="shared" si="74"/>
        <v>0</v>
      </c>
      <c r="W35" s="381"/>
      <c r="X35" s="66">
        <f t="shared" si="75"/>
        <v>0</v>
      </c>
      <c r="Y35" s="379" t="e">
        <f t="shared" si="26"/>
        <v>#DIV/0!</v>
      </c>
      <c r="Z35" s="379" t="e">
        <f t="shared" si="27"/>
        <v>#DIV/0!</v>
      </c>
      <c r="AA35" s="379" t="e">
        <f t="shared" si="28"/>
        <v>#DIV/0!</v>
      </c>
      <c r="AB35" s="379" t="e">
        <f t="shared" si="29"/>
        <v>#DIV/0!</v>
      </c>
      <c r="AC35" s="382"/>
      <c r="AD35" s="66">
        <f t="shared" si="30"/>
        <v>730</v>
      </c>
      <c r="AE35" s="316">
        <f t="shared" si="31"/>
        <v>830</v>
      </c>
      <c r="AF35" s="309">
        <f t="shared" si="76"/>
        <v>0</v>
      </c>
      <c r="AG35" s="66">
        <f>IF($AD35="N","N",SUM('調查資料(OUT)'!B41:B44))</f>
        <v>0</v>
      </c>
      <c r="AH35" s="66">
        <f>IF($AD35="N","N",SUM('調查資料(OUT)'!E41:E44))</f>
        <v>0</v>
      </c>
      <c r="AI35" s="66">
        <f>IF($AD35="N","N",SUM('調查資料(OUT)'!I41:I44))</f>
        <v>0</v>
      </c>
      <c r="AJ35" s="66">
        <f>IF($AD35="N","N",SUM('調查資料(OUT)'!H41:H44))</f>
        <v>0</v>
      </c>
      <c r="AK35" s="383" t="e">
        <f t="shared" si="33"/>
        <v>#DIV/0!</v>
      </c>
      <c r="AL35" s="66">
        <f t="shared" si="34"/>
        <v>0</v>
      </c>
      <c r="AM35" s="66">
        <f>IF($AD35="N","N",SUM('調查資料(OUT)'!C41:C44))</f>
        <v>0</v>
      </c>
      <c r="AN35" s="66">
        <f>IF($AD35="N","N",SUM('調查資料(OUT)'!F41:F44))</f>
        <v>0</v>
      </c>
      <c r="AO35" s="66">
        <f>IF($AD35="N","N",SUM('調查資料(OUT)'!J41:J44))</f>
        <v>0</v>
      </c>
      <c r="AP35" s="383" t="e">
        <f t="shared" si="35"/>
        <v>#DIV/0!</v>
      </c>
      <c r="AQ35" s="66">
        <f t="shared" si="36"/>
        <v>0</v>
      </c>
      <c r="AR35" s="66">
        <f>IF($AD35="N","N",SUM('調查資料(OUT)'!D41:D44))</f>
        <v>0</v>
      </c>
      <c r="AS35" s="66">
        <f>IF($AD35="N","N",SUM('調查資料(OUT)'!G41:G44))</f>
        <v>0</v>
      </c>
      <c r="AT35" s="66">
        <f>IF($AD35="N","N",SUM('調查資料(OUT)'!K41:K44))</f>
        <v>0</v>
      </c>
      <c r="AU35" s="383" t="e">
        <f t="shared" si="37"/>
        <v>#DIV/0!</v>
      </c>
      <c r="AV35" s="66">
        <f t="shared" si="38"/>
        <v>0</v>
      </c>
      <c r="AW35" s="383" t="e">
        <f t="shared" si="39"/>
        <v>#DIV/0!</v>
      </c>
      <c r="AX35" s="66">
        <f t="shared" si="40"/>
        <v>0</v>
      </c>
      <c r="AY35" s="383" t="e">
        <f t="shared" si="41"/>
        <v>#DIV/0!</v>
      </c>
      <c r="AZ35" s="66">
        <f t="shared" si="42"/>
        <v>0</v>
      </c>
      <c r="BA35" s="383" t="e">
        <f t="shared" si="43"/>
        <v>#DIV/0!</v>
      </c>
      <c r="BB35" s="316">
        <f t="shared" si="44"/>
        <v>0</v>
      </c>
      <c r="BC35" s="309">
        <f t="shared" si="6"/>
        <v>0</v>
      </c>
      <c r="BD35" s="66">
        <f>IF($AD35="N","N",SUM('調查資料(OUT)'!L41:L44))</f>
        <v>0</v>
      </c>
      <c r="BE35" s="66">
        <f>IF($AD35="N","N",SUM('調查資料(OUT)'!O41:O44))</f>
        <v>0</v>
      </c>
      <c r="BF35" s="66">
        <f>IF($AD35="N","N",SUM('調查資料(OUT)'!S41:S44))</f>
        <v>0</v>
      </c>
      <c r="BG35" s="66">
        <f>IF($AD35="N","N",SUM('調查資料(OUT)'!R41:R44))</f>
        <v>0</v>
      </c>
      <c r="BH35" s="383" t="e">
        <f t="shared" si="7"/>
        <v>#DIV/0!</v>
      </c>
      <c r="BI35" s="66">
        <f t="shared" si="8"/>
        <v>0</v>
      </c>
      <c r="BJ35" s="66">
        <f>IF($AD35="N","N",SUM('調查資料(OUT)'!M41:M44))</f>
        <v>0</v>
      </c>
      <c r="BK35" s="66">
        <f>IF($AD35="N","N",SUM('調查資料(OUT)'!P41:P44))</f>
        <v>0</v>
      </c>
      <c r="BL35" s="66">
        <f>IF($AD35="N","N",SUM('調查資料(OUT)'!T41:T44))</f>
        <v>0</v>
      </c>
      <c r="BM35" s="383" t="e">
        <f t="shared" si="9"/>
        <v>#DIV/0!</v>
      </c>
      <c r="BN35" s="66">
        <f t="shared" si="10"/>
        <v>0</v>
      </c>
      <c r="BO35" s="66">
        <f>IF($AD35="N","N",SUM('調查資料(OUT)'!N41:N44))</f>
        <v>0</v>
      </c>
      <c r="BP35" s="66">
        <f>IF($AD35="N","N",SUM('調查資料(OUT)'!Q41:Q44))</f>
        <v>0</v>
      </c>
      <c r="BQ35" s="66">
        <f>IF($AD35="N","N",SUM('調查資料(OUT)'!U41:U44))</f>
        <v>0</v>
      </c>
      <c r="BR35" s="383" t="e">
        <f t="shared" si="11"/>
        <v>#DIV/0!</v>
      </c>
      <c r="BS35" s="66">
        <f t="shared" si="45"/>
        <v>0</v>
      </c>
      <c r="BT35" s="383" t="e">
        <f t="shared" si="46"/>
        <v>#DIV/0!</v>
      </c>
      <c r="BU35" s="66">
        <f t="shared" si="47"/>
        <v>0</v>
      </c>
      <c r="BV35" s="383" t="e">
        <f t="shared" si="48"/>
        <v>#DIV/0!</v>
      </c>
      <c r="BW35" s="66">
        <f t="shared" si="49"/>
        <v>0</v>
      </c>
      <c r="BX35" s="383" t="e">
        <f t="shared" si="50"/>
        <v>#DIV/0!</v>
      </c>
      <c r="BY35" s="316">
        <f t="shared" si="51"/>
        <v>0</v>
      </c>
      <c r="BZ35" s="309">
        <f t="shared" si="12"/>
        <v>0</v>
      </c>
      <c r="CA35" s="66">
        <f>IF($AD35="N","N",SUM('調查資料(OUT)'!V41:V44))</f>
        <v>0</v>
      </c>
      <c r="CB35" s="66">
        <f>IF($AD35="N","N",SUM('調查資料(OUT)'!Y41:Y44))</f>
        <v>0</v>
      </c>
      <c r="CC35" s="66">
        <f>IF($AD35="N","N",SUM('調查資料(OUT)'!AC41:AC44))</f>
        <v>0</v>
      </c>
      <c r="CD35" s="66">
        <f>IF($AD35="N","N",SUM('調查資料(OUT)'!AB41:AB44))</f>
        <v>0</v>
      </c>
      <c r="CE35" s="383" t="e">
        <f t="shared" si="13"/>
        <v>#DIV/0!</v>
      </c>
      <c r="CF35" s="66">
        <f t="shared" si="14"/>
        <v>0</v>
      </c>
      <c r="CG35" s="66">
        <f>IF($AD35="N","N",SUM('調查資料(OUT)'!W41:W44))</f>
        <v>0</v>
      </c>
      <c r="CH35" s="66">
        <f>IF($AD35="N","N",SUM('調查資料(OUT)'!Z41:Z44))</f>
        <v>0</v>
      </c>
      <c r="CI35" s="66">
        <f>IF($AD35="N","N",SUM('調查資料(OUT)'!AD41:AD44))</f>
        <v>0</v>
      </c>
      <c r="CJ35" s="383" t="e">
        <f t="shared" si="15"/>
        <v>#DIV/0!</v>
      </c>
      <c r="CK35" s="66">
        <f t="shared" si="16"/>
        <v>0</v>
      </c>
      <c r="CL35" s="66">
        <f>IF($AD35="N","N",SUM('調查資料(OUT)'!X41:X44))</f>
        <v>0</v>
      </c>
      <c r="CM35" s="66">
        <f>IF($AD35="N","N",SUM('調查資料(OUT)'!AA41:AA44))</f>
        <v>0</v>
      </c>
      <c r="CN35" s="66">
        <f>IF($AD35="N","N",SUM('調查資料(OUT)'!AE41:AE44))</f>
        <v>0</v>
      </c>
      <c r="CO35" s="383" t="e">
        <f t="shared" si="17"/>
        <v>#DIV/0!</v>
      </c>
      <c r="CP35" s="66">
        <f t="shared" si="52"/>
        <v>0</v>
      </c>
      <c r="CQ35" s="383" t="e">
        <f t="shared" si="53"/>
        <v>#DIV/0!</v>
      </c>
      <c r="CR35" s="66">
        <f t="shared" si="54"/>
        <v>0</v>
      </c>
      <c r="CS35" s="383" t="e">
        <f t="shared" si="55"/>
        <v>#DIV/0!</v>
      </c>
      <c r="CT35" s="66">
        <f t="shared" si="56"/>
        <v>0</v>
      </c>
      <c r="CU35" s="383" t="e">
        <f t="shared" si="57"/>
        <v>#DIV/0!</v>
      </c>
      <c r="CV35" s="316">
        <f t="shared" si="58"/>
        <v>0</v>
      </c>
      <c r="CW35" s="309">
        <f t="shared" si="18"/>
        <v>0</v>
      </c>
      <c r="CX35" s="66">
        <f>IF($AD35="N","N",SUM('調查資料(OUT)'!AF41:AF44))</f>
        <v>0</v>
      </c>
      <c r="CY35" s="66">
        <f>IF($AD35="N","N",SUM('調查資料(OUT)'!AI41:AI44))</f>
        <v>0</v>
      </c>
      <c r="CZ35" s="66">
        <f>IF($AD35="N","N",SUM('調查資料(OUT)'!AM41:AM44))</f>
        <v>0</v>
      </c>
      <c r="DA35" s="66">
        <f>IF($AD35="N","N",SUM('調查資料(OUT)'!AL41:AL44))</f>
        <v>0</v>
      </c>
      <c r="DB35" s="383" t="e">
        <f t="shared" si="19"/>
        <v>#DIV/0!</v>
      </c>
      <c r="DC35" s="66">
        <f t="shared" si="20"/>
        <v>0</v>
      </c>
      <c r="DD35" s="66">
        <f>IF($AD35="N","N",SUM('調查資料(OUT)'!AG41:AG44))</f>
        <v>0</v>
      </c>
      <c r="DE35" s="66">
        <f>IF($AD35="N","N",SUM('調查資料(OUT)'!AJ41:AJ44))</f>
        <v>0</v>
      </c>
      <c r="DF35" s="66">
        <f>IF($AD35="N","N",SUM('調查資料(OUT)'!AN41:AN44))</f>
        <v>0</v>
      </c>
      <c r="DG35" s="383" t="e">
        <f t="shared" si="21"/>
        <v>#DIV/0!</v>
      </c>
      <c r="DH35" s="66">
        <f t="shared" si="22"/>
        <v>0</v>
      </c>
      <c r="DI35" s="66">
        <f>IF($AD35="N","N",SUM('調查資料(OUT)'!AH41:AH44))</f>
        <v>0</v>
      </c>
      <c r="DJ35" s="66">
        <f>IF($AD35="N","N",SUM('調查資料(OUT)'!AK41:AK44))</f>
        <v>0</v>
      </c>
      <c r="DK35" s="66">
        <f>IF($AD35="N","N",SUM('調查資料(OUT)'!AO41:AO44))</f>
        <v>0</v>
      </c>
      <c r="DL35" s="383" t="e">
        <f t="shared" si="23"/>
        <v>#DIV/0!</v>
      </c>
      <c r="DM35" s="66">
        <f t="shared" si="59"/>
        <v>0</v>
      </c>
      <c r="DN35" s="383" t="e">
        <f t="shared" si="60"/>
        <v>#DIV/0!</v>
      </c>
      <c r="DO35" s="66">
        <f t="shared" si="61"/>
        <v>0</v>
      </c>
      <c r="DP35" s="383" t="e">
        <f t="shared" si="62"/>
        <v>#DIV/0!</v>
      </c>
      <c r="DQ35" s="66">
        <f t="shared" si="63"/>
        <v>0</v>
      </c>
      <c r="DR35" s="383" t="e">
        <f t="shared" si="64"/>
        <v>#DIV/0!</v>
      </c>
      <c r="DS35" s="316">
        <f t="shared" si="65"/>
        <v>0</v>
      </c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  <c r="FK35" s="67"/>
      <c r="FL35" s="67"/>
      <c r="FM35" s="67"/>
      <c r="FN35" s="67"/>
    </row>
    <row r="36" spans="1:170">
      <c r="A36" s="118">
        <f>'調查資料(OUT)'!A42</f>
        <v>745</v>
      </c>
      <c r="B36" s="309">
        <f t="shared" si="70"/>
        <v>0</v>
      </c>
      <c r="C36" s="66">
        <f>IFERROR('調查資料(OUT)'!B$1*'調查資料(OUT)'!B42,0)+IFERROR('調查資料(OUT)'!E$1*'調查資料(OUT)'!E42,0)+IFERROR('調查資料(OUT)'!H$1*'調查資料(OUT)'!H42,0)+IFERROR('調查資料(OUT)'!I$1*'調查資料(OUT)'!I42,0)</f>
        <v>0</v>
      </c>
      <c r="D36" s="66">
        <f>IFERROR('調查資料(OUT)'!C$1*'調查資料(OUT)'!C42,0)+IFERROR('調查資料(OUT)'!F$1*'調查資料(OUT)'!F42,0)+IFERROR('調查資料(OUT)'!J$1*'調查資料(OUT)'!J42,0)</f>
        <v>0</v>
      </c>
      <c r="E36" s="316">
        <f>IFERROR('調查資料(OUT)'!D$1*'調查資料(OUT)'!D42,0)+IFERROR('調查資料(OUT)'!G$1*'調查資料(OUT)'!G42,0)+IFERROR('調查資料(OUT)'!K$1*'調查資料(OUT)'!K42,0)</f>
        <v>0</v>
      </c>
      <c r="F36" s="309">
        <f t="shared" si="71"/>
        <v>0</v>
      </c>
      <c r="G36" s="66">
        <f>IFERROR('調查資料(OUT)'!L$1*'調查資料(OUT)'!L42,0)+IFERROR('調查資料(OUT)'!O$1*'調查資料(OUT)'!O42,0)+IFERROR('調查資料(OUT)'!R$1*'調查資料(OUT)'!R42,0)+IFERROR('調查資料(OUT)'!S$1*'調查資料(OUT)'!S42,0)</f>
        <v>0</v>
      </c>
      <c r="H36" s="66">
        <f>IFERROR('調查資料(OUT)'!M$1*'調查資料(OUT)'!M42,0)+IFERROR('調查資料(OUT)'!P$1*'調查資料(OUT)'!P42,0)+IFERROR('調查資料(OUT)'!T$1*'調查資料(OUT)'!T42,0)</f>
        <v>0</v>
      </c>
      <c r="I36" s="316">
        <f>IFERROR('調查資料(OUT)'!N$1*'調查資料(OUT)'!N42,0)+IFERROR('調查資料(OUT)'!Q$1*'調查資料(OUT)'!Q42,0)+IFERROR('調查資料(OUT)'!U$1*'調查資料(OUT)'!U42,0)</f>
        <v>0</v>
      </c>
      <c r="J36" s="309">
        <f t="shared" si="24"/>
        <v>0</v>
      </c>
      <c r="K36" s="66">
        <f>IFERROR('調查資料(OUT)'!V$1*'調查資料(OUT)'!V42,0)+IFERROR('調查資料(OUT)'!Y$1*'調查資料(OUT)'!Y42,0)+IFERROR('調查資料(OUT)'!AB$1*'調查資料(OUT)'!AB42,0)+IFERROR('調查資料(OUT)'!AC$1*'調查資料(OUT)'!AC42,0)</f>
        <v>0</v>
      </c>
      <c r="L36" s="66">
        <f>IFERROR('調查資料(OUT)'!W$1*'調查資料(OUT)'!W42,0)+IFERROR('調查資料(OUT)'!Z$1*'調查資料(OUT)'!Z42,0)+IFERROR('調查資料(OUT)'!AD$1*'調查資料(OUT)'!AD42,0)</f>
        <v>0</v>
      </c>
      <c r="M36" s="316">
        <f>IFERROR('調查資料(OUT)'!X$1*'調查資料(OUT)'!X42,0)+IFERROR('調查資料(OUT)'!AA$1*'調查資料(OUT)'!AA42,0)+IFERROR('調查資料(OUT)'!AE$1*'調查資料(OUT)'!AE42,0)</f>
        <v>0</v>
      </c>
      <c r="N36" s="309">
        <f t="shared" si="25"/>
        <v>0</v>
      </c>
      <c r="O36" s="66">
        <f>IFERROR('調查資料(OUT)'!AF$1*'調查資料(OUT)'!AF42,0)+IFERROR('調查資料(OUT)'!AI$1*'調查資料(OUT)'!AI42,0)+IFERROR('調查資料(OUT)'!AL$1*'調查資料(OUT)'!AL42,0)+IFERROR('調查資料(OUT)'!AM$1*'調查資料(OUT)'!AM42,0)</f>
        <v>0</v>
      </c>
      <c r="P36" s="66">
        <f>IFERROR('調查資料(OUT)'!AG$1*'調查資料(OUT)'!AG42,0)+IFERROR('調查資料(OUT)'!AJ$1*'調查資料(OUT)'!AJ42,0)+IFERROR('調查資料(OUT)'!AN$1*'調查資料(OUT)'!AN42,0)</f>
        <v>0</v>
      </c>
      <c r="Q36" s="316">
        <f>IFERROR('調查資料(OUT)'!AH$1*'調查資料(OUT)'!AH42,0)+IFERROR('調查資料(OUT)'!AK$1*'調查資料(OUT)'!AK42,0)+IFERROR('調查資料(OUT)'!AO$1*'調查資料(OUT)'!AO42,0)</f>
        <v>0</v>
      </c>
      <c r="R36" s="133">
        <f t="shared" si="72"/>
        <v>0</v>
      </c>
      <c r="S36" s="131"/>
      <c r="T36" s="366">
        <f>'調查資料(OUT)'!A42</f>
        <v>745</v>
      </c>
      <c r="U36" s="101">
        <f t="shared" si="73"/>
        <v>845</v>
      </c>
      <c r="V36" s="66">
        <f t="shared" si="74"/>
        <v>0</v>
      </c>
      <c r="W36" s="381"/>
      <c r="X36" s="66">
        <f t="shared" si="75"/>
        <v>0</v>
      </c>
      <c r="Y36" s="379" t="e">
        <f t="shared" si="26"/>
        <v>#DIV/0!</v>
      </c>
      <c r="Z36" s="379" t="e">
        <f t="shared" si="27"/>
        <v>#DIV/0!</v>
      </c>
      <c r="AA36" s="379" t="e">
        <f t="shared" si="28"/>
        <v>#DIV/0!</v>
      </c>
      <c r="AB36" s="379" t="e">
        <f t="shared" si="29"/>
        <v>#DIV/0!</v>
      </c>
      <c r="AC36" s="382"/>
      <c r="AD36" s="66">
        <f t="shared" si="30"/>
        <v>745</v>
      </c>
      <c r="AE36" s="316">
        <f t="shared" si="31"/>
        <v>845</v>
      </c>
      <c r="AF36" s="309">
        <f t="shared" si="76"/>
        <v>0</v>
      </c>
      <c r="AG36" s="66">
        <f>IF($AD36="N","N",SUM('調查資料(OUT)'!B42:B45))</f>
        <v>0</v>
      </c>
      <c r="AH36" s="66">
        <f>IF($AD36="N","N",SUM('調查資料(OUT)'!E42:E45))</f>
        <v>0</v>
      </c>
      <c r="AI36" s="66">
        <f>IF($AD36="N","N",SUM('調查資料(OUT)'!I42:I45))</f>
        <v>0</v>
      </c>
      <c r="AJ36" s="66">
        <f>IF($AD36="N","N",SUM('調查資料(OUT)'!H42:H45))</f>
        <v>0</v>
      </c>
      <c r="AK36" s="383" t="e">
        <f t="shared" si="33"/>
        <v>#DIV/0!</v>
      </c>
      <c r="AL36" s="66">
        <f t="shared" si="34"/>
        <v>0</v>
      </c>
      <c r="AM36" s="66">
        <f>IF($AD36="N","N",SUM('調查資料(OUT)'!C42:C45))</f>
        <v>0</v>
      </c>
      <c r="AN36" s="66">
        <f>IF($AD36="N","N",SUM('調查資料(OUT)'!F42:F45))</f>
        <v>0</v>
      </c>
      <c r="AO36" s="66">
        <f>IF($AD36="N","N",SUM('調查資料(OUT)'!J42:J45))</f>
        <v>0</v>
      </c>
      <c r="AP36" s="383" t="e">
        <f t="shared" si="35"/>
        <v>#DIV/0!</v>
      </c>
      <c r="AQ36" s="66">
        <f t="shared" si="36"/>
        <v>0</v>
      </c>
      <c r="AR36" s="66">
        <f>IF($AD36="N","N",SUM('調查資料(OUT)'!D42:D45))</f>
        <v>0</v>
      </c>
      <c r="AS36" s="66">
        <f>IF($AD36="N","N",SUM('調查資料(OUT)'!G42:G45))</f>
        <v>0</v>
      </c>
      <c r="AT36" s="66">
        <f>IF($AD36="N","N",SUM('調查資料(OUT)'!K42:K45))</f>
        <v>0</v>
      </c>
      <c r="AU36" s="383" t="e">
        <f t="shared" si="37"/>
        <v>#DIV/0!</v>
      </c>
      <c r="AV36" s="66">
        <f t="shared" si="38"/>
        <v>0</v>
      </c>
      <c r="AW36" s="383" t="e">
        <f t="shared" si="39"/>
        <v>#DIV/0!</v>
      </c>
      <c r="AX36" s="66">
        <f t="shared" si="40"/>
        <v>0</v>
      </c>
      <c r="AY36" s="383" t="e">
        <f t="shared" si="41"/>
        <v>#DIV/0!</v>
      </c>
      <c r="AZ36" s="66">
        <f t="shared" si="42"/>
        <v>0</v>
      </c>
      <c r="BA36" s="383" t="e">
        <f t="shared" si="43"/>
        <v>#DIV/0!</v>
      </c>
      <c r="BB36" s="316">
        <f t="shared" si="44"/>
        <v>0</v>
      </c>
      <c r="BC36" s="309">
        <f t="shared" si="6"/>
        <v>0</v>
      </c>
      <c r="BD36" s="66">
        <f>IF($AD36="N","N",SUM('調查資料(OUT)'!L42:L45))</f>
        <v>0</v>
      </c>
      <c r="BE36" s="66">
        <f>IF($AD36="N","N",SUM('調查資料(OUT)'!O42:O45))</f>
        <v>0</v>
      </c>
      <c r="BF36" s="66">
        <f>IF($AD36="N","N",SUM('調查資料(OUT)'!S42:S45))</f>
        <v>0</v>
      </c>
      <c r="BG36" s="66">
        <f>IF($AD36="N","N",SUM('調查資料(OUT)'!R42:R45))</f>
        <v>0</v>
      </c>
      <c r="BH36" s="383" t="e">
        <f t="shared" si="7"/>
        <v>#DIV/0!</v>
      </c>
      <c r="BI36" s="66">
        <f t="shared" si="8"/>
        <v>0</v>
      </c>
      <c r="BJ36" s="66">
        <f>IF($AD36="N","N",SUM('調查資料(OUT)'!M42:M45))</f>
        <v>0</v>
      </c>
      <c r="BK36" s="66">
        <f>IF($AD36="N","N",SUM('調查資料(OUT)'!P42:P45))</f>
        <v>0</v>
      </c>
      <c r="BL36" s="66">
        <f>IF($AD36="N","N",SUM('調查資料(OUT)'!T42:T45))</f>
        <v>0</v>
      </c>
      <c r="BM36" s="383" t="e">
        <f t="shared" si="9"/>
        <v>#DIV/0!</v>
      </c>
      <c r="BN36" s="66">
        <f t="shared" si="10"/>
        <v>0</v>
      </c>
      <c r="BO36" s="66">
        <f>IF($AD36="N","N",SUM('調查資料(OUT)'!N42:N45))</f>
        <v>0</v>
      </c>
      <c r="BP36" s="66">
        <f>IF($AD36="N","N",SUM('調查資料(OUT)'!Q42:Q45))</f>
        <v>0</v>
      </c>
      <c r="BQ36" s="66">
        <f>IF($AD36="N","N",SUM('調查資料(OUT)'!U42:U45))</f>
        <v>0</v>
      </c>
      <c r="BR36" s="383" t="e">
        <f t="shared" si="11"/>
        <v>#DIV/0!</v>
      </c>
      <c r="BS36" s="66">
        <f t="shared" si="45"/>
        <v>0</v>
      </c>
      <c r="BT36" s="383" t="e">
        <f t="shared" si="46"/>
        <v>#DIV/0!</v>
      </c>
      <c r="BU36" s="66">
        <f t="shared" si="47"/>
        <v>0</v>
      </c>
      <c r="BV36" s="383" t="e">
        <f t="shared" si="48"/>
        <v>#DIV/0!</v>
      </c>
      <c r="BW36" s="66">
        <f t="shared" si="49"/>
        <v>0</v>
      </c>
      <c r="BX36" s="383" t="e">
        <f t="shared" si="50"/>
        <v>#DIV/0!</v>
      </c>
      <c r="BY36" s="316">
        <f t="shared" si="51"/>
        <v>0</v>
      </c>
      <c r="BZ36" s="309">
        <f t="shared" si="12"/>
        <v>0</v>
      </c>
      <c r="CA36" s="66">
        <f>IF($AD36="N","N",SUM('調查資料(OUT)'!V42:V45))</f>
        <v>0</v>
      </c>
      <c r="CB36" s="66">
        <f>IF($AD36="N","N",SUM('調查資料(OUT)'!Y42:Y45))</f>
        <v>0</v>
      </c>
      <c r="CC36" s="66">
        <f>IF($AD36="N","N",SUM('調查資料(OUT)'!AC42:AC45))</f>
        <v>0</v>
      </c>
      <c r="CD36" s="66">
        <f>IF($AD36="N","N",SUM('調查資料(OUT)'!AB42:AB45))</f>
        <v>0</v>
      </c>
      <c r="CE36" s="383" t="e">
        <f t="shared" si="13"/>
        <v>#DIV/0!</v>
      </c>
      <c r="CF36" s="66">
        <f t="shared" si="14"/>
        <v>0</v>
      </c>
      <c r="CG36" s="66">
        <f>IF($AD36="N","N",SUM('調查資料(OUT)'!W42:W45))</f>
        <v>0</v>
      </c>
      <c r="CH36" s="66">
        <f>IF($AD36="N","N",SUM('調查資料(OUT)'!Z42:Z45))</f>
        <v>0</v>
      </c>
      <c r="CI36" s="66">
        <f>IF($AD36="N","N",SUM('調查資料(OUT)'!AD42:AD45))</f>
        <v>0</v>
      </c>
      <c r="CJ36" s="383" t="e">
        <f t="shared" si="15"/>
        <v>#DIV/0!</v>
      </c>
      <c r="CK36" s="66">
        <f t="shared" si="16"/>
        <v>0</v>
      </c>
      <c r="CL36" s="66">
        <f>IF($AD36="N","N",SUM('調查資料(OUT)'!X42:X45))</f>
        <v>0</v>
      </c>
      <c r="CM36" s="66">
        <f>IF($AD36="N","N",SUM('調查資料(OUT)'!AA42:AA45))</f>
        <v>0</v>
      </c>
      <c r="CN36" s="66">
        <f>IF($AD36="N","N",SUM('調查資料(OUT)'!AE42:AE45))</f>
        <v>0</v>
      </c>
      <c r="CO36" s="383" t="e">
        <f t="shared" si="17"/>
        <v>#DIV/0!</v>
      </c>
      <c r="CP36" s="66">
        <f t="shared" si="52"/>
        <v>0</v>
      </c>
      <c r="CQ36" s="383" t="e">
        <f t="shared" si="53"/>
        <v>#DIV/0!</v>
      </c>
      <c r="CR36" s="66">
        <f t="shared" si="54"/>
        <v>0</v>
      </c>
      <c r="CS36" s="383" t="e">
        <f t="shared" si="55"/>
        <v>#DIV/0!</v>
      </c>
      <c r="CT36" s="66">
        <f t="shared" si="56"/>
        <v>0</v>
      </c>
      <c r="CU36" s="383" t="e">
        <f t="shared" si="57"/>
        <v>#DIV/0!</v>
      </c>
      <c r="CV36" s="316">
        <f t="shared" si="58"/>
        <v>0</v>
      </c>
      <c r="CW36" s="309">
        <f t="shared" si="18"/>
        <v>0</v>
      </c>
      <c r="CX36" s="66">
        <f>IF($AD36="N","N",SUM('調查資料(OUT)'!AF42:AF45))</f>
        <v>0</v>
      </c>
      <c r="CY36" s="66">
        <f>IF($AD36="N","N",SUM('調查資料(OUT)'!AI42:AI45))</f>
        <v>0</v>
      </c>
      <c r="CZ36" s="66">
        <f>IF($AD36="N","N",SUM('調查資料(OUT)'!AM42:AM45))</f>
        <v>0</v>
      </c>
      <c r="DA36" s="66">
        <f>IF($AD36="N","N",SUM('調查資料(OUT)'!AL42:AL45))</f>
        <v>0</v>
      </c>
      <c r="DB36" s="383" t="e">
        <f t="shared" si="19"/>
        <v>#DIV/0!</v>
      </c>
      <c r="DC36" s="66">
        <f t="shared" si="20"/>
        <v>0</v>
      </c>
      <c r="DD36" s="66">
        <f>IF($AD36="N","N",SUM('調查資料(OUT)'!AG42:AG45))</f>
        <v>0</v>
      </c>
      <c r="DE36" s="66">
        <f>IF($AD36="N","N",SUM('調查資料(OUT)'!AJ42:AJ45))</f>
        <v>0</v>
      </c>
      <c r="DF36" s="66">
        <f>IF($AD36="N","N",SUM('調查資料(OUT)'!AN42:AN45))</f>
        <v>0</v>
      </c>
      <c r="DG36" s="383" t="e">
        <f t="shared" si="21"/>
        <v>#DIV/0!</v>
      </c>
      <c r="DH36" s="66">
        <f t="shared" si="22"/>
        <v>0</v>
      </c>
      <c r="DI36" s="66">
        <f>IF($AD36="N","N",SUM('調查資料(OUT)'!AH42:AH45))</f>
        <v>0</v>
      </c>
      <c r="DJ36" s="66">
        <f>IF($AD36="N","N",SUM('調查資料(OUT)'!AK42:AK45))</f>
        <v>0</v>
      </c>
      <c r="DK36" s="66">
        <f>IF($AD36="N","N",SUM('調查資料(OUT)'!AO42:AO45))</f>
        <v>0</v>
      </c>
      <c r="DL36" s="383" t="e">
        <f t="shared" si="23"/>
        <v>#DIV/0!</v>
      </c>
      <c r="DM36" s="66">
        <f t="shared" si="59"/>
        <v>0</v>
      </c>
      <c r="DN36" s="383" t="e">
        <f t="shared" si="60"/>
        <v>#DIV/0!</v>
      </c>
      <c r="DO36" s="66">
        <f t="shared" si="61"/>
        <v>0</v>
      </c>
      <c r="DP36" s="383" t="e">
        <f t="shared" si="62"/>
        <v>#DIV/0!</v>
      </c>
      <c r="DQ36" s="66">
        <f t="shared" si="63"/>
        <v>0</v>
      </c>
      <c r="DR36" s="383" t="e">
        <f t="shared" si="64"/>
        <v>#DIV/0!</v>
      </c>
      <c r="DS36" s="316">
        <f t="shared" si="65"/>
        <v>0</v>
      </c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  <c r="FH36" s="67"/>
      <c r="FI36" s="67"/>
      <c r="FJ36" s="67"/>
      <c r="FK36" s="67"/>
      <c r="FL36" s="67"/>
      <c r="FM36" s="67"/>
      <c r="FN36" s="67"/>
    </row>
    <row r="37" spans="1:170">
      <c r="A37" s="118">
        <f>'調查資料(OUT)'!A43</f>
        <v>800</v>
      </c>
      <c r="B37" s="309">
        <f t="shared" si="70"/>
        <v>0</v>
      </c>
      <c r="C37" s="66">
        <f>IFERROR('調查資料(OUT)'!B$1*'調查資料(OUT)'!B43,0)+IFERROR('調查資料(OUT)'!E$1*'調查資料(OUT)'!E43,0)+IFERROR('調查資料(OUT)'!H$1*'調查資料(OUT)'!H43,0)+IFERROR('調查資料(OUT)'!I$1*'調查資料(OUT)'!I43,0)</f>
        <v>0</v>
      </c>
      <c r="D37" s="66">
        <f>IFERROR('調查資料(OUT)'!C$1*'調查資料(OUT)'!C43,0)+IFERROR('調查資料(OUT)'!F$1*'調查資料(OUT)'!F43,0)+IFERROR('調查資料(OUT)'!J$1*'調查資料(OUT)'!J43,0)</f>
        <v>0</v>
      </c>
      <c r="E37" s="316">
        <f>IFERROR('調查資料(OUT)'!D$1*'調查資料(OUT)'!D43,0)+IFERROR('調查資料(OUT)'!G$1*'調查資料(OUT)'!G43,0)+IFERROR('調查資料(OUT)'!K$1*'調查資料(OUT)'!K43,0)</f>
        <v>0</v>
      </c>
      <c r="F37" s="309">
        <f t="shared" si="71"/>
        <v>0</v>
      </c>
      <c r="G37" s="66">
        <f>IFERROR('調查資料(OUT)'!L$1*'調查資料(OUT)'!L43,0)+IFERROR('調查資料(OUT)'!O$1*'調查資料(OUT)'!O43,0)+IFERROR('調查資料(OUT)'!R$1*'調查資料(OUT)'!R43,0)+IFERROR('調查資料(OUT)'!S$1*'調查資料(OUT)'!S43,0)</f>
        <v>0</v>
      </c>
      <c r="H37" s="66">
        <f>IFERROR('調查資料(OUT)'!M$1*'調查資料(OUT)'!M43,0)+IFERROR('調查資料(OUT)'!P$1*'調查資料(OUT)'!P43,0)+IFERROR('調查資料(OUT)'!T$1*'調查資料(OUT)'!T43,0)</f>
        <v>0</v>
      </c>
      <c r="I37" s="316">
        <f>IFERROR('調查資料(OUT)'!N$1*'調查資料(OUT)'!N43,0)+IFERROR('調查資料(OUT)'!Q$1*'調查資料(OUT)'!Q43,0)+IFERROR('調查資料(OUT)'!U$1*'調查資料(OUT)'!U43,0)</f>
        <v>0</v>
      </c>
      <c r="J37" s="309">
        <f t="shared" si="24"/>
        <v>0</v>
      </c>
      <c r="K37" s="66">
        <f>IFERROR('調查資料(OUT)'!V$1*'調查資料(OUT)'!V43,0)+IFERROR('調查資料(OUT)'!Y$1*'調查資料(OUT)'!Y43,0)+IFERROR('調查資料(OUT)'!AB$1*'調查資料(OUT)'!AB43,0)+IFERROR('調查資料(OUT)'!AC$1*'調查資料(OUT)'!AC43,0)</f>
        <v>0</v>
      </c>
      <c r="L37" s="66">
        <f>IFERROR('調查資料(OUT)'!W$1*'調查資料(OUT)'!W43,0)+IFERROR('調查資料(OUT)'!Z$1*'調查資料(OUT)'!Z43,0)+IFERROR('調查資料(OUT)'!AD$1*'調查資料(OUT)'!AD43,0)</f>
        <v>0</v>
      </c>
      <c r="M37" s="316">
        <f>IFERROR('調查資料(OUT)'!X$1*'調查資料(OUT)'!X43,0)+IFERROR('調查資料(OUT)'!AA$1*'調查資料(OUT)'!AA43,0)+IFERROR('調查資料(OUT)'!AE$1*'調查資料(OUT)'!AE43,0)</f>
        <v>0</v>
      </c>
      <c r="N37" s="309">
        <f t="shared" si="25"/>
        <v>0</v>
      </c>
      <c r="O37" s="66">
        <f>IFERROR('調查資料(OUT)'!AF$1*'調查資料(OUT)'!AF43,0)+IFERROR('調查資料(OUT)'!AI$1*'調查資料(OUT)'!AI43,0)+IFERROR('調查資料(OUT)'!AL$1*'調查資料(OUT)'!AL43,0)+IFERROR('調查資料(OUT)'!AM$1*'調查資料(OUT)'!AM43,0)</f>
        <v>0</v>
      </c>
      <c r="P37" s="66">
        <f>IFERROR('調查資料(OUT)'!AG$1*'調查資料(OUT)'!AG43,0)+IFERROR('調查資料(OUT)'!AJ$1*'調查資料(OUT)'!AJ43,0)+IFERROR('調查資料(OUT)'!AN$1*'調查資料(OUT)'!AN43,0)</f>
        <v>0</v>
      </c>
      <c r="Q37" s="316">
        <f>IFERROR('調查資料(OUT)'!AH$1*'調查資料(OUT)'!AH43,0)+IFERROR('調查資料(OUT)'!AK$1*'調查資料(OUT)'!AK43,0)+IFERROR('調查資料(OUT)'!AO$1*'調查資料(OUT)'!AO43,0)</f>
        <v>0</v>
      </c>
      <c r="R37" s="133">
        <f t="shared" si="72"/>
        <v>0</v>
      </c>
      <c r="S37" s="131"/>
      <c r="T37" s="366">
        <f>'調查資料(OUT)'!A43</f>
        <v>800</v>
      </c>
      <c r="U37" s="101">
        <f t="shared" si="73"/>
        <v>900</v>
      </c>
      <c r="V37" s="66">
        <f t="shared" si="74"/>
        <v>0</v>
      </c>
      <c r="W37" s="381"/>
      <c r="X37" s="66">
        <f t="shared" si="75"/>
        <v>0</v>
      </c>
      <c r="Y37" s="379" t="e">
        <f t="shared" si="26"/>
        <v>#DIV/0!</v>
      </c>
      <c r="Z37" s="379" t="e">
        <f t="shared" si="27"/>
        <v>#DIV/0!</v>
      </c>
      <c r="AA37" s="379" t="e">
        <f t="shared" si="28"/>
        <v>#DIV/0!</v>
      </c>
      <c r="AB37" s="379" t="e">
        <f t="shared" si="29"/>
        <v>#DIV/0!</v>
      </c>
      <c r="AC37" s="382"/>
      <c r="AD37" s="66">
        <f t="shared" si="30"/>
        <v>800</v>
      </c>
      <c r="AE37" s="316">
        <f t="shared" si="31"/>
        <v>900</v>
      </c>
      <c r="AF37" s="309">
        <f t="shared" si="76"/>
        <v>0</v>
      </c>
      <c r="AG37" s="66">
        <f>IF($AD37="N","N",SUM('調查資料(OUT)'!B43:B46))</f>
        <v>0</v>
      </c>
      <c r="AH37" s="66">
        <f>IF($AD37="N","N",SUM('調查資料(OUT)'!E43:E46))</f>
        <v>0</v>
      </c>
      <c r="AI37" s="66">
        <f>IF($AD37="N","N",SUM('調查資料(OUT)'!I43:I46))</f>
        <v>0</v>
      </c>
      <c r="AJ37" s="66">
        <f>IF($AD37="N","N",SUM('調查資料(OUT)'!H43:H46))</f>
        <v>0</v>
      </c>
      <c r="AK37" s="383" t="e">
        <f t="shared" ref="AK37:AK68" si="77">IF($AD37="N","N",(AF37/$BB37)*100)</f>
        <v>#DIV/0!</v>
      </c>
      <c r="AL37" s="66">
        <f t="shared" ref="AL37:AL68" si="78">IF($AD37="N","N",SUM(D37:D40))</f>
        <v>0</v>
      </c>
      <c r="AM37" s="66">
        <f>IF($AD37="N","N",SUM('調查資料(OUT)'!C43:C46))</f>
        <v>0</v>
      </c>
      <c r="AN37" s="66">
        <f>IF($AD37="N","N",SUM('調查資料(OUT)'!F43:F46))</f>
        <v>0</v>
      </c>
      <c r="AO37" s="66">
        <f>IF($AD37="N","N",SUM('調查資料(OUT)'!J43:J46))</f>
        <v>0</v>
      </c>
      <c r="AP37" s="383" t="e">
        <f t="shared" ref="AP37:AP68" si="79">IF($AD37="N","N",(AL37/$BB37)*100)</f>
        <v>#DIV/0!</v>
      </c>
      <c r="AQ37" s="66">
        <f t="shared" ref="AQ37:AQ68" si="80">IF($AD37="N","N",SUM(E37:E40))</f>
        <v>0</v>
      </c>
      <c r="AR37" s="66">
        <f>IF($AD37="N","N",SUM('調查資料(OUT)'!D43:D46))</f>
        <v>0</v>
      </c>
      <c r="AS37" s="66">
        <f>IF($AD37="N","N",SUM('調查資料(OUT)'!G43:G46))</f>
        <v>0</v>
      </c>
      <c r="AT37" s="66">
        <f>IF($AD37="N","N",SUM('調查資料(OUT)'!K43:K46))</f>
        <v>0</v>
      </c>
      <c r="AU37" s="383" t="e">
        <f t="shared" ref="AU37:AU68" si="81">IF($AD37="N","N",(AQ37/$BB37)*100)</f>
        <v>#DIV/0!</v>
      </c>
      <c r="AV37" s="66">
        <f t="shared" si="38"/>
        <v>0</v>
      </c>
      <c r="AW37" s="383" t="e">
        <f t="shared" si="39"/>
        <v>#DIV/0!</v>
      </c>
      <c r="AX37" s="66">
        <f t="shared" si="40"/>
        <v>0</v>
      </c>
      <c r="AY37" s="383" t="e">
        <f t="shared" si="41"/>
        <v>#DIV/0!</v>
      </c>
      <c r="AZ37" s="66">
        <f t="shared" si="42"/>
        <v>0</v>
      </c>
      <c r="BA37" s="383" t="e">
        <f t="shared" si="43"/>
        <v>#DIV/0!</v>
      </c>
      <c r="BB37" s="316">
        <f t="shared" si="44"/>
        <v>0</v>
      </c>
      <c r="BC37" s="309">
        <f t="shared" ref="BC37:BC68" si="82">IF($AD37="N","N",SUM(G37:G40))</f>
        <v>0</v>
      </c>
      <c r="BD37" s="66">
        <f>IF($AD37="N","N",SUM('調查資料(OUT)'!L43:L46))</f>
        <v>0</v>
      </c>
      <c r="BE37" s="66">
        <f>IF($AD37="N","N",SUM('調查資料(OUT)'!O43:O46))</f>
        <v>0</v>
      </c>
      <c r="BF37" s="66">
        <f>IF($AD37="N","N",SUM('調查資料(OUT)'!S43:S46))</f>
        <v>0</v>
      </c>
      <c r="BG37" s="66">
        <f>IF($AD37="N","N",SUM('調查資料(OUT)'!R43:R46))</f>
        <v>0</v>
      </c>
      <c r="BH37" s="383" t="e">
        <f t="shared" ref="BH37:BH68" si="83">IF($AD37="N","N",(BC37/BY37)*100)</f>
        <v>#DIV/0!</v>
      </c>
      <c r="BI37" s="66">
        <f t="shared" ref="BI37:BI68" si="84">IF($AD37="N","N",SUM(H37:H40))</f>
        <v>0</v>
      </c>
      <c r="BJ37" s="66">
        <f>IF($AD37="N","N",SUM('調查資料(OUT)'!M43:M46))</f>
        <v>0</v>
      </c>
      <c r="BK37" s="66">
        <f>IF($AD37="N","N",SUM('調查資料(OUT)'!P43:P46))</f>
        <v>0</v>
      </c>
      <c r="BL37" s="66">
        <f>IF($AD37="N","N",SUM('調查資料(OUT)'!T43:T46))</f>
        <v>0</v>
      </c>
      <c r="BM37" s="383" t="e">
        <f t="shared" ref="BM37:BM68" si="85">IF($AD37="N","N",(BI37/BY37)*100)</f>
        <v>#DIV/0!</v>
      </c>
      <c r="BN37" s="66">
        <f t="shared" ref="BN37:BN68" si="86">IF($AD37="N","N",SUM(I37:I40))</f>
        <v>0</v>
      </c>
      <c r="BO37" s="66">
        <f>IF($AD37="N","N",SUM('調查資料(OUT)'!N43:N46))</f>
        <v>0</v>
      </c>
      <c r="BP37" s="66">
        <f>IF($AD37="N","N",SUM('調查資料(OUT)'!Q43:Q46))</f>
        <v>0</v>
      </c>
      <c r="BQ37" s="66">
        <f>IF($AD37="N","N",SUM('調查資料(OUT)'!U43:U46))</f>
        <v>0</v>
      </c>
      <c r="BR37" s="383" t="e">
        <f t="shared" ref="BR37:BR68" si="87">IF($AD37="N","N",(BN37/BY37)*100)</f>
        <v>#DIV/0!</v>
      </c>
      <c r="BS37" s="66">
        <f t="shared" si="45"/>
        <v>0</v>
      </c>
      <c r="BT37" s="383" t="e">
        <f t="shared" si="46"/>
        <v>#DIV/0!</v>
      </c>
      <c r="BU37" s="66">
        <f t="shared" si="47"/>
        <v>0</v>
      </c>
      <c r="BV37" s="383" t="e">
        <f t="shared" si="48"/>
        <v>#DIV/0!</v>
      </c>
      <c r="BW37" s="66">
        <f t="shared" si="49"/>
        <v>0</v>
      </c>
      <c r="BX37" s="383" t="e">
        <f t="shared" si="50"/>
        <v>#DIV/0!</v>
      </c>
      <c r="BY37" s="316">
        <f t="shared" si="51"/>
        <v>0</v>
      </c>
      <c r="BZ37" s="309">
        <f t="shared" ref="BZ37:BZ68" si="88">IF($AD37="N","N",SUM(K37:K40))</f>
        <v>0</v>
      </c>
      <c r="CA37" s="66">
        <f>IF($AD37="N","N",SUM('調查資料(OUT)'!V43:V46))</f>
        <v>0</v>
      </c>
      <c r="CB37" s="66">
        <f>IF($AD37="N","N",SUM('調查資料(OUT)'!Y43:Y46))</f>
        <v>0</v>
      </c>
      <c r="CC37" s="66">
        <f>IF($AD37="N","N",SUM('調查資料(OUT)'!AC43:AC46))</f>
        <v>0</v>
      </c>
      <c r="CD37" s="66">
        <f>IF($AD37="N","N",SUM('調查資料(OUT)'!AB43:AB46))</f>
        <v>0</v>
      </c>
      <c r="CE37" s="383" t="e">
        <f t="shared" ref="CE37:CE68" si="89">IF($AD37="N","N",(BZ37/CV37)*100)</f>
        <v>#DIV/0!</v>
      </c>
      <c r="CF37" s="66">
        <f t="shared" ref="CF37:CF68" si="90">IF($AD37="N","N",SUM(L37:L40))</f>
        <v>0</v>
      </c>
      <c r="CG37" s="66">
        <f>IF($AD37="N","N",SUM('調查資料(OUT)'!W43:W46))</f>
        <v>0</v>
      </c>
      <c r="CH37" s="66">
        <f>IF($AD37="N","N",SUM('調查資料(OUT)'!Z43:Z46))</f>
        <v>0</v>
      </c>
      <c r="CI37" s="66">
        <f>IF($AD37="N","N",SUM('調查資料(OUT)'!AD43:AD46))</f>
        <v>0</v>
      </c>
      <c r="CJ37" s="383" t="e">
        <f t="shared" ref="CJ37:CJ68" si="91">IF($AD37="N","N",(CF37/CV37)*100)</f>
        <v>#DIV/0!</v>
      </c>
      <c r="CK37" s="66">
        <f t="shared" ref="CK37:CK68" si="92">IF($AD37="N","N",SUM(M37:M40))</f>
        <v>0</v>
      </c>
      <c r="CL37" s="66">
        <f>IF($AD37="N","N",SUM('調查資料(OUT)'!X43:X46))</f>
        <v>0</v>
      </c>
      <c r="CM37" s="66">
        <f>IF($AD37="N","N",SUM('調查資料(OUT)'!AA43:AA46))</f>
        <v>0</v>
      </c>
      <c r="CN37" s="66">
        <f>IF($AD37="N","N",SUM('調查資料(OUT)'!AE43:AE46))</f>
        <v>0</v>
      </c>
      <c r="CO37" s="383" t="e">
        <f t="shared" ref="CO37:CO68" si="93">IF($AD37="N","N",(CK37/CV37)*100)</f>
        <v>#DIV/0!</v>
      </c>
      <c r="CP37" s="66">
        <f t="shared" si="52"/>
        <v>0</v>
      </c>
      <c r="CQ37" s="383" t="e">
        <f t="shared" si="53"/>
        <v>#DIV/0!</v>
      </c>
      <c r="CR37" s="66">
        <f t="shared" si="54"/>
        <v>0</v>
      </c>
      <c r="CS37" s="383" t="e">
        <f t="shared" si="55"/>
        <v>#DIV/0!</v>
      </c>
      <c r="CT37" s="66">
        <f t="shared" si="56"/>
        <v>0</v>
      </c>
      <c r="CU37" s="383" t="e">
        <f t="shared" si="57"/>
        <v>#DIV/0!</v>
      </c>
      <c r="CV37" s="316">
        <f t="shared" si="58"/>
        <v>0</v>
      </c>
      <c r="CW37" s="309">
        <f t="shared" ref="CW37:CW68" si="94">IF($AD37="N","N",SUM(O37:O40))</f>
        <v>0</v>
      </c>
      <c r="CX37" s="66">
        <f>IF($AD37="N","N",SUM('調查資料(OUT)'!AF43:AF46))</f>
        <v>0</v>
      </c>
      <c r="CY37" s="66">
        <f>IF($AD37="N","N",SUM('調查資料(OUT)'!AI43:AI46))</f>
        <v>0</v>
      </c>
      <c r="CZ37" s="66">
        <f>IF($AD37="N","N",SUM('調查資料(OUT)'!AM43:AM46))</f>
        <v>0</v>
      </c>
      <c r="DA37" s="66">
        <f>IF($AD37="N","N",SUM('調查資料(OUT)'!AL43:AL46))</f>
        <v>0</v>
      </c>
      <c r="DB37" s="383" t="e">
        <f t="shared" ref="DB37:DB68" si="95">IF($AD37="N","N",(CW37/DS37)*100)</f>
        <v>#DIV/0!</v>
      </c>
      <c r="DC37" s="66">
        <f t="shared" ref="DC37:DC68" si="96">IF($AD37="N","N",SUM(P37:P40))</f>
        <v>0</v>
      </c>
      <c r="DD37" s="66">
        <f>IF($AD37="N","N",SUM('調查資料(OUT)'!AG43:AG46))</f>
        <v>0</v>
      </c>
      <c r="DE37" s="66">
        <f>IF($AD37="N","N",SUM('調查資料(OUT)'!AJ43:AJ46))</f>
        <v>0</v>
      </c>
      <c r="DF37" s="66">
        <f>IF($AD37="N","N",SUM('調查資料(OUT)'!AN43:AN46))</f>
        <v>0</v>
      </c>
      <c r="DG37" s="383" t="e">
        <f t="shared" ref="DG37:DG68" si="97">IF($AD37="N","N",(DC37/DS37)*100)</f>
        <v>#DIV/0!</v>
      </c>
      <c r="DH37" s="66">
        <f t="shared" ref="DH37:DH68" si="98">IF($AD37="N","N",SUM(Q37:Q40))</f>
        <v>0</v>
      </c>
      <c r="DI37" s="66">
        <f>IF($AD37="N","N",SUM('調查資料(OUT)'!AH43:AH46))</f>
        <v>0</v>
      </c>
      <c r="DJ37" s="66">
        <f>IF($AD37="N","N",SUM('調查資料(OUT)'!AK43:AK46))</f>
        <v>0</v>
      </c>
      <c r="DK37" s="66">
        <f>IF($AD37="N","N",SUM('調查資料(OUT)'!AO43:AO46))</f>
        <v>0</v>
      </c>
      <c r="DL37" s="383" t="e">
        <f t="shared" ref="DL37:DL68" si="99">IF($AD37="N","N",(DH37/DS37)*100)</f>
        <v>#DIV/0!</v>
      </c>
      <c r="DM37" s="66">
        <f t="shared" si="59"/>
        <v>0</v>
      </c>
      <c r="DN37" s="383" t="e">
        <f t="shared" si="60"/>
        <v>#DIV/0!</v>
      </c>
      <c r="DO37" s="66">
        <f t="shared" si="61"/>
        <v>0</v>
      </c>
      <c r="DP37" s="383" t="e">
        <f t="shared" si="62"/>
        <v>#DIV/0!</v>
      </c>
      <c r="DQ37" s="66">
        <f t="shared" si="63"/>
        <v>0</v>
      </c>
      <c r="DR37" s="383" t="e">
        <f t="shared" si="64"/>
        <v>#DIV/0!</v>
      </c>
      <c r="DS37" s="316">
        <f t="shared" si="65"/>
        <v>0</v>
      </c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67"/>
      <c r="EF37" s="67"/>
      <c r="EG37" s="67"/>
      <c r="EH37" s="67"/>
      <c r="EI37" s="67"/>
      <c r="EJ37" s="67"/>
      <c r="EK37" s="67"/>
      <c r="EL37" s="67"/>
      <c r="EM37" s="67"/>
      <c r="EN37" s="67"/>
      <c r="EO37" s="67"/>
      <c r="EP37" s="67"/>
      <c r="EQ37" s="67"/>
      <c r="ER37" s="67"/>
      <c r="ES37" s="67"/>
      <c r="ET37" s="67"/>
      <c r="EU37" s="67"/>
      <c r="EV37" s="67"/>
      <c r="EW37" s="67"/>
      <c r="EX37" s="67"/>
      <c r="EY37" s="67"/>
      <c r="EZ37" s="67"/>
      <c r="FA37" s="67"/>
      <c r="FB37" s="67"/>
      <c r="FC37" s="67"/>
      <c r="FD37" s="67"/>
      <c r="FE37" s="67"/>
      <c r="FF37" s="67"/>
      <c r="FG37" s="67"/>
      <c r="FH37" s="67"/>
      <c r="FI37" s="67"/>
      <c r="FJ37" s="67"/>
      <c r="FK37" s="67"/>
      <c r="FL37" s="67"/>
      <c r="FM37" s="67"/>
      <c r="FN37" s="67"/>
    </row>
    <row r="38" spans="1:170">
      <c r="A38" s="118">
        <f>'調查資料(OUT)'!A44</f>
        <v>815</v>
      </c>
      <c r="B38" s="309">
        <f t="shared" si="70"/>
        <v>0</v>
      </c>
      <c r="C38" s="66">
        <f>IFERROR('調查資料(OUT)'!B$1*'調查資料(OUT)'!B44,0)+IFERROR('調查資料(OUT)'!E$1*'調查資料(OUT)'!E44,0)+IFERROR('調查資料(OUT)'!H$1*'調查資料(OUT)'!H44,0)+IFERROR('調查資料(OUT)'!I$1*'調查資料(OUT)'!I44,0)</f>
        <v>0</v>
      </c>
      <c r="D38" s="66">
        <f>IFERROR('調查資料(OUT)'!C$1*'調查資料(OUT)'!C44,0)+IFERROR('調查資料(OUT)'!F$1*'調查資料(OUT)'!F44,0)+IFERROR('調查資料(OUT)'!J$1*'調查資料(OUT)'!J44,0)</f>
        <v>0</v>
      </c>
      <c r="E38" s="316">
        <f>IFERROR('調查資料(OUT)'!D$1*'調查資料(OUT)'!D44,0)+IFERROR('調查資料(OUT)'!G$1*'調查資料(OUT)'!G44,0)+IFERROR('調查資料(OUT)'!K$1*'調查資料(OUT)'!K44,0)</f>
        <v>0</v>
      </c>
      <c r="F38" s="309">
        <f t="shared" si="71"/>
        <v>0</v>
      </c>
      <c r="G38" s="66">
        <f>IFERROR('調查資料(OUT)'!L$1*'調查資料(OUT)'!L44,0)+IFERROR('調查資料(OUT)'!O$1*'調查資料(OUT)'!O44,0)+IFERROR('調查資料(OUT)'!R$1*'調查資料(OUT)'!R44,0)+IFERROR('調查資料(OUT)'!S$1*'調查資料(OUT)'!S44,0)</f>
        <v>0</v>
      </c>
      <c r="H38" s="66">
        <f>IFERROR('調查資料(OUT)'!M$1*'調查資料(OUT)'!M44,0)+IFERROR('調查資料(OUT)'!P$1*'調查資料(OUT)'!P44,0)+IFERROR('調查資料(OUT)'!T$1*'調查資料(OUT)'!T44,0)</f>
        <v>0</v>
      </c>
      <c r="I38" s="316">
        <f>IFERROR('調查資料(OUT)'!N$1*'調查資料(OUT)'!N44,0)+IFERROR('調查資料(OUT)'!Q$1*'調查資料(OUT)'!Q44,0)+IFERROR('調查資料(OUT)'!U$1*'調查資料(OUT)'!U44,0)</f>
        <v>0</v>
      </c>
      <c r="J38" s="309">
        <f t="shared" si="24"/>
        <v>0</v>
      </c>
      <c r="K38" s="66">
        <f>IFERROR('調查資料(OUT)'!V$1*'調查資料(OUT)'!V44,0)+IFERROR('調查資料(OUT)'!Y$1*'調查資料(OUT)'!Y44,0)+IFERROR('調查資料(OUT)'!AB$1*'調查資料(OUT)'!AB44,0)+IFERROR('調查資料(OUT)'!AC$1*'調查資料(OUT)'!AC44,0)</f>
        <v>0</v>
      </c>
      <c r="L38" s="66">
        <f>IFERROR('調查資料(OUT)'!W$1*'調查資料(OUT)'!W44,0)+IFERROR('調查資料(OUT)'!Z$1*'調查資料(OUT)'!Z44,0)+IFERROR('調查資料(OUT)'!AD$1*'調查資料(OUT)'!AD44,0)</f>
        <v>0</v>
      </c>
      <c r="M38" s="316">
        <f>IFERROR('調查資料(OUT)'!X$1*'調查資料(OUT)'!X44,0)+IFERROR('調查資料(OUT)'!AA$1*'調查資料(OUT)'!AA44,0)+IFERROR('調查資料(OUT)'!AE$1*'調查資料(OUT)'!AE44,0)</f>
        <v>0</v>
      </c>
      <c r="N38" s="309">
        <f t="shared" si="25"/>
        <v>0</v>
      </c>
      <c r="O38" s="66">
        <f>IFERROR('調查資料(OUT)'!AF$1*'調查資料(OUT)'!AF44,0)+IFERROR('調查資料(OUT)'!AI$1*'調查資料(OUT)'!AI44,0)+IFERROR('調查資料(OUT)'!AL$1*'調查資料(OUT)'!AL44,0)+IFERROR('調查資料(OUT)'!AM$1*'調查資料(OUT)'!AM44,0)</f>
        <v>0</v>
      </c>
      <c r="P38" s="66">
        <f>IFERROR('調查資料(OUT)'!AG$1*'調查資料(OUT)'!AG44,0)+IFERROR('調查資料(OUT)'!AJ$1*'調查資料(OUT)'!AJ44,0)+IFERROR('調查資料(OUT)'!AN$1*'調查資料(OUT)'!AN44,0)</f>
        <v>0</v>
      </c>
      <c r="Q38" s="316">
        <f>IFERROR('調查資料(OUT)'!AH$1*'調查資料(OUT)'!AH44,0)+IFERROR('調查資料(OUT)'!AK$1*'調查資料(OUT)'!AK44,0)+IFERROR('調查資料(OUT)'!AO$1*'調查資料(OUT)'!AO44,0)</f>
        <v>0</v>
      </c>
      <c r="R38" s="133">
        <f t="shared" si="72"/>
        <v>0</v>
      </c>
      <c r="S38" s="131"/>
      <c r="T38" s="366">
        <f>'調查資料(OUT)'!A44</f>
        <v>815</v>
      </c>
      <c r="U38" s="101">
        <f t="shared" si="73"/>
        <v>915</v>
      </c>
      <c r="V38" s="66">
        <f t="shared" si="74"/>
        <v>0</v>
      </c>
      <c r="W38" s="381"/>
      <c r="X38" s="66">
        <f t="shared" si="75"/>
        <v>0</v>
      </c>
      <c r="Y38" s="379" t="e">
        <f t="shared" si="26"/>
        <v>#DIV/0!</v>
      </c>
      <c r="Z38" s="379" t="e">
        <f t="shared" si="27"/>
        <v>#DIV/0!</v>
      </c>
      <c r="AA38" s="379" t="e">
        <f t="shared" si="28"/>
        <v>#DIV/0!</v>
      </c>
      <c r="AB38" s="379" t="e">
        <f t="shared" si="29"/>
        <v>#DIV/0!</v>
      </c>
      <c r="AC38" s="382"/>
      <c r="AD38" s="66">
        <f t="shared" si="30"/>
        <v>815</v>
      </c>
      <c r="AE38" s="316">
        <f t="shared" si="31"/>
        <v>915</v>
      </c>
      <c r="AF38" s="309">
        <f t="shared" si="76"/>
        <v>0</v>
      </c>
      <c r="AG38" s="66">
        <f>IF($AD38="N","N",SUM('調查資料(OUT)'!B44:B47))</f>
        <v>0</v>
      </c>
      <c r="AH38" s="66">
        <f>IF($AD38="N","N",SUM('調查資料(OUT)'!E44:E47))</f>
        <v>0</v>
      </c>
      <c r="AI38" s="66">
        <f>IF($AD38="N","N",SUM('調查資料(OUT)'!I44:I47))</f>
        <v>0</v>
      </c>
      <c r="AJ38" s="66">
        <f>IF($AD38="N","N",SUM('調查資料(OUT)'!H44:H47))</f>
        <v>0</v>
      </c>
      <c r="AK38" s="383" t="e">
        <f t="shared" si="77"/>
        <v>#DIV/0!</v>
      </c>
      <c r="AL38" s="66">
        <f t="shared" si="78"/>
        <v>0</v>
      </c>
      <c r="AM38" s="66">
        <f>IF($AD38="N","N",SUM('調查資料(OUT)'!C44:C47))</f>
        <v>0</v>
      </c>
      <c r="AN38" s="66">
        <f>IF($AD38="N","N",SUM('調查資料(OUT)'!F44:F47))</f>
        <v>0</v>
      </c>
      <c r="AO38" s="66">
        <f>IF($AD38="N","N",SUM('調查資料(OUT)'!J44:J47))</f>
        <v>0</v>
      </c>
      <c r="AP38" s="383" t="e">
        <f t="shared" si="79"/>
        <v>#DIV/0!</v>
      </c>
      <c r="AQ38" s="66">
        <f t="shared" si="80"/>
        <v>0</v>
      </c>
      <c r="AR38" s="66">
        <f>IF($AD38="N","N",SUM('調查資料(OUT)'!D44:D47))</f>
        <v>0</v>
      </c>
      <c r="AS38" s="66">
        <f>IF($AD38="N","N",SUM('調查資料(OUT)'!G44:G47))</f>
        <v>0</v>
      </c>
      <c r="AT38" s="66">
        <f>IF($AD38="N","N",SUM('調查資料(OUT)'!K44:K47))</f>
        <v>0</v>
      </c>
      <c r="AU38" s="383" t="e">
        <f t="shared" si="81"/>
        <v>#DIV/0!</v>
      </c>
      <c r="AV38" s="66">
        <f t="shared" si="38"/>
        <v>0</v>
      </c>
      <c r="AW38" s="383" t="e">
        <f t="shared" si="39"/>
        <v>#DIV/0!</v>
      </c>
      <c r="AX38" s="66">
        <f t="shared" si="40"/>
        <v>0</v>
      </c>
      <c r="AY38" s="383" t="e">
        <f t="shared" si="41"/>
        <v>#DIV/0!</v>
      </c>
      <c r="AZ38" s="66">
        <f t="shared" si="42"/>
        <v>0</v>
      </c>
      <c r="BA38" s="383" t="e">
        <f t="shared" si="43"/>
        <v>#DIV/0!</v>
      </c>
      <c r="BB38" s="316">
        <f t="shared" si="44"/>
        <v>0</v>
      </c>
      <c r="BC38" s="309">
        <f t="shared" si="82"/>
        <v>0</v>
      </c>
      <c r="BD38" s="66">
        <f>IF($AD38="N","N",SUM('調查資料(OUT)'!L44:L47))</f>
        <v>0</v>
      </c>
      <c r="BE38" s="66">
        <f>IF($AD38="N","N",SUM('調查資料(OUT)'!O44:O47))</f>
        <v>0</v>
      </c>
      <c r="BF38" s="66">
        <f>IF($AD38="N","N",SUM('調查資料(OUT)'!S44:S47))</f>
        <v>0</v>
      </c>
      <c r="BG38" s="66">
        <f>IF($AD38="N","N",SUM('調查資料(OUT)'!R44:R47))</f>
        <v>0</v>
      </c>
      <c r="BH38" s="383" t="e">
        <f t="shared" si="83"/>
        <v>#DIV/0!</v>
      </c>
      <c r="BI38" s="66">
        <f t="shared" si="84"/>
        <v>0</v>
      </c>
      <c r="BJ38" s="66">
        <f>IF($AD38="N","N",SUM('調查資料(OUT)'!M44:M47))</f>
        <v>0</v>
      </c>
      <c r="BK38" s="66">
        <f>IF($AD38="N","N",SUM('調查資料(OUT)'!P44:P47))</f>
        <v>0</v>
      </c>
      <c r="BL38" s="66">
        <f>IF($AD38="N","N",SUM('調查資料(OUT)'!T44:T47))</f>
        <v>0</v>
      </c>
      <c r="BM38" s="383" t="e">
        <f t="shared" si="85"/>
        <v>#DIV/0!</v>
      </c>
      <c r="BN38" s="66">
        <f t="shared" si="86"/>
        <v>0</v>
      </c>
      <c r="BO38" s="66">
        <f>IF($AD38="N","N",SUM('調查資料(OUT)'!N44:N47))</f>
        <v>0</v>
      </c>
      <c r="BP38" s="66">
        <f>IF($AD38="N","N",SUM('調查資料(OUT)'!Q44:Q47))</f>
        <v>0</v>
      </c>
      <c r="BQ38" s="66">
        <f>IF($AD38="N","N",SUM('調查資料(OUT)'!U44:U47))</f>
        <v>0</v>
      </c>
      <c r="BR38" s="383" t="e">
        <f t="shared" si="87"/>
        <v>#DIV/0!</v>
      </c>
      <c r="BS38" s="66">
        <f t="shared" si="45"/>
        <v>0</v>
      </c>
      <c r="BT38" s="383" t="e">
        <f t="shared" si="46"/>
        <v>#DIV/0!</v>
      </c>
      <c r="BU38" s="66">
        <f t="shared" si="47"/>
        <v>0</v>
      </c>
      <c r="BV38" s="383" t="e">
        <f t="shared" si="48"/>
        <v>#DIV/0!</v>
      </c>
      <c r="BW38" s="66">
        <f t="shared" si="49"/>
        <v>0</v>
      </c>
      <c r="BX38" s="383" t="e">
        <f t="shared" si="50"/>
        <v>#DIV/0!</v>
      </c>
      <c r="BY38" s="316">
        <f t="shared" si="51"/>
        <v>0</v>
      </c>
      <c r="BZ38" s="309">
        <f t="shared" si="88"/>
        <v>0</v>
      </c>
      <c r="CA38" s="66">
        <f>IF($AD38="N","N",SUM('調查資料(OUT)'!V44:V47))</f>
        <v>0</v>
      </c>
      <c r="CB38" s="66">
        <f>IF($AD38="N","N",SUM('調查資料(OUT)'!Y44:Y47))</f>
        <v>0</v>
      </c>
      <c r="CC38" s="66">
        <f>IF($AD38="N","N",SUM('調查資料(OUT)'!AC44:AC47))</f>
        <v>0</v>
      </c>
      <c r="CD38" s="66">
        <f>IF($AD38="N","N",SUM('調查資料(OUT)'!AB44:AB47))</f>
        <v>0</v>
      </c>
      <c r="CE38" s="383" t="e">
        <f t="shared" si="89"/>
        <v>#DIV/0!</v>
      </c>
      <c r="CF38" s="66">
        <f t="shared" si="90"/>
        <v>0</v>
      </c>
      <c r="CG38" s="66">
        <f>IF($AD38="N","N",SUM('調查資料(OUT)'!W44:W47))</f>
        <v>0</v>
      </c>
      <c r="CH38" s="66">
        <f>IF($AD38="N","N",SUM('調查資料(OUT)'!Z44:Z47))</f>
        <v>0</v>
      </c>
      <c r="CI38" s="66">
        <f>IF($AD38="N","N",SUM('調查資料(OUT)'!AD44:AD47))</f>
        <v>0</v>
      </c>
      <c r="CJ38" s="383" t="e">
        <f t="shared" si="91"/>
        <v>#DIV/0!</v>
      </c>
      <c r="CK38" s="66">
        <f t="shared" si="92"/>
        <v>0</v>
      </c>
      <c r="CL38" s="66">
        <f>IF($AD38="N","N",SUM('調查資料(OUT)'!X44:X47))</f>
        <v>0</v>
      </c>
      <c r="CM38" s="66">
        <f>IF($AD38="N","N",SUM('調查資料(OUT)'!AA44:AA47))</f>
        <v>0</v>
      </c>
      <c r="CN38" s="66">
        <f>IF($AD38="N","N",SUM('調查資料(OUT)'!AE44:AE47))</f>
        <v>0</v>
      </c>
      <c r="CO38" s="383" t="e">
        <f t="shared" si="93"/>
        <v>#DIV/0!</v>
      </c>
      <c r="CP38" s="66">
        <f t="shared" si="52"/>
        <v>0</v>
      </c>
      <c r="CQ38" s="383" t="e">
        <f t="shared" si="53"/>
        <v>#DIV/0!</v>
      </c>
      <c r="CR38" s="66">
        <f t="shared" si="54"/>
        <v>0</v>
      </c>
      <c r="CS38" s="383" t="e">
        <f t="shared" si="55"/>
        <v>#DIV/0!</v>
      </c>
      <c r="CT38" s="66">
        <f t="shared" si="56"/>
        <v>0</v>
      </c>
      <c r="CU38" s="383" t="e">
        <f t="shared" si="57"/>
        <v>#DIV/0!</v>
      </c>
      <c r="CV38" s="316">
        <f t="shared" si="58"/>
        <v>0</v>
      </c>
      <c r="CW38" s="309">
        <f t="shared" si="94"/>
        <v>0</v>
      </c>
      <c r="CX38" s="66">
        <f>IF($AD38="N","N",SUM('調查資料(OUT)'!AF44:AF47))</f>
        <v>0</v>
      </c>
      <c r="CY38" s="66">
        <f>IF($AD38="N","N",SUM('調查資料(OUT)'!AI44:AI47))</f>
        <v>0</v>
      </c>
      <c r="CZ38" s="66">
        <f>IF($AD38="N","N",SUM('調查資料(OUT)'!AM44:AM47))</f>
        <v>0</v>
      </c>
      <c r="DA38" s="66">
        <f>IF($AD38="N","N",SUM('調查資料(OUT)'!AL44:AL47))</f>
        <v>0</v>
      </c>
      <c r="DB38" s="383" t="e">
        <f t="shared" si="95"/>
        <v>#DIV/0!</v>
      </c>
      <c r="DC38" s="66">
        <f t="shared" si="96"/>
        <v>0</v>
      </c>
      <c r="DD38" s="66">
        <f>IF($AD38="N","N",SUM('調查資料(OUT)'!AG44:AG47))</f>
        <v>0</v>
      </c>
      <c r="DE38" s="66">
        <f>IF($AD38="N","N",SUM('調查資料(OUT)'!AJ44:AJ47))</f>
        <v>0</v>
      </c>
      <c r="DF38" s="66">
        <f>IF($AD38="N","N",SUM('調查資料(OUT)'!AN44:AN47))</f>
        <v>0</v>
      </c>
      <c r="DG38" s="383" t="e">
        <f t="shared" si="97"/>
        <v>#DIV/0!</v>
      </c>
      <c r="DH38" s="66">
        <f t="shared" si="98"/>
        <v>0</v>
      </c>
      <c r="DI38" s="66">
        <f>IF($AD38="N","N",SUM('調查資料(OUT)'!AH44:AH47))</f>
        <v>0</v>
      </c>
      <c r="DJ38" s="66">
        <f>IF($AD38="N","N",SUM('調查資料(OUT)'!AK44:AK47))</f>
        <v>0</v>
      </c>
      <c r="DK38" s="66">
        <f>IF($AD38="N","N",SUM('調查資料(OUT)'!AO44:AO47))</f>
        <v>0</v>
      </c>
      <c r="DL38" s="383" t="e">
        <f t="shared" si="99"/>
        <v>#DIV/0!</v>
      </c>
      <c r="DM38" s="66">
        <f t="shared" si="59"/>
        <v>0</v>
      </c>
      <c r="DN38" s="383" t="e">
        <f t="shared" si="60"/>
        <v>#DIV/0!</v>
      </c>
      <c r="DO38" s="66">
        <f t="shared" si="61"/>
        <v>0</v>
      </c>
      <c r="DP38" s="383" t="e">
        <f t="shared" si="62"/>
        <v>#DIV/0!</v>
      </c>
      <c r="DQ38" s="66">
        <f t="shared" si="63"/>
        <v>0</v>
      </c>
      <c r="DR38" s="383" t="e">
        <f t="shared" si="64"/>
        <v>#DIV/0!</v>
      </c>
      <c r="DS38" s="316">
        <f t="shared" si="65"/>
        <v>0</v>
      </c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D38" s="67"/>
      <c r="EE38" s="67"/>
      <c r="EF38" s="67"/>
      <c r="EG38" s="67"/>
      <c r="EH38" s="67"/>
      <c r="EI38" s="67"/>
      <c r="EJ38" s="67"/>
      <c r="EK38" s="67"/>
      <c r="EL38" s="67"/>
      <c r="EM38" s="67"/>
      <c r="EN38" s="67"/>
      <c r="EO38" s="67"/>
      <c r="EP38" s="67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67"/>
      <c r="FC38" s="67"/>
      <c r="FD38" s="67"/>
      <c r="FE38" s="67"/>
      <c r="FF38" s="67"/>
      <c r="FG38" s="67"/>
      <c r="FH38" s="67"/>
      <c r="FI38" s="67"/>
      <c r="FJ38" s="67"/>
      <c r="FK38" s="67"/>
      <c r="FL38" s="67"/>
      <c r="FM38" s="67"/>
      <c r="FN38" s="67"/>
    </row>
    <row r="39" spans="1:170">
      <c r="A39" s="118">
        <f>'調查資料(OUT)'!A45</f>
        <v>830</v>
      </c>
      <c r="B39" s="309">
        <f t="shared" si="70"/>
        <v>0</v>
      </c>
      <c r="C39" s="66">
        <f>IFERROR('調查資料(OUT)'!B$1*'調查資料(OUT)'!B45,0)+IFERROR('調查資料(OUT)'!E$1*'調查資料(OUT)'!E45,0)+IFERROR('調查資料(OUT)'!H$1*'調查資料(OUT)'!H45,0)+IFERROR('調查資料(OUT)'!I$1*'調查資料(OUT)'!I45,0)</f>
        <v>0</v>
      </c>
      <c r="D39" s="66">
        <f>IFERROR('調查資料(OUT)'!C$1*'調查資料(OUT)'!C45,0)+IFERROR('調查資料(OUT)'!F$1*'調查資料(OUT)'!F45,0)+IFERROR('調查資料(OUT)'!J$1*'調查資料(OUT)'!J45,0)</f>
        <v>0</v>
      </c>
      <c r="E39" s="316">
        <f>IFERROR('調查資料(OUT)'!D$1*'調查資料(OUT)'!D45,0)+IFERROR('調查資料(OUT)'!G$1*'調查資料(OUT)'!G45,0)+IFERROR('調查資料(OUT)'!K$1*'調查資料(OUT)'!K45,0)</f>
        <v>0</v>
      </c>
      <c r="F39" s="309">
        <f t="shared" si="71"/>
        <v>0</v>
      </c>
      <c r="G39" s="66">
        <f>IFERROR('調查資料(OUT)'!L$1*'調查資料(OUT)'!L45,0)+IFERROR('調查資料(OUT)'!O$1*'調查資料(OUT)'!O45,0)+IFERROR('調查資料(OUT)'!R$1*'調查資料(OUT)'!R45,0)+IFERROR('調查資料(OUT)'!S$1*'調查資料(OUT)'!S45,0)</f>
        <v>0</v>
      </c>
      <c r="H39" s="66">
        <f>IFERROR('調查資料(OUT)'!M$1*'調查資料(OUT)'!M45,0)+IFERROR('調查資料(OUT)'!P$1*'調查資料(OUT)'!P45,0)+IFERROR('調查資料(OUT)'!T$1*'調查資料(OUT)'!T45,0)</f>
        <v>0</v>
      </c>
      <c r="I39" s="316">
        <f>IFERROR('調查資料(OUT)'!N$1*'調查資料(OUT)'!N45,0)+IFERROR('調查資料(OUT)'!Q$1*'調查資料(OUT)'!Q45,0)+IFERROR('調查資料(OUT)'!U$1*'調查資料(OUT)'!U45,0)</f>
        <v>0</v>
      </c>
      <c r="J39" s="309">
        <f t="shared" si="24"/>
        <v>0</v>
      </c>
      <c r="K39" s="66">
        <f>IFERROR('調查資料(OUT)'!V$1*'調查資料(OUT)'!V45,0)+IFERROR('調查資料(OUT)'!Y$1*'調查資料(OUT)'!Y45,0)+IFERROR('調查資料(OUT)'!AB$1*'調查資料(OUT)'!AB45,0)+IFERROR('調查資料(OUT)'!AC$1*'調查資料(OUT)'!AC45,0)</f>
        <v>0</v>
      </c>
      <c r="L39" s="66">
        <f>IFERROR('調查資料(OUT)'!W$1*'調查資料(OUT)'!W45,0)+IFERROR('調查資料(OUT)'!Z$1*'調查資料(OUT)'!Z45,0)+IFERROR('調查資料(OUT)'!AD$1*'調查資料(OUT)'!AD45,0)</f>
        <v>0</v>
      </c>
      <c r="M39" s="316">
        <f>IFERROR('調查資料(OUT)'!X$1*'調查資料(OUT)'!X45,0)+IFERROR('調查資料(OUT)'!AA$1*'調查資料(OUT)'!AA45,0)+IFERROR('調查資料(OUT)'!AE$1*'調查資料(OUT)'!AE45,0)</f>
        <v>0</v>
      </c>
      <c r="N39" s="309">
        <f t="shared" si="25"/>
        <v>0</v>
      </c>
      <c r="O39" s="66">
        <f>IFERROR('調查資料(OUT)'!AF$1*'調查資料(OUT)'!AF45,0)+IFERROR('調查資料(OUT)'!AI$1*'調查資料(OUT)'!AI45,0)+IFERROR('調查資料(OUT)'!AL$1*'調查資料(OUT)'!AL45,0)+IFERROR('調查資料(OUT)'!AM$1*'調查資料(OUT)'!AM45,0)</f>
        <v>0</v>
      </c>
      <c r="P39" s="66">
        <f>IFERROR('調查資料(OUT)'!AG$1*'調查資料(OUT)'!AG45,0)+IFERROR('調查資料(OUT)'!AJ$1*'調查資料(OUT)'!AJ45,0)+IFERROR('調查資料(OUT)'!AN$1*'調查資料(OUT)'!AN45,0)</f>
        <v>0</v>
      </c>
      <c r="Q39" s="316">
        <f>IFERROR('調查資料(OUT)'!AH$1*'調查資料(OUT)'!AH45,0)+IFERROR('調查資料(OUT)'!AK$1*'調查資料(OUT)'!AK45,0)+IFERROR('調查資料(OUT)'!AO$1*'調查資料(OUT)'!AO45,0)</f>
        <v>0</v>
      </c>
      <c r="R39" s="133">
        <f t="shared" si="72"/>
        <v>0</v>
      </c>
      <c r="S39" s="131"/>
      <c r="T39" s="366">
        <f>'調查資料(OUT)'!A45</f>
        <v>830</v>
      </c>
      <c r="U39" s="101">
        <f t="shared" si="73"/>
        <v>930</v>
      </c>
      <c r="V39" s="66">
        <f t="shared" si="74"/>
        <v>0</v>
      </c>
      <c r="W39" s="381"/>
      <c r="X39" s="66">
        <f t="shared" si="75"/>
        <v>0</v>
      </c>
      <c r="Y39" s="379" t="e">
        <f t="shared" si="26"/>
        <v>#DIV/0!</v>
      </c>
      <c r="Z39" s="379" t="e">
        <f t="shared" si="27"/>
        <v>#DIV/0!</v>
      </c>
      <c r="AA39" s="379" t="e">
        <f t="shared" si="28"/>
        <v>#DIV/0!</v>
      </c>
      <c r="AB39" s="379" t="e">
        <f t="shared" si="29"/>
        <v>#DIV/0!</v>
      </c>
      <c r="AC39" s="382"/>
      <c r="AD39" s="66">
        <f t="shared" si="30"/>
        <v>830</v>
      </c>
      <c r="AE39" s="316">
        <f t="shared" si="31"/>
        <v>930</v>
      </c>
      <c r="AF39" s="309">
        <f t="shared" si="76"/>
        <v>0</v>
      </c>
      <c r="AG39" s="66">
        <f>IF($AD39="N","N",SUM('調查資料(OUT)'!B45:B48))</f>
        <v>0</v>
      </c>
      <c r="AH39" s="66">
        <f>IF($AD39="N","N",SUM('調查資料(OUT)'!E45:E48))</f>
        <v>0</v>
      </c>
      <c r="AI39" s="66">
        <f>IF($AD39="N","N",SUM('調查資料(OUT)'!I45:I48))</f>
        <v>0</v>
      </c>
      <c r="AJ39" s="66">
        <f>IF($AD39="N","N",SUM('調查資料(OUT)'!H45:H48))</f>
        <v>0</v>
      </c>
      <c r="AK39" s="383" t="e">
        <f t="shared" si="77"/>
        <v>#DIV/0!</v>
      </c>
      <c r="AL39" s="66">
        <f t="shared" si="78"/>
        <v>0</v>
      </c>
      <c r="AM39" s="66">
        <f>IF($AD39="N","N",SUM('調查資料(OUT)'!C45:C48))</f>
        <v>0</v>
      </c>
      <c r="AN39" s="66">
        <f>IF($AD39="N","N",SUM('調查資料(OUT)'!F45:F48))</f>
        <v>0</v>
      </c>
      <c r="AO39" s="66">
        <f>IF($AD39="N","N",SUM('調查資料(OUT)'!J45:J48))</f>
        <v>0</v>
      </c>
      <c r="AP39" s="383" t="e">
        <f t="shared" si="79"/>
        <v>#DIV/0!</v>
      </c>
      <c r="AQ39" s="66">
        <f t="shared" si="80"/>
        <v>0</v>
      </c>
      <c r="AR39" s="66">
        <f>IF($AD39="N","N",SUM('調查資料(OUT)'!D45:D48))</f>
        <v>0</v>
      </c>
      <c r="AS39" s="66">
        <f>IF($AD39="N","N",SUM('調查資料(OUT)'!G45:G48))</f>
        <v>0</v>
      </c>
      <c r="AT39" s="66">
        <f>IF($AD39="N","N",SUM('調查資料(OUT)'!K45:K48))</f>
        <v>0</v>
      </c>
      <c r="AU39" s="383" t="e">
        <f t="shared" si="81"/>
        <v>#DIV/0!</v>
      </c>
      <c r="AV39" s="66">
        <f t="shared" si="38"/>
        <v>0</v>
      </c>
      <c r="AW39" s="383" t="e">
        <f t="shared" si="39"/>
        <v>#DIV/0!</v>
      </c>
      <c r="AX39" s="66">
        <f t="shared" si="40"/>
        <v>0</v>
      </c>
      <c r="AY39" s="383" t="e">
        <f t="shared" si="41"/>
        <v>#DIV/0!</v>
      </c>
      <c r="AZ39" s="66">
        <f t="shared" si="42"/>
        <v>0</v>
      </c>
      <c r="BA39" s="383" t="e">
        <f t="shared" si="43"/>
        <v>#DIV/0!</v>
      </c>
      <c r="BB39" s="316">
        <f t="shared" si="44"/>
        <v>0</v>
      </c>
      <c r="BC39" s="309">
        <f t="shared" si="82"/>
        <v>0</v>
      </c>
      <c r="BD39" s="66">
        <f>IF($AD39="N","N",SUM('調查資料(OUT)'!L45:L48))</f>
        <v>0</v>
      </c>
      <c r="BE39" s="66">
        <f>IF($AD39="N","N",SUM('調查資料(OUT)'!O45:O48))</f>
        <v>0</v>
      </c>
      <c r="BF39" s="66">
        <f>IF($AD39="N","N",SUM('調查資料(OUT)'!S45:S48))</f>
        <v>0</v>
      </c>
      <c r="BG39" s="66">
        <f>IF($AD39="N","N",SUM('調查資料(OUT)'!R45:R48))</f>
        <v>0</v>
      </c>
      <c r="BH39" s="383" t="e">
        <f t="shared" si="83"/>
        <v>#DIV/0!</v>
      </c>
      <c r="BI39" s="66">
        <f t="shared" si="84"/>
        <v>0</v>
      </c>
      <c r="BJ39" s="66">
        <f>IF($AD39="N","N",SUM('調查資料(OUT)'!M45:M48))</f>
        <v>0</v>
      </c>
      <c r="BK39" s="66">
        <f>IF($AD39="N","N",SUM('調查資料(OUT)'!P45:P48))</f>
        <v>0</v>
      </c>
      <c r="BL39" s="66">
        <f>IF($AD39="N","N",SUM('調查資料(OUT)'!T45:T48))</f>
        <v>0</v>
      </c>
      <c r="BM39" s="383" t="e">
        <f t="shared" si="85"/>
        <v>#DIV/0!</v>
      </c>
      <c r="BN39" s="66">
        <f t="shared" si="86"/>
        <v>0</v>
      </c>
      <c r="BO39" s="66">
        <f>IF($AD39="N","N",SUM('調查資料(OUT)'!N45:N48))</f>
        <v>0</v>
      </c>
      <c r="BP39" s="66">
        <f>IF($AD39="N","N",SUM('調查資料(OUT)'!Q45:Q48))</f>
        <v>0</v>
      </c>
      <c r="BQ39" s="66">
        <f>IF($AD39="N","N",SUM('調查資料(OUT)'!U45:U48))</f>
        <v>0</v>
      </c>
      <c r="BR39" s="383" t="e">
        <f t="shared" si="87"/>
        <v>#DIV/0!</v>
      </c>
      <c r="BS39" s="66">
        <f t="shared" si="45"/>
        <v>0</v>
      </c>
      <c r="BT39" s="383" t="e">
        <f t="shared" si="46"/>
        <v>#DIV/0!</v>
      </c>
      <c r="BU39" s="66">
        <f t="shared" si="47"/>
        <v>0</v>
      </c>
      <c r="BV39" s="383" t="e">
        <f t="shared" si="48"/>
        <v>#DIV/0!</v>
      </c>
      <c r="BW39" s="66">
        <f t="shared" si="49"/>
        <v>0</v>
      </c>
      <c r="BX39" s="383" t="e">
        <f t="shared" si="50"/>
        <v>#DIV/0!</v>
      </c>
      <c r="BY39" s="316">
        <f t="shared" si="51"/>
        <v>0</v>
      </c>
      <c r="BZ39" s="309">
        <f t="shared" si="88"/>
        <v>0</v>
      </c>
      <c r="CA39" s="66">
        <f>IF($AD39="N","N",SUM('調查資料(OUT)'!V45:V48))</f>
        <v>0</v>
      </c>
      <c r="CB39" s="66">
        <f>IF($AD39="N","N",SUM('調查資料(OUT)'!Y45:Y48))</f>
        <v>0</v>
      </c>
      <c r="CC39" s="66">
        <f>IF($AD39="N","N",SUM('調查資料(OUT)'!AC45:AC48))</f>
        <v>0</v>
      </c>
      <c r="CD39" s="66">
        <f>IF($AD39="N","N",SUM('調查資料(OUT)'!AB45:AB48))</f>
        <v>0</v>
      </c>
      <c r="CE39" s="383" t="e">
        <f t="shared" si="89"/>
        <v>#DIV/0!</v>
      </c>
      <c r="CF39" s="66">
        <f t="shared" si="90"/>
        <v>0</v>
      </c>
      <c r="CG39" s="66">
        <f>IF($AD39="N","N",SUM('調查資料(OUT)'!W45:W48))</f>
        <v>0</v>
      </c>
      <c r="CH39" s="66">
        <f>IF($AD39="N","N",SUM('調查資料(OUT)'!Z45:Z48))</f>
        <v>0</v>
      </c>
      <c r="CI39" s="66">
        <f>IF($AD39="N","N",SUM('調查資料(OUT)'!AD45:AD48))</f>
        <v>0</v>
      </c>
      <c r="CJ39" s="383" t="e">
        <f t="shared" si="91"/>
        <v>#DIV/0!</v>
      </c>
      <c r="CK39" s="66">
        <f t="shared" si="92"/>
        <v>0</v>
      </c>
      <c r="CL39" s="66">
        <f>IF($AD39="N","N",SUM('調查資料(OUT)'!X45:X48))</f>
        <v>0</v>
      </c>
      <c r="CM39" s="66">
        <f>IF($AD39="N","N",SUM('調查資料(OUT)'!AA45:AA48))</f>
        <v>0</v>
      </c>
      <c r="CN39" s="66">
        <f>IF($AD39="N","N",SUM('調查資料(OUT)'!AE45:AE48))</f>
        <v>0</v>
      </c>
      <c r="CO39" s="383" t="e">
        <f t="shared" si="93"/>
        <v>#DIV/0!</v>
      </c>
      <c r="CP39" s="66">
        <f t="shared" si="52"/>
        <v>0</v>
      </c>
      <c r="CQ39" s="383" t="e">
        <f t="shared" si="53"/>
        <v>#DIV/0!</v>
      </c>
      <c r="CR39" s="66">
        <f t="shared" si="54"/>
        <v>0</v>
      </c>
      <c r="CS39" s="383" t="e">
        <f t="shared" si="55"/>
        <v>#DIV/0!</v>
      </c>
      <c r="CT39" s="66">
        <f t="shared" si="56"/>
        <v>0</v>
      </c>
      <c r="CU39" s="383" t="e">
        <f t="shared" si="57"/>
        <v>#DIV/0!</v>
      </c>
      <c r="CV39" s="316">
        <f t="shared" si="58"/>
        <v>0</v>
      </c>
      <c r="CW39" s="309">
        <f t="shared" si="94"/>
        <v>0</v>
      </c>
      <c r="CX39" s="66">
        <f>IF($AD39="N","N",SUM('調查資料(OUT)'!AF45:AF48))</f>
        <v>0</v>
      </c>
      <c r="CY39" s="66">
        <f>IF($AD39="N","N",SUM('調查資料(OUT)'!AI45:AI48))</f>
        <v>0</v>
      </c>
      <c r="CZ39" s="66">
        <f>IF($AD39="N","N",SUM('調查資料(OUT)'!AM45:AM48))</f>
        <v>0</v>
      </c>
      <c r="DA39" s="66">
        <f>IF($AD39="N","N",SUM('調查資料(OUT)'!AL45:AL48))</f>
        <v>0</v>
      </c>
      <c r="DB39" s="383" t="e">
        <f t="shared" si="95"/>
        <v>#DIV/0!</v>
      </c>
      <c r="DC39" s="66">
        <f t="shared" si="96"/>
        <v>0</v>
      </c>
      <c r="DD39" s="66">
        <f>IF($AD39="N","N",SUM('調查資料(OUT)'!AG45:AG48))</f>
        <v>0</v>
      </c>
      <c r="DE39" s="66">
        <f>IF($AD39="N","N",SUM('調查資料(OUT)'!AJ45:AJ48))</f>
        <v>0</v>
      </c>
      <c r="DF39" s="66">
        <f>IF($AD39="N","N",SUM('調查資料(OUT)'!AN45:AN48))</f>
        <v>0</v>
      </c>
      <c r="DG39" s="383" t="e">
        <f t="shared" si="97"/>
        <v>#DIV/0!</v>
      </c>
      <c r="DH39" s="66">
        <f t="shared" si="98"/>
        <v>0</v>
      </c>
      <c r="DI39" s="66">
        <f>IF($AD39="N","N",SUM('調查資料(OUT)'!AH45:AH48))</f>
        <v>0</v>
      </c>
      <c r="DJ39" s="66">
        <f>IF($AD39="N","N",SUM('調查資料(OUT)'!AK45:AK48))</f>
        <v>0</v>
      </c>
      <c r="DK39" s="66">
        <f>IF($AD39="N","N",SUM('調查資料(OUT)'!AO45:AO48))</f>
        <v>0</v>
      </c>
      <c r="DL39" s="383" t="e">
        <f t="shared" si="99"/>
        <v>#DIV/0!</v>
      </c>
      <c r="DM39" s="66">
        <f t="shared" si="59"/>
        <v>0</v>
      </c>
      <c r="DN39" s="383" t="e">
        <f t="shared" si="60"/>
        <v>#DIV/0!</v>
      </c>
      <c r="DO39" s="66">
        <f t="shared" si="61"/>
        <v>0</v>
      </c>
      <c r="DP39" s="383" t="e">
        <f t="shared" si="62"/>
        <v>#DIV/0!</v>
      </c>
      <c r="DQ39" s="66">
        <f t="shared" si="63"/>
        <v>0</v>
      </c>
      <c r="DR39" s="383" t="e">
        <f t="shared" si="64"/>
        <v>#DIV/0!</v>
      </c>
      <c r="DS39" s="316">
        <f t="shared" si="65"/>
        <v>0</v>
      </c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I39" s="67"/>
      <c r="FJ39" s="67"/>
      <c r="FK39" s="67"/>
      <c r="FL39" s="67"/>
      <c r="FM39" s="67"/>
      <c r="FN39" s="67"/>
    </row>
    <row r="40" spans="1:170">
      <c r="A40" s="118">
        <f>'調查資料(OUT)'!A46</f>
        <v>845</v>
      </c>
      <c r="B40" s="309">
        <f t="shared" si="70"/>
        <v>0</v>
      </c>
      <c r="C40" s="66">
        <f>IFERROR('調查資料(OUT)'!B$1*'調查資料(OUT)'!B46,0)+IFERROR('調查資料(OUT)'!E$1*'調查資料(OUT)'!E46,0)+IFERROR('調查資料(OUT)'!H$1*'調查資料(OUT)'!H46,0)+IFERROR('調查資料(OUT)'!I$1*'調查資料(OUT)'!I46,0)</f>
        <v>0</v>
      </c>
      <c r="D40" s="66">
        <f>IFERROR('調查資料(OUT)'!C$1*'調查資料(OUT)'!C46,0)+IFERROR('調查資料(OUT)'!F$1*'調查資料(OUT)'!F46,0)+IFERROR('調查資料(OUT)'!J$1*'調查資料(OUT)'!J46,0)</f>
        <v>0</v>
      </c>
      <c r="E40" s="316">
        <f>IFERROR('調查資料(OUT)'!D$1*'調查資料(OUT)'!D46,0)+IFERROR('調查資料(OUT)'!G$1*'調查資料(OUT)'!G46,0)+IFERROR('調查資料(OUT)'!K$1*'調查資料(OUT)'!K46,0)</f>
        <v>0</v>
      </c>
      <c r="F40" s="309">
        <f t="shared" si="71"/>
        <v>0</v>
      </c>
      <c r="G40" s="66">
        <f>IFERROR('調查資料(OUT)'!L$1*'調查資料(OUT)'!L46,0)+IFERROR('調查資料(OUT)'!O$1*'調查資料(OUT)'!O46,0)+IFERROR('調查資料(OUT)'!R$1*'調查資料(OUT)'!R46,0)+IFERROR('調查資料(OUT)'!S$1*'調查資料(OUT)'!S46,0)</f>
        <v>0</v>
      </c>
      <c r="H40" s="66">
        <f>IFERROR('調查資料(OUT)'!M$1*'調查資料(OUT)'!M46,0)+IFERROR('調查資料(OUT)'!P$1*'調查資料(OUT)'!P46,0)+IFERROR('調查資料(OUT)'!T$1*'調查資料(OUT)'!T46,0)</f>
        <v>0</v>
      </c>
      <c r="I40" s="316">
        <f>IFERROR('調查資料(OUT)'!N$1*'調查資料(OUT)'!N46,0)+IFERROR('調查資料(OUT)'!Q$1*'調查資料(OUT)'!Q46,0)+IFERROR('調查資料(OUT)'!U$1*'調查資料(OUT)'!U46,0)</f>
        <v>0</v>
      </c>
      <c r="J40" s="309">
        <f t="shared" si="24"/>
        <v>0</v>
      </c>
      <c r="K40" s="66">
        <f>IFERROR('調查資料(OUT)'!V$1*'調查資料(OUT)'!V46,0)+IFERROR('調查資料(OUT)'!Y$1*'調查資料(OUT)'!Y46,0)+IFERROR('調查資料(OUT)'!AB$1*'調查資料(OUT)'!AB46,0)+IFERROR('調查資料(OUT)'!AC$1*'調查資料(OUT)'!AC46,0)</f>
        <v>0</v>
      </c>
      <c r="L40" s="66">
        <f>IFERROR('調查資料(OUT)'!W$1*'調查資料(OUT)'!W46,0)+IFERROR('調查資料(OUT)'!Z$1*'調查資料(OUT)'!Z46,0)+IFERROR('調查資料(OUT)'!AD$1*'調查資料(OUT)'!AD46,0)</f>
        <v>0</v>
      </c>
      <c r="M40" s="316">
        <f>IFERROR('調查資料(OUT)'!X$1*'調查資料(OUT)'!X46,0)+IFERROR('調查資料(OUT)'!AA$1*'調查資料(OUT)'!AA46,0)+IFERROR('調查資料(OUT)'!AE$1*'調查資料(OUT)'!AE46,0)</f>
        <v>0</v>
      </c>
      <c r="N40" s="309">
        <f t="shared" si="25"/>
        <v>0</v>
      </c>
      <c r="O40" s="66">
        <f>IFERROR('調查資料(OUT)'!AF$1*'調查資料(OUT)'!AF46,0)+IFERROR('調查資料(OUT)'!AI$1*'調查資料(OUT)'!AI46,0)+IFERROR('調查資料(OUT)'!AL$1*'調查資料(OUT)'!AL46,0)+IFERROR('調查資料(OUT)'!AM$1*'調查資料(OUT)'!AM46,0)</f>
        <v>0</v>
      </c>
      <c r="P40" s="66">
        <f>IFERROR('調查資料(OUT)'!AG$1*'調查資料(OUT)'!AG46,0)+IFERROR('調查資料(OUT)'!AJ$1*'調查資料(OUT)'!AJ46,0)+IFERROR('調查資料(OUT)'!AN$1*'調查資料(OUT)'!AN46,0)</f>
        <v>0</v>
      </c>
      <c r="Q40" s="316">
        <f>IFERROR('調查資料(OUT)'!AH$1*'調查資料(OUT)'!AH46,0)+IFERROR('調查資料(OUT)'!AK$1*'調查資料(OUT)'!AK46,0)+IFERROR('調查資料(OUT)'!AO$1*'調查資料(OUT)'!AO46,0)</f>
        <v>0</v>
      </c>
      <c r="R40" s="133">
        <f t="shared" si="72"/>
        <v>0</v>
      </c>
      <c r="S40" s="131"/>
      <c r="T40" s="366">
        <f>'調查資料(OUT)'!A46</f>
        <v>845</v>
      </c>
      <c r="U40" s="101">
        <f t="shared" si="73"/>
        <v>945</v>
      </c>
      <c r="V40" s="66">
        <f t="shared" si="74"/>
        <v>0</v>
      </c>
      <c r="W40" s="381"/>
      <c r="X40" s="66">
        <f t="shared" si="75"/>
        <v>0</v>
      </c>
      <c r="Y40" s="379" t="e">
        <f>IF($V40=W$5,SUM(B40:B43)/(4*(MAX(B40:B43))),0)</f>
        <v>#DIV/0!</v>
      </c>
      <c r="Z40" s="379" t="e">
        <f>IF($V40=W$5,SUM(F40:F43)/(4*(MAX(F40:F43))),0)</f>
        <v>#DIV/0!</v>
      </c>
      <c r="AA40" s="379" t="e">
        <f t="shared" si="28"/>
        <v>#DIV/0!</v>
      </c>
      <c r="AB40" s="379" t="e">
        <f t="shared" si="29"/>
        <v>#DIV/0!</v>
      </c>
      <c r="AC40" s="382"/>
      <c r="AD40" s="66">
        <f>IF(V40=W$5,$T40,"N")</f>
        <v>845</v>
      </c>
      <c r="AE40" s="316">
        <f>IF(V40=W$5,$U40,"N")</f>
        <v>945</v>
      </c>
      <c r="AF40" s="309">
        <f t="shared" si="76"/>
        <v>0</v>
      </c>
      <c r="AG40" s="66">
        <f>IF($AD40="N","N",SUM('調查資料(OUT)'!B46:B49))</f>
        <v>0</v>
      </c>
      <c r="AH40" s="66">
        <f>IF($AD40="N","N",SUM('調查資料(OUT)'!E46:E49))</f>
        <v>0</v>
      </c>
      <c r="AI40" s="66">
        <f>IF($AD40="N","N",SUM('調查資料(OUT)'!I46:I49))</f>
        <v>0</v>
      </c>
      <c r="AJ40" s="66">
        <f>IF($AD40="N","N",SUM('調查資料(OUT)'!H46:H49))</f>
        <v>0</v>
      </c>
      <c r="AK40" s="383" t="e">
        <f t="shared" si="77"/>
        <v>#DIV/0!</v>
      </c>
      <c r="AL40" s="66">
        <f t="shared" si="78"/>
        <v>0</v>
      </c>
      <c r="AM40" s="66">
        <f>IF($AD40="N","N",SUM('調查資料(OUT)'!C46:C49))</f>
        <v>0</v>
      </c>
      <c r="AN40" s="66">
        <f>IF($AD40="N","N",SUM('調查資料(OUT)'!F46:F49))</f>
        <v>0</v>
      </c>
      <c r="AO40" s="66">
        <f>IF($AD40="N","N",SUM('調查資料(OUT)'!J46:J49))</f>
        <v>0</v>
      </c>
      <c r="AP40" s="383" t="e">
        <f t="shared" si="79"/>
        <v>#DIV/0!</v>
      </c>
      <c r="AQ40" s="66">
        <f t="shared" si="80"/>
        <v>0</v>
      </c>
      <c r="AR40" s="66">
        <f>IF($AD40="N","N",SUM('調查資料(OUT)'!D46:D49))</f>
        <v>0</v>
      </c>
      <c r="AS40" s="66">
        <f>IF($AD40="N","N",SUM('調查資料(OUT)'!G46:G49))</f>
        <v>0</v>
      </c>
      <c r="AT40" s="66">
        <f>IF($AD40="N","N",SUM('調查資料(OUT)'!K46:K49))</f>
        <v>0</v>
      </c>
      <c r="AU40" s="383" t="e">
        <f t="shared" si="81"/>
        <v>#DIV/0!</v>
      </c>
      <c r="AV40" s="66">
        <f t="shared" si="38"/>
        <v>0</v>
      </c>
      <c r="AW40" s="383" t="e">
        <f t="shared" si="39"/>
        <v>#DIV/0!</v>
      </c>
      <c r="AX40" s="66">
        <f t="shared" si="40"/>
        <v>0</v>
      </c>
      <c r="AY40" s="383" t="e">
        <f t="shared" si="41"/>
        <v>#DIV/0!</v>
      </c>
      <c r="AZ40" s="66">
        <f t="shared" si="42"/>
        <v>0</v>
      </c>
      <c r="BA40" s="383" t="e">
        <f t="shared" si="43"/>
        <v>#DIV/0!</v>
      </c>
      <c r="BB40" s="316">
        <f t="shared" si="44"/>
        <v>0</v>
      </c>
      <c r="BC40" s="309">
        <f t="shared" si="82"/>
        <v>0</v>
      </c>
      <c r="BD40" s="66">
        <f>IF($AD40="N","N",SUM('調查資料(OUT)'!L46:L49))</f>
        <v>0</v>
      </c>
      <c r="BE40" s="66">
        <f>IF($AD40="N","N",SUM('調查資料(OUT)'!O46:O49))</f>
        <v>0</v>
      </c>
      <c r="BF40" s="66">
        <f>IF($AD40="N","N",SUM('調查資料(OUT)'!S46:S49))</f>
        <v>0</v>
      </c>
      <c r="BG40" s="66">
        <f>IF($AD40="N","N",SUM('調查資料(OUT)'!R46:R49))</f>
        <v>0</v>
      </c>
      <c r="BH40" s="383" t="e">
        <f t="shared" si="83"/>
        <v>#DIV/0!</v>
      </c>
      <c r="BI40" s="66">
        <f t="shared" si="84"/>
        <v>0</v>
      </c>
      <c r="BJ40" s="66">
        <f>IF($AD40="N","N",SUM('調查資料(OUT)'!M46:M49))</f>
        <v>0</v>
      </c>
      <c r="BK40" s="66">
        <f>IF($AD40="N","N",SUM('調查資料(OUT)'!P46:P49))</f>
        <v>0</v>
      </c>
      <c r="BL40" s="66">
        <f>IF($AD40="N","N",SUM('調查資料(OUT)'!T46:T49))</f>
        <v>0</v>
      </c>
      <c r="BM40" s="383" t="e">
        <f t="shared" si="85"/>
        <v>#DIV/0!</v>
      </c>
      <c r="BN40" s="66">
        <f t="shared" si="86"/>
        <v>0</v>
      </c>
      <c r="BO40" s="66">
        <f>IF($AD40="N","N",SUM('調查資料(OUT)'!N46:N49))</f>
        <v>0</v>
      </c>
      <c r="BP40" s="66">
        <f>IF($AD40="N","N",SUM('調查資料(OUT)'!Q46:Q49))</f>
        <v>0</v>
      </c>
      <c r="BQ40" s="66">
        <f>IF($AD40="N","N",SUM('調查資料(OUT)'!U46:U49))</f>
        <v>0</v>
      </c>
      <c r="BR40" s="383" t="e">
        <f t="shared" si="87"/>
        <v>#DIV/0!</v>
      </c>
      <c r="BS40" s="66">
        <f t="shared" si="45"/>
        <v>0</v>
      </c>
      <c r="BT40" s="383" t="e">
        <f t="shared" si="46"/>
        <v>#DIV/0!</v>
      </c>
      <c r="BU40" s="66">
        <f t="shared" si="47"/>
        <v>0</v>
      </c>
      <c r="BV40" s="383" t="e">
        <f t="shared" si="48"/>
        <v>#DIV/0!</v>
      </c>
      <c r="BW40" s="66">
        <f t="shared" si="49"/>
        <v>0</v>
      </c>
      <c r="BX40" s="383" t="e">
        <f t="shared" si="50"/>
        <v>#DIV/0!</v>
      </c>
      <c r="BY40" s="316">
        <f t="shared" si="51"/>
        <v>0</v>
      </c>
      <c r="BZ40" s="309">
        <f t="shared" si="88"/>
        <v>0</v>
      </c>
      <c r="CA40" s="66">
        <f>IF($AD40="N","N",SUM('調查資料(OUT)'!V46:V49))</f>
        <v>0</v>
      </c>
      <c r="CB40" s="66">
        <f>IF($AD40="N","N",SUM('調查資料(OUT)'!Y46:Y49))</f>
        <v>0</v>
      </c>
      <c r="CC40" s="66">
        <f>IF($AD40="N","N",SUM('調查資料(OUT)'!AC46:AC49))</f>
        <v>0</v>
      </c>
      <c r="CD40" s="66">
        <f>IF($AD40="N","N",SUM('調查資料(OUT)'!AB46:AB49))</f>
        <v>0</v>
      </c>
      <c r="CE40" s="383" t="e">
        <f t="shared" si="89"/>
        <v>#DIV/0!</v>
      </c>
      <c r="CF40" s="66">
        <f t="shared" si="90"/>
        <v>0</v>
      </c>
      <c r="CG40" s="66">
        <f>IF($AD40="N","N",SUM('調查資料(OUT)'!W46:W49))</f>
        <v>0</v>
      </c>
      <c r="CH40" s="66">
        <f>IF($AD40="N","N",SUM('調查資料(OUT)'!Z46:Z49))</f>
        <v>0</v>
      </c>
      <c r="CI40" s="66">
        <f>IF($AD40="N","N",SUM('調查資料(OUT)'!AD46:AD49))</f>
        <v>0</v>
      </c>
      <c r="CJ40" s="383" t="e">
        <f t="shared" si="91"/>
        <v>#DIV/0!</v>
      </c>
      <c r="CK40" s="66">
        <f t="shared" si="92"/>
        <v>0</v>
      </c>
      <c r="CL40" s="66">
        <f>IF($AD40="N","N",SUM('調查資料(OUT)'!X46:X49))</f>
        <v>0</v>
      </c>
      <c r="CM40" s="66">
        <f>IF($AD40="N","N",SUM('調查資料(OUT)'!AA46:AA49))</f>
        <v>0</v>
      </c>
      <c r="CN40" s="66">
        <f>IF($AD40="N","N",SUM('調查資料(OUT)'!AE46:AE49))</f>
        <v>0</v>
      </c>
      <c r="CO40" s="383" t="e">
        <f t="shared" si="93"/>
        <v>#DIV/0!</v>
      </c>
      <c r="CP40" s="66">
        <f t="shared" si="52"/>
        <v>0</v>
      </c>
      <c r="CQ40" s="383" t="e">
        <f t="shared" si="53"/>
        <v>#DIV/0!</v>
      </c>
      <c r="CR40" s="66">
        <f t="shared" si="54"/>
        <v>0</v>
      </c>
      <c r="CS40" s="383" t="e">
        <f t="shared" si="55"/>
        <v>#DIV/0!</v>
      </c>
      <c r="CT40" s="66">
        <f t="shared" si="56"/>
        <v>0</v>
      </c>
      <c r="CU40" s="383" t="e">
        <f t="shared" si="57"/>
        <v>#DIV/0!</v>
      </c>
      <c r="CV40" s="316">
        <f t="shared" si="58"/>
        <v>0</v>
      </c>
      <c r="CW40" s="309">
        <f t="shared" si="94"/>
        <v>0</v>
      </c>
      <c r="CX40" s="66">
        <f>IF($AD40="N","N",SUM('調查資料(OUT)'!AF46:AF49))</f>
        <v>0</v>
      </c>
      <c r="CY40" s="66">
        <f>IF($AD40="N","N",SUM('調查資料(OUT)'!AI46:AI49))</f>
        <v>0</v>
      </c>
      <c r="CZ40" s="66">
        <f>IF($AD40="N","N",SUM('調查資料(OUT)'!AM46:AM49))</f>
        <v>0</v>
      </c>
      <c r="DA40" s="66">
        <f>IF($AD40="N","N",SUM('調查資料(OUT)'!AL46:AL49))</f>
        <v>0</v>
      </c>
      <c r="DB40" s="383" t="e">
        <f t="shared" si="95"/>
        <v>#DIV/0!</v>
      </c>
      <c r="DC40" s="66">
        <f t="shared" si="96"/>
        <v>0</v>
      </c>
      <c r="DD40" s="66">
        <f>IF($AD40="N","N",SUM('調查資料(OUT)'!AG46:AG49))</f>
        <v>0</v>
      </c>
      <c r="DE40" s="66">
        <f>IF($AD40="N","N",SUM('調查資料(OUT)'!AJ46:AJ49))</f>
        <v>0</v>
      </c>
      <c r="DF40" s="66">
        <f>IF($AD40="N","N",SUM('調查資料(OUT)'!AN46:AN49))</f>
        <v>0</v>
      </c>
      <c r="DG40" s="383" t="e">
        <f t="shared" si="97"/>
        <v>#DIV/0!</v>
      </c>
      <c r="DH40" s="66">
        <f t="shared" si="98"/>
        <v>0</v>
      </c>
      <c r="DI40" s="66">
        <f>IF($AD40="N","N",SUM('調查資料(OUT)'!AH46:AH49))</f>
        <v>0</v>
      </c>
      <c r="DJ40" s="66">
        <f>IF($AD40="N","N",SUM('調查資料(OUT)'!AK46:AK49))</f>
        <v>0</v>
      </c>
      <c r="DK40" s="66">
        <f>IF($AD40="N","N",SUM('調查資料(OUT)'!AO46:AO49))</f>
        <v>0</v>
      </c>
      <c r="DL40" s="383" t="e">
        <f t="shared" si="99"/>
        <v>#DIV/0!</v>
      </c>
      <c r="DM40" s="66">
        <f t="shared" si="59"/>
        <v>0</v>
      </c>
      <c r="DN40" s="383" t="e">
        <f t="shared" si="60"/>
        <v>#DIV/0!</v>
      </c>
      <c r="DO40" s="66">
        <f t="shared" si="61"/>
        <v>0</v>
      </c>
      <c r="DP40" s="383" t="e">
        <f t="shared" si="62"/>
        <v>#DIV/0!</v>
      </c>
      <c r="DQ40" s="66">
        <f t="shared" si="63"/>
        <v>0</v>
      </c>
      <c r="DR40" s="383" t="e">
        <f t="shared" si="64"/>
        <v>#DIV/0!</v>
      </c>
      <c r="DS40" s="316">
        <f t="shared" si="65"/>
        <v>0</v>
      </c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D40" s="67"/>
      <c r="EE40" s="67"/>
      <c r="EF40" s="67"/>
      <c r="EG40" s="67"/>
      <c r="EH40" s="67"/>
      <c r="EI40" s="67"/>
      <c r="EJ40" s="67"/>
      <c r="EK40" s="67"/>
      <c r="EL40" s="67"/>
      <c r="EM40" s="67"/>
      <c r="EN40" s="67"/>
      <c r="EO40" s="67"/>
      <c r="EP40" s="67"/>
      <c r="EQ40" s="67"/>
      <c r="ER40" s="67"/>
      <c r="ES40" s="67"/>
      <c r="ET40" s="67"/>
      <c r="EU40" s="67"/>
      <c r="EV40" s="67"/>
      <c r="EW40" s="67"/>
      <c r="EX40" s="67"/>
      <c r="EY40" s="67"/>
      <c r="EZ40" s="67"/>
      <c r="FA40" s="67"/>
      <c r="FB40" s="67"/>
      <c r="FC40" s="67"/>
      <c r="FD40" s="67"/>
      <c r="FE40" s="67"/>
      <c r="FF40" s="67"/>
      <c r="FG40" s="67"/>
      <c r="FH40" s="67"/>
      <c r="FI40" s="67"/>
      <c r="FJ40" s="67"/>
      <c r="FK40" s="67"/>
      <c r="FL40" s="67"/>
      <c r="FM40" s="67"/>
      <c r="FN40" s="67"/>
    </row>
    <row r="41" spans="1:170">
      <c r="A41" s="479">
        <f>'調查資料(OUT)'!A47</f>
        <v>900</v>
      </c>
      <c r="B41" s="480">
        <f t="shared" si="70"/>
        <v>0</v>
      </c>
      <c r="C41" s="385">
        <f>IFERROR('調查資料(OUT)'!B$1*'調查資料(OUT)'!B47,0)+IFERROR('調查資料(OUT)'!E$1*'調查資料(OUT)'!E47,0)+IFERROR('調查資料(OUT)'!H$1*'調查資料(OUT)'!H47,0)+IFERROR('調查資料(OUT)'!I$1*'調查資料(OUT)'!I47,0)</f>
        <v>0</v>
      </c>
      <c r="D41" s="385">
        <f>IFERROR('調查資料(OUT)'!C$1*'調查資料(OUT)'!C47,0)+IFERROR('調查資料(OUT)'!F$1*'調查資料(OUT)'!F47,0)+IFERROR('調查資料(OUT)'!J$1*'調查資料(OUT)'!J47,0)</f>
        <v>0</v>
      </c>
      <c r="E41" s="409">
        <f>IFERROR('調查資料(OUT)'!D$1*'調查資料(OUT)'!D47,0)+IFERROR('調查資料(OUT)'!G$1*'調查資料(OUT)'!G47,0)+IFERROR('調查資料(OUT)'!K$1*'調查資料(OUT)'!K47,0)</f>
        <v>0</v>
      </c>
      <c r="F41" s="480">
        <f t="shared" si="71"/>
        <v>0</v>
      </c>
      <c r="G41" s="385">
        <f>IFERROR('調查資料(OUT)'!L$1*'調查資料(OUT)'!L47,0)+IFERROR('調查資料(OUT)'!O$1*'調查資料(OUT)'!O47,0)+IFERROR('調查資料(OUT)'!R$1*'調查資料(OUT)'!R47,0)+IFERROR('調查資料(OUT)'!S$1*'調查資料(OUT)'!S47,0)</f>
        <v>0</v>
      </c>
      <c r="H41" s="385">
        <f>IFERROR('調查資料(OUT)'!M$1*'調查資料(OUT)'!M47,0)+IFERROR('調查資料(OUT)'!P$1*'調查資料(OUT)'!P47,0)+IFERROR('調查資料(OUT)'!T$1*'調查資料(OUT)'!T47,0)</f>
        <v>0</v>
      </c>
      <c r="I41" s="409">
        <f>IFERROR('調查資料(OUT)'!N$1*'調查資料(OUT)'!N47,0)+IFERROR('調查資料(OUT)'!Q$1*'調查資料(OUT)'!Q47,0)+IFERROR('調查資料(OUT)'!U$1*'調查資料(OUT)'!U47,0)</f>
        <v>0</v>
      </c>
      <c r="J41" s="480">
        <f t="shared" si="24"/>
        <v>0</v>
      </c>
      <c r="K41" s="385">
        <f>IFERROR('調查資料(OUT)'!V$1*'調查資料(OUT)'!V47,0)+IFERROR('調查資料(OUT)'!Y$1*'調查資料(OUT)'!Y47,0)+IFERROR('調查資料(OUT)'!AB$1*'調查資料(OUT)'!AB47,0)+IFERROR('調查資料(OUT)'!AC$1*'調查資料(OUT)'!AC47,0)</f>
        <v>0</v>
      </c>
      <c r="L41" s="385">
        <f>IFERROR('調查資料(OUT)'!W$1*'調查資料(OUT)'!W47,0)+IFERROR('調查資料(OUT)'!Z$1*'調查資料(OUT)'!Z47,0)+IFERROR('調查資料(OUT)'!AD$1*'調查資料(OUT)'!AD47,0)</f>
        <v>0</v>
      </c>
      <c r="M41" s="409">
        <f>IFERROR('調查資料(OUT)'!X$1*'調查資料(OUT)'!X47,0)+IFERROR('調查資料(OUT)'!AA$1*'調查資料(OUT)'!AA47,0)+IFERROR('調查資料(OUT)'!AE$1*'調查資料(OUT)'!AE47,0)</f>
        <v>0</v>
      </c>
      <c r="N41" s="480">
        <f t="shared" si="25"/>
        <v>0</v>
      </c>
      <c r="O41" s="385">
        <f>IFERROR('調查資料(OUT)'!AF$1*'調查資料(OUT)'!AF47,0)+IFERROR('調查資料(OUT)'!AI$1*'調查資料(OUT)'!AI47,0)+IFERROR('調查資料(OUT)'!AL$1*'調查資料(OUT)'!AL47,0)+IFERROR('調查資料(OUT)'!AM$1*'調查資料(OUT)'!AM47,0)</f>
        <v>0</v>
      </c>
      <c r="P41" s="385">
        <f>IFERROR('調查資料(OUT)'!AG$1*'調查資料(OUT)'!AG47,0)+IFERROR('調查資料(OUT)'!AJ$1*'調查資料(OUT)'!AJ47,0)+IFERROR('調查資料(OUT)'!AN$1*'調查資料(OUT)'!AN47,0)</f>
        <v>0</v>
      </c>
      <c r="Q41" s="409">
        <f>IFERROR('調查資料(OUT)'!AH$1*'調查資料(OUT)'!AH47,0)+IFERROR('調查資料(OUT)'!AK$1*'調查資料(OUT)'!AK47,0)+IFERROR('調查資料(OUT)'!AO$1*'調查資料(OUT)'!AO47,0)</f>
        <v>0</v>
      </c>
      <c r="R41" s="478">
        <f t="shared" si="72"/>
        <v>0</v>
      </c>
      <c r="S41" s="131"/>
      <c r="T41" s="378">
        <f>'調查資料(OUT)'!A47</f>
        <v>900</v>
      </c>
      <c r="U41" s="384">
        <f t="shared" si="73"/>
        <v>1000</v>
      </c>
      <c r="V41" s="385">
        <f t="shared" si="74"/>
        <v>0</v>
      </c>
      <c r="W41" s="386">
        <f>MAX(V41:V53)</f>
        <v>0</v>
      </c>
      <c r="X41" s="385">
        <f>IF($V41=$W$29,MAX(R41:R44),0)</f>
        <v>0</v>
      </c>
      <c r="Y41" s="408" t="e">
        <f>IF($V41=W$41,SUM(B41:B44)/(4*(MAX(B41:B44))),0)</f>
        <v>#DIV/0!</v>
      </c>
      <c r="Z41" s="408" t="e">
        <f>IF($V41=W$41,SUM(F41:F44)/(4*(MAX(F41:F44))),0)</f>
        <v>#DIV/0!</v>
      </c>
      <c r="AA41" s="408" t="e">
        <f>IF($V41=W$41,SUM(J41:J44)/(4*(MAX(J41:J44))),0)</f>
        <v>#DIV/0!</v>
      </c>
      <c r="AB41" s="408" t="e">
        <f>IF($V41=W$41,SUM(N41:N44)/(4*(MAX(N41:N44))),0)</f>
        <v>#DIV/0!</v>
      </c>
      <c r="AC41" s="387" t="e">
        <f>$W$41/(4*MAX(X41:X53))</f>
        <v>#DIV/0!</v>
      </c>
      <c r="AD41" s="385">
        <f>IF(V41=W$41,$T41,"N")</f>
        <v>900</v>
      </c>
      <c r="AE41" s="409">
        <f>IF(V41=W$41,$U41,"N")</f>
        <v>1000</v>
      </c>
      <c r="AF41" s="309">
        <f>IF($AD41="N","N",SUM(C41:C44))</f>
        <v>0</v>
      </c>
      <c r="AG41" s="66">
        <f>IF($AD41="N","N",SUM('調查資料(OUT)'!B47:B50))</f>
        <v>0</v>
      </c>
      <c r="AH41" s="66">
        <f>IF($AD41="N","N",SUM('調查資料(OUT)'!E47:E50))</f>
        <v>0</v>
      </c>
      <c r="AI41" s="66">
        <f>IF($AD41="N","N",SUM('調查資料(OUT)'!I47:I50))</f>
        <v>0</v>
      </c>
      <c r="AJ41" s="66">
        <f>IF($AD41="N","N",SUM('調查資料(OUT)'!H47:H50))</f>
        <v>0</v>
      </c>
      <c r="AK41" s="383" t="e">
        <f t="shared" si="77"/>
        <v>#DIV/0!</v>
      </c>
      <c r="AL41" s="66">
        <f>IF($AD41="N","N",SUM(D41:D44))</f>
        <v>0</v>
      </c>
      <c r="AM41" s="66">
        <f>IF($AD41="N","N",SUM('調查資料(OUT)'!C47:C50))</f>
        <v>0</v>
      </c>
      <c r="AN41" s="66">
        <f>IF($AD41="N","N",SUM('調查資料(OUT)'!F47:F50))</f>
        <v>0</v>
      </c>
      <c r="AO41" s="66">
        <f>IF($AD41="N","N",SUM('調查資料(OUT)'!J47:J50))</f>
        <v>0</v>
      </c>
      <c r="AP41" s="383" t="e">
        <f t="shared" si="79"/>
        <v>#DIV/0!</v>
      </c>
      <c r="AQ41" s="66">
        <f>IF($AD41="N","N",SUM(E41:E44))</f>
        <v>0</v>
      </c>
      <c r="AR41" s="66">
        <f>IF($AD41="N","N",SUM('調查資料(OUT)'!D47:D50))</f>
        <v>0</v>
      </c>
      <c r="AS41" s="66">
        <f>IF($AD41="N","N",SUM('調查資料(OUT)'!G47:G50))</f>
        <v>0</v>
      </c>
      <c r="AT41" s="66">
        <f>IF($AD41="N","N",SUM('調查資料(OUT)'!K47:K50))</f>
        <v>0</v>
      </c>
      <c r="AU41" s="383" t="e">
        <f t="shared" si="81"/>
        <v>#DIV/0!</v>
      </c>
      <c r="AV41" s="66">
        <f t="shared" si="38"/>
        <v>0</v>
      </c>
      <c r="AW41" s="383" t="e">
        <f t="shared" si="39"/>
        <v>#DIV/0!</v>
      </c>
      <c r="AX41" s="66">
        <f t="shared" si="40"/>
        <v>0</v>
      </c>
      <c r="AY41" s="383" t="e">
        <f t="shared" si="41"/>
        <v>#DIV/0!</v>
      </c>
      <c r="AZ41" s="66">
        <f t="shared" si="42"/>
        <v>0</v>
      </c>
      <c r="BA41" s="383" t="e">
        <f t="shared" si="43"/>
        <v>#DIV/0!</v>
      </c>
      <c r="BB41" s="316">
        <f t="shared" si="44"/>
        <v>0</v>
      </c>
      <c r="BC41" s="309">
        <f t="shared" si="82"/>
        <v>0</v>
      </c>
      <c r="BD41" s="66">
        <f>IF($AD41="N","N",SUM('調查資料(OUT)'!L47:L50))</f>
        <v>0</v>
      </c>
      <c r="BE41" s="66">
        <f>IF($AD41="N","N",SUM('調查資料(OUT)'!O47:O50))</f>
        <v>0</v>
      </c>
      <c r="BF41" s="66">
        <f>IF($AD41="N","N",SUM('調查資料(OUT)'!S47:S50))</f>
        <v>0</v>
      </c>
      <c r="BG41" s="66">
        <f>IF($AD41="N","N",SUM('調查資料(OUT)'!R47:R50))</f>
        <v>0</v>
      </c>
      <c r="BH41" s="383" t="e">
        <f t="shared" si="83"/>
        <v>#DIV/0!</v>
      </c>
      <c r="BI41" s="66">
        <f t="shared" si="84"/>
        <v>0</v>
      </c>
      <c r="BJ41" s="66">
        <f>IF($AD41="N","N",SUM('調查資料(OUT)'!M47:M50))</f>
        <v>0</v>
      </c>
      <c r="BK41" s="66">
        <f>IF($AD41="N","N",SUM('調查資料(OUT)'!P47:P50))</f>
        <v>0</v>
      </c>
      <c r="BL41" s="66">
        <f>IF($AD41="N","N",SUM('調查資料(OUT)'!T47:T50))</f>
        <v>0</v>
      </c>
      <c r="BM41" s="383" t="e">
        <f t="shared" si="85"/>
        <v>#DIV/0!</v>
      </c>
      <c r="BN41" s="66">
        <f t="shared" si="86"/>
        <v>0</v>
      </c>
      <c r="BO41" s="66">
        <f>IF($AD41="N","N",SUM('調查資料(OUT)'!N47:N50))</f>
        <v>0</v>
      </c>
      <c r="BP41" s="66">
        <f>IF($AD41="N","N",SUM('調查資料(OUT)'!Q47:Q50))</f>
        <v>0</v>
      </c>
      <c r="BQ41" s="66">
        <f>IF($AD41="N","N",SUM('調查資料(OUT)'!U47:U50))</f>
        <v>0</v>
      </c>
      <c r="BR41" s="383" t="e">
        <f t="shared" si="87"/>
        <v>#DIV/0!</v>
      </c>
      <c r="BS41" s="66">
        <f t="shared" si="45"/>
        <v>0</v>
      </c>
      <c r="BT41" s="383" t="e">
        <f t="shared" si="46"/>
        <v>#DIV/0!</v>
      </c>
      <c r="BU41" s="66">
        <f t="shared" si="47"/>
        <v>0</v>
      </c>
      <c r="BV41" s="383" t="e">
        <f t="shared" si="48"/>
        <v>#DIV/0!</v>
      </c>
      <c r="BW41" s="66">
        <f t="shared" si="49"/>
        <v>0</v>
      </c>
      <c r="BX41" s="383" t="e">
        <f t="shared" si="50"/>
        <v>#DIV/0!</v>
      </c>
      <c r="BY41" s="316">
        <f t="shared" si="51"/>
        <v>0</v>
      </c>
      <c r="BZ41" s="309">
        <f t="shared" si="88"/>
        <v>0</v>
      </c>
      <c r="CA41" s="66">
        <f>IF($AD41="N","N",SUM('調查資料(OUT)'!V47:V50))</f>
        <v>0</v>
      </c>
      <c r="CB41" s="66">
        <f>IF($AD41="N","N",SUM('調查資料(OUT)'!Y47:Y50))</f>
        <v>0</v>
      </c>
      <c r="CC41" s="66">
        <f>IF($AD41="N","N",SUM('調查資料(OUT)'!AC47:AC50))</f>
        <v>0</v>
      </c>
      <c r="CD41" s="66">
        <f>IF($AD41="N","N",SUM('調查資料(OUT)'!AB47:AB50))</f>
        <v>0</v>
      </c>
      <c r="CE41" s="383" t="e">
        <f t="shared" si="89"/>
        <v>#DIV/0!</v>
      </c>
      <c r="CF41" s="66">
        <f t="shared" si="90"/>
        <v>0</v>
      </c>
      <c r="CG41" s="66">
        <f>IF($AD41="N","N",SUM('調查資料(OUT)'!W47:W50))</f>
        <v>0</v>
      </c>
      <c r="CH41" s="66">
        <f>IF($AD41="N","N",SUM('調查資料(OUT)'!Z47:Z50))</f>
        <v>0</v>
      </c>
      <c r="CI41" s="66">
        <f>IF($AD41="N","N",SUM('調查資料(OUT)'!AD47:AD50))</f>
        <v>0</v>
      </c>
      <c r="CJ41" s="383" t="e">
        <f t="shared" si="91"/>
        <v>#DIV/0!</v>
      </c>
      <c r="CK41" s="66">
        <f t="shared" si="92"/>
        <v>0</v>
      </c>
      <c r="CL41" s="66">
        <f>IF($AD41="N","N",SUM('調查資料(OUT)'!X47:X50))</f>
        <v>0</v>
      </c>
      <c r="CM41" s="66">
        <f>IF($AD41="N","N",SUM('調查資料(OUT)'!AA47:AA50))</f>
        <v>0</v>
      </c>
      <c r="CN41" s="66">
        <f>IF($AD41="N","N",SUM('調查資料(OUT)'!AE47:AE50))</f>
        <v>0</v>
      </c>
      <c r="CO41" s="383" t="e">
        <f t="shared" si="93"/>
        <v>#DIV/0!</v>
      </c>
      <c r="CP41" s="66">
        <f t="shared" si="52"/>
        <v>0</v>
      </c>
      <c r="CQ41" s="383" t="e">
        <f t="shared" si="53"/>
        <v>#DIV/0!</v>
      </c>
      <c r="CR41" s="66">
        <f t="shared" si="54"/>
        <v>0</v>
      </c>
      <c r="CS41" s="383" t="e">
        <f t="shared" si="55"/>
        <v>#DIV/0!</v>
      </c>
      <c r="CT41" s="66">
        <f t="shared" si="56"/>
        <v>0</v>
      </c>
      <c r="CU41" s="383" t="e">
        <f t="shared" si="57"/>
        <v>#DIV/0!</v>
      </c>
      <c r="CV41" s="316">
        <f t="shared" si="58"/>
        <v>0</v>
      </c>
      <c r="CW41" s="309">
        <f t="shared" si="94"/>
        <v>0</v>
      </c>
      <c r="CX41" s="66">
        <f>IF($AD41="N","N",SUM('調查資料(OUT)'!AF47:AF50))</f>
        <v>0</v>
      </c>
      <c r="CY41" s="66">
        <f>IF($AD41="N","N",SUM('調查資料(OUT)'!AI47:AI50))</f>
        <v>0</v>
      </c>
      <c r="CZ41" s="66">
        <f>IF($AD41="N","N",SUM('調查資料(OUT)'!AM47:AM50))</f>
        <v>0</v>
      </c>
      <c r="DA41" s="66">
        <f>IF($AD41="N","N",SUM('調查資料(OUT)'!AL47:AL50))</f>
        <v>0</v>
      </c>
      <c r="DB41" s="383" t="e">
        <f t="shared" si="95"/>
        <v>#DIV/0!</v>
      </c>
      <c r="DC41" s="66">
        <f t="shared" si="96"/>
        <v>0</v>
      </c>
      <c r="DD41" s="66">
        <f>IF($AD41="N","N",SUM('調查資料(OUT)'!AG47:AG50))</f>
        <v>0</v>
      </c>
      <c r="DE41" s="66">
        <f>IF($AD41="N","N",SUM('調查資料(OUT)'!AJ47:AJ50))</f>
        <v>0</v>
      </c>
      <c r="DF41" s="66">
        <f>IF($AD41="N","N",SUM('調查資料(OUT)'!AN47:AN50))</f>
        <v>0</v>
      </c>
      <c r="DG41" s="383" t="e">
        <f t="shared" si="97"/>
        <v>#DIV/0!</v>
      </c>
      <c r="DH41" s="66">
        <f t="shared" si="98"/>
        <v>0</v>
      </c>
      <c r="DI41" s="66">
        <f>IF($AD41="N","N",SUM('調查資料(OUT)'!AH47:AH50))</f>
        <v>0</v>
      </c>
      <c r="DJ41" s="66">
        <f>IF($AD41="N","N",SUM('調查資料(OUT)'!AK47:AK50))</f>
        <v>0</v>
      </c>
      <c r="DK41" s="66">
        <f>IF($AD41="N","N",SUM('調查資料(OUT)'!AO47:AO50))</f>
        <v>0</v>
      </c>
      <c r="DL41" s="383" t="e">
        <f t="shared" si="99"/>
        <v>#DIV/0!</v>
      </c>
      <c r="DM41" s="66">
        <f t="shared" si="59"/>
        <v>0</v>
      </c>
      <c r="DN41" s="383" t="e">
        <f t="shared" si="60"/>
        <v>#DIV/0!</v>
      </c>
      <c r="DO41" s="66">
        <f t="shared" si="61"/>
        <v>0</v>
      </c>
      <c r="DP41" s="383" t="e">
        <f t="shared" si="62"/>
        <v>#DIV/0!</v>
      </c>
      <c r="DQ41" s="66">
        <f t="shared" si="63"/>
        <v>0</v>
      </c>
      <c r="DR41" s="383" t="e">
        <f t="shared" si="64"/>
        <v>#DIV/0!</v>
      </c>
      <c r="DS41" s="316">
        <f t="shared" si="65"/>
        <v>0</v>
      </c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D41" s="67"/>
      <c r="EE41" s="67"/>
      <c r="EF41" s="67"/>
      <c r="EG41" s="67"/>
      <c r="EH41" s="67"/>
      <c r="EI41" s="67"/>
      <c r="EJ41" s="67"/>
      <c r="EK41" s="67"/>
      <c r="EL41" s="67"/>
      <c r="EM41" s="67"/>
      <c r="EN41" s="67"/>
      <c r="EO41" s="67"/>
      <c r="EP41" s="67"/>
      <c r="EQ41" s="67"/>
      <c r="ER41" s="67"/>
      <c r="ES41" s="67"/>
      <c r="ET41" s="67"/>
      <c r="EU41" s="67"/>
      <c r="EV41" s="67"/>
      <c r="EW41" s="67"/>
      <c r="EX41" s="67"/>
      <c r="EY41" s="67"/>
      <c r="EZ41" s="67"/>
      <c r="FA41" s="67"/>
      <c r="FB41" s="67"/>
      <c r="FC41" s="67"/>
      <c r="FD41" s="67"/>
      <c r="FE41" s="67"/>
      <c r="FF41" s="67"/>
      <c r="FG41" s="67"/>
      <c r="FH41" s="67"/>
      <c r="FI41" s="67"/>
      <c r="FJ41" s="67"/>
      <c r="FK41" s="67"/>
      <c r="FL41" s="67"/>
      <c r="FM41" s="67"/>
      <c r="FN41" s="67"/>
    </row>
    <row r="42" spans="1:170">
      <c r="A42" s="479">
        <f>'調查資料(OUT)'!A48</f>
        <v>915</v>
      </c>
      <c r="B42" s="480">
        <f t="shared" si="70"/>
        <v>0</v>
      </c>
      <c r="C42" s="385">
        <f>IFERROR('調查資料(OUT)'!B$1*'調查資料(OUT)'!B48,0)+IFERROR('調查資料(OUT)'!E$1*'調查資料(OUT)'!E48,0)+IFERROR('調查資料(OUT)'!H$1*'調查資料(OUT)'!H48,0)+IFERROR('調查資料(OUT)'!I$1*'調查資料(OUT)'!I48,0)</f>
        <v>0</v>
      </c>
      <c r="D42" s="385">
        <f>IFERROR('調查資料(OUT)'!C$1*'調查資料(OUT)'!C48,0)+IFERROR('調查資料(OUT)'!F$1*'調查資料(OUT)'!F48,0)+IFERROR('調查資料(OUT)'!J$1*'調查資料(OUT)'!J48,0)</f>
        <v>0</v>
      </c>
      <c r="E42" s="409">
        <f>IFERROR('調查資料(OUT)'!D$1*'調查資料(OUT)'!D48,0)+IFERROR('調查資料(OUT)'!G$1*'調查資料(OUT)'!G48,0)+IFERROR('調查資料(OUT)'!K$1*'調查資料(OUT)'!K48,0)</f>
        <v>0</v>
      </c>
      <c r="F42" s="480">
        <f t="shared" si="71"/>
        <v>0</v>
      </c>
      <c r="G42" s="385">
        <f>IFERROR('調查資料(OUT)'!L$1*'調查資料(OUT)'!L48,0)+IFERROR('調查資料(OUT)'!O$1*'調查資料(OUT)'!O48,0)+IFERROR('調查資料(OUT)'!R$1*'調查資料(OUT)'!R48,0)+IFERROR('調查資料(OUT)'!S$1*'調查資料(OUT)'!S48,0)</f>
        <v>0</v>
      </c>
      <c r="H42" s="385">
        <f>IFERROR('調查資料(OUT)'!M$1*'調查資料(OUT)'!M48,0)+IFERROR('調查資料(OUT)'!P$1*'調查資料(OUT)'!P48,0)+IFERROR('調查資料(OUT)'!T$1*'調查資料(OUT)'!T48,0)</f>
        <v>0</v>
      </c>
      <c r="I42" s="409">
        <f>IFERROR('調查資料(OUT)'!N$1*'調查資料(OUT)'!N48,0)+IFERROR('調查資料(OUT)'!Q$1*'調查資料(OUT)'!Q48,0)+IFERROR('調查資料(OUT)'!U$1*'調查資料(OUT)'!U48,0)</f>
        <v>0</v>
      </c>
      <c r="J42" s="480">
        <f t="shared" si="24"/>
        <v>0</v>
      </c>
      <c r="K42" s="385">
        <f>IFERROR('調查資料(OUT)'!V$1*'調查資料(OUT)'!V48,0)+IFERROR('調查資料(OUT)'!Y$1*'調查資料(OUT)'!Y48,0)+IFERROR('調查資料(OUT)'!AB$1*'調查資料(OUT)'!AB48,0)+IFERROR('調查資料(OUT)'!AC$1*'調查資料(OUT)'!AC48,0)</f>
        <v>0</v>
      </c>
      <c r="L42" s="385">
        <f>IFERROR('調查資料(OUT)'!W$1*'調查資料(OUT)'!W48,0)+IFERROR('調查資料(OUT)'!Z$1*'調查資料(OUT)'!Z48,0)+IFERROR('調查資料(OUT)'!AD$1*'調查資料(OUT)'!AD48,0)</f>
        <v>0</v>
      </c>
      <c r="M42" s="409">
        <f>IFERROR('調查資料(OUT)'!X$1*'調查資料(OUT)'!X48,0)+IFERROR('調查資料(OUT)'!AA$1*'調查資料(OUT)'!AA48,0)+IFERROR('調查資料(OUT)'!AE$1*'調查資料(OUT)'!AE48,0)</f>
        <v>0</v>
      </c>
      <c r="N42" s="480">
        <f t="shared" si="25"/>
        <v>0</v>
      </c>
      <c r="O42" s="385">
        <f>IFERROR('調查資料(OUT)'!AF$1*'調查資料(OUT)'!AF48,0)+IFERROR('調查資料(OUT)'!AI$1*'調查資料(OUT)'!AI48,0)+IFERROR('調查資料(OUT)'!AL$1*'調查資料(OUT)'!AL48,0)+IFERROR('調查資料(OUT)'!AM$1*'調查資料(OUT)'!AM48,0)</f>
        <v>0</v>
      </c>
      <c r="P42" s="385">
        <f>IFERROR('調查資料(OUT)'!AG$1*'調查資料(OUT)'!AG48,0)+IFERROR('調查資料(OUT)'!AJ$1*'調查資料(OUT)'!AJ48,0)+IFERROR('調查資料(OUT)'!AN$1*'調查資料(OUT)'!AN48,0)</f>
        <v>0</v>
      </c>
      <c r="Q42" s="409">
        <f>IFERROR('調查資料(OUT)'!AH$1*'調查資料(OUT)'!AH48,0)+IFERROR('調查資料(OUT)'!AK$1*'調查資料(OUT)'!AK48,0)+IFERROR('調查資料(OUT)'!AO$1*'調查資料(OUT)'!AO48,0)</f>
        <v>0</v>
      </c>
      <c r="R42" s="478">
        <f t="shared" si="72"/>
        <v>0</v>
      </c>
      <c r="S42" s="131"/>
      <c r="T42" s="378">
        <f>'調查資料(OUT)'!A48</f>
        <v>915</v>
      </c>
      <c r="U42" s="384">
        <f t="shared" si="73"/>
        <v>1015</v>
      </c>
      <c r="V42" s="385">
        <f t="shared" si="74"/>
        <v>0</v>
      </c>
      <c r="W42" s="386"/>
      <c r="X42" s="385">
        <f>IF($V42=$W$29,MAX(R42:R45),0)</f>
        <v>0</v>
      </c>
      <c r="Y42" s="408" t="e">
        <f>IF($V42=W$41,SUM(B42:B45)/(4*(MAX(B42:B45))),0)</f>
        <v>#DIV/0!</v>
      </c>
      <c r="Z42" s="408" t="e">
        <f t="shared" ref="Z42:Z52" si="100">IF($V42=W$41,SUM(F42:F45)/(4*(MAX(F42:F45))),0)</f>
        <v>#DIV/0!</v>
      </c>
      <c r="AA42" s="408" t="e">
        <f t="shared" ref="AA42:AA52" si="101">IF($V42=W$41,SUM(J42:J45)/(4*(MAX(J42:J45))),0)</f>
        <v>#DIV/0!</v>
      </c>
      <c r="AB42" s="408" t="e">
        <f t="shared" ref="AB42:AB52" si="102">IF($V42=W$41,SUM(N42:N45)/(4*(MAX(N42:N45))),0)</f>
        <v>#DIV/0!</v>
      </c>
      <c r="AC42" s="387"/>
      <c r="AD42" s="385">
        <f>IF(V42=W$41,$T42,"N")</f>
        <v>915</v>
      </c>
      <c r="AE42" s="409">
        <f>IF(V42=W$41,$U42,"N")</f>
        <v>1015</v>
      </c>
      <c r="AF42" s="309">
        <f>IF($AD42="N","N",SUM(C42:C45))</f>
        <v>0</v>
      </c>
      <c r="AG42" s="66">
        <f>IF($AD42="N","N",SUM('調查資料(OUT)'!B48:B51))</f>
        <v>0</v>
      </c>
      <c r="AH42" s="66">
        <f>IF($AD42="N","N",SUM('調查資料(OUT)'!E48:E51))</f>
        <v>0</v>
      </c>
      <c r="AI42" s="66">
        <f>IF($AD42="N","N",SUM('調查資料(OUT)'!I48:I51))</f>
        <v>0</v>
      </c>
      <c r="AJ42" s="66">
        <f>IF($AD42="N","N",SUM('調查資料(OUT)'!H48:H51))</f>
        <v>0</v>
      </c>
      <c r="AK42" s="383" t="e">
        <f t="shared" si="77"/>
        <v>#DIV/0!</v>
      </c>
      <c r="AL42" s="66">
        <f t="shared" si="78"/>
        <v>0</v>
      </c>
      <c r="AM42" s="66">
        <f>IF($AD42="N","N",SUM('調查資料(OUT)'!C48:C51))</f>
        <v>0</v>
      </c>
      <c r="AN42" s="66">
        <f>IF($AD42="N","N",SUM('調查資料(OUT)'!F48:F51))</f>
        <v>0</v>
      </c>
      <c r="AO42" s="66">
        <f>IF($AD42="N","N",SUM('調查資料(OUT)'!J48:J51))</f>
        <v>0</v>
      </c>
      <c r="AP42" s="383" t="e">
        <f t="shared" si="79"/>
        <v>#DIV/0!</v>
      </c>
      <c r="AQ42" s="66">
        <f t="shared" si="80"/>
        <v>0</v>
      </c>
      <c r="AR42" s="66">
        <f>IF($AD42="N","N",SUM('調查資料(OUT)'!D48:D51))</f>
        <v>0</v>
      </c>
      <c r="AS42" s="66">
        <f>IF($AD42="N","N",SUM('調查資料(OUT)'!G48:G51))</f>
        <v>0</v>
      </c>
      <c r="AT42" s="66">
        <f>IF($AD42="N","N",SUM('調查資料(OUT)'!K48:K51))</f>
        <v>0</v>
      </c>
      <c r="AU42" s="383" t="e">
        <f t="shared" si="81"/>
        <v>#DIV/0!</v>
      </c>
      <c r="AV42" s="66">
        <f t="shared" si="38"/>
        <v>0</v>
      </c>
      <c r="AW42" s="383" t="e">
        <f t="shared" si="39"/>
        <v>#DIV/0!</v>
      </c>
      <c r="AX42" s="66">
        <f t="shared" si="40"/>
        <v>0</v>
      </c>
      <c r="AY42" s="383" t="e">
        <f t="shared" si="41"/>
        <v>#DIV/0!</v>
      </c>
      <c r="AZ42" s="66">
        <f t="shared" si="42"/>
        <v>0</v>
      </c>
      <c r="BA42" s="383" t="e">
        <f t="shared" si="43"/>
        <v>#DIV/0!</v>
      </c>
      <c r="BB42" s="316">
        <f t="shared" si="44"/>
        <v>0</v>
      </c>
      <c r="BC42" s="309">
        <f t="shared" si="82"/>
        <v>0</v>
      </c>
      <c r="BD42" s="66">
        <f>IF($AD42="N","N",SUM('調查資料(OUT)'!L48:L51))</f>
        <v>0</v>
      </c>
      <c r="BE42" s="66">
        <f>IF($AD42="N","N",SUM('調查資料(OUT)'!O48:O51))</f>
        <v>0</v>
      </c>
      <c r="BF42" s="66">
        <f>IF($AD42="N","N",SUM('調查資料(OUT)'!S48:S51))</f>
        <v>0</v>
      </c>
      <c r="BG42" s="66">
        <f>IF($AD42="N","N",SUM('調查資料(OUT)'!R48:R51))</f>
        <v>0</v>
      </c>
      <c r="BH42" s="383" t="e">
        <f t="shared" si="83"/>
        <v>#DIV/0!</v>
      </c>
      <c r="BI42" s="66">
        <f t="shared" si="84"/>
        <v>0</v>
      </c>
      <c r="BJ42" s="66">
        <f>IF($AD42="N","N",SUM('調查資料(OUT)'!M48:M51))</f>
        <v>0</v>
      </c>
      <c r="BK42" s="66">
        <f>IF($AD42="N","N",SUM('調查資料(OUT)'!P48:P51))</f>
        <v>0</v>
      </c>
      <c r="BL42" s="66">
        <f>IF($AD42="N","N",SUM('調查資料(OUT)'!T48:T51))</f>
        <v>0</v>
      </c>
      <c r="BM42" s="383" t="e">
        <f t="shared" si="85"/>
        <v>#DIV/0!</v>
      </c>
      <c r="BN42" s="66">
        <f t="shared" si="86"/>
        <v>0</v>
      </c>
      <c r="BO42" s="66">
        <f>IF($AD42="N","N",SUM('調查資料(OUT)'!N48:N51))</f>
        <v>0</v>
      </c>
      <c r="BP42" s="66">
        <f>IF($AD42="N","N",SUM('調查資料(OUT)'!Q48:Q51))</f>
        <v>0</v>
      </c>
      <c r="BQ42" s="66">
        <f>IF($AD42="N","N",SUM('調查資料(OUT)'!U48:U51))</f>
        <v>0</v>
      </c>
      <c r="BR42" s="383" t="e">
        <f t="shared" si="87"/>
        <v>#DIV/0!</v>
      </c>
      <c r="BS42" s="66">
        <f t="shared" si="45"/>
        <v>0</v>
      </c>
      <c r="BT42" s="383" t="e">
        <f t="shared" si="46"/>
        <v>#DIV/0!</v>
      </c>
      <c r="BU42" s="66">
        <f t="shared" si="47"/>
        <v>0</v>
      </c>
      <c r="BV42" s="383" t="e">
        <f t="shared" si="48"/>
        <v>#DIV/0!</v>
      </c>
      <c r="BW42" s="66">
        <f t="shared" si="49"/>
        <v>0</v>
      </c>
      <c r="BX42" s="383" t="e">
        <f t="shared" si="50"/>
        <v>#DIV/0!</v>
      </c>
      <c r="BY42" s="316">
        <f t="shared" si="51"/>
        <v>0</v>
      </c>
      <c r="BZ42" s="309">
        <f t="shared" si="88"/>
        <v>0</v>
      </c>
      <c r="CA42" s="66">
        <f>IF($AD42="N","N",SUM('調查資料(OUT)'!V48:V51))</f>
        <v>0</v>
      </c>
      <c r="CB42" s="66">
        <f>IF($AD42="N","N",SUM('調查資料(OUT)'!Y48:Y51))</f>
        <v>0</v>
      </c>
      <c r="CC42" s="66">
        <f>IF($AD42="N","N",SUM('調查資料(OUT)'!AC48:AC51))</f>
        <v>0</v>
      </c>
      <c r="CD42" s="66">
        <f>IF($AD42="N","N",SUM('調查資料(OUT)'!AB48:AB51))</f>
        <v>0</v>
      </c>
      <c r="CE42" s="383" t="e">
        <f t="shared" si="89"/>
        <v>#DIV/0!</v>
      </c>
      <c r="CF42" s="66">
        <f t="shared" si="90"/>
        <v>0</v>
      </c>
      <c r="CG42" s="66">
        <f>IF($AD42="N","N",SUM('調查資料(OUT)'!W48:W51))</f>
        <v>0</v>
      </c>
      <c r="CH42" s="66">
        <f>IF($AD42="N","N",SUM('調查資料(OUT)'!Z48:Z51))</f>
        <v>0</v>
      </c>
      <c r="CI42" s="66">
        <f>IF($AD42="N","N",SUM('調查資料(OUT)'!AD48:AD51))</f>
        <v>0</v>
      </c>
      <c r="CJ42" s="383" t="e">
        <f t="shared" si="91"/>
        <v>#DIV/0!</v>
      </c>
      <c r="CK42" s="66">
        <f t="shared" si="92"/>
        <v>0</v>
      </c>
      <c r="CL42" s="66">
        <f>IF($AD42="N","N",SUM('調查資料(OUT)'!X48:X51))</f>
        <v>0</v>
      </c>
      <c r="CM42" s="66">
        <f>IF($AD42="N","N",SUM('調查資料(OUT)'!AA48:AA51))</f>
        <v>0</v>
      </c>
      <c r="CN42" s="66">
        <f>IF($AD42="N","N",SUM('調查資料(OUT)'!AE48:AE51))</f>
        <v>0</v>
      </c>
      <c r="CO42" s="383" t="e">
        <f t="shared" si="93"/>
        <v>#DIV/0!</v>
      </c>
      <c r="CP42" s="66">
        <f t="shared" si="52"/>
        <v>0</v>
      </c>
      <c r="CQ42" s="383" t="e">
        <f t="shared" si="53"/>
        <v>#DIV/0!</v>
      </c>
      <c r="CR42" s="66">
        <f t="shared" si="54"/>
        <v>0</v>
      </c>
      <c r="CS42" s="383" t="e">
        <f t="shared" si="55"/>
        <v>#DIV/0!</v>
      </c>
      <c r="CT42" s="66">
        <f t="shared" si="56"/>
        <v>0</v>
      </c>
      <c r="CU42" s="383" t="e">
        <f t="shared" si="57"/>
        <v>#DIV/0!</v>
      </c>
      <c r="CV42" s="316">
        <f t="shared" si="58"/>
        <v>0</v>
      </c>
      <c r="CW42" s="309">
        <f t="shared" si="94"/>
        <v>0</v>
      </c>
      <c r="CX42" s="66">
        <f>IF($AD42="N","N",SUM('調查資料(OUT)'!AF48:AF51))</f>
        <v>0</v>
      </c>
      <c r="CY42" s="66">
        <f>IF($AD42="N","N",SUM('調查資料(OUT)'!AI48:AI51))</f>
        <v>0</v>
      </c>
      <c r="CZ42" s="66">
        <f>IF($AD42="N","N",SUM('調查資料(OUT)'!AM48:AM51))</f>
        <v>0</v>
      </c>
      <c r="DA42" s="66">
        <f>IF($AD42="N","N",SUM('調查資料(OUT)'!AL48:AL51))</f>
        <v>0</v>
      </c>
      <c r="DB42" s="383" t="e">
        <f t="shared" si="95"/>
        <v>#DIV/0!</v>
      </c>
      <c r="DC42" s="66">
        <f t="shared" si="96"/>
        <v>0</v>
      </c>
      <c r="DD42" s="66">
        <f>IF($AD42="N","N",SUM('調查資料(OUT)'!AG48:AG51))</f>
        <v>0</v>
      </c>
      <c r="DE42" s="66">
        <f>IF($AD42="N","N",SUM('調查資料(OUT)'!AJ48:AJ51))</f>
        <v>0</v>
      </c>
      <c r="DF42" s="66">
        <f>IF($AD42="N","N",SUM('調查資料(OUT)'!AN48:AN51))</f>
        <v>0</v>
      </c>
      <c r="DG42" s="383" t="e">
        <f t="shared" si="97"/>
        <v>#DIV/0!</v>
      </c>
      <c r="DH42" s="66">
        <f t="shared" si="98"/>
        <v>0</v>
      </c>
      <c r="DI42" s="66">
        <f>IF($AD42="N","N",SUM('調查資料(OUT)'!AH48:AH51))</f>
        <v>0</v>
      </c>
      <c r="DJ42" s="66">
        <f>IF($AD42="N","N",SUM('調查資料(OUT)'!AK48:AK51))</f>
        <v>0</v>
      </c>
      <c r="DK42" s="66">
        <f>IF($AD42="N","N",SUM('調查資料(OUT)'!AO48:AO51))</f>
        <v>0</v>
      </c>
      <c r="DL42" s="383" t="e">
        <f t="shared" si="99"/>
        <v>#DIV/0!</v>
      </c>
      <c r="DM42" s="66">
        <f t="shared" si="59"/>
        <v>0</v>
      </c>
      <c r="DN42" s="383" t="e">
        <f t="shared" si="60"/>
        <v>#DIV/0!</v>
      </c>
      <c r="DO42" s="66">
        <f t="shared" si="61"/>
        <v>0</v>
      </c>
      <c r="DP42" s="383" t="e">
        <f t="shared" si="62"/>
        <v>#DIV/0!</v>
      </c>
      <c r="DQ42" s="66">
        <f t="shared" si="63"/>
        <v>0</v>
      </c>
      <c r="DR42" s="383" t="e">
        <f t="shared" si="64"/>
        <v>#DIV/0!</v>
      </c>
      <c r="DS42" s="316">
        <f t="shared" si="65"/>
        <v>0</v>
      </c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7"/>
      <c r="FC42" s="67"/>
      <c r="FD42" s="67"/>
      <c r="FE42" s="67"/>
      <c r="FF42" s="67"/>
      <c r="FG42" s="67"/>
      <c r="FH42" s="67"/>
      <c r="FI42" s="67"/>
      <c r="FJ42" s="67"/>
      <c r="FK42" s="67"/>
      <c r="FL42" s="67"/>
      <c r="FM42" s="67"/>
      <c r="FN42" s="67"/>
    </row>
    <row r="43" spans="1:170">
      <c r="A43" s="479">
        <f>'調查資料(OUT)'!A49</f>
        <v>930</v>
      </c>
      <c r="B43" s="480">
        <f t="shared" si="70"/>
        <v>0</v>
      </c>
      <c r="C43" s="385">
        <f>IFERROR('調查資料(OUT)'!B$1*'調查資料(OUT)'!B49,0)+IFERROR('調查資料(OUT)'!E$1*'調查資料(OUT)'!E49,0)+IFERROR('調查資料(OUT)'!H$1*'調查資料(OUT)'!H49,0)+IFERROR('調查資料(OUT)'!I$1*'調查資料(OUT)'!I49,0)</f>
        <v>0</v>
      </c>
      <c r="D43" s="385">
        <f>IFERROR('調查資料(OUT)'!C$1*'調查資料(OUT)'!C49,0)+IFERROR('調查資料(OUT)'!F$1*'調查資料(OUT)'!F49,0)+IFERROR('調查資料(OUT)'!J$1*'調查資料(OUT)'!J49,0)</f>
        <v>0</v>
      </c>
      <c r="E43" s="409">
        <f>IFERROR('調查資料(OUT)'!D$1*'調查資料(OUT)'!D49,0)+IFERROR('調查資料(OUT)'!G$1*'調查資料(OUT)'!G49,0)+IFERROR('調查資料(OUT)'!K$1*'調查資料(OUT)'!K49,0)</f>
        <v>0</v>
      </c>
      <c r="F43" s="480">
        <f t="shared" si="71"/>
        <v>0</v>
      </c>
      <c r="G43" s="385">
        <f>IFERROR('調查資料(OUT)'!L$1*'調查資料(OUT)'!L49,0)+IFERROR('調查資料(OUT)'!O$1*'調查資料(OUT)'!O49,0)+IFERROR('調查資料(OUT)'!R$1*'調查資料(OUT)'!R49,0)+IFERROR('調查資料(OUT)'!S$1*'調查資料(OUT)'!S49,0)</f>
        <v>0</v>
      </c>
      <c r="H43" s="385">
        <f>IFERROR('調查資料(OUT)'!M$1*'調查資料(OUT)'!M49,0)+IFERROR('調查資料(OUT)'!P$1*'調查資料(OUT)'!P49,0)+IFERROR('調查資料(OUT)'!T$1*'調查資料(OUT)'!T49,0)</f>
        <v>0</v>
      </c>
      <c r="I43" s="409">
        <f>IFERROR('調查資料(OUT)'!N$1*'調查資料(OUT)'!N49,0)+IFERROR('調查資料(OUT)'!Q$1*'調查資料(OUT)'!Q49,0)+IFERROR('調查資料(OUT)'!U$1*'調查資料(OUT)'!U49,0)</f>
        <v>0</v>
      </c>
      <c r="J43" s="480">
        <f t="shared" si="24"/>
        <v>0</v>
      </c>
      <c r="K43" s="385">
        <f>IFERROR('調查資料(OUT)'!V$1*'調查資料(OUT)'!V49,0)+IFERROR('調查資料(OUT)'!Y$1*'調查資料(OUT)'!Y49,0)+IFERROR('調查資料(OUT)'!AB$1*'調查資料(OUT)'!AB49,0)+IFERROR('調查資料(OUT)'!AC$1*'調查資料(OUT)'!AC49,0)</f>
        <v>0</v>
      </c>
      <c r="L43" s="385">
        <f>IFERROR('調查資料(OUT)'!W$1*'調查資料(OUT)'!W49,0)+IFERROR('調查資料(OUT)'!Z$1*'調查資料(OUT)'!Z49,0)+IFERROR('調查資料(OUT)'!AD$1*'調查資料(OUT)'!AD49,0)</f>
        <v>0</v>
      </c>
      <c r="M43" s="409">
        <f>IFERROR('調查資料(OUT)'!X$1*'調查資料(OUT)'!X49,0)+IFERROR('調查資料(OUT)'!AA$1*'調查資料(OUT)'!AA49,0)+IFERROR('調查資料(OUT)'!AE$1*'調查資料(OUT)'!AE49,0)</f>
        <v>0</v>
      </c>
      <c r="N43" s="480">
        <f t="shared" si="25"/>
        <v>0</v>
      </c>
      <c r="O43" s="385">
        <f>IFERROR('調查資料(OUT)'!AF$1*'調查資料(OUT)'!AF49,0)+IFERROR('調查資料(OUT)'!AI$1*'調查資料(OUT)'!AI49,0)+IFERROR('調查資料(OUT)'!AL$1*'調查資料(OUT)'!AL49,0)+IFERROR('調查資料(OUT)'!AM$1*'調查資料(OUT)'!AM49,0)</f>
        <v>0</v>
      </c>
      <c r="P43" s="385">
        <f>IFERROR('調查資料(OUT)'!AG$1*'調查資料(OUT)'!AG49,0)+IFERROR('調查資料(OUT)'!AJ$1*'調查資料(OUT)'!AJ49,0)+IFERROR('調查資料(OUT)'!AN$1*'調查資料(OUT)'!AN49,0)</f>
        <v>0</v>
      </c>
      <c r="Q43" s="409">
        <f>IFERROR('調查資料(OUT)'!AH$1*'調查資料(OUT)'!AH49,0)+IFERROR('調查資料(OUT)'!AK$1*'調查資料(OUT)'!AK49,0)+IFERROR('調查資料(OUT)'!AO$1*'調查資料(OUT)'!AO49,0)</f>
        <v>0</v>
      </c>
      <c r="R43" s="478">
        <f t="shared" si="72"/>
        <v>0</v>
      </c>
      <c r="S43" s="131"/>
      <c r="T43" s="378">
        <f>'調查資料(OUT)'!A49</f>
        <v>930</v>
      </c>
      <c r="U43" s="384">
        <f t="shared" si="73"/>
        <v>1030</v>
      </c>
      <c r="V43" s="385">
        <f t="shared" si="74"/>
        <v>0</v>
      </c>
      <c r="W43" s="486"/>
      <c r="X43" s="385">
        <f>IF($V43=$W$29,MAX(R43:R46),0)</f>
        <v>0</v>
      </c>
      <c r="Y43" s="408" t="e">
        <f t="shared" ref="Y43:Y52" si="103">IF($V43=W$41,SUM(B43:B46)/(4*(MAX(B43:B46))),0)</f>
        <v>#DIV/0!</v>
      </c>
      <c r="Z43" s="408" t="e">
        <f t="shared" si="100"/>
        <v>#DIV/0!</v>
      </c>
      <c r="AA43" s="408" t="e">
        <f t="shared" si="101"/>
        <v>#DIV/0!</v>
      </c>
      <c r="AB43" s="408" t="e">
        <f t="shared" si="102"/>
        <v>#DIV/0!</v>
      </c>
      <c r="AC43" s="387"/>
      <c r="AD43" s="385">
        <f>IF(V43=W$41,$T43,"N")</f>
        <v>930</v>
      </c>
      <c r="AE43" s="409">
        <f>IF(V43=W$41,$U43,"N")</f>
        <v>1030</v>
      </c>
      <c r="AF43" s="309">
        <f t="shared" si="76"/>
        <v>0</v>
      </c>
      <c r="AG43" s="66">
        <f>IF($AD43="N","N",SUM('調查資料(OUT)'!B49:B52))</f>
        <v>0</v>
      </c>
      <c r="AH43" s="66">
        <f>IF($AD43="N","N",SUM('調查資料(OUT)'!E49:E52))</f>
        <v>0</v>
      </c>
      <c r="AI43" s="66">
        <f>IF($AD43="N","N",SUM('調查資料(OUT)'!I49:I52))</f>
        <v>0</v>
      </c>
      <c r="AJ43" s="66">
        <f>IF($AD43="N","N",SUM('調查資料(OUT)'!H49:H52))</f>
        <v>0</v>
      </c>
      <c r="AK43" s="383" t="e">
        <f t="shared" si="77"/>
        <v>#DIV/0!</v>
      </c>
      <c r="AL43" s="66">
        <f t="shared" si="78"/>
        <v>0</v>
      </c>
      <c r="AM43" s="66">
        <f>IF($AD43="N","N",SUM('調查資料(OUT)'!C49:C52))</f>
        <v>0</v>
      </c>
      <c r="AN43" s="66">
        <f>IF($AD43="N","N",SUM('調查資料(OUT)'!F49:F52))</f>
        <v>0</v>
      </c>
      <c r="AO43" s="66">
        <f>IF($AD43="N","N",SUM('調查資料(OUT)'!J49:J52))</f>
        <v>0</v>
      </c>
      <c r="AP43" s="383" t="e">
        <f t="shared" si="79"/>
        <v>#DIV/0!</v>
      </c>
      <c r="AQ43" s="66">
        <f t="shared" si="80"/>
        <v>0</v>
      </c>
      <c r="AR43" s="66">
        <f>IF($AD43="N","N",SUM('調查資料(OUT)'!D49:D52))</f>
        <v>0</v>
      </c>
      <c r="AS43" s="66">
        <f>IF($AD43="N","N",SUM('調查資料(OUT)'!G49:G52))</f>
        <v>0</v>
      </c>
      <c r="AT43" s="66">
        <f>IF($AD43="N","N",SUM('調查資料(OUT)'!K49:K52))</f>
        <v>0</v>
      </c>
      <c r="AU43" s="383" t="e">
        <f t="shared" si="81"/>
        <v>#DIV/0!</v>
      </c>
      <c r="AV43" s="66">
        <f t="shared" si="38"/>
        <v>0</v>
      </c>
      <c r="AW43" s="383" t="e">
        <f t="shared" si="39"/>
        <v>#DIV/0!</v>
      </c>
      <c r="AX43" s="66">
        <f t="shared" si="40"/>
        <v>0</v>
      </c>
      <c r="AY43" s="383" t="e">
        <f t="shared" si="41"/>
        <v>#DIV/0!</v>
      </c>
      <c r="AZ43" s="66">
        <f t="shared" si="42"/>
        <v>0</v>
      </c>
      <c r="BA43" s="383" t="e">
        <f t="shared" si="43"/>
        <v>#DIV/0!</v>
      </c>
      <c r="BB43" s="316">
        <f t="shared" si="44"/>
        <v>0</v>
      </c>
      <c r="BC43" s="309">
        <f t="shared" si="82"/>
        <v>0</v>
      </c>
      <c r="BD43" s="66">
        <f>IF($AD43="N","N",SUM('調查資料(OUT)'!L49:L52))</f>
        <v>0</v>
      </c>
      <c r="BE43" s="66">
        <f>IF($AD43="N","N",SUM('調查資料(OUT)'!O49:O52))</f>
        <v>0</v>
      </c>
      <c r="BF43" s="66">
        <f>IF($AD43="N","N",SUM('調查資料(OUT)'!S49:S52))</f>
        <v>0</v>
      </c>
      <c r="BG43" s="66">
        <f>IF($AD43="N","N",SUM('調查資料(OUT)'!R49:R52))</f>
        <v>0</v>
      </c>
      <c r="BH43" s="383" t="e">
        <f t="shared" si="83"/>
        <v>#DIV/0!</v>
      </c>
      <c r="BI43" s="66">
        <f t="shared" si="84"/>
        <v>0</v>
      </c>
      <c r="BJ43" s="66">
        <f>IF($AD43="N","N",SUM('調查資料(OUT)'!M49:M52))</f>
        <v>0</v>
      </c>
      <c r="BK43" s="66">
        <f>IF($AD43="N","N",SUM('調查資料(OUT)'!P49:P52))</f>
        <v>0</v>
      </c>
      <c r="BL43" s="66">
        <f>IF($AD43="N","N",SUM('調查資料(OUT)'!T49:T52))</f>
        <v>0</v>
      </c>
      <c r="BM43" s="383" t="e">
        <f t="shared" si="85"/>
        <v>#DIV/0!</v>
      </c>
      <c r="BN43" s="66">
        <f t="shared" si="86"/>
        <v>0</v>
      </c>
      <c r="BO43" s="66">
        <f>IF($AD43="N","N",SUM('調查資料(OUT)'!N49:N52))</f>
        <v>0</v>
      </c>
      <c r="BP43" s="66">
        <f>IF($AD43="N","N",SUM('調查資料(OUT)'!Q49:Q52))</f>
        <v>0</v>
      </c>
      <c r="BQ43" s="66">
        <f>IF($AD43="N","N",SUM('調查資料(OUT)'!U49:U52))</f>
        <v>0</v>
      </c>
      <c r="BR43" s="383" t="e">
        <f t="shared" si="87"/>
        <v>#DIV/0!</v>
      </c>
      <c r="BS43" s="66">
        <f t="shared" si="45"/>
        <v>0</v>
      </c>
      <c r="BT43" s="383" t="e">
        <f t="shared" si="46"/>
        <v>#DIV/0!</v>
      </c>
      <c r="BU43" s="66">
        <f t="shared" si="47"/>
        <v>0</v>
      </c>
      <c r="BV43" s="383" t="e">
        <f t="shared" si="48"/>
        <v>#DIV/0!</v>
      </c>
      <c r="BW43" s="66">
        <f t="shared" si="49"/>
        <v>0</v>
      </c>
      <c r="BX43" s="383" t="e">
        <f t="shared" si="50"/>
        <v>#DIV/0!</v>
      </c>
      <c r="BY43" s="316">
        <f t="shared" si="51"/>
        <v>0</v>
      </c>
      <c r="BZ43" s="309">
        <f t="shared" si="88"/>
        <v>0</v>
      </c>
      <c r="CA43" s="66">
        <f>IF($AD43="N","N",SUM('調查資料(OUT)'!V49:V52))</f>
        <v>0</v>
      </c>
      <c r="CB43" s="66">
        <f>IF($AD43="N","N",SUM('調查資料(OUT)'!Y49:Y52))</f>
        <v>0</v>
      </c>
      <c r="CC43" s="66">
        <f>IF($AD43="N","N",SUM('調查資料(OUT)'!AC49:AC52))</f>
        <v>0</v>
      </c>
      <c r="CD43" s="66">
        <f>IF($AD43="N","N",SUM('調查資料(OUT)'!AB49:AB52))</f>
        <v>0</v>
      </c>
      <c r="CE43" s="383" t="e">
        <f t="shared" si="89"/>
        <v>#DIV/0!</v>
      </c>
      <c r="CF43" s="66">
        <f t="shared" si="90"/>
        <v>0</v>
      </c>
      <c r="CG43" s="66">
        <f>IF($AD43="N","N",SUM('調查資料(OUT)'!W49:W52))</f>
        <v>0</v>
      </c>
      <c r="CH43" s="66">
        <f>IF($AD43="N","N",SUM('調查資料(OUT)'!Z49:Z52))</f>
        <v>0</v>
      </c>
      <c r="CI43" s="66">
        <f>IF($AD43="N","N",SUM('調查資料(OUT)'!AD49:AD52))</f>
        <v>0</v>
      </c>
      <c r="CJ43" s="383" t="e">
        <f t="shared" si="91"/>
        <v>#DIV/0!</v>
      </c>
      <c r="CK43" s="66">
        <f t="shared" si="92"/>
        <v>0</v>
      </c>
      <c r="CL43" s="66">
        <f>IF($AD43="N","N",SUM('調查資料(OUT)'!X49:X52))</f>
        <v>0</v>
      </c>
      <c r="CM43" s="66">
        <f>IF($AD43="N","N",SUM('調查資料(OUT)'!AA49:AA52))</f>
        <v>0</v>
      </c>
      <c r="CN43" s="66">
        <f>IF($AD43="N","N",SUM('調查資料(OUT)'!AE49:AE52))</f>
        <v>0</v>
      </c>
      <c r="CO43" s="383" t="e">
        <f t="shared" si="93"/>
        <v>#DIV/0!</v>
      </c>
      <c r="CP43" s="66">
        <f t="shared" si="52"/>
        <v>0</v>
      </c>
      <c r="CQ43" s="383" t="e">
        <f t="shared" si="53"/>
        <v>#DIV/0!</v>
      </c>
      <c r="CR43" s="66">
        <f t="shared" si="54"/>
        <v>0</v>
      </c>
      <c r="CS43" s="383" t="e">
        <f t="shared" si="55"/>
        <v>#DIV/0!</v>
      </c>
      <c r="CT43" s="66">
        <f t="shared" si="56"/>
        <v>0</v>
      </c>
      <c r="CU43" s="383" t="e">
        <f t="shared" si="57"/>
        <v>#DIV/0!</v>
      </c>
      <c r="CV43" s="316">
        <f t="shared" si="58"/>
        <v>0</v>
      </c>
      <c r="CW43" s="309">
        <f t="shared" si="94"/>
        <v>0</v>
      </c>
      <c r="CX43" s="66">
        <f>IF($AD43="N","N",SUM('調查資料(OUT)'!AF49:AF52))</f>
        <v>0</v>
      </c>
      <c r="CY43" s="66">
        <f>IF($AD43="N","N",SUM('調查資料(OUT)'!AI49:AI52))</f>
        <v>0</v>
      </c>
      <c r="CZ43" s="66">
        <f>IF($AD43="N","N",SUM('調查資料(OUT)'!AM49:AM52))</f>
        <v>0</v>
      </c>
      <c r="DA43" s="66">
        <f>IF($AD43="N","N",SUM('調查資料(OUT)'!AL49:AL52))</f>
        <v>0</v>
      </c>
      <c r="DB43" s="383" t="e">
        <f t="shared" si="95"/>
        <v>#DIV/0!</v>
      </c>
      <c r="DC43" s="66">
        <f t="shared" si="96"/>
        <v>0</v>
      </c>
      <c r="DD43" s="66">
        <f>IF($AD43="N","N",SUM('調查資料(OUT)'!AG49:AG52))</f>
        <v>0</v>
      </c>
      <c r="DE43" s="66">
        <f>IF($AD43="N","N",SUM('調查資料(OUT)'!AJ49:AJ52))</f>
        <v>0</v>
      </c>
      <c r="DF43" s="66">
        <f>IF($AD43="N","N",SUM('調查資料(OUT)'!AN49:AN52))</f>
        <v>0</v>
      </c>
      <c r="DG43" s="383" t="e">
        <f t="shared" si="97"/>
        <v>#DIV/0!</v>
      </c>
      <c r="DH43" s="66">
        <f t="shared" si="98"/>
        <v>0</v>
      </c>
      <c r="DI43" s="66">
        <f>IF($AD43="N","N",SUM('調查資料(OUT)'!AH49:AH52))</f>
        <v>0</v>
      </c>
      <c r="DJ43" s="66">
        <f>IF($AD43="N","N",SUM('調查資料(OUT)'!AK49:AK52))</f>
        <v>0</v>
      </c>
      <c r="DK43" s="66">
        <f>IF($AD43="N","N",SUM('調查資料(OUT)'!AO49:AO52))</f>
        <v>0</v>
      </c>
      <c r="DL43" s="383" t="e">
        <f t="shared" si="99"/>
        <v>#DIV/0!</v>
      </c>
      <c r="DM43" s="66">
        <f t="shared" si="59"/>
        <v>0</v>
      </c>
      <c r="DN43" s="383" t="e">
        <f t="shared" si="60"/>
        <v>#DIV/0!</v>
      </c>
      <c r="DO43" s="66">
        <f t="shared" si="61"/>
        <v>0</v>
      </c>
      <c r="DP43" s="383" t="e">
        <f t="shared" si="62"/>
        <v>#DIV/0!</v>
      </c>
      <c r="DQ43" s="66">
        <f t="shared" si="63"/>
        <v>0</v>
      </c>
      <c r="DR43" s="383" t="e">
        <f t="shared" si="64"/>
        <v>#DIV/0!</v>
      </c>
      <c r="DS43" s="316">
        <f t="shared" si="65"/>
        <v>0</v>
      </c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</row>
    <row r="44" spans="1:170">
      <c r="A44" s="479">
        <f>'調查資料(OUT)'!A50</f>
        <v>945</v>
      </c>
      <c r="B44" s="480">
        <f t="shared" si="70"/>
        <v>0</v>
      </c>
      <c r="C44" s="385">
        <f>IFERROR('調查資料(OUT)'!B$1*'調查資料(OUT)'!B50,0)+IFERROR('調查資料(OUT)'!E$1*'調查資料(OUT)'!E50,0)+IFERROR('調查資料(OUT)'!H$1*'調查資料(OUT)'!H50,0)+IFERROR('調查資料(OUT)'!I$1*'調查資料(OUT)'!I50,0)</f>
        <v>0</v>
      </c>
      <c r="D44" s="385">
        <f>IFERROR('調查資料(OUT)'!C$1*'調查資料(OUT)'!C50,0)+IFERROR('調查資料(OUT)'!F$1*'調查資料(OUT)'!F50,0)+IFERROR('調查資料(OUT)'!J$1*'調查資料(OUT)'!J50,0)</f>
        <v>0</v>
      </c>
      <c r="E44" s="409">
        <f>IFERROR('調查資料(OUT)'!D$1*'調查資料(OUT)'!D50,0)+IFERROR('調查資料(OUT)'!G$1*'調查資料(OUT)'!G50,0)+IFERROR('調查資料(OUT)'!K$1*'調查資料(OUT)'!K50,0)</f>
        <v>0</v>
      </c>
      <c r="F44" s="480">
        <f t="shared" si="71"/>
        <v>0</v>
      </c>
      <c r="G44" s="385">
        <f>IFERROR('調查資料(OUT)'!L$1*'調查資料(OUT)'!L50,0)+IFERROR('調查資料(OUT)'!O$1*'調查資料(OUT)'!O50,0)+IFERROR('調查資料(OUT)'!R$1*'調查資料(OUT)'!R50,0)+IFERROR('調查資料(OUT)'!S$1*'調查資料(OUT)'!S50,0)</f>
        <v>0</v>
      </c>
      <c r="H44" s="385">
        <f>IFERROR('調查資料(OUT)'!M$1*'調查資料(OUT)'!M50,0)+IFERROR('調查資料(OUT)'!P$1*'調查資料(OUT)'!P50,0)+IFERROR('調查資料(OUT)'!T$1*'調查資料(OUT)'!T50,0)</f>
        <v>0</v>
      </c>
      <c r="I44" s="409">
        <f>IFERROR('調查資料(OUT)'!N$1*'調查資料(OUT)'!N50,0)+IFERROR('調查資料(OUT)'!Q$1*'調查資料(OUT)'!Q50,0)+IFERROR('調查資料(OUT)'!U$1*'調查資料(OUT)'!U50,0)</f>
        <v>0</v>
      </c>
      <c r="J44" s="480">
        <f t="shared" si="24"/>
        <v>0</v>
      </c>
      <c r="K44" s="385">
        <f>IFERROR('調查資料(OUT)'!V$1*'調查資料(OUT)'!V50,0)+IFERROR('調查資料(OUT)'!Y$1*'調查資料(OUT)'!Y50,0)+IFERROR('調查資料(OUT)'!AB$1*'調查資料(OUT)'!AB50,0)+IFERROR('調查資料(OUT)'!AC$1*'調查資料(OUT)'!AC50,0)</f>
        <v>0</v>
      </c>
      <c r="L44" s="385">
        <f>IFERROR('調查資料(OUT)'!W$1*'調查資料(OUT)'!W50,0)+IFERROR('調查資料(OUT)'!Z$1*'調查資料(OUT)'!Z50,0)+IFERROR('調查資料(OUT)'!AD$1*'調查資料(OUT)'!AD50,0)</f>
        <v>0</v>
      </c>
      <c r="M44" s="409">
        <f>IFERROR('調查資料(OUT)'!X$1*'調查資料(OUT)'!X50,0)+IFERROR('調查資料(OUT)'!AA$1*'調查資料(OUT)'!AA50,0)+IFERROR('調查資料(OUT)'!AE$1*'調查資料(OUT)'!AE50,0)</f>
        <v>0</v>
      </c>
      <c r="N44" s="480">
        <f t="shared" si="25"/>
        <v>0</v>
      </c>
      <c r="O44" s="385">
        <f>IFERROR('調查資料(OUT)'!AF$1*'調查資料(OUT)'!AF50,0)+IFERROR('調查資料(OUT)'!AI$1*'調查資料(OUT)'!AI50,0)+IFERROR('調查資料(OUT)'!AL$1*'調查資料(OUT)'!AL50,0)+IFERROR('調查資料(OUT)'!AM$1*'調查資料(OUT)'!AM50,0)</f>
        <v>0</v>
      </c>
      <c r="P44" s="385">
        <f>IFERROR('調查資料(OUT)'!AG$1*'調查資料(OUT)'!AG50,0)+IFERROR('調查資料(OUT)'!AJ$1*'調查資料(OUT)'!AJ50,0)+IFERROR('調查資料(OUT)'!AN$1*'調查資料(OUT)'!AN50,0)</f>
        <v>0</v>
      </c>
      <c r="Q44" s="409">
        <f>IFERROR('調查資料(OUT)'!AH$1*'調查資料(OUT)'!AH50,0)+IFERROR('調查資料(OUT)'!AK$1*'調查資料(OUT)'!AK50,0)+IFERROR('調查資料(OUT)'!AO$1*'調查資料(OUT)'!AO50,0)</f>
        <v>0</v>
      </c>
      <c r="R44" s="478">
        <f t="shared" si="72"/>
        <v>0</v>
      </c>
      <c r="S44" s="131"/>
      <c r="T44" s="378">
        <f>'調查資料(OUT)'!A50</f>
        <v>945</v>
      </c>
      <c r="U44" s="384">
        <f t="shared" si="73"/>
        <v>1045</v>
      </c>
      <c r="V44" s="385">
        <f t="shared" si="74"/>
        <v>0</v>
      </c>
      <c r="W44" s="386"/>
      <c r="X44" s="385">
        <f>IF($V44=$W$29,MAX(R44:R47),0)</f>
        <v>0</v>
      </c>
      <c r="Y44" s="408" t="e">
        <f t="shared" si="103"/>
        <v>#DIV/0!</v>
      </c>
      <c r="Z44" s="408" t="e">
        <f t="shared" si="100"/>
        <v>#DIV/0!</v>
      </c>
      <c r="AA44" s="408" t="e">
        <f t="shared" si="101"/>
        <v>#DIV/0!</v>
      </c>
      <c r="AB44" s="408" t="e">
        <f t="shared" si="102"/>
        <v>#DIV/0!</v>
      </c>
      <c r="AC44" s="387"/>
      <c r="AD44" s="385">
        <f>IF(V44=W$41,$T44,"N")</f>
        <v>945</v>
      </c>
      <c r="AE44" s="409">
        <f>IF(V44=W$41,$U44,"N")</f>
        <v>1045</v>
      </c>
      <c r="AF44" s="309">
        <f t="shared" si="76"/>
        <v>0</v>
      </c>
      <c r="AG44" s="66">
        <f>IF($AD44="N","N",SUM('調查資料(OUT)'!B50:B53))</f>
        <v>0</v>
      </c>
      <c r="AH44" s="66">
        <f>IF($AD44="N","N",SUM('調查資料(OUT)'!E50:E53))</f>
        <v>0</v>
      </c>
      <c r="AI44" s="66">
        <f>IF($AD44="N","N",SUM('調查資料(OUT)'!I50:I53))</f>
        <v>0</v>
      </c>
      <c r="AJ44" s="66">
        <f>IF($AD44="N","N",SUM('調查資料(OUT)'!H50:H53))</f>
        <v>0</v>
      </c>
      <c r="AK44" s="383" t="e">
        <f t="shared" si="77"/>
        <v>#DIV/0!</v>
      </c>
      <c r="AL44" s="66">
        <f t="shared" si="78"/>
        <v>0</v>
      </c>
      <c r="AM44" s="66">
        <f>IF($AD44="N","N",SUM('調查資料(OUT)'!C50:C53))</f>
        <v>0</v>
      </c>
      <c r="AN44" s="66">
        <f>IF($AD44="N","N",SUM('調查資料(OUT)'!F50:F53))</f>
        <v>0</v>
      </c>
      <c r="AO44" s="66">
        <f>IF($AD44="N","N",SUM('調查資料(OUT)'!J50:J53))</f>
        <v>0</v>
      </c>
      <c r="AP44" s="383" t="e">
        <f t="shared" si="79"/>
        <v>#DIV/0!</v>
      </c>
      <c r="AQ44" s="66">
        <f t="shared" si="80"/>
        <v>0</v>
      </c>
      <c r="AR44" s="66">
        <f>IF($AD44="N","N",SUM('調查資料(OUT)'!D50:D53))</f>
        <v>0</v>
      </c>
      <c r="AS44" s="66">
        <f>IF($AD44="N","N",SUM('調查資料(OUT)'!G50:G53))</f>
        <v>0</v>
      </c>
      <c r="AT44" s="66">
        <f>IF($AD44="N","N",SUM('調查資料(OUT)'!K50:K53))</f>
        <v>0</v>
      </c>
      <c r="AU44" s="383" t="e">
        <f t="shared" si="81"/>
        <v>#DIV/0!</v>
      </c>
      <c r="AV44" s="66">
        <f t="shared" si="38"/>
        <v>0</v>
      </c>
      <c r="AW44" s="383" t="e">
        <f t="shared" si="39"/>
        <v>#DIV/0!</v>
      </c>
      <c r="AX44" s="66">
        <f t="shared" si="40"/>
        <v>0</v>
      </c>
      <c r="AY44" s="383" t="e">
        <f t="shared" si="41"/>
        <v>#DIV/0!</v>
      </c>
      <c r="AZ44" s="66">
        <f t="shared" si="42"/>
        <v>0</v>
      </c>
      <c r="BA44" s="383" t="e">
        <f t="shared" si="43"/>
        <v>#DIV/0!</v>
      </c>
      <c r="BB44" s="316">
        <f t="shared" si="44"/>
        <v>0</v>
      </c>
      <c r="BC44" s="309">
        <f t="shared" si="82"/>
        <v>0</v>
      </c>
      <c r="BD44" s="66">
        <f>IF($AD44="N","N",SUM('調查資料(OUT)'!L50:L53))</f>
        <v>0</v>
      </c>
      <c r="BE44" s="66">
        <f>IF($AD44="N","N",SUM('調查資料(OUT)'!O50:O53))</f>
        <v>0</v>
      </c>
      <c r="BF44" s="66">
        <f>IF($AD44="N","N",SUM('調查資料(OUT)'!S50:S53))</f>
        <v>0</v>
      </c>
      <c r="BG44" s="66">
        <f>IF($AD44="N","N",SUM('調查資料(OUT)'!R50:R53))</f>
        <v>0</v>
      </c>
      <c r="BH44" s="383" t="e">
        <f t="shared" si="83"/>
        <v>#DIV/0!</v>
      </c>
      <c r="BI44" s="66">
        <f t="shared" si="84"/>
        <v>0</v>
      </c>
      <c r="BJ44" s="66">
        <f>IF($AD44="N","N",SUM('調查資料(OUT)'!M50:M53))</f>
        <v>0</v>
      </c>
      <c r="BK44" s="66">
        <f>IF($AD44="N","N",SUM('調查資料(OUT)'!P50:P53))</f>
        <v>0</v>
      </c>
      <c r="BL44" s="66">
        <f>IF($AD44="N","N",SUM('調查資料(OUT)'!T50:T53))</f>
        <v>0</v>
      </c>
      <c r="BM44" s="383" t="e">
        <f t="shared" si="85"/>
        <v>#DIV/0!</v>
      </c>
      <c r="BN44" s="66">
        <f t="shared" si="86"/>
        <v>0</v>
      </c>
      <c r="BO44" s="66">
        <f>IF($AD44="N","N",SUM('調查資料(OUT)'!N50:N53))</f>
        <v>0</v>
      </c>
      <c r="BP44" s="66">
        <f>IF($AD44="N","N",SUM('調查資料(OUT)'!Q50:Q53))</f>
        <v>0</v>
      </c>
      <c r="BQ44" s="66">
        <f>IF($AD44="N","N",SUM('調查資料(OUT)'!U50:U53))</f>
        <v>0</v>
      </c>
      <c r="BR44" s="383" t="e">
        <f t="shared" si="87"/>
        <v>#DIV/0!</v>
      </c>
      <c r="BS44" s="66">
        <f t="shared" si="45"/>
        <v>0</v>
      </c>
      <c r="BT44" s="383" t="e">
        <f t="shared" si="46"/>
        <v>#DIV/0!</v>
      </c>
      <c r="BU44" s="66">
        <f t="shared" si="47"/>
        <v>0</v>
      </c>
      <c r="BV44" s="383" t="e">
        <f t="shared" si="48"/>
        <v>#DIV/0!</v>
      </c>
      <c r="BW44" s="66">
        <f t="shared" si="49"/>
        <v>0</v>
      </c>
      <c r="BX44" s="383" t="e">
        <f t="shared" si="50"/>
        <v>#DIV/0!</v>
      </c>
      <c r="BY44" s="316">
        <f t="shared" si="51"/>
        <v>0</v>
      </c>
      <c r="BZ44" s="309">
        <f t="shared" si="88"/>
        <v>0</v>
      </c>
      <c r="CA44" s="66">
        <f>IF($AD44="N","N",SUM('調查資料(OUT)'!V50:V53))</f>
        <v>0</v>
      </c>
      <c r="CB44" s="66">
        <f>IF($AD44="N","N",SUM('調查資料(OUT)'!Y50:Y53))</f>
        <v>0</v>
      </c>
      <c r="CC44" s="66">
        <f>IF($AD44="N","N",SUM('調查資料(OUT)'!AC50:AC53))</f>
        <v>0</v>
      </c>
      <c r="CD44" s="66">
        <f>IF($AD44="N","N",SUM('調查資料(OUT)'!AB50:AB53))</f>
        <v>0</v>
      </c>
      <c r="CE44" s="383" t="e">
        <f t="shared" si="89"/>
        <v>#DIV/0!</v>
      </c>
      <c r="CF44" s="66">
        <f t="shared" si="90"/>
        <v>0</v>
      </c>
      <c r="CG44" s="66">
        <f>IF($AD44="N","N",SUM('調查資料(OUT)'!W50:W53))</f>
        <v>0</v>
      </c>
      <c r="CH44" s="66">
        <f>IF($AD44="N","N",SUM('調查資料(OUT)'!Z50:Z53))</f>
        <v>0</v>
      </c>
      <c r="CI44" s="66">
        <f>IF($AD44="N","N",SUM('調查資料(OUT)'!AD50:AD53))</f>
        <v>0</v>
      </c>
      <c r="CJ44" s="383" t="e">
        <f t="shared" si="91"/>
        <v>#DIV/0!</v>
      </c>
      <c r="CK44" s="66">
        <f t="shared" si="92"/>
        <v>0</v>
      </c>
      <c r="CL44" s="66">
        <f>IF($AD44="N","N",SUM('調查資料(OUT)'!X50:X53))</f>
        <v>0</v>
      </c>
      <c r="CM44" s="66">
        <f>IF($AD44="N","N",SUM('調查資料(OUT)'!AA50:AA53))</f>
        <v>0</v>
      </c>
      <c r="CN44" s="66">
        <f>IF($AD44="N","N",SUM('調查資料(OUT)'!AE50:AE53))</f>
        <v>0</v>
      </c>
      <c r="CO44" s="383" t="e">
        <f t="shared" si="93"/>
        <v>#DIV/0!</v>
      </c>
      <c r="CP44" s="66">
        <f t="shared" si="52"/>
        <v>0</v>
      </c>
      <c r="CQ44" s="383" t="e">
        <f t="shared" si="53"/>
        <v>#DIV/0!</v>
      </c>
      <c r="CR44" s="66">
        <f t="shared" si="54"/>
        <v>0</v>
      </c>
      <c r="CS44" s="383" t="e">
        <f t="shared" si="55"/>
        <v>#DIV/0!</v>
      </c>
      <c r="CT44" s="66">
        <f t="shared" si="56"/>
        <v>0</v>
      </c>
      <c r="CU44" s="383" t="e">
        <f t="shared" si="57"/>
        <v>#DIV/0!</v>
      </c>
      <c r="CV44" s="316">
        <f t="shared" si="58"/>
        <v>0</v>
      </c>
      <c r="CW44" s="309">
        <f t="shared" si="94"/>
        <v>0</v>
      </c>
      <c r="CX44" s="66">
        <f>IF($AD44="N","N",SUM('調查資料(OUT)'!AF50:AF53))</f>
        <v>0</v>
      </c>
      <c r="CY44" s="66">
        <f>IF($AD44="N","N",SUM('調查資料(OUT)'!AI50:AI53))</f>
        <v>0</v>
      </c>
      <c r="CZ44" s="66">
        <f>IF($AD44="N","N",SUM('調查資料(OUT)'!AM50:AM53))</f>
        <v>0</v>
      </c>
      <c r="DA44" s="66">
        <f>IF($AD44="N","N",SUM('調查資料(OUT)'!AL50:AL53))</f>
        <v>0</v>
      </c>
      <c r="DB44" s="383" t="e">
        <f t="shared" si="95"/>
        <v>#DIV/0!</v>
      </c>
      <c r="DC44" s="66">
        <f t="shared" si="96"/>
        <v>0</v>
      </c>
      <c r="DD44" s="66">
        <f>IF($AD44="N","N",SUM('調查資料(OUT)'!AG50:AG53))</f>
        <v>0</v>
      </c>
      <c r="DE44" s="66">
        <f>IF($AD44="N","N",SUM('調查資料(OUT)'!AJ50:AJ53))</f>
        <v>0</v>
      </c>
      <c r="DF44" s="66">
        <f>IF($AD44="N","N",SUM('調查資料(OUT)'!AN50:AN53))</f>
        <v>0</v>
      </c>
      <c r="DG44" s="383" t="e">
        <f t="shared" si="97"/>
        <v>#DIV/0!</v>
      </c>
      <c r="DH44" s="66">
        <f t="shared" si="98"/>
        <v>0</v>
      </c>
      <c r="DI44" s="66">
        <f>IF($AD44="N","N",SUM('調查資料(OUT)'!AH50:AH53))</f>
        <v>0</v>
      </c>
      <c r="DJ44" s="66">
        <f>IF($AD44="N","N",SUM('調查資料(OUT)'!AK50:AK53))</f>
        <v>0</v>
      </c>
      <c r="DK44" s="66">
        <f>IF($AD44="N","N",SUM('調查資料(OUT)'!AO50:AO53))</f>
        <v>0</v>
      </c>
      <c r="DL44" s="383" t="e">
        <f t="shared" si="99"/>
        <v>#DIV/0!</v>
      </c>
      <c r="DM44" s="66">
        <f t="shared" si="59"/>
        <v>0</v>
      </c>
      <c r="DN44" s="383" t="e">
        <f t="shared" si="60"/>
        <v>#DIV/0!</v>
      </c>
      <c r="DO44" s="66">
        <f t="shared" si="61"/>
        <v>0</v>
      </c>
      <c r="DP44" s="383" t="e">
        <f t="shared" si="62"/>
        <v>#DIV/0!</v>
      </c>
      <c r="DQ44" s="66">
        <f t="shared" si="63"/>
        <v>0</v>
      </c>
      <c r="DR44" s="383" t="e">
        <f t="shared" si="64"/>
        <v>#DIV/0!</v>
      </c>
      <c r="DS44" s="316">
        <f t="shared" si="65"/>
        <v>0</v>
      </c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  <c r="FM44" s="67"/>
      <c r="FN44" s="67"/>
    </row>
    <row r="45" spans="1:170">
      <c r="A45" s="479">
        <f>'調查資料(OUT)'!A51</f>
        <v>1000</v>
      </c>
      <c r="B45" s="480">
        <f>SUM(C45:E45)</f>
        <v>0</v>
      </c>
      <c r="C45" s="385">
        <f>IFERROR('調查資料(OUT)'!B$1*'調查資料(OUT)'!B51,0)+IFERROR('調查資料(OUT)'!E$1*'調查資料(OUT)'!E51,0)+IFERROR('調查資料(OUT)'!H$1*'調查資料(OUT)'!H51,0)+IFERROR('調查資料(OUT)'!I$1*'調查資料(OUT)'!I51,0)</f>
        <v>0</v>
      </c>
      <c r="D45" s="385">
        <f>IFERROR('調查資料(OUT)'!C$1*'調查資料(OUT)'!C51,0)+IFERROR('調查資料(OUT)'!F$1*'調查資料(OUT)'!F51,0)+IFERROR('調查資料(OUT)'!J$1*'調查資料(OUT)'!J51,0)</f>
        <v>0</v>
      </c>
      <c r="E45" s="409">
        <f>IFERROR('調查資料(OUT)'!D$1*'調查資料(OUT)'!D51,0)+IFERROR('調查資料(OUT)'!G$1*'調查資料(OUT)'!G51,0)+IFERROR('調查資料(OUT)'!K$1*'調查資料(OUT)'!K51,0)</f>
        <v>0</v>
      </c>
      <c r="F45" s="480">
        <f>SUM(G45:I45)</f>
        <v>0</v>
      </c>
      <c r="G45" s="385">
        <f>IFERROR('調查資料(OUT)'!L$1*'調查資料(OUT)'!L51,0)+IFERROR('調查資料(OUT)'!O$1*'調查資料(OUT)'!O51,0)+IFERROR('調查資料(OUT)'!R$1*'調查資料(OUT)'!R51,0)+IFERROR('調查資料(OUT)'!S$1*'調查資料(OUT)'!S51,0)</f>
        <v>0</v>
      </c>
      <c r="H45" s="385">
        <f>IFERROR('調查資料(OUT)'!M$1*'調查資料(OUT)'!M51,0)+IFERROR('調查資料(OUT)'!P$1*'調查資料(OUT)'!P51,0)+IFERROR('調查資料(OUT)'!T$1*'調查資料(OUT)'!T51,0)</f>
        <v>0</v>
      </c>
      <c r="I45" s="409">
        <f>IFERROR('調查資料(OUT)'!N$1*'調查資料(OUT)'!N51,0)+IFERROR('調查資料(OUT)'!Q$1*'調查資料(OUT)'!Q51,0)+IFERROR('調查資料(OUT)'!U$1*'調查資料(OUT)'!U51,0)</f>
        <v>0</v>
      </c>
      <c r="J45" s="480">
        <f t="shared" si="24"/>
        <v>0</v>
      </c>
      <c r="K45" s="385">
        <f>IFERROR('調查資料(OUT)'!V$1*'調查資料(OUT)'!V51,0)+IFERROR('調查資料(OUT)'!Y$1*'調查資料(OUT)'!Y51,0)+IFERROR('調查資料(OUT)'!AB$1*'調查資料(OUT)'!AB51,0)+IFERROR('調查資料(OUT)'!AC$1*'調查資料(OUT)'!AC51,0)</f>
        <v>0</v>
      </c>
      <c r="L45" s="385">
        <f>IFERROR('調查資料(OUT)'!W$1*'調查資料(OUT)'!W51,0)+IFERROR('調查資料(OUT)'!Z$1*'調查資料(OUT)'!Z51,0)+IFERROR('調查資料(OUT)'!AD$1*'調查資料(OUT)'!AD51,0)</f>
        <v>0</v>
      </c>
      <c r="M45" s="409">
        <f>IFERROR('調查資料(OUT)'!X$1*'調查資料(OUT)'!X51,0)+IFERROR('調查資料(OUT)'!AA$1*'調查資料(OUT)'!AA51,0)+IFERROR('調查資料(OUT)'!AE$1*'調查資料(OUT)'!AE51,0)</f>
        <v>0</v>
      </c>
      <c r="N45" s="480">
        <f t="shared" si="25"/>
        <v>0</v>
      </c>
      <c r="O45" s="385">
        <f>IFERROR('調查資料(OUT)'!AF$1*'調查資料(OUT)'!AF51,0)+IFERROR('調查資料(OUT)'!AI$1*'調查資料(OUT)'!AI51,0)+IFERROR('調查資料(OUT)'!AL$1*'調查資料(OUT)'!AL51,0)+IFERROR('調查資料(OUT)'!AM$1*'調查資料(OUT)'!AM51,0)</f>
        <v>0</v>
      </c>
      <c r="P45" s="385">
        <f>IFERROR('調查資料(OUT)'!AG$1*'調查資料(OUT)'!AG51,0)+IFERROR('調查資料(OUT)'!AJ$1*'調查資料(OUT)'!AJ51,0)+IFERROR('調查資料(OUT)'!AN$1*'調查資料(OUT)'!AN51,0)</f>
        <v>0</v>
      </c>
      <c r="Q45" s="409">
        <f>IFERROR('調查資料(OUT)'!AH$1*'調查資料(OUT)'!AH51,0)+IFERROR('調查資料(OUT)'!AK$1*'調查資料(OUT)'!AK51,0)+IFERROR('調查資料(OUT)'!AO$1*'調查資料(OUT)'!AO51,0)</f>
        <v>0</v>
      </c>
      <c r="R45" s="478">
        <f>B45+F45+J45+N45</f>
        <v>0</v>
      </c>
      <c r="S45" s="66"/>
      <c r="T45" s="378">
        <f>'調查資料(OUT)'!A51</f>
        <v>1000</v>
      </c>
      <c r="U45" s="384">
        <f>T45+100</f>
        <v>1100</v>
      </c>
      <c r="V45" s="385">
        <f>SUM(R45:R48)</f>
        <v>0</v>
      </c>
      <c r="W45" s="486"/>
      <c r="X45" s="385">
        <f t="shared" ref="X45:X54" si="104">IF($V45=$W$41,MAX(R45:R48),0)</f>
        <v>0</v>
      </c>
      <c r="Y45" s="408" t="e">
        <f t="shared" si="103"/>
        <v>#DIV/0!</v>
      </c>
      <c r="Z45" s="408" t="e">
        <f t="shared" si="100"/>
        <v>#DIV/0!</v>
      </c>
      <c r="AA45" s="408" t="e">
        <f t="shared" si="101"/>
        <v>#DIV/0!</v>
      </c>
      <c r="AB45" s="408" t="e">
        <f t="shared" si="102"/>
        <v>#DIV/0!</v>
      </c>
      <c r="AC45" s="488"/>
      <c r="AD45" s="385">
        <f>IF(V45=W$41,$T45,"N")</f>
        <v>1000</v>
      </c>
      <c r="AE45" s="409">
        <f t="shared" ref="AE45:AE53" si="105">IF(V45=W$41,$U45,"N")</f>
        <v>1100</v>
      </c>
      <c r="AF45" s="309">
        <f t="shared" si="69"/>
        <v>0</v>
      </c>
      <c r="AG45" s="66">
        <f>IF($AD45="N","N",SUM('調查資料(OUT)'!B51:B54))</f>
        <v>0</v>
      </c>
      <c r="AH45" s="66">
        <f>IF($AD45="N","N",SUM('調查資料(OUT)'!E51:E54))</f>
        <v>0</v>
      </c>
      <c r="AI45" s="66">
        <f>IF($AD45="N","N",SUM('調查資料(OUT)'!I51:I54))</f>
        <v>0</v>
      </c>
      <c r="AJ45" s="66">
        <f>IF($AD45="N","N",SUM('調查資料(OUT)'!H51:H54))</f>
        <v>0</v>
      </c>
      <c r="AK45" s="383" t="e">
        <f t="shared" si="77"/>
        <v>#DIV/0!</v>
      </c>
      <c r="AL45" s="66">
        <f t="shared" si="78"/>
        <v>0</v>
      </c>
      <c r="AM45" s="66">
        <f>IF($AD45="N","N",SUM('調查資料(OUT)'!C51:C54))</f>
        <v>0</v>
      </c>
      <c r="AN45" s="66">
        <f>IF($AD45="N","N",SUM('調查資料(OUT)'!F51:F54))</f>
        <v>0</v>
      </c>
      <c r="AO45" s="66">
        <f>IF($AD45="N","N",SUM('調查資料(OUT)'!J51:J54))</f>
        <v>0</v>
      </c>
      <c r="AP45" s="383" t="e">
        <f t="shared" si="79"/>
        <v>#DIV/0!</v>
      </c>
      <c r="AQ45" s="66">
        <f t="shared" si="80"/>
        <v>0</v>
      </c>
      <c r="AR45" s="66">
        <f>IF($AD45="N","N",SUM('調查資料(OUT)'!D51:D54))</f>
        <v>0</v>
      </c>
      <c r="AS45" s="66">
        <f>IF($AD45="N","N",SUM('調查資料(OUT)'!G51:G54))</f>
        <v>0</v>
      </c>
      <c r="AT45" s="66">
        <f>IF($AD45="N","N",SUM('調查資料(OUT)'!K51:K54))</f>
        <v>0</v>
      </c>
      <c r="AU45" s="383" t="e">
        <f t="shared" si="81"/>
        <v>#DIV/0!</v>
      </c>
      <c r="AV45" s="66">
        <f t="shared" si="38"/>
        <v>0</v>
      </c>
      <c r="AW45" s="383" t="e">
        <f t="shared" si="39"/>
        <v>#DIV/0!</v>
      </c>
      <c r="AX45" s="66">
        <f t="shared" si="40"/>
        <v>0</v>
      </c>
      <c r="AY45" s="383" t="e">
        <f t="shared" si="41"/>
        <v>#DIV/0!</v>
      </c>
      <c r="AZ45" s="66">
        <f t="shared" si="42"/>
        <v>0</v>
      </c>
      <c r="BA45" s="383" t="e">
        <f t="shared" si="43"/>
        <v>#DIV/0!</v>
      </c>
      <c r="BB45" s="316">
        <f t="shared" si="44"/>
        <v>0</v>
      </c>
      <c r="BC45" s="309">
        <f t="shared" si="82"/>
        <v>0</v>
      </c>
      <c r="BD45" s="66">
        <f>IF($AD45="N","N",SUM('調查資料(OUT)'!L51:L54))</f>
        <v>0</v>
      </c>
      <c r="BE45" s="66">
        <f>IF($AD45="N","N",SUM('調查資料(OUT)'!O51:O54))</f>
        <v>0</v>
      </c>
      <c r="BF45" s="66">
        <f>IF($AD45="N","N",SUM('調查資料(OUT)'!S51:S54))</f>
        <v>0</v>
      </c>
      <c r="BG45" s="66">
        <f>IF($AD45="N","N",SUM('調查資料(OUT)'!R51:R54))</f>
        <v>0</v>
      </c>
      <c r="BH45" s="383" t="e">
        <f t="shared" si="83"/>
        <v>#DIV/0!</v>
      </c>
      <c r="BI45" s="66">
        <f t="shared" si="84"/>
        <v>0</v>
      </c>
      <c r="BJ45" s="66">
        <f>IF($AD45="N","N",SUM('調查資料(OUT)'!M51:M54))</f>
        <v>0</v>
      </c>
      <c r="BK45" s="66">
        <f>IF($AD45="N","N",SUM('調查資料(OUT)'!P51:P54))</f>
        <v>0</v>
      </c>
      <c r="BL45" s="66">
        <f>IF($AD45="N","N",SUM('調查資料(OUT)'!T51:T54))</f>
        <v>0</v>
      </c>
      <c r="BM45" s="383" t="e">
        <f t="shared" si="85"/>
        <v>#DIV/0!</v>
      </c>
      <c r="BN45" s="66">
        <f t="shared" si="86"/>
        <v>0</v>
      </c>
      <c r="BO45" s="66">
        <f>IF($AD45="N","N",SUM('調查資料(OUT)'!N51:N54))</f>
        <v>0</v>
      </c>
      <c r="BP45" s="66">
        <f>IF($AD45="N","N",SUM('調查資料(OUT)'!Q51:Q54))</f>
        <v>0</v>
      </c>
      <c r="BQ45" s="66">
        <f>IF($AD45="N","N",SUM('調查資料(OUT)'!U51:U54))</f>
        <v>0</v>
      </c>
      <c r="BR45" s="383" t="e">
        <f t="shared" si="87"/>
        <v>#DIV/0!</v>
      </c>
      <c r="BS45" s="66">
        <f t="shared" si="45"/>
        <v>0</v>
      </c>
      <c r="BT45" s="383" t="e">
        <f t="shared" si="46"/>
        <v>#DIV/0!</v>
      </c>
      <c r="BU45" s="66">
        <f t="shared" si="47"/>
        <v>0</v>
      </c>
      <c r="BV45" s="383" t="e">
        <f t="shared" si="48"/>
        <v>#DIV/0!</v>
      </c>
      <c r="BW45" s="66">
        <f t="shared" si="49"/>
        <v>0</v>
      </c>
      <c r="BX45" s="383" t="e">
        <f t="shared" si="50"/>
        <v>#DIV/0!</v>
      </c>
      <c r="BY45" s="316">
        <f t="shared" si="51"/>
        <v>0</v>
      </c>
      <c r="BZ45" s="309">
        <f t="shared" si="88"/>
        <v>0</v>
      </c>
      <c r="CA45" s="66">
        <f>IF($AD45="N","N",SUM('調查資料(OUT)'!V51:V54))</f>
        <v>0</v>
      </c>
      <c r="CB45" s="66">
        <f>IF($AD45="N","N",SUM('調查資料(OUT)'!Y51:Y54))</f>
        <v>0</v>
      </c>
      <c r="CC45" s="66">
        <f>IF($AD45="N","N",SUM('調查資料(OUT)'!AC51:AC54))</f>
        <v>0</v>
      </c>
      <c r="CD45" s="66">
        <f>IF($AD45="N","N",SUM('調查資料(OUT)'!AB51:AB54))</f>
        <v>0</v>
      </c>
      <c r="CE45" s="383" t="e">
        <f t="shared" si="89"/>
        <v>#DIV/0!</v>
      </c>
      <c r="CF45" s="66">
        <f t="shared" si="90"/>
        <v>0</v>
      </c>
      <c r="CG45" s="66">
        <f>IF($AD45="N","N",SUM('調查資料(OUT)'!W51:W54))</f>
        <v>0</v>
      </c>
      <c r="CH45" s="66">
        <f>IF($AD45="N","N",SUM('調查資料(OUT)'!Z51:Z54))</f>
        <v>0</v>
      </c>
      <c r="CI45" s="66">
        <f>IF($AD45="N","N",SUM('調查資料(OUT)'!AD51:AD54))</f>
        <v>0</v>
      </c>
      <c r="CJ45" s="383" t="e">
        <f t="shared" si="91"/>
        <v>#DIV/0!</v>
      </c>
      <c r="CK45" s="66">
        <f t="shared" si="92"/>
        <v>0</v>
      </c>
      <c r="CL45" s="66">
        <f>IF($AD45="N","N",SUM('調查資料(OUT)'!X51:X54))</f>
        <v>0</v>
      </c>
      <c r="CM45" s="66">
        <f>IF($AD45="N","N",SUM('調查資料(OUT)'!AA51:AA54))</f>
        <v>0</v>
      </c>
      <c r="CN45" s="66">
        <f>IF($AD45="N","N",SUM('調查資料(OUT)'!AE51:AE54))</f>
        <v>0</v>
      </c>
      <c r="CO45" s="383" t="e">
        <f t="shared" si="93"/>
        <v>#DIV/0!</v>
      </c>
      <c r="CP45" s="66">
        <f t="shared" si="52"/>
        <v>0</v>
      </c>
      <c r="CQ45" s="383" t="e">
        <f t="shared" si="53"/>
        <v>#DIV/0!</v>
      </c>
      <c r="CR45" s="66">
        <f t="shared" si="54"/>
        <v>0</v>
      </c>
      <c r="CS45" s="383" t="e">
        <f t="shared" si="55"/>
        <v>#DIV/0!</v>
      </c>
      <c r="CT45" s="66">
        <f t="shared" si="56"/>
        <v>0</v>
      </c>
      <c r="CU45" s="383" t="e">
        <f t="shared" si="57"/>
        <v>#DIV/0!</v>
      </c>
      <c r="CV45" s="316">
        <f t="shared" si="58"/>
        <v>0</v>
      </c>
      <c r="CW45" s="309">
        <f t="shared" si="94"/>
        <v>0</v>
      </c>
      <c r="CX45" s="66">
        <f>IF($AD45="N","N",SUM('調查資料(OUT)'!AF51:AF54))</f>
        <v>0</v>
      </c>
      <c r="CY45" s="66">
        <f>IF($AD45="N","N",SUM('調查資料(OUT)'!AI51:AI54))</f>
        <v>0</v>
      </c>
      <c r="CZ45" s="66">
        <f>IF($AD45="N","N",SUM('調查資料(OUT)'!AM51:AM54))</f>
        <v>0</v>
      </c>
      <c r="DA45" s="66">
        <f>IF($AD45="N","N",SUM('調查資料(OUT)'!AL51:AL54))</f>
        <v>0</v>
      </c>
      <c r="DB45" s="383" t="e">
        <f t="shared" si="95"/>
        <v>#DIV/0!</v>
      </c>
      <c r="DC45" s="66">
        <f t="shared" si="96"/>
        <v>0</v>
      </c>
      <c r="DD45" s="66">
        <f>IF($AD45="N","N",SUM('調查資料(OUT)'!AG51:AG54))</f>
        <v>0</v>
      </c>
      <c r="DE45" s="66">
        <f>IF($AD45="N","N",SUM('調查資料(OUT)'!AJ51:AJ54))</f>
        <v>0</v>
      </c>
      <c r="DF45" s="66">
        <f>IF($AD45="N","N",SUM('調查資料(OUT)'!AN51:AN54))</f>
        <v>0</v>
      </c>
      <c r="DG45" s="383" t="e">
        <f t="shared" si="97"/>
        <v>#DIV/0!</v>
      </c>
      <c r="DH45" s="66">
        <f t="shared" si="98"/>
        <v>0</v>
      </c>
      <c r="DI45" s="66">
        <f>IF($AD45="N","N",SUM('調查資料(OUT)'!AH51:AH54))</f>
        <v>0</v>
      </c>
      <c r="DJ45" s="66">
        <f>IF($AD45="N","N",SUM('調查資料(OUT)'!AK51:AK54))</f>
        <v>0</v>
      </c>
      <c r="DK45" s="66">
        <f>IF($AD45="N","N",SUM('調查資料(OUT)'!AO51:AO54))</f>
        <v>0</v>
      </c>
      <c r="DL45" s="383" t="e">
        <f t="shared" si="99"/>
        <v>#DIV/0!</v>
      </c>
      <c r="DM45" s="66">
        <f t="shared" si="59"/>
        <v>0</v>
      </c>
      <c r="DN45" s="383" t="e">
        <f t="shared" si="60"/>
        <v>#DIV/0!</v>
      </c>
      <c r="DO45" s="66">
        <f t="shared" si="61"/>
        <v>0</v>
      </c>
      <c r="DP45" s="383" t="e">
        <f t="shared" si="62"/>
        <v>#DIV/0!</v>
      </c>
      <c r="DQ45" s="66">
        <f t="shared" si="63"/>
        <v>0</v>
      </c>
      <c r="DR45" s="383" t="e">
        <f t="shared" si="64"/>
        <v>#DIV/0!</v>
      </c>
      <c r="DS45" s="316">
        <f t="shared" si="65"/>
        <v>0</v>
      </c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67"/>
      <c r="FC45" s="67"/>
      <c r="FD45" s="67"/>
      <c r="FE45" s="67"/>
      <c r="FF45" s="67"/>
      <c r="FG45" s="67"/>
      <c r="FH45" s="67"/>
      <c r="FI45" s="67"/>
      <c r="FJ45" s="67"/>
      <c r="FK45" s="67"/>
      <c r="FL45" s="67"/>
      <c r="FM45" s="67"/>
      <c r="FN45" s="67"/>
    </row>
    <row r="46" spans="1:170">
      <c r="A46" s="479">
        <f>'調查資料(OUT)'!A52</f>
        <v>1015</v>
      </c>
      <c r="B46" s="480">
        <f t="shared" ref="B46:B55" si="106">SUM(C46:E46)</f>
        <v>0</v>
      </c>
      <c r="C46" s="385">
        <f>IFERROR('調查資料(OUT)'!B$1*'調查資料(OUT)'!B52,0)+IFERROR('調查資料(OUT)'!E$1*'調查資料(OUT)'!E52,0)+IFERROR('調查資料(OUT)'!H$1*'調查資料(OUT)'!H52,0)+IFERROR('調查資料(OUT)'!I$1*'調查資料(OUT)'!I52,0)</f>
        <v>0</v>
      </c>
      <c r="D46" s="385">
        <f>IFERROR('調查資料(OUT)'!C$1*'調查資料(OUT)'!C52,0)+IFERROR('調查資料(OUT)'!F$1*'調查資料(OUT)'!F52,0)+IFERROR('調查資料(OUT)'!J$1*'調查資料(OUT)'!J52,0)</f>
        <v>0</v>
      </c>
      <c r="E46" s="409">
        <f>IFERROR('調查資料(OUT)'!D$1*'調查資料(OUT)'!D52,0)+IFERROR('調查資料(OUT)'!G$1*'調查資料(OUT)'!G52,0)+IFERROR('調查資料(OUT)'!K$1*'調查資料(OUT)'!K52,0)</f>
        <v>0</v>
      </c>
      <c r="F46" s="480">
        <f t="shared" ref="F46:F55" si="107">SUM(G46:I46)</f>
        <v>0</v>
      </c>
      <c r="G46" s="385">
        <f>IFERROR('調查資料(OUT)'!L$1*'調查資料(OUT)'!L52,0)+IFERROR('調查資料(OUT)'!O$1*'調查資料(OUT)'!O52,0)+IFERROR('調查資料(OUT)'!R$1*'調查資料(OUT)'!R52,0)+IFERROR('調查資料(OUT)'!S$1*'調查資料(OUT)'!S52,0)</f>
        <v>0</v>
      </c>
      <c r="H46" s="385">
        <f>IFERROR('調查資料(OUT)'!M$1*'調查資料(OUT)'!M52,0)+IFERROR('調查資料(OUT)'!P$1*'調查資料(OUT)'!P52,0)+IFERROR('調查資料(OUT)'!T$1*'調查資料(OUT)'!T52,0)</f>
        <v>0</v>
      </c>
      <c r="I46" s="409">
        <f>IFERROR('調查資料(OUT)'!N$1*'調查資料(OUT)'!N52,0)+IFERROR('調查資料(OUT)'!Q$1*'調查資料(OUT)'!Q52,0)+IFERROR('調查資料(OUT)'!U$1*'調查資料(OUT)'!U52,0)</f>
        <v>0</v>
      </c>
      <c r="J46" s="480">
        <f t="shared" si="24"/>
        <v>0</v>
      </c>
      <c r="K46" s="385">
        <f>IFERROR('調查資料(OUT)'!V$1*'調查資料(OUT)'!V52,0)+IFERROR('調查資料(OUT)'!Y$1*'調查資料(OUT)'!Y52,0)+IFERROR('調查資料(OUT)'!AB$1*'調查資料(OUT)'!AB52,0)+IFERROR('調查資料(OUT)'!AC$1*'調查資料(OUT)'!AC52,0)</f>
        <v>0</v>
      </c>
      <c r="L46" s="385">
        <f>IFERROR('調查資料(OUT)'!W$1*'調查資料(OUT)'!W52,0)+IFERROR('調查資料(OUT)'!Z$1*'調查資料(OUT)'!Z52,0)+IFERROR('調查資料(OUT)'!AD$1*'調查資料(OUT)'!AD52,0)</f>
        <v>0</v>
      </c>
      <c r="M46" s="409">
        <f>IFERROR('調查資料(OUT)'!X$1*'調查資料(OUT)'!X52,0)+IFERROR('調查資料(OUT)'!AA$1*'調查資料(OUT)'!AA52,0)+IFERROR('調查資料(OUT)'!AE$1*'調查資料(OUT)'!AE52,0)</f>
        <v>0</v>
      </c>
      <c r="N46" s="480">
        <f t="shared" si="25"/>
        <v>0</v>
      </c>
      <c r="O46" s="385">
        <f>IFERROR('調查資料(OUT)'!AF$1*'調查資料(OUT)'!AF52,0)+IFERROR('調查資料(OUT)'!AI$1*'調查資料(OUT)'!AI52,0)+IFERROR('調查資料(OUT)'!AL$1*'調查資料(OUT)'!AL52,0)+IFERROR('調查資料(OUT)'!AM$1*'調查資料(OUT)'!AM52,0)</f>
        <v>0</v>
      </c>
      <c r="P46" s="385">
        <f>IFERROR('調查資料(OUT)'!AG$1*'調查資料(OUT)'!AG52,0)+IFERROR('調查資料(OUT)'!AJ$1*'調查資料(OUT)'!AJ52,0)+IFERROR('調查資料(OUT)'!AN$1*'調查資料(OUT)'!AN52,0)</f>
        <v>0</v>
      </c>
      <c r="Q46" s="409">
        <f>IFERROR('調查資料(OUT)'!AH$1*'調查資料(OUT)'!AH52,0)+IFERROR('調查資料(OUT)'!AK$1*'調查資料(OUT)'!AK52,0)+IFERROR('調查資料(OUT)'!AO$1*'調查資料(OUT)'!AO52,0)</f>
        <v>0</v>
      </c>
      <c r="R46" s="478">
        <f t="shared" ref="R46:R55" si="108">B46+F46+J46+N46</f>
        <v>0</v>
      </c>
      <c r="S46" s="66"/>
      <c r="T46" s="378">
        <f>'調查資料(OUT)'!A52</f>
        <v>1015</v>
      </c>
      <c r="U46" s="384">
        <f t="shared" ref="U46:U60" si="109">T46+100</f>
        <v>1115</v>
      </c>
      <c r="V46" s="385">
        <f t="shared" ref="V46:V55" si="110">SUM(R46:R49)</f>
        <v>0</v>
      </c>
      <c r="W46" s="386"/>
      <c r="X46" s="385">
        <f t="shared" si="104"/>
        <v>0</v>
      </c>
      <c r="Y46" s="408" t="e">
        <f t="shared" si="103"/>
        <v>#DIV/0!</v>
      </c>
      <c r="Z46" s="408" t="e">
        <f t="shared" si="100"/>
        <v>#DIV/0!</v>
      </c>
      <c r="AA46" s="408" t="e">
        <f t="shared" si="101"/>
        <v>#DIV/0!</v>
      </c>
      <c r="AB46" s="408" t="e">
        <f t="shared" si="102"/>
        <v>#DIV/0!</v>
      </c>
      <c r="AC46" s="387"/>
      <c r="AD46" s="385">
        <f t="shared" ref="AD46:AD53" si="111">IF(V46=W$41,$T46,"N")</f>
        <v>1015</v>
      </c>
      <c r="AE46" s="409">
        <f t="shared" si="105"/>
        <v>1115</v>
      </c>
      <c r="AF46" s="309">
        <f t="shared" si="69"/>
        <v>0</v>
      </c>
      <c r="AG46" s="66">
        <f>IF($AD46="N","N",SUM('調查資料(OUT)'!B52:B55))</f>
        <v>0</v>
      </c>
      <c r="AH46" s="66">
        <f>IF($AD46="N","N",SUM('調查資料(OUT)'!E52:E55))</f>
        <v>0</v>
      </c>
      <c r="AI46" s="66">
        <f>IF($AD46="N","N",SUM('調查資料(OUT)'!I52:I55))</f>
        <v>0</v>
      </c>
      <c r="AJ46" s="66">
        <f>IF($AD46="N","N",SUM('調查資料(OUT)'!H52:H55))</f>
        <v>0</v>
      </c>
      <c r="AK46" s="383" t="e">
        <f t="shared" si="77"/>
        <v>#DIV/0!</v>
      </c>
      <c r="AL46" s="66">
        <f t="shared" si="78"/>
        <v>0</v>
      </c>
      <c r="AM46" s="66">
        <f>IF($AD46="N","N",SUM('調查資料(OUT)'!C52:C55))</f>
        <v>0</v>
      </c>
      <c r="AN46" s="66">
        <f>IF($AD46="N","N",SUM('調查資料(OUT)'!F52:F55))</f>
        <v>0</v>
      </c>
      <c r="AO46" s="66">
        <f>IF($AD46="N","N",SUM('調查資料(OUT)'!J52:J55))</f>
        <v>0</v>
      </c>
      <c r="AP46" s="383" t="e">
        <f t="shared" si="79"/>
        <v>#DIV/0!</v>
      </c>
      <c r="AQ46" s="66">
        <f t="shared" si="80"/>
        <v>0</v>
      </c>
      <c r="AR46" s="66">
        <f>IF($AD46="N","N",SUM('調查資料(OUT)'!D52:D55))</f>
        <v>0</v>
      </c>
      <c r="AS46" s="66">
        <f>IF($AD46="N","N",SUM('調查資料(OUT)'!G52:G55))</f>
        <v>0</v>
      </c>
      <c r="AT46" s="66">
        <f>IF($AD46="N","N",SUM('調查資料(OUT)'!K52:K55))</f>
        <v>0</v>
      </c>
      <c r="AU46" s="383" t="e">
        <f t="shared" si="81"/>
        <v>#DIV/0!</v>
      </c>
      <c r="AV46" s="66">
        <f t="shared" si="38"/>
        <v>0</v>
      </c>
      <c r="AW46" s="383" t="e">
        <f t="shared" si="39"/>
        <v>#DIV/0!</v>
      </c>
      <c r="AX46" s="66">
        <f t="shared" si="40"/>
        <v>0</v>
      </c>
      <c r="AY46" s="383" t="e">
        <f t="shared" si="41"/>
        <v>#DIV/0!</v>
      </c>
      <c r="AZ46" s="66">
        <f t="shared" si="42"/>
        <v>0</v>
      </c>
      <c r="BA46" s="383" t="e">
        <f t="shared" si="43"/>
        <v>#DIV/0!</v>
      </c>
      <c r="BB46" s="316">
        <f t="shared" si="44"/>
        <v>0</v>
      </c>
      <c r="BC46" s="309">
        <f t="shared" si="82"/>
        <v>0</v>
      </c>
      <c r="BD46" s="66">
        <f>IF($AD46="N","N",SUM('調查資料(OUT)'!L52:L55))</f>
        <v>0</v>
      </c>
      <c r="BE46" s="66">
        <f>IF($AD46="N","N",SUM('調查資料(OUT)'!O52:O55))</f>
        <v>0</v>
      </c>
      <c r="BF46" s="66">
        <f>IF($AD46="N","N",SUM('調查資料(OUT)'!S52:S55))</f>
        <v>0</v>
      </c>
      <c r="BG46" s="66">
        <f>IF($AD46="N","N",SUM('調查資料(OUT)'!R52:R55))</f>
        <v>0</v>
      </c>
      <c r="BH46" s="383" t="e">
        <f t="shared" si="83"/>
        <v>#DIV/0!</v>
      </c>
      <c r="BI46" s="66">
        <f t="shared" si="84"/>
        <v>0</v>
      </c>
      <c r="BJ46" s="66">
        <f>IF($AD46="N","N",SUM('調查資料(OUT)'!M52:M55))</f>
        <v>0</v>
      </c>
      <c r="BK46" s="66">
        <f>IF($AD46="N","N",SUM('調查資料(OUT)'!P52:P55))</f>
        <v>0</v>
      </c>
      <c r="BL46" s="66">
        <f>IF($AD46="N","N",SUM('調查資料(OUT)'!T52:T55))</f>
        <v>0</v>
      </c>
      <c r="BM46" s="383" t="e">
        <f t="shared" si="85"/>
        <v>#DIV/0!</v>
      </c>
      <c r="BN46" s="66">
        <f t="shared" si="86"/>
        <v>0</v>
      </c>
      <c r="BO46" s="66">
        <f>IF($AD46="N","N",SUM('調查資料(OUT)'!N52:N55))</f>
        <v>0</v>
      </c>
      <c r="BP46" s="66">
        <f>IF($AD46="N","N",SUM('調查資料(OUT)'!Q52:Q55))</f>
        <v>0</v>
      </c>
      <c r="BQ46" s="66">
        <f>IF($AD46="N","N",SUM('調查資料(OUT)'!U52:U55))</f>
        <v>0</v>
      </c>
      <c r="BR46" s="383" t="e">
        <f t="shared" si="87"/>
        <v>#DIV/0!</v>
      </c>
      <c r="BS46" s="66">
        <f t="shared" si="45"/>
        <v>0</v>
      </c>
      <c r="BT46" s="383" t="e">
        <f t="shared" si="46"/>
        <v>#DIV/0!</v>
      </c>
      <c r="BU46" s="66">
        <f t="shared" si="47"/>
        <v>0</v>
      </c>
      <c r="BV46" s="383" t="e">
        <f t="shared" si="48"/>
        <v>#DIV/0!</v>
      </c>
      <c r="BW46" s="66">
        <f t="shared" si="49"/>
        <v>0</v>
      </c>
      <c r="BX46" s="383" t="e">
        <f t="shared" si="50"/>
        <v>#DIV/0!</v>
      </c>
      <c r="BY46" s="316">
        <f t="shared" si="51"/>
        <v>0</v>
      </c>
      <c r="BZ46" s="309">
        <f t="shared" si="88"/>
        <v>0</v>
      </c>
      <c r="CA46" s="66">
        <f>IF($AD46="N","N",SUM('調查資料(OUT)'!V52:V55))</f>
        <v>0</v>
      </c>
      <c r="CB46" s="66">
        <f>IF($AD46="N","N",SUM('調查資料(OUT)'!Y52:Y55))</f>
        <v>0</v>
      </c>
      <c r="CC46" s="66">
        <f>IF($AD46="N","N",SUM('調查資料(OUT)'!AC52:AC55))</f>
        <v>0</v>
      </c>
      <c r="CD46" s="66">
        <f>IF($AD46="N","N",SUM('調查資料(OUT)'!AB52:AB55))</f>
        <v>0</v>
      </c>
      <c r="CE46" s="383" t="e">
        <f t="shared" si="89"/>
        <v>#DIV/0!</v>
      </c>
      <c r="CF46" s="66">
        <f t="shared" si="90"/>
        <v>0</v>
      </c>
      <c r="CG46" s="66">
        <f>IF($AD46="N","N",SUM('調查資料(OUT)'!W52:W55))</f>
        <v>0</v>
      </c>
      <c r="CH46" s="66">
        <f>IF($AD46="N","N",SUM('調查資料(OUT)'!Z52:Z55))</f>
        <v>0</v>
      </c>
      <c r="CI46" s="66">
        <f>IF($AD46="N","N",SUM('調查資料(OUT)'!AD52:AD55))</f>
        <v>0</v>
      </c>
      <c r="CJ46" s="383" t="e">
        <f t="shared" si="91"/>
        <v>#DIV/0!</v>
      </c>
      <c r="CK46" s="66">
        <f t="shared" si="92"/>
        <v>0</v>
      </c>
      <c r="CL46" s="66">
        <f>IF($AD46="N","N",SUM('調查資料(OUT)'!X52:X55))</f>
        <v>0</v>
      </c>
      <c r="CM46" s="66">
        <f>IF($AD46="N","N",SUM('調查資料(OUT)'!AA52:AA55))</f>
        <v>0</v>
      </c>
      <c r="CN46" s="66">
        <f>IF($AD46="N","N",SUM('調查資料(OUT)'!AE52:AE55))</f>
        <v>0</v>
      </c>
      <c r="CO46" s="383" t="e">
        <f t="shared" si="93"/>
        <v>#DIV/0!</v>
      </c>
      <c r="CP46" s="66">
        <f t="shared" si="52"/>
        <v>0</v>
      </c>
      <c r="CQ46" s="383" t="e">
        <f t="shared" si="53"/>
        <v>#DIV/0!</v>
      </c>
      <c r="CR46" s="66">
        <f t="shared" si="54"/>
        <v>0</v>
      </c>
      <c r="CS46" s="383" t="e">
        <f t="shared" si="55"/>
        <v>#DIV/0!</v>
      </c>
      <c r="CT46" s="66">
        <f t="shared" si="56"/>
        <v>0</v>
      </c>
      <c r="CU46" s="383" t="e">
        <f t="shared" si="57"/>
        <v>#DIV/0!</v>
      </c>
      <c r="CV46" s="316">
        <f t="shared" si="58"/>
        <v>0</v>
      </c>
      <c r="CW46" s="309">
        <f t="shared" si="94"/>
        <v>0</v>
      </c>
      <c r="CX46" s="66">
        <f>IF($AD46="N","N",SUM('調查資料(OUT)'!AF52:AF55))</f>
        <v>0</v>
      </c>
      <c r="CY46" s="66">
        <f>IF($AD46="N","N",SUM('調查資料(OUT)'!AI52:AI55))</f>
        <v>0</v>
      </c>
      <c r="CZ46" s="66">
        <f>IF($AD46="N","N",SUM('調查資料(OUT)'!AM52:AM55))</f>
        <v>0</v>
      </c>
      <c r="DA46" s="66">
        <f>IF($AD46="N","N",SUM('調查資料(OUT)'!AL52:AL55))</f>
        <v>0</v>
      </c>
      <c r="DB46" s="383" t="e">
        <f t="shared" si="95"/>
        <v>#DIV/0!</v>
      </c>
      <c r="DC46" s="66">
        <f t="shared" si="96"/>
        <v>0</v>
      </c>
      <c r="DD46" s="66">
        <f>IF($AD46="N","N",SUM('調查資料(OUT)'!AG52:AG55))</f>
        <v>0</v>
      </c>
      <c r="DE46" s="66">
        <f>IF($AD46="N","N",SUM('調查資料(OUT)'!AJ52:AJ55))</f>
        <v>0</v>
      </c>
      <c r="DF46" s="66">
        <f>IF($AD46="N","N",SUM('調查資料(OUT)'!AN52:AN55))</f>
        <v>0</v>
      </c>
      <c r="DG46" s="383" t="e">
        <f t="shared" si="97"/>
        <v>#DIV/0!</v>
      </c>
      <c r="DH46" s="66">
        <f t="shared" si="98"/>
        <v>0</v>
      </c>
      <c r="DI46" s="66">
        <f>IF($AD46="N","N",SUM('調查資料(OUT)'!AH52:AH55))</f>
        <v>0</v>
      </c>
      <c r="DJ46" s="66">
        <f>IF($AD46="N","N",SUM('調查資料(OUT)'!AK52:AK55))</f>
        <v>0</v>
      </c>
      <c r="DK46" s="66">
        <f>IF($AD46="N","N",SUM('調查資料(OUT)'!AO52:AO55))</f>
        <v>0</v>
      </c>
      <c r="DL46" s="383" t="e">
        <f t="shared" si="99"/>
        <v>#DIV/0!</v>
      </c>
      <c r="DM46" s="66">
        <f t="shared" si="59"/>
        <v>0</v>
      </c>
      <c r="DN46" s="383" t="e">
        <f t="shared" si="60"/>
        <v>#DIV/0!</v>
      </c>
      <c r="DO46" s="66">
        <f t="shared" si="61"/>
        <v>0</v>
      </c>
      <c r="DP46" s="383" t="e">
        <f t="shared" si="62"/>
        <v>#DIV/0!</v>
      </c>
      <c r="DQ46" s="66">
        <f t="shared" si="63"/>
        <v>0</v>
      </c>
      <c r="DR46" s="383" t="e">
        <f t="shared" si="64"/>
        <v>#DIV/0!</v>
      </c>
      <c r="DS46" s="316">
        <f t="shared" si="65"/>
        <v>0</v>
      </c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  <c r="FK46" s="67"/>
      <c r="FL46" s="67"/>
      <c r="FM46" s="67"/>
      <c r="FN46" s="67"/>
    </row>
    <row r="47" spans="1:170">
      <c r="A47" s="479">
        <f>'調查資料(OUT)'!A53</f>
        <v>1030</v>
      </c>
      <c r="B47" s="480">
        <f t="shared" si="106"/>
        <v>0</v>
      </c>
      <c r="C47" s="385">
        <f>IFERROR('調查資料(OUT)'!B$1*'調查資料(OUT)'!B53,0)+IFERROR('調查資料(OUT)'!E$1*'調查資料(OUT)'!E53,0)+IFERROR('調查資料(OUT)'!H$1*'調查資料(OUT)'!H53,0)+IFERROR('調查資料(OUT)'!I$1*'調查資料(OUT)'!I53,0)</f>
        <v>0</v>
      </c>
      <c r="D47" s="385">
        <f>IFERROR('調查資料(OUT)'!C$1*'調查資料(OUT)'!C53,0)+IFERROR('調查資料(OUT)'!F$1*'調查資料(OUT)'!F53,0)+IFERROR('調查資料(OUT)'!J$1*'調查資料(OUT)'!J53,0)</f>
        <v>0</v>
      </c>
      <c r="E47" s="409">
        <f>IFERROR('調查資料(OUT)'!D$1*'調查資料(OUT)'!D53,0)+IFERROR('調查資料(OUT)'!G$1*'調查資料(OUT)'!G53,0)+IFERROR('調查資料(OUT)'!K$1*'調查資料(OUT)'!K53,0)</f>
        <v>0</v>
      </c>
      <c r="F47" s="480">
        <f t="shared" si="107"/>
        <v>0</v>
      </c>
      <c r="G47" s="385">
        <f>IFERROR('調查資料(OUT)'!L$1*'調查資料(OUT)'!L53,0)+IFERROR('調查資料(OUT)'!O$1*'調查資料(OUT)'!O53,0)+IFERROR('調查資料(OUT)'!R$1*'調查資料(OUT)'!R53,0)+IFERROR('調查資料(OUT)'!S$1*'調查資料(OUT)'!S53,0)</f>
        <v>0</v>
      </c>
      <c r="H47" s="385">
        <f>IFERROR('調查資料(OUT)'!M$1*'調查資料(OUT)'!M53,0)+IFERROR('調查資料(OUT)'!P$1*'調查資料(OUT)'!P53,0)+IFERROR('調查資料(OUT)'!T$1*'調查資料(OUT)'!T53,0)</f>
        <v>0</v>
      </c>
      <c r="I47" s="409">
        <f>IFERROR('調查資料(OUT)'!N$1*'調查資料(OUT)'!N53,0)+IFERROR('調查資料(OUT)'!Q$1*'調查資料(OUT)'!Q53,0)+IFERROR('調查資料(OUT)'!U$1*'調查資料(OUT)'!U53,0)</f>
        <v>0</v>
      </c>
      <c r="J47" s="480">
        <f t="shared" si="24"/>
        <v>0</v>
      </c>
      <c r="K47" s="385">
        <f>IFERROR('調查資料(OUT)'!V$1*'調查資料(OUT)'!V53,0)+IFERROR('調查資料(OUT)'!Y$1*'調查資料(OUT)'!Y53,0)+IFERROR('調查資料(OUT)'!AB$1*'調查資料(OUT)'!AB53,0)+IFERROR('調查資料(OUT)'!AC$1*'調查資料(OUT)'!AC53,0)</f>
        <v>0</v>
      </c>
      <c r="L47" s="385">
        <f>IFERROR('調查資料(OUT)'!W$1*'調查資料(OUT)'!W53,0)+IFERROR('調查資料(OUT)'!Z$1*'調查資料(OUT)'!Z53,0)+IFERROR('調查資料(OUT)'!AD$1*'調查資料(OUT)'!AD53,0)</f>
        <v>0</v>
      </c>
      <c r="M47" s="409">
        <f>IFERROR('調查資料(OUT)'!X$1*'調查資料(OUT)'!X53,0)+IFERROR('調查資料(OUT)'!AA$1*'調查資料(OUT)'!AA53,0)+IFERROR('調查資料(OUT)'!AE$1*'調查資料(OUT)'!AE53,0)</f>
        <v>0</v>
      </c>
      <c r="N47" s="480">
        <f t="shared" si="25"/>
        <v>0</v>
      </c>
      <c r="O47" s="385">
        <f>IFERROR('調查資料(OUT)'!AF$1*'調查資料(OUT)'!AF53,0)+IFERROR('調查資料(OUT)'!AI$1*'調查資料(OUT)'!AI53,0)+IFERROR('調查資料(OUT)'!AL$1*'調查資料(OUT)'!AL53,0)+IFERROR('調查資料(OUT)'!AM$1*'調查資料(OUT)'!AM53,0)</f>
        <v>0</v>
      </c>
      <c r="P47" s="385">
        <f>IFERROR('調查資料(OUT)'!AG$1*'調查資料(OUT)'!AG53,0)+IFERROR('調查資料(OUT)'!AJ$1*'調查資料(OUT)'!AJ53,0)+IFERROR('調查資料(OUT)'!AN$1*'調查資料(OUT)'!AN53,0)</f>
        <v>0</v>
      </c>
      <c r="Q47" s="409">
        <f>IFERROR('調查資料(OUT)'!AH$1*'調查資料(OUT)'!AH53,0)+IFERROR('調查資料(OUT)'!AK$1*'調查資料(OUT)'!AK53,0)+IFERROR('調查資料(OUT)'!AO$1*'調查資料(OUT)'!AO53,0)</f>
        <v>0</v>
      </c>
      <c r="R47" s="478">
        <f t="shared" si="108"/>
        <v>0</v>
      </c>
      <c r="S47" s="66"/>
      <c r="T47" s="378">
        <f>'調查資料(OUT)'!A53</f>
        <v>1030</v>
      </c>
      <c r="U47" s="384">
        <f t="shared" si="109"/>
        <v>1130</v>
      </c>
      <c r="V47" s="385">
        <f t="shared" si="110"/>
        <v>0</v>
      </c>
      <c r="W47" s="386"/>
      <c r="X47" s="385">
        <f t="shared" si="104"/>
        <v>0</v>
      </c>
      <c r="Y47" s="408" t="e">
        <f t="shared" si="103"/>
        <v>#DIV/0!</v>
      </c>
      <c r="Z47" s="408" t="e">
        <f t="shared" si="100"/>
        <v>#DIV/0!</v>
      </c>
      <c r="AA47" s="408" t="e">
        <f t="shared" si="101"/>
        <v>#DIV/0!</v>
      </c>
      <c r="AB47" s="408" t="e">
        <f t="shared" si="102"/>
        <v>#DIV/0!</v>
      </c>
      <c r="AC47" s="387"/>
      <c r="AD47" s="385">
        <f t="shared" si="111"/>
        <v>1030</v>
      </c>
      <c r="AE47" s="409">
        <f t="shared" si="105"/>
        <v>1130</v>
      </c>
      <c r="AF47" s="309">
        <f t="shared" si="69"/>
        <v>0</v>
      </c>
      <c r="AG47" s="66">
        <f>IF($AD47="N","N",SUM('調查資料(OUT)'!B53:B56))</f>
        <v>0</v>
      </c>
      <c r="AH47" s="66">
        <f>IF($AD47="N","N",SUM('調查資料(OUT)'!E53:E56))</f>
        <v>0</v>
      </c>
      <c r="AI47" s="66">
        <f>IF($AD47="N","N",SUM('調查資料(OUT)'!I53:I56))</f>
        <v>0</v>
      </c>
      <c r="AJ47" s="66">
        <f>IF($AD47="N","N",SUM('調查資料(OUT)'!H53:H56))</f>
        <v>0</v>
      </c>
      <c r="AK47" s="383" t="e">
        <f t="shared" si="77"/>
        <v>#DIV/0!</v>
      </c>
      <c r="AL47" s="66">
        <f t="shared" si="78"/>
        <v>0</v>
      </c>
      <c r="AM47" s="66">
        <f>IF($AD47="N","N",SUM('調查資料(OUT)'!C53:C56))</f>
        <v>0</v>
      </c>
      <c r="AN47" s="66">
        <f>IF($AD47="N","N",SUM('調查資料(OUT)'!F53:F56))</f>
        <v>0</v>
      </c>
      <c r="AO47" s="66">
        <f>IF($AD47="N","N",SUM('調查資料(OUT)'!J53:J56))</f>
        <v>0</v>
      </c>
      <c r="AP47" s="383" t="e">
        <f t="shared" si="79"/>
        <v>#DIV/0!</v>
      </c>
      <c r="AQ47" s="66">
        <f t="shared" si="80"/>
        <v>0</v>
      </c>
      <c r="AR47" s="66">
        <f>IF($AD47="N","N",SUM('調查資料(OUT)'!D53:D56))</f>
        <v>0</v>
      </c>
      <c r="AS47" s="66">
        <f>IF($AD47="N","N",SUM('調查資料(OUT)'!G53:G56))</f>
        <v>0</v>
      </c>
      <c r="AT47" s="66">
        <f>IF($AD47="N","N",SUM('調查資料(OUT)'!K53:K56))</f>
        <v>0</v>
      </c>
      <c r="AU47" s="383" t="e">
        <f t="shared" si="81"/>
        <v>#DIV/0!</v>
      </c>
      <c r="AV47" s="66">
        <f t="shared" si="38"/>
        <v>0</v>
      </c>
      <c r="AW47" s="383" t="e">
        <f t="shared" si="39"/>
        <v>#DIV/0!</v>
      </c>
      <c r="AX47" s="66">
        <f t="shared" si="40"/>
        <v>0</v>
      </c>
      <c r="AY47" s="383" t="e">
        <f t="shared" si="41"/>
        <v>#DIV/0!</v>
      </c>
      <c r="AZ47" s="66">
        <f t="shared" si="42"/>
        <v>0</v>
      </c>
      <c r="BA47" s="383" t="e">
        <f t="shared" si="43"/>
        <v>#DIV/0!</v>
      </c>
      <c r="BB47" s="316">
        <f t="shared" si="44"/>
        <v>0</v>
      </c>
      <c r="BC47" s="309">
        <f t="shared" si="82"/>
        <v>0</v>
      </c>
      <c r="BD47" s="66">
        <f>IF($AD47="N","N",SUM('調查資料(OUT)'!L53:L56))</f>
        <v>0</v>
      </c>
      <c r="BE47" s="66">
        <f>IF($AD47="N","N",SUM('調查資料(OUT)'!O53:O56))</f>
        <v>0</v>
      </c>
      <c r="BF47" s="66">
        <f>IF($AD47="N","N",SUM('調查資料(OUT)'!S53:S56))</f>
        <v>0</v>
      </c>
      <c r="BG47" s="66">
        <f>IF($AD47="N","N",SUM('調查資料(OUT)'!R53:R56))</f>
        <v>0</v>
      </c>
      <c r="BH47" s="383" t="e">
        <f t="shared" si="83"/>
        <v>#DIV/0!</v>
      </c>
      <c r="BI47" s="66">
        <f t="shared" si="84"/>
        <v>0</v>
      </c>
      <c r="BJ47" s="66">
        <f>IF($AD47="N","N",SUM('調查資料(OUT)'!M53:M56))</f>
        <v>0</v>
      </c>
      <c r="BK47" s="66">
        <f>IF($AD47="N","N",SUM('調查資料(OUT)'!P53:P56))</f>
        <v>0</v>
      </c>
      <c r="BL47" s="66">
        <f>IF($AD47="N","N",SUM('調查資料(OUT)'!T53:T56))</f>
        <v>0</v>
      </c>
      <c r="BM47" s="383" t="e">
        <f t="shared" si="85"/>
        <v>#DIV/0!</v>
      </c>
      <c r="BN47" s="66">
        <f t="shared" si="86"/>
        <v>0</v>
      </c>
      <c r="BO47" s="66">
        <f>IF($AD47="N","N",SUM('調查資料(OUT)'!N53:N56))</f>
        <v>0</v>
      </c>
      <c r="BP47" s="66">
        <f>IF($AD47="N","N",SUM('調查資料(OUT)'!Q53:Q56))</f>
        <v>0</v>
      </c>
      <c r="BQ47" s="66">
        <f>IF($AD47="N","N",SUM('調查資料(OUT)'!U53:U56))</f>
        <v>0</v>
      </c>
      <c r="BR47" s="383" t="e">
        <f t="shared" si="87"/>
        <v>#DIV/0!</v>
      </c>
      <c r="BS47" s="66">
        <f t="shared" si="45"/>
        <v>0</v>
      </c>
      <c r="BT47" s="383" t="e">
        <f t="shared" si="46"/>
        <v>#DIV/0!</v>
      </c>
      <c r="BU47" s="66">
        <f t="shared" si="47"/>
        <v>0</v>
      </c>
      <c r="BV47" s="383" t="e">
        <f t="shared" si="48"/>
        <v>#DIV/0!</v>
      </c>
      <c r="BW47" s="66">
        <f t="shared" si="49"/>
        <v>0</v>
      </c>
      <c r="BX47" s="383" t="e">
        <f t="shared" si="50"/>
        <v>#DIV/0!</v>
      </c>
      <c r="BY47" s="316">
        <f t="shared" si="51"/>
        <v>0</v>
      </c>
      <c r="BZ47" s="309">
        <f t="shared" si="88"/>
        <v>0</v>
      </c>
      <c r="CA47" s="66">
        <f>IF($AD47="N","N",SUM('調查資料(OUT)'!V53:V56))</f>
        <v>0</v>
      </c>
      <c r="CB47" s="66">
        <f>IF($AD47="N","N",SUM('調查資料(OUT)'!Y53:Y56))</f>
        <v>0</v>
      </c>
      <c r="CC47" s="66">
        <f>IF($AD47="N","N",SUM('調查資料(OUT)'!AC53:AC56))</f>
        <v>0</v>
      </c>
      <c r="CD47" s="66">
        <f>IF($AD47="N","N",SUM('調查資料(OUT)'!AB53:AB56))</f>
        <v>0</v>
      </c>
      <c r="CE47" s="383" t="e">
        <f t="shared" si="89"/>
        <v>#DIV/0!</v>
      </c>
      <c r="CF47" s="66">
        <f t="shared" si="90"/>
        <v>0</v>
      </c>
      <c r="CG47" s="66">
        <f>IF($AD47="N","N",SUM('調查資料(OUT)'!W53:W56))</f>
        <v>0</v>
      </c>
      <c r="CH47" s="66">
        <f>IF($AD47="N","N",SUM('調查資料(OUT)'!Z53:Z56))</f>
        <v>0</v>
      </c>
      <c r="CI47" s="66">
        <f>IF($AD47="N","N",SUM('調查資料(OUT)'!AD53:AD56))</f>
        <v>0</v>
      </c>
      <c r="CJ47" s="383" t="e">
        <f t="shared" si="91"/>
        <v>#DIV/0!</v>
      </c>
      <c r="CK47" s="66">
        <f t="shared" si="92"/>
        <v>0</v>
      </c>
      <c r="CL47" s="66">
        <f>IF($AD47="N","N",SUM('調查資料(OUT)'!X53:X56))</f>
        <v>0</v>
      </c>
      <c r="CM47" s="66">
        <f>IF($AD47="N","N",SUM('調查資料(OUT)'!AA53:AA56))</f>
        <v>0</v>
      </c>
      <c r="CN47" s="66">
        <f>IF($AD47="N","N",SUM('調查資料(OUT)'!AE53:AE56))</f>
        <v>0</v>
      </c>
      <c r="CO47" s="383" t="e">
        <f t="shared" si="93"/>
        <v>#DIV/0!</v>
      </c>
      <c r="CP47" s="66">
        <f t="shared" si="52"/>
        <v>0</v>
      </c>
      <c r="CQ47" s="383" t="e">
        <f t="shared" si="53"/>
        <v>#DIV/0!</v>
      </c>
      <c r="CR47" s="66">
        <f t="shared" si="54"/>
        <v>0</v>
      </c>
      <c r="CS47" s="383" t="e">
        <f t="shared" si="55"/>
        <v>#DIV/0!</v>
      </c>
      <c r="CT47" s="66">
        <f t="shared" si="56"/>
        <v>0</v>
      </c>
      <c r="CU47" s="383" t="e">
        <f t="shared" si="57"/>
        <v>#DIV/0!</v>
      </c>
      <c r="CV47" s="316">
        <f t="shared" si="58"/>
        <v>0</v>
      </c>
      <c r="CW47" s="309">
        <f t="shared" si="94"/>
        <v>0</v>
      </c>
      <c r="CX47" s="66">
        <f>IF($AD47="N","N",SUM('調查資料(OUT)'!AF53:AF56))</f>
        <v>0</v>
      </c>
      <c r="CY47" s="66">
        <f>IF($AD47="N","N",SUM('調查資料(OUT)'!AI53:AI56))</f>
        <v>0</v>
      </c>
      <c r="CZ47" s="66">
        <f>IF($AD47="N","N",SUM('調查資料(OUT)'!AM53:AM56))</f>
        <v>0</v>
      </c>
      <c r="DA47" s="66">
        <f>IF($AD47="N","N",SUM('調查資料(OUT)'!AL53:AL56))</f>
        <v>0</v>
      </c>
      <c r="DB47" s="383" t="e">
        <f t="shared" si="95"/>
        <v>#DIV/0!</v>
      </c>
      <c r="DC47" s="66">
        <f t="shared" si="96"/>
        <v>0</v>
      </c>
      <c r="DD47" s="66">
        <f>IF($AD47="N","N",SUM('調查資料(OUT)'!AG53:AG56))</f>
        <v>0</v>
      </c>
      <c r="DE47" s="66">
        <f>IF($AD47="N","N",SUM('調查資料(OUT)'!AJ53:AJ56))</f>
        <v>0</v>
      </c>
      <c r="DF47" s="66">
        <f>IF($AD47="N","N",SUM('調查資料(OUT)'!AN53:AN56))</f>
        <v>0</v>
      </c>
      <c r="DG47" s="383" t="e">
        <f t="shared" si="97"/>
        <v>#DIV/0!</v>
      </c>
      <c r="DH47" s="66">
        <f t="shared" si="98"/>
        <v>0</v>
      </c>
      <c r="DI47" s="66">
        <f>IF($AD47="N","N",SUM('調查資料(OUT)'!AH53:AH56))</f>
        <v>0</v>
      </c>
      <c r="DJ47" s="66">
        <f>IF($AD47="N","N",SUM('調查資料(OUT)'!AK53:AK56))</f>
        <v>0</v>
      </c>
      <c r="DK47" s="66">
        <f>IF($AD47="N","N",SUM('調查資料(OUT)'!AO53:AO56))</f>
        <v>0</v>
      </c>
      <c r="DL47" s="383" t="e">
        <f t="shared" si="99"/>
        <v>#DIV/0!</v>
      </c>
      <c r="DM47" s="66">
        <f t="shared" si="59"/>
        <v>0</v>
      </c>
      <c r="DN47" s="383" t="e">
        <f t="shared" si="60"/>
        <v>#DIV/0!</v>
      </c>
      <c r="DO47" s="66">
        <f t="shared" si="61"/>
        <v>0</v>
      </c>
      <c r="DP47" s="383" t="e">
        <f t="shared" si="62"/>
        <v>#DIV/0!</v>
      </c>
      <c r="DQ47" s="66">
        <f t="shared" si="63"/>
        <v>0</v>
      </c>
      <c r="DR47" s="383" t="e">
        <f t="shared" si="64"/>
        <v>#DIV/0!</v>
      </c>
      <c r="DS47" s="316">
        <f t="shared" si="65"/>
        <v>0</v>
      </c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  <c r="FK47" s="67"/>
      <c r="FL47" s="67"/>
      <c r="FM47" s="67"/>
      <c r="FN47" s="67"/>
    </row>
    <row r="48" spans="1:170">
      <c r="A48" s="479">
        <f>'調查資料(OUT)'!A54</f>
        <v>1045</v>
      </c>
      <c r="B48" s="480">
        <f t="shared" si="106"/>
        <v>0</v>
      </c>
      <c r="C48" s="385">
        <f>IFERROR('調查資料(OUT)'!B$1*'調查資料(OUT)'!B54,0)+IFERROR('調查資料(OUT)'!E$1*'調查資料(OUT)'!E54,0)+IFERROR('調查資料(OUT)'!H$1*'調查資料(OUT)'!H54,0)+IFERROR('調查資料(OUT)'!I$1*'調查資料(OUT)'!I54,0)</f>
        <v>0</v>
      </c>
      <c r="D48" s="385">
        <f>IFERROR('調查資料(OUT)'!C$1*'調查資料(OUT)'!C54,0)+IFERROR('調查資料(OUT)'!F$1*'調查資料(OUT)'!F54,0)+IFERROR('調查資料(OUT)'!J$1*'調查資料(OUT)'!J54,0)</f>
        <v>0</v>
      </c>
      <c r="E48" s="409">
        <f>IFERROR('調查資料(OUT)'!D$1*'調查資料(OUT)'!D54,0)+IFERROR('調查資料(OUT)'!G$1*'調查資料(OUT)'!G54,0)+IFERROR('調查資料(OUT)'!K$1*'調查資料(OUT)'!K54,0)</f>
        <v>0</v>
      </c>
      <c r="F48" s="480">
        <f t="shared" si="107"/>
        <v>0</v>
      </c>
      <c r="G48" s="385">
        <f>IFERROR('調查資料(OUT)'!L$1*'調查資料(OUT)'!L54,0)+IFERROR('調查資料(OUT)'!O$1*'調查資料(OUT)'!O54,0)+IFERROR('調查資料(OUT)'!R$1*'調查資料(OUT)'!R54,0)+IFERROR('調查資料(OUT)'!S$1*'調查資料(OUT)'!S54,0)</f>
        <v>0</v>
      </c>
      <c r="H48" s="385">
        <f>IFERROR('調查資料(OUT)'!M$1*'調查資料(OUT)'!M54,0)+IFERROR('調查資料(OUT)'!P$1*'調查資料(OUT)'!P54,0)+IFERROR('調查資料(OUT)'!T$1*'調查資料(OUT)'!T54,0)</f>
        <v>0</v>
      </c>
      <c r="I48" s="409">
        <f>IFERROR('調查資料(OUT)'!N$1*'調查資料(OUT)'!N54,0)+IFERROR('調查資料(OUT)'!Q$1*'調查資料(OUT)'!Q54,0)+IFERROR('調查資料(OUT)'!U$1*'調查資料(OUT)'!U54,0)</f>
        <v>0</v>
      </c>
      <c r="J48" s="480">
        <f t="shared" si="24"/>
        <v>0</v>
      </c>
      <c r="K48" s="385">
        <f>IFERROR('調查資料(OUT)'!V$1*'調查資料(OUT)'!V54,0)+IFERROR('調查資料(OUT)'!Y$1*'調查資料(OUT)'!Y54,0)+IFERROR('調查資料(OUT)'!AB$1*'調查資料(OUT)'!AB54,0)+IFERROR('調查資料(OUT)'!AC$1*'調查資料(OUT)'!AC54,0)</f>
        <v>0</v>
      </c>
      <c r="L48" s="385">
        <f>IFERROR('調查資料(OUT)'!W$1*'調查資料(OUT)'!W54,0)+IFERROR('調查資料(OUT)'!Z$1*'調查資料(OUT)'!Z54,0)+IFERROR('調查資料(OUT)'!AD$1*'調查資料(OUT)'!AD54,0)</f>
        <v>0</v>
      </c>
      <c r="M48" s="409">
        <f>IFERROR('調查資料(OUT)'!X$1*'調查資料(OUT)'!X54,0)+IFERROR('調查資料(OUT)'!AA$1*'調查資料(OUT)'!AA54,0)+IFERROR('調查資料(OUT)'!AE$1*'調查資料(OUT)'!AE54,0)</f>
        <v>0</v>
      </c>
      <c r="N48" s="480">
        <f t="shared" si="25"/>
        <v>0</v>
      </c>
      <c r="O48" s="385">
        <f>IFERROR('調查資料(OUT)'!AF$1*'調查資料(OUT)'!AF54,0)+IFERROR('調查資料(OUT)'!AI$1*'調查資料(OUT)'!AI54,0)+IFERROR('調查資料(OUT)'!AL$1*'調查資料(OUT)'!AL54,0)+IFERROR('調查資料(OUT)'!AM$1*'調查資料(OUT)'!AM54,0)</f>
        <v>0</v>
      </c>
      <c r="P48" s="385">
        <f>IFERROR('調查資料(OUT)'!AG$1*'調查資料(OUT)'!AG54,0)+IFERROR('調查資料(OUT)'!AJ$1*'調查資料(OUT)'!AJ54,0)+IFERROR('調查資料(OUT)'!AN$1*'調查資料(OUT)'!AN54,0)</f>
        <v>0</v>
      </c>
      <c r="Q48" s="409">
        <f>IFERROR('調查資料(OUT)'!AH$1*'調查資料(OUT)'!AH54,0)+IFERROR('調查資料(OUT)'!AK$1*'調查資料(OUT)'!AK54,0)+IFERROR('調查資料(OUT)'!AO$1*'調查資料(OUT)'!AO54,0)</f>
        <v>0</v>
      </c>
      <c r="R48" s="478">
        <f t="shared" si="108"/>
        <v>0</v>
      </c>
      <c r="S48" s="66"/>
      <c r="T48" s="378">
        <f>'調查資料(OUT)'!A54</f>
        <v>1045</v>
      </c>
      <c r="U48" s="384">
        <f t="shared" si="109"/>
        <v>1145</v>
      </c>
      <c r="V48" s="385">
        <f t="shared" si="110"/>
        <v>0</v>
      </c>
      <c r="W48" s="386"/>
      <c r="X48" s="385">
        <f t="shared" si="104"/>
        <v>0</v>
      </c>
      <c r="Y48" s="408" t="e">
        <f t="shared" si="103"/>
        <v>#DIV/0!</v>
      </c>
      <c r="Z48" s="408" t="e">
        <f t="shared" si="100"/>
        <v>#DIV/0!</v>
      </c>
      <c r="AA48" s="408" t="e">
        <f t="shared" si="101"/>
        <v>#DIV/0!</v>
      </c>
      <c r="AB48" s="408" t="e">
        <f t="shared" si="102"/>
        <v>#DIV/0!</v>
      </c>
      <c r="AC48" s="410"/>
      <c r="AD48" s="385">
        <f t="shared" si="111"/>
        <v>1045</v>
      </c>
      <c r="AE48" s="409">
        <f t="shared" si="105"/>
        <v>1145</v>
      </c>
      <c r="AF48" s="309">
        <f t="shared" si="69"/>
        <v>0</v>
      </c>
      <c r="AG48" s="66">
        <f>IF($AD48="N","N",SUM('調查資料(OUT)'!B54:B57))</f>
        <v>0</v>
      </c>
      <c r="AH48" s="66">
        <f>IF($AD48="N","N",SUM('調查資料(OUT)'!E54:E57))</f>
        <v>0</v>
      </c>
      <c r="AI48" s="66">
        <f>IF($AD48="N","N",SUM('調查資料(OUT)'!I54:I57))</f>
        <v>0</v>
      </c>
      <c r="AJ48" s="66">
        <f>IF($AD48="N","N",SUM('調查資料(OUT)'!H54:H57))</f>
        <v>0</v>
      </c>
      <c r="AK48" s="383" t="e">
        <f t="shared" si="77"/>
        <v>#DIV/0!</v>
      </c>
      <c r="AL48" s="66">
        <f t="shared" si="78"/>
        <v>0</v>
      </c>
      <c r="AM48" s="66">
        <f>IF($AD48="N","N",SUM('調查資料(OUT)'!C54:C57))</f>
        <v>0</v>
      </c>
      <c r="AN48" s="66">
        <f>IF($AD48="N","N",SUM('調查資料(OUT)'!F54:F57))</f>
        <v>0</v>
      </c>
      <c r="AO48" s="66">
        <f>IF($AD48="N","N",SUM('調查資料(OUT)'!J54:J57))</f>
        <v>0</v>
      </c>
      <c r="AP48" s="383" t="e">
        <f t="shared" si="79"/>
        <v>#DIV/0!</v>
      </c>
      <c r="AQ48" s="66">
        <f t="shared" si="80"/>
        <v>0</v>
      </c>
      <c r="AR48" s="66">
        <f>IF($AD48="N","N",SUM('調查資料(OUT)'!D54:D57))</f>
        <v>0</v>
      </c>
      <c r="AS48" s="66">
        <f>IF($AD48="N","N",SUM('調查資料(OUT)'!G54:G57))</f>
        <v>0</v>
      </c>
      <c r="AT48" s="66">
        <f>IF($AD48="N","N",SUM('調查資料(OUT)'!K54:K57))</f>
        <v>0</v>
      </c>
      <c r="AU48" s="383" t="e">
        <f t="shared" si="81"/>
        <v>#DIV/0!</v>
      </c>
      <c r="AV48" s="66">
        <f t="shared" si="38"/>
        <v>0</v>
      </c>
      <c r="AW48" s="383" t="e">
        <f t="shared" si="39"/>
        <v>#DIV/0!</v>
      </c>
      <c r="AX48" s="66">
        <f t="shared" si="40"/>
        <v>0</v>
      </c>
      <c r="AY48" s="383" t="e">
        <f t="shared" si="41"/>
        <v>#DIV/0!</v>
      </c>
      <c r="AZ48" s="66">
        <f t="shared" si="42"/>
        <v>0</v>
      </c>
      <c r="BA48" s="383" t="e">
        <f t="shared" si="43"/>
        <v>#DIV/0!</v>
      </c>
      <c r="BB48" s="316">
        <f t="shared" si="44"/>
        <v>0</v>
      </c>
      <c r="BC48" s="309">
        <f t="shared" si="82"/>
        <v>0</v>
      </c>
      <c r="BD48" s="66">
        <f>IF($AD48="N","N",SUM('調查資料(OUT)'!L54:L57))</f>
        <v>0</v>
      </c>
      <c r="BE48" s="66">
        <f>IF($AD48="N","N",SUM('調查資料(OUT)'!O54:O57))</f>
        <v>0</v>
      </c>
      <c r="BF48" s="66">
        <f>IF($AD48="N","N",SUM('調查資料(OUT)'!S54:S57))</f>
        <v>0</v>
      </c>
      <c r="BG48" s="66">
        <f>IF($AD48="N","N",SUM('調查資料(OUT)'!R54:R57))</f>
        <v>0</v>
      </c>
      <c r="BH48" s="383" t="e">
        <f t="shared" si="83"/>
        <v>#DIV/0!</v>
      </c>
      <c r="BI48" s="66">
        <f t="shared" si="84"/>
        <v>0</v>
      </c>
      <c r="BJ48" s="66">
        <f>IF($AD48="N","N",SUM('調查資料(OUT)'!M54:M57))</f>
        <v>0</v>
      </c>
      <c r="BK48" s="66">
        <f>IF($AD48="N","N",SUM('調查資料(OUT)'!P54:P57))</f>
        <v>0</v>
      </c>
      <c r="BL48" s="66">
        <f>IF($AD48="N","N",SUM('調查資料(OUT)'!T54:T57))</f>
        <v>0</v>
      </c>
      <c r="BM48" s="383" t="e">
        <f t="shared" si="85"/>
        <v>#DIV/0!</v>
      </c>
      <c r="BN48" s="66">
        <f t="shared" si="86"/>
        <v>0</v>
      </c>
      <c r="BO48" s="66">
        <f>IF($AD48="N","N",SUM('調查資料(OUT)'!N54:N57))</f>
        <v>0</v>
      </c>
      <c r="BP48" s="66">
        <f>IF($AD48="N","N",SUM('調查資料(OUT)'!Q54:Q57))</f>
        <v>0</v>
      </c>
      <c r="BQ48" s="66">
        <f>IF($AD48="N","N",SUM('調查資料(OUT)'!U54:U57))</f>
        <v>0</v>
      </c>
      <c r="BR48" s="383" t="e">
        <f t="shared" si="87"/>
        <v>#DIV/0!</v>
      </c>
      <c r="BS48" s="66">
        <f t="shared" si="45"/>
        <v>0</v>
      </c>
      <c r="BT48" s="383" t="e">
        <f t="shared" si="46"/>
        <v>#DIV/0!</v>
      </c>
      <c r="BU48" s="66">
        <f t="shared" si="47"/>
        <v>0</v>
      </c>
      <c r="BV48" s="383" t="e">
        <f t="shared" si="48"/>
        <v>#DIV/0!</v>
      </c>
      <c r="BW48" s="66">
        <f t="shared" si="49"/>
        <v>0</v>
      </c>
      <c r="BX48" s="383" t="e">
        <f t="shared" si="50"/>
        <v>#DIV/0!</v>
      </c>
      <c r="BY48" s="316">
        <f t="shared" si="51"/>
        <v>0</v>
      </c>
      <c r="BZ48" s="309">
        <f t="shared" si="88"/>
        <v>0</v>
      </c>
      <c r="CA48" s="66">
        <f>IF($AD48="N","N",SUM('調查資料(OUT)'!V54:V57))</f>
        <v>0</v>
      </c>
      <c r="CB48" s="66">
        <f>IF($AD48="N","N",SUM('調查資料(OUT)'!Y54:Y57))</f>
        <v>0</v>
      </c>
      <c r="CC48" s="66">
        <f>IF($AD48="N","N",SUM('調查資料(OUT)'!AC54:AC57))</f>
        <v>0</v>
      </c>
      <c r="CD48" s="66">
        <f>IF($AD48="N","N",SUM('調查資料(OUT)'!AB54:AB57))</f>
        <v>0</v>
      </c>
      <c r="CE48" s="383" t="e">
        <f t="shared" si="89"/>
        <v>#DIV/0!</v>
      </c>
      <c r="CF48" s="66">
        <f t="shared" si="90"/>
        <v>0</v>
      </c>
      <c r="CG48" s="66">
        <f>IF($AD48="N","N",SUM('調查資料(OUT)'!W54:W57))</f>
        <v>0</v>
      </c>
      <c r="CH48" s="66">
        <f>IF($AD48="N","N",SUM('調查資料(OUT)'!Z54:Z57))</f>
        <v>0</v>
      </c>
      <c r="CI48" s="66">
        <f>IF($AD48="N","N",SUM('調查資料(OUT)'!AD54:AD57))</f>
        <v>0</v>
      </c>
      <c r="CJ48" s="383" t="e">
        <f t="shared" si="91"/>
        <v>#DIV/0!</v>
      </c>
      <c r="CK48" s="66">
        <f t="shared" si="92"/>
        <v>0</v>
      </c>
      <c r="CL48" s="66">
        <f>IF($AD48="N","N",SUM('調查資料(OUT)'!X54:X57))</f>
        <v>0</v>
      </c>
      <c r="CM48" s="66">
        <f>IF($AD48="N","N",SUM('調查資料(OUT)'!AA54:AA57))</f>
        <v>0</v>
      </c>
      <c r="CN48" s="66">
        <f>IF($AD48="N","N",SUM('調查資料(OUT)'!AE54:AE57))</f>
        <v>0</v>
      </c>
      <c r="CO48" s="383" t="e">
        <f t="shared" si="93"/>
        <v>#DIV/0!</v>
      </c>
      <c r="CP48" s="66">
        <f t="shared" si="52"/>
        <v>0</v>
      </c>
      <c r="CQ48" s="383" t="e">
        <f t="shared" si="53"/>
        <v>#DIV/0!</v>
      </c>
      <c r="CR48" s="66">
        <f t="shared" si="54"/>
        <v>0</v>
      </c>
      <c r="CS48" s="383" t="e">
        <f t="shared" si="55"/>
        <v>#DIV/0!</v>
      </c>
      <c r="CT48" s="66">
        <f t="shared" si="56"/>
        <v>0</v>
      </c>
      <c r="CU48" s="383" t="e">
        <f t="shared" si="57"/>
        <v>#DIV/0!</v>
      </c>
      <c r="CV48" s="316">
        <f t="shared" si="58"/>
        <v>0</v>
      </c>
      <c r="CW48" s="309">
        <f t="shared" si="94"/>
        <v>0</v>
      </c>
      <c r="CX48" s="66">
        <f>IF($AD48="N","N",SUM('調查資料(OUT)'!AF54:AF57))</f>
        <v>0</v>
      </c>
      <c r="CY48" s="66">
        <f>IF($AD48="N","N",SUM('調查資料(OUT)'!AI54:AI57))</f>
        <v>0</v>
      </c>
      <c r="CZ48" s="66">
        <f>IF($AD48="N","N",SUM('調查資料(OUT)'!AM54:AM57))</f>
        <v>0</v>
      </c>
      <c r="DA48" s="66">
        <f>IF($AD48="N","N",SUM('調查資料(OUT)'!AL54:AL57))</f>
        <v>0</v>
      </c>
      <c r="DB48" s="383" t="e">
        <f t="shared" si="95"/>
        <v>#DIV/0!</v>
      </c>
      <c r="DC48" s="66">
        <f t="shared" si="96"/>
        <v>0</v>
      </c>
      <c r="DD48" s="66">
        <f>IF($AD48="N","N",SUM('調查資料(OUT)'!AG54:AG57))</f>
        <v>0</v>
      </c>
      <c r="DE48" s="66">
        <f>IF($AD48="N","N",SUM('調查資料(OUT)'!AJ54:AJ57))</f>
        <v>0</v>
      </c>
      <c r="DF48" s="66">
        <f>IF($AD48="N","N",SUM('調查資料(OUT)'!AN54:AN57))</f>
        <v>0</v>
      </c>
      <c r="DG48" s="383" t="e">
        <f t="shared" si="97"/>
        <v>#DIV/0!</v>
      </c>
      <c r="DH48" s="66">
        <f t="shared" si="98"/>
        <v>0</v>
      </c>
      <c r="DI48" s="66">
        <f>IF($AD48="N","N",SUM('調查資料(OUT)'!AH54:AH57))</f>
        <v>0</v>
      </c>
      <c r="DJ48" s="66">
        <f>IF($AD48="N","N",SUM('調查資料(OUT)'!AK54:AK57))</f>
        <v>0</v>
      </c>
      <c r="DK48" s="66">
        <f>IF($AD48="N","N",SUM('調查資料(OUT)'!AO54:AO57))</f>
        <v>0</v>
      </c>
      <c r="DL48" s="383" t="e">
        <f t="shared" si="99"/>
        <v>#DIV/0!</v>
      </c>
      <c r="DM48" s="66">
        <f t="shared" si="59"/>
        <v>0</v>
      </c>
      <c r="DN48" s="383" t="e">
        <f t="shared" si="60"/>
        <v>#DIV/0!</v>
      </c>
      <c r="DO48" s="66">
        <f t="shared" si="61"/>
        <v>0</v>
      </c>
      <c r="DP48" s="383" t="e">
        <f t="shared" si="62"/>
        <v>#DIV/0!</v>
      </c>
      <c r="DQ48" s="66">
        <f t="shared" si="63"/>
        <v>0</v>
      </c>
      <c r="DR48" s="383" t="e">
        <f t="shared" si="64"/>
        <v>#DIV/0!</v>
      </c>
      <c r="DS48" s="316">
        <f t="shared" si="65"/>
        <v>0</v>
      </c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</row>
    <row r="49" spans="1:170">
      <c r="A49" s="479">
        <f>'調查資料(OUT)'!A55</f>
        <v>1100</v>
      </c>
      <c r="B49" s="480">
        <f t="shared" si="106"/>
        <v>0</v>
      </c>
      <c r="C49" s="385">
        <f>IFERROR('調查資料(OUT)'!B$1*'調查資料(OUT)'!B55,0)+IFERROR('調查資料(OUT)'!E$1*'調查資料(OUT)'!E55,0)+IFERROR('調查資料(OUT)'!H$1*'調查資料(OUT)'!H55,0)+IFERROR('調查資料(OUT)'!I$1*'調查資料(OUT)'!I55,0)</f>
        <v>0</v>
      </c>
      <c r="D49" s="385">
        <f>IFERROR('調查資料(OUT)'!C$1*'調查資料(OUT)'!C55,0)+IFERROR('調查資料(OUT)'!F$1*'調查資料(OUT)'!F55,0)+IFERROR('調查資料(OUT)'!J$1*'調查資料(OUT)'!J55,0)</f>
        <v>0</v>
      </c>
      <c r="E49" s="409">
        <f>IFERROR('調查資料(OUT)'!D$1*'調查資料(OUT)'!D55,0)+IFERROR('調查資料(OUT)'!G$1*'調查資料(OUT)'!G55,0)+IFERROR('調查資料(OUT)'!K$1*'調查資料(OUT)'!K55,0)</f>
        <v>0</v>
      </c>
      <c r="F49" s="480">
        <f t="shared" si="107"/>
        <v>0</v>
      </c>
      <c r="G49" s="385">
        <f>IFERROR('調查資料(OUT)'!L$1*'調查資料(OUT)'!L55,0)+IFERROR('調查資料(OUT)'!O$1*'調查資料(OUT)'!O55,0)+IFERROR('調查資料(OUT)'!R$1*'調查資料(OUT)'!R55,0)+IFERROR('調查資料(OUT)'!S$1*'調查資料(OUT)'!S55,0)</f>
        <v>0</v>
      </c>
      <c r="H49" s="385">
        <f>IFERROR('調查資料(OUT)'!M$1*'調查資料(OUT)'!M55,0)+IFERROR('調查資料(OUT)'!P$1*'調查資料(OUT)'!P55,0)+IFERROR('調查資料(OUT)'!T$1*'調查資料(OUT)'!T55,0)</f>
        <v>0</v>
      </c>
      <c r="I49" s="409">
        <f>IFERROR('調查資料(OUT)'!N$1*'調查資料(OUT)'!N55,0)+IFERROR('調查資料(OUT)'!Q$1*'調查資料(OUT)'!Q55,0)+IFERROR('調查資料(OUT)'!U$1*'調查資料(OUT)'!U55,0)</f>
        <v>0</v>
      </c>
      <c r="J49" s="480">
        <f t="shared" si="24"/>
        <v>0</v>
      </c>
      <c r="K49" s="385">
        <f>IFERROR('調查資料(OUT)'!V$1*'調查資料(OUT)'!V55,0)+IFERROR('調查資料(OUT)'!Y$1*'調查資料(OUT)'!Y55,0)+IFERROR('調查資料(OUT)'!AB$1*'調查資料(OUT)'!AB55,0)+IFERROR('調查資料(OUT)'!AC$1*'調查資料(OUT)'!AC55,0)</f>
        <v>0</v>
      </c>
      <c r="L49" s="385">
        <f>IFERROR('調查資料(OUT)'!W$1*'調查資料(OUT)'!W55,0)+IFERROR('調查資料(OUT)'!Z$1*'調查資料(OUT)'!Z55,0)+IFERROR('調查資料(OUT)'!AD$1*'調查資料(OUT)'!AD55,0)</f>
        <v>0</v>
      </c>
      <c r="M49" s="409">
        <f>IFERROR('調查資料(OUT)'!X$1*'調查資料(OUT)'!X55,0)+IFERROR('調查資料(OUT)'!AA$1*'調查資料(OUT)'!AA55,0)+IFERROR('調查資料(OUT)'!AE$1*'調查資料(OUT)'!AE55,0)</f>
        <v>0</v>
      </c>
      <c r="N49" s="480">
        <f t="shared" si="25"/>
        <v>0</v>
      </c>
      <c r="O49" s="385">
        <f>IFERROR('調查資料(OUT)'!AF$1*'調查資料(OUT)'!AF55,0)+IFERROR('調查資料(OUT)'!AI$1*'調查資料(OUT)'!AI55,0)+IFERROR('調查資料(OUT)'!AL$1*'調查資料(OUT)'!AL55,0)+IFERROR('調查資料(OUT)'!AM$1*'調查資料(OUT)'!AM55,0)</f>
        <v>0</v>
      </c>
      <c r="P49" s="385">
        <f>IFERROR('調查資料(OUT)'!AG$1*'調查資料(OUT)'!AG55,0)+IFERROR('調查資料(OUT)'!AJ$1*'調查資料(OUT)'!AJ55,0)+IFERROR('調查資料(OUT)'!AN$1*'調查資料(OUT)'!AN55,0)</f>
        <v>0</v>
      </c>
      <c r="Q49" s="409">
        <f>IFERROR('調查資料(OUT)'!AH$1*'調查資料(OUT)'!AH55,0)+IFERROR('調查資料(OUT)'!AK$1*'調查資料(OUT)'!AK55,0)+IFERROR('調查資料(OUT)'!AO$1*'調查資料(OUT)'!AO55,0)</f>
        <v>0</v>
      </c>
      <c r="R49" s="478">
        <f t="shared" si="108"/>
        <v>0</v>
      </c>
      <c r="S49" s="66"/>
      <c r="T49" s="378">
        <f>'調查資料(OUT)'!A55</f>
        <v>1100</v>
      </c>
      <c r="U49" s="384">
        <f t="shared" si="109"/>
        <v>1200</v>
      </c>
      <c r="V49" s="385">
        <f t="shared" si="110"/>
        <v>0</v>
      </c>
      <c r="W49" s="410"/>
      <c r="X49" s="385">
        <f t="shared" si="104"/>
        <v>0</v>
      </c>
      <c r="Y49" s="408" t="e">
        <f t="shared" si="103"/>
        <v>#DIV/0!</v>
      </c>
      <c r="Z49" s="408" t="e">
        <f t="shared" si="100"/>
        <v>#DIV/0!</v>
      </c>
      <c r="AA49" s="408" t="e">
        <f t="shared" si="101"/>
        <v>#DIV/0!</v>
      </c>
      <c r="AB49" s="408" t="e">
        <f t="shared" si="102"/>
        <v>#DIV/0!</v>
      </c>
      <c r="AC49" s="410"/>
      <c r="AD49" s="385">
        <f t="shared" si="111"/>
        <v>1100</v>
      </c>
      <c r="AE49" s="409">
        <f t="shared" si="105"/>
        <v>1200</v>
      </c>
      <c r="AF49" s="309">
        <f>IF($AD49="N","N",SUM(C49:C52))</f>
        <v>0</v>
      </c>
      <c r="AG49" s="66">
        <f>IF($AD49="N","N",SUM('調查資料(OUT)'!B55:B58))</f>
        <v>0</v>
      </c>
      <c r="AH49" s="66">
        <f>IF($AD49="N","N",SUM('調查資料(OUT)'!E55:E58))</f>
        <v>0</v>
      </c>
      <c r="AI49" s="66">
        <f>IF($AD49="N","N",SUM('調查資料(OUT)'!I55:I58))</f>
        <v>0</v>
      </c>
      <c r="AJ49" s="66">
        <f>IF($AD49="N","N",SUM('調查資料(OUT)'!H55:H58))</f>
        <v>0</v>
      </c>
      <c r="AK49" s="383" t="e">
        <f t="shared" si="77"/>
        <v>#DIV/0!</v>
      </c>
      <c r="AL49" s="66">
        <f t="shared" si="78"/>
        <v>0</v>
      </c>
      <c r="AM49" s="66">
        <f>IF($AD49="N","N",SUM('調查資料(OUT)'!C55:C58))</f>
        <v>0</v>
      </c>
      <c r="AN49" s="66">
        <f>IF($AD49="N","N",SUM('調查資料(OUT)'!F55:F58))</f>
        <v>0</v>
      </c>
      <c r="AO49" s="66">
        <f>IF($AD49="N","N",SUM('調查資料(OUT)'!J55:J58))</f>
        <v>0</v>
      </c>
      <c r="AP49" s="383" t="e">
        <f t="shared" si="79"/>
        <v>#DIV/0!</v>
      </c>
      <c r="AQ49" s="66">
        <f t="shared" si="80"/>
        <v>0</v>
      </c>
      <c r="AR49" s="66">
        <f>IF($AD49="N","N",SUM('調查資料(OUT)'!D55:D58))</f>
        <v>0</v>
      </c>
      <c r="AS49" s="66">
        <f>IF($AD49="N","N",SUM('調查資料(OUT)'!G55:G58))</f>
        <v>0</v>
      </c>
      <c r="AT49" s="66">
        <f>IF($AD49="N","N",SUM('調查資料(OUT)'!K55:K58))</f>
        <v>0</v>
      </c>
      <c r="AU49" s="383" t="e">
        <f t="shared" si="81"/>
        <v>#DIV/0!</v>
      </c>
      <c r="AV49" s="66">
        <f t="shared" si="38"/>
        <v>0</v>
      </c>
      <c r="AW49" s="383" t="e">
        <f t="shared" si="39"/>
        <v>#DIV/0!</v>
      </c>
      <c r="AX49" s="66">
        <f t="shared" si="40"/>
        <v>0</v>
      </c>
      <c r="AY49" s="383" t="e">
        <f t="shared" si="41"/>
        <v>#DIV/0!</v>
      </c>
      <c r="AZ49" s="66">
        <f t="shared" si="42"/>
        <v>0</v>
      </c>
      <c r="BA49" s="383" t="e">
        <f t="shared" si="43"/>
        <v>#DIV/0!</v>
      </c>
      <c r="BB49" s="316">
        <f t="shared" si="44"/>
        <v>0</v>
      </c>
      <c r="BC49" s="309">
        <f t="shared" si="82"/>
        <v>0</v>
      </c>
      <c r="BD49" s="66">
        <f>IF($AD49="N","N",SUM('調查資料(OUT)'!L55:L58))</f>
        <v>0</v>
      </c>
      <c r="BE49" s="66">
        <f>IF($AD49="N","N",SUM('調查資料(OUT)'!O55:O58))</f>
        <v>0</v>
      </c>
      <c r="BF49" s="66">
        <f>IF($AD49="N","N",SUM('調查資料(OUT)'!S55:S58))</f>
        <v>0</v>
      </c>
      <c r="BG49" s="66">
        <f>IF($AD49="N","N",SUM('調查資料(OUT)'!R55:R58))</f>
        <v>0</v>
      </c>
      <c r="BH49" s="383" t="e">
        <f t="shared" si="83"/>
        <v>#DIV/0!</v>
      </c>
      <c r="BI49" s="66">
        <f t="shared" si="84"/>
        <v>0</v>
      </c>
      <c r="BJ49" s="66">
        <f>IF($AD49="N","N",SUM('調查資料(OUT)'!M55:M58))</f>
        <v>0</v>
      </c>
      <c r="BK49" s="66">
        <f>IF($AD49="N","N",SUM('調查資料(OUT)'!P55:P58))</f>
        <v>0</v>
      </c>
      <c r="BL49" s="66">
        <f>IF($AD49="N","N",SUM('調查資料(OUT)'!T55:T58))</f>
        <v>0</v>
      </c>
      <c r="BM49" s="383" t="e">
        <f t="shared" si="85"/>
        <v>#DIV/0!</v>
      </c>
      <c r="BN49" s="66">
        <f t="shared" si="86"/>
        <v>0</v>
      </c>
      <c r="BO49" s="66">
        <f>IF($AD49="N","N",SUM('調查資料(OUT)'!N55:N58))</f>
        <v>0</v>
      </c>
      <c r="BP49" s="66">
        <f>IF($AD49="N","N",SUM('調查資料(OUT)'!Q55:Q58))</f>
        <v>0</v>
      </c>
      <c r="BQ49" s="66">
        <f>IF($AD49="N","N",SUM('調查資料(OUT)'!U55:U58))</f>
        <v>0</v>
      </c>
      <c r="BR49" s="383" t="e">
        <f t="shared" si="87"/>
        <v>#DIV/0!</v>
      </c>
      <c r="BS49" s="66">
        <f t="shared" si="45"/>
        <v>0</v>
      </c>
      <c r="BT49" s="383" t="e">
        <f t="shared" si="46"/>
        <v>#DIV/0!</v>
      </c>
      <c r="BU49" s="66">
        <f t="shared" si="47"/>
        <v>0</v>
      </c>
      <c r="BV49" s="383" t="e">
        <f t="shared" si="48"/>
        <v>#DIV/0!</v>
      </c>
      <c r="BW49" s="66">
        <f t="shared" si="49"/>
        <v>0</v>
      </c>
      <c r="BX49" s="383" t="e">
        <f t="shared" si="50"/>
        <v>#DIV/0!</v>
      </c>
      <c r="BY49" s="316">
        <f t="shared" si="51"/>
        <v>0</v>
      </c>
      <c r="BZ49" s="309">
        <f t="shared" si="88"/>
        <v>0</v>
      </c>
      <c r="CA49" s="66">
        <f>IF($AD49="N","N",SUM('調查資料(OUT)'!V55:V58))</f>
        <v>0</v>
      </c>
      <c r="CB49" s="66">
        <f>IF($AD49="N","N",SUM('調查資料(OUT)'!Y55:Y58))</f>
        <v>0</v>
      </c>
      <c r="CC49" s="66">
        <f>IF($AD49="N","N",SUM('調查資料(OUT)'!AC55:AC58))</f>
        <v>0</v>
      </c>
      <c r="CD49" s="66">
        <f>IF($AD49="N","N",SUM('調查資料(OUT)'!AB55:AB58))</f>
        <v>0</v>
      </c>
      <c r="CE49" s="383" t="e">
        <f t="shared" si="89"/>
        <v>#DIV/0!</v>
      </c>
      <c r="CF49" s="66">
        <f t="shared" si="90"/>
        <v>0</v>
      </c>
      <c r="CG49" s="66">
        <f>IF($AD49="N","N",SUM('調查資料(OUT)'!W55:W58))</f>
        <v>0</v>
      </c>
      <c r="CH49" s="66">
        <f>IF($AD49="N","N",SUM('調查資料(OUT)'!Z55:Z58))</f>
        <v>0</v>
      </c>
      <c r="CI49" s="66">
        <f>IF($AD49="N","N",SUM('調查資料(OUT)'!AD55:AD58))</f>
        <v>0</v>
      </c>
      <c r="CJ49" s="383" t="e">
        <f t="shared" si="91"/>
        <v>#DIV/0!</v>
      </c>
      <c r="CK49" s="66">
        <f t="shared" si="92"/>
        <v>0</v>
      </c>
      <c r="CL49" s="66">
        <f>IF($AD49="N","N",SUM('調查資料(OUT)'!X55:X58))</f>
        <v>0</v>
      </c>
      <c r="CM49" s="66">
        <f>IF($AD49="N","N",SUM('調查資料(OUT)'!AA55:AA58))</f>
        <v>0</v>
      </c>
      <c r="CN49" s="66">
        <f>IF($AD49="N","N",SUM('調查資料(OUT)'!AE55:AE58))</f>
        <v>0</v>
      </c>
      <c r="CO49" s="383" t="e">
        <f t="shared" si="93"/>
        <v>#DIV/0!</v>
      </c>
      <c r="CP49" s="66">
        <f t="shared" si="52"/>
        <v>0</v>
      </c>
      <c r="CQ49" s="383" t="e">
        <f t="shared" si="53"/>
        <v>#DIV/0!</v>
      </c>
      <c r="CR49" s="66">
        <f t="shared" si="54"/>
        <v>0</v>
      </c>
      <c r="CS49" s="383" t="e">
        <f t="shared" si="55"/>
        <v>#DIV/0!</v>
      </c>
      <c r="CT49" s="66">
        <f t="shared" si="56"/>
        <v>0</v>
      </c>
      <c r="CU49" s="383" t="e">
        <f t="shared" si="57"/>
        <v>#DIV/0!</v>
      </c>
      <c r="CV49" s="316">
        <f t="shared" si="58"/>
        <v>0</v>
      </c>
      <c r="CW49" s="309">
        <f t="shared" si="94"/>
        <v>0</v>
      </c>
      <c r="CX49" s="66">
        <f>IF($AD49="N","N",SUM('調查資料(OUT)'!AF55:AF58))</f>
        <v>0</v>
      </c>
      <c r="CY49" s="66">
        <f>IF($AD49="N","N",SUM('調查資料(OUT)'!AI55:AI58))</f>
        <v>0</v>
      </c>
      <c r="CZ49" s="66">
        <f>IF($AD49="N","N",SUM('調查資料(OUT)'!AM55:AM58))</f>
        <v>0</v>
      </c>
      <c r="DA49" s="66">
        <f>IF($AD49="N","N",SUM('調查資料(OUT)'!AL55:AL58))</f>
        <v>0</v>
      </c>
      <c r="DB49" s="383" t="e">
        <f t="shared" si="95"/>
        <v>#DIV/0!</v>
      </c>
      <c r="DC49" s="66">
        <f t="shared" si="96"/>
        <v>0</v>
      </c>
      <c r="DD49" s="66">
        <f>IF($AD49="N","N",SUM('調查資料(OUT)'!AG55:AG58))</f>
        <v>0</v>
      </c>
      <c r="DE49" s="66">
        <f>IF($AD49="N","N",SUM('調查資料(OUT)'!AJ55:AJ58))</f>
        <v>0</v>
      </c>
      <c r="DF49" s="66">
        <f>IF($AD49="N","N",SUM('調查資料(OUT)'!AN55:AN58))</f>
        <v>0</v>
      </c>
      <c r="DG49" s="383" t="e">
        <f t="shared" si="97"/>
        <v>#DIV/0!</v>
      </c>
      <c r="DH49" s="66">
        <f t="shared" si="98"/>
        <v>0</v>
      </c>
      <c r="DI49" s="66">
        <f>IF($AD49="N","N",SUM('調查資料(OUT)'!AH55:AH58))</f>
        <v>0</v>
      </c>
      <c r="DJ49" s="66">
        <f>IF($AD49="N","N",SUM('調查資料(OUT)'!AK55:AK58))</f>
        <v>0</v>
      </c>
      <c r="DK49" s="66">
        <f>IF($AD49="N","N",SUM('調查資料(OUT)'!AO55:AO58))</f>
        <v>0</v>
      </c>
      <c r="DL49" s="383" t="e">
        <f t="shared" si="99"/>
        <v>#DIV/0!</v>
      </c>
      <c r="DM49" s="66">
        <f t="shared" si="59"/>
        <v>0</v>
      </c>
      <c r="DN49" s="383" t="e">
        <f t="shared" si="60"/>
        <v>#DIV/0!</v>
      </c>
      <c r="DO49" s="66">
        <f t="shared" si="61"/>
        <v>0</v>
      </c>
      <c r="DP49" s="383" t="e">
        <f t="shared" si="62"/>
        <v>#DIV/0!</v>
      </c>
      <c r="DQ49" s="66">
        <f t="shared" si="63"/>
        <v>0</v>
      </c>
      <c r="DR49" s="383" t="e">
        <f t="shared" si="64"/>
        <v>#DIV/0!</v>
      </c>
      <c r="DS49" s="316">
        <f t="shared" si="65"/>
        <v>0</v>
      </c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</row>
    <row r="50" spans="1:170">
      <c r="A50" s="479">
        <f>'調查資料(OUT)'!A56</f>
        <v>1115</v>
      </c>
      <c r="B50" s="480">
        <f t="shared" si="106"/>
        <v>0</v>
      </c>
      <c r="C50" s="385">
        <f>IFERROR('調查資料(OUT)'!B$1*'調查資料(OUT)'!B56,0)+IFERROR('調查資料(OUT)'!E$1*'調查資料(OUT)'!E56,0)+IFERROR('調查資料(OUT)'!H$1*'調查資料(OUT)'!H56,0)+IFERROR('調查資料(OUT)'!I$1*'調查資料(OUT)'!I56,0)</f>
        <v>0</v>
      </c>
      <c r="D50" s="385">
        <f>IFERROR('調查資料(OUT)'!C$1*'調查資料(OUT)'!C56,0)+IFERROR('調查資料(OUT)'!F$1*'調查資料(OUT)'!F56,0)+IFERROR('調查資料(OUT)'!J$1*'調查資料(OUT)'!J56,0)</f>
        <v>0</v>
      </c>
      <c r="E50" s="409">
        <f>IFERROR('調查資料(OUT)'!D$1*'調查資料(OUT)'!D56,0)+IFERROR('調查資料(OUT)'!G$1*'調查資料(OUT)'!G56,0)+IFERROR('調查資料(OUT)'!K$1*'調查資料(OUT)'!K56,0)</f>
        <v>0</v>
      </c>
      <c r="F50" s="480">
        <f t="shared" si="107"/>
        <v>0</v>
      </c>
      <c r="G50" s="385">
        <f>IFERROR('調查資料(OUT)'!L$1*'調查資料(OUT)'!L56,0)+IFERROR('調查資料(OUT)'!O$1*'調查資料(OUT)'!O56,0)+IFERROR('調查資料(OUT)'!R$1*'調查資料(OUT)'!R56,0)+IFERROR('調查資料(OUT)'!S$1*'調查資料(OUT)'!S56,0)</f>
        <v>0</v>
      </c>
      <c r="H50" s="385">
        <f>IFERROR('調查資料(OUT)'!M$1*'調查資料(OUT)'!M56,0)+IFERROR('調查資料(OUT)'!P$1*'調查資料(OUT)'!P56,0)+IFERROR('調查資料(OUT)'!T$1*'調查資料(OUT)'!T56,0)</f>
        <v>0</v>
      </c>
      <c r="I50" s="409">
        <f>IFERROR('調查資料(OUT)'!N$1*'調查資料(OUT)'!N56,0)+IFERROR('調查資料(OUT)'!Q$1*'調查資料(OUT)'!Q56,0)+IFERROR('調查資料(OUT)'!U$1*'調查資料(OUT)'!U56,0)</f>
        <v>0</v>
      </c>
      <c r="J50" s="480">
        <f t="shared" si="24"/>
        <v>0</v>
      </c>
      <c r="K50" s="385">
        <f>IFERROR('調查資料(OUT)'!V$1*'調查資料(OUT)'!V56,0)+IFERROR('調查資料(OUT)'!Y$1*'調查資料(OUT)'!Y56,0)+IFERROR('調查資料(OUT)'!AB$1*'調查資料(OUT)'!AB56,0)+IFERROR('調查資料(OUT)'!AC$1*'調查資料(OUT)'!AC56,0)</f>
        <v>0</v>
      </c>
      <c r="L50" s="385">
        <f>IFERROR('調查資料(OUT)'!W$1*'調查資料(OUT)'!W56,0)+IFERROR('調查資料(OUT)'!Z$1*'調查資料(OUT)'!Z56,0)+IFERROR('調查資料(OUT)'!AD$1*'調查資料(OUT)'!AD56,0)</f>
        <v>0</v>
      </c>
      <c r="M50" s="409">
        <f>IFERROR('調查資料(OUT)'!X$1*'調查資料(OUT)'!X56,0)+IFERROR('調查資料(OUT)'!AA$1*'調查資料(OUT)'!AA56,0)+IFERROR('調查資料(OUT)'!AE$1*'調查資料(OUT)'!AE56,0)</f>
        <v>0</v>
      </c>
      <c r="N50" s="480">
        <f t="shared" si="25"/>
        <v>0</v>
      </c>
      <c r="O50" s="385">
        <f>IFERROR('調查資料(OUT)'!AF$1*'調查資料(OUT)'!AF56,0)+IFERROR('調查資料(OUT)'!AI$1*'調查資料(OUT)'!AI56,0)+IFERROR('調查資料(OUT)'!AL$1*'調查資料(OUT)'!AL56,0)+IFERROR('調查資料(OUT)'!AM$1*'調查資料(OUT)'!AM56,0)</f>
        <v>0</v>
      </c>
      <c r="P50" s="385">
        <f>IFERROR('調查資料(OUT)'!AG$1*'調查資料(OUT)'!AG56,0)+IFERROR('調查資料(OUT)'!AJ$1*'調查資料(OUT)'!AJ56,0)+IFERROR('調查資料(OUT)'!AN$1*'調查資料(OUT)'!AN56,0)</f>
        <v>0</v>
      </c>
      <c r="Q50" s="409">
        <f>IFERROR('調查資料(OUT)'!AH$1*'調查資料(OUT)'!AH56,0)+IFERROR('調查資料(OUT)'!AK$1*'調查資料(OUT)'!AK56,0)+IFERROR('調查資料(OUT)'!AO$1*'調查資料(OUT)'!AO56,0)</f>
        <v>0</v>
      </c>
      <c r="R50" s="478">
        <f t="shared" si="108"/>
        <v>0</v>
      </c>
      <c r="S50" s="66"/>
      <c r="T50" s="378">
        <f>'調查資料(OUT)'!A56</f>
        <v>1115</v>
      </c>
      <c r="U50" s="384">
        <f t="shared" si="109"/>
        <v>1215</v>
      </c>
      <c r="V50" s="385">
        <f t="shared" si="110"/>
        <v>0</v>
      </c>
      <c r="W50" s="386"/>
      <c r="X50" s="385">
        <f t="shared" si="104"/>
        <v>0</v>
      </c>
      <c r="Y50" s="408" t="e">
        <f t="shared" si="103"/>
        <v>#DIV/0!</v>
      </c>
      <c r="Z50" s="408" t="e">
        <f t="shared" si="100"/>
        <v>#DIV/0!</v>
      </c>
      <c r="AA50" s="408" t="e">
        <f t="shared" si="101"/>
        <v>#DIV/0!</v>
      </c>
      <c r="AB50" s="408" t="e">
        <f t="shared" si="102"/>
        <v>#DIV/0!</v>
      </c>
      <c r="AC50" s="410"/>
      <c r="AD50" s="385">
        <f t="shared" si="111"/>
        <v>1115</v>
      </c>
      <c r="AE50" s="409">
        <f t="shared" si="105"/>
        <v>1215</v>
      </c>
      <c r="AF50" s="309">
        <f>IF($AD50="N","N",SUM(C50:C53))</f>
        <v>0</v>
      </c>
      <c r="AG50" s="66">
        <f>IF($AD50="N","N",SUM('調查資料(OUT)'!B56:B59))</f>
        <v>0</v>
      </c>
      <c r="AH50" s="66">
        <f>IF($AD50="N","N",SUM('調查資料(OUT)'!E56:E59))</f>
        <v>0</v>
      </c>
      <c r="AI50" s="66">
        <f>IF($AD50="N","N",SUM('調查資料(OUT)'!I56:I59))</f>
        <v>0</v>
      </c>
      <c r="AJ50" s="66">
        <f>IF($AD50="N","N",SUM('調查資料(OUT)'!H56:H59))</f>
        <v>0</v>
      </c>
      <c r="AK50" s="383" t="e">
        <f t="shared" si="77"/>
        <v>#DIV/0!</v>
      </c>
      <c r="AL50" s="66">
        <f t="shared" si="78"/>
        <v>0</v>
      </c>
      <c r="AM50" s="66">
        <f>IF($AD50="N","N",SUM('調查資料(OUT)'!C56:C59))</f>
        <v>0</v>
      </c>
      <c r="AN50" s="66">
        <f>IF($AD50="N","N",SUM('調查資料(OUT)'!F56:F59))</f>
        <v>0</v>
      </c>
      <c r="AO50" s="66">
        <f>IF($AD50="N","N",SUM('調查資料(OUT)'!J56:J59))</f>
        <v>0</v>
      </c>
      <c r="AP50" s="383" t="e">
        <f t="shared" si="79"/>
        <v>#DIV/0!</v>
      </c>
      <c r="AQ50" s="66">
        <f t="shared" si="80"/>
        <v>0</v>
      </c>
      <c r="AR50" s="66">
        <f>IF($AD50="N","N",SUM('調查資料(OUT)'!D56:D59))</f>
        <v>0</v>
      </c>
      <c r="AS50" s="66">
        <f>IF($AD50="N","N",SUM('調查資料(OUT)'!G56:G59))</f>
        <v>0</v>
      </c>
      <c r="AT50" s="66">
        <f>IF($AD50="N","N",SUM('調查資料(OUT)'!K56:K59))</f>
        <v>0</v>
      </c>
      <c r="AU50" s="383" t="e">
        <f t="shared" si="81"/>
        <v>#DIV/0!</v>
      </c>
      <c r="AV50" s="66">
        <f t="shared" si="38"/>
        <v>0</v>
      </c>
      <c r="AW50" s="383" t="e">
        <f t="shared" si="39"/>
        <v>#DIV/0!</v>
      </c>
      <c r="AX50" s="66">
        <f t="shared" si="40"/>
        <v>0</v>
      </c>
      <c r="AY50" s="383" t="e">
        <f t="shared" si="41"/>
        <v>#DIV/0!</v>
      </c>
      <c r="AZ50" s="66">
        <f t="shared" si="42"/>
        <v>0</v>
      </c>
      <c r="BA50" s="383" t="e">
        <f t="shared" si="43"/>
        <v>#DIV/0!</v>
      </c>
      <c r="BB50" s="316">
        <f t="shared" si="44"/>
        <v>0</v>
      </c>
      <c r="BC50" s="309">
        <f t="shared" si="82"/>
        <v>0</v>
      </c>
      <c r="BD50" s="66">
        <f>IF($AD50="N","N",SUM('調查資料(OUT)'!L56:L59))</f>
        <v>0</v>
      </c>
      <c r="BE50" s="66">
        <f>IF($AD50="N","N",SUM('調查資料(OUT)'!O56:O59))</f>
        <v>0</v>
      </c>
      <c r="BF50" s="66">
        <f>IF($AD50="N","N",SUM('調查資料(OUT)'!S56:S59))</f>
        <v>0</v>
      </c>
      <c r="BG50" s="66">
        <f>IF($AD50="N","N",SUM('調查資料(OUT)'!R56:R59))</f>
        <v>0</v>
      </c>
      <c r="BH50" s="383" t="e">
        <f t="shared" si="83"/>
        <v>#DIV/0!</v>
      </c>
      <c r="BI50" s="66">
        <f t="shared" si="84"/>
        <v>0</v>
      </c>
      <c r="BJ50" s="66">
        <f>IF($AD50="N","N",SUM('調查資料(OUT)'!M56:M59))</f>
        <v>0</v>
      </c>
      <c r="BK50" s="66">
        <f>IF($AD50="N","N",SUM('調查資料(OUT)'!P56:P59))</f>
        <v>0</v>
      </c>
      <c r="BL50" s="66">
        <f>IF($AD50="N","N",SUM('調查資料(OUT)'!T56:T59))</f>
        <v>0</v>
      </c>
      <c r="BM50" s="383" t="e">
        <f t="shared" si="85"/>
        <v>#DIV/0!</v>
      </c>
      <c r="BN50" s="66">
        <f t="shared" si="86"/>
        <v>0</v>
      </c>
      <c r="BO50" s="66">
        <f>IF($AD50="N","N",SUM('調查資料(OUT)'!N56:N59))</f>
        <v>0</v>
      </c>
      <c r="BP50" s="66">
        <f>IF($AD50="N","N",SUM('調查資料(OUT)'!Q56:Q59))</f>
        <v>0</v>
      </c>
      <c r="BQ50" s="66">
        <f>IF($AD50="N","N",SUM('調查資料(OUT)'!U56:U59))</f>
        <v>0</v>
      </c>
      <c r="BR50" s="383" t="e">
        <f t="shared" si="87"/>
        <v>#DIV/0!</v>
      </c>
      <c r="BS50" s="66">
        <f t="shared" si="45"/>
        <v>0</v>
      </c>
      <c r="BT50" s="383" t="e">
        <f t="shared" si="46"/>
        <v>#DIV/0!</v>
      </c>
      <c r="BU50" s="66">
        <f t="shared" si="47"/>
        <v>0</v>
      </c>
      <c r="BV50" s="383" t="e">
        <f t="shared" si="48"/>
        <v>#DIV/0!</v>
      </c>
      <c r="BW50" s="66">
        <f t="shared" si="49"/>
        <v>0</v>
      </c>
      <c r="BX50" s="383" t="e">
        <f t="shared" si="50"/>
        <v>#DIV/0!</v>
      </c>
      <c r="BY50" s="316">
        <f t="shared" si="51"/>
        <v>0</v>
      </c>
      <c r="BZ50" s="309">
        <f t="shared" si="88"/>
        <v>0</v>
      </c>
      <c r="CA50" s="66">
        <f>IF($AD50="N","N",SUM('調查資料(OUT)'!V56:V59))</f>
        <v>0</v>
      </c>
      <c r="CB50" s="66">
        <f>IF($AD50="N","N",SUM('調查資料(OUT)'!Y56:Y59))</f>
        <v>0</v>
      </c>
      <c r="CC50" s="66">
        <f>IF($AD50="N","N",SUM('調查資料(OUT)'!AC56:AC59))</f>
        <v>0</v>
      </c>
      <c r="CD50" s="66">
        <f>IF($AD50="N","N",SUM('調查資料(OUT)'!AB56:AB59))</f>
        <v>0</v>
      </c>
      <c r="CE50" s="383" t="e">
        <f t="shared" si="89"/>
        <v>#DIV/0!</v>
      </c>
      <c r="CF50" s="66">
        <f t="shared" si="90"/>
        <v>0</v>
      </c>
      <c r="CG50" s="66">
        <f>IF($AD50="N","N",SUM('調查資料(OUT)'!W56:W59))</f>
        <v>0</v>
      </c>
      <c r="CH50" s="66">
        <f>IF($AD50="N","N",SUM('調查資料(OUT)'!Z56:Z59))</f>
        <v>0</v>
      </c>
      <c r="CI50" s="66">
        <f>IF($AD50="N","N",SUM('調查資料(OUT)'!AD56:AD59))</f>
        <v>0</v>
      </c>
      <c r="CJ50" s="383" t="e">
        <f t="shared" si="91"/>
        <v>#DIV/0!</v>
      </c>
      <c r="CK50" s="66">
        <f t="shared" si="92"/>
        <v>0</v>
      </c>
      <c r="CL50" s="66">
        <f>IF($AD50="N","N",SUM('調查資料(OUT)'!X56:X59))</f>
        <v>0</v>
      </c>
      <c r="CM50" s="66">
        <f>IF($AD50="N","N",SUM('調查資料(OUT)'!AA56:AA59))</f>
        <v>0</v>
      </c>
      <c r="CN50" s="66">
        <f>IF($AD50="N","N",SUM('調查資料(OUT)'!AE56:AE59))</f>
        <v>0</v>
      </c>
      <c r="CO50" s="383" t="e">
        <f t="shared" si="93"/>
        <v>#DIV/0!</v>
      </c>
      <c r="CP50" s="66">
        <f t="shared" si="52"/>
        <v>0</v>
      </c>
      <c r="CQ50" s="383" t="e">
        <f t="shared" si="53"/>
        <v>#DIV/0!</v>
      </c>
      <c r="CR50" s="66">
        <f t="shared" si="54"/>
        <v>0</v>
      </c>
      <c r="CS50" s="383" t="e">
        <f t="shared" si="55"/>
        <v>#DIV/0!</v>
      </c>
      <c r="CT50" s="66">
        <f t="shared" si="56"/>
        <v>0</v>
      </c>
      <c r="CU50" s="383" t="e">
        <f t="shared" si="57"/>
        <v>#DIV/0!</v>
      </c>
      <c r="CV50" s="316">
        <f t="shared" si="58"/>
        <v>0</v>
      </c>
      <c r="CW50" s="309">
        <f t="shared" si="94"/>
        <v>0</v>
      </c>
      <c r="CX50" s="66">
        <f>IF($AD50="N","N",SUM('調查資料(OUT)'!AF56:AF59))</f>
        <v>0</v>
      </c>
      <c r="CY50" s="66">
        <f>IF($AD50="N","N",SUM('調查資料(OUT)'!AI56:AI59))</f>
        <v>0</v>
      </c>
      <c r="CZ50" s="66">
        <f>IF($AD50="N","N",SUM('調查資料(OUT)'!AM56:AM59))</f>
        <v>0</v>
      </c>
      <c r="DA50" s="66">
        <f>IF($AD50="N","N",SUM('調查資料(OUT)'!AL56:AL59))</f>
        <v>0</v>
      </c>
      <c r="DB50" s="383" t="e">
        <f t="shared" si="95"/>
        <v>#DIV/0!</v>
      </c>
      <c r="DC50" s="66">
        <f t="shared" si="96"/>
        <v>0</v>
      </c>
      <c r="DD50" s="66">
        <f>IF($AD50="N","N",SUM('調查資料(OUT)'!AG56:AG59))</f>
        <v>0</v>
      </c>
      <c r="DE50" s="66">
        <f>IF($AD50="N","N",SUM('調查資料(OUT)'!AJ56:AJ59))</f>
        <v>0</v>
      </c>
      <c r="DF50" s="66">
        <f>IF($AD50="N","N",SUM('調查資料(OUT)'!AN56:AN59))</f>
        <v>0</v>
      </c>
      <c r="DG50" s="383" t="e">
        <f t="shared" si="97"/>
        <v>#DIV/0!</v>
      </c>
      <c r="DH50" s="66">
        <f t="shared" si="98"/>
        <v>0</v>
      </c>
      <c r="DI50" s="66">
        <f>IF($AD50="N","N",SUM('調查資料(OUT)'!AH56:AH59))</f>
        <v>0</v>
      </c>
      <c r="DJ50" s="66">
        <f>IF($AD50="N","N",SUM('調查資料(OUT)'!AK56:AK59))</f>
        <v>0</v>
      </c>
      <c r="DK50" s="66">
        <f>IF($AD50="N","N",SUM('調查資料(OUT)'!AO56:AO59))</f>
        <v>0</v>
      </c>
      <c r="DL50" s="383" t="e">
        <f t="shared" si="99"/>
        <v>#DIV/0!</v>
      </c>
      <c r="DM50" s="66">
        <f t="shared" si="59"/>
        <v>0</v>
      </c>
      <c r="DN50" s="383" t="e">
        <f t="shared" si="60"/>
        <v>#DIV/0!</v>
      </c>
      <c r="DO50" s="66">
        <f t="shared" si="61"/>
        <v>0</v>
      </c>
      <c r="DP50" s="383" t="e">
        <f t="shared" si="62"/>
        <v>#DIV/0!</v>
      </c>
      <c r="DQ50" s="66">
        <f t="shared" si="63"/>
        <v>0</v>
      </c>
      <c r="DR50" s="383" t="e">
        <f t="shared" si="64"/>
        <v>#DIV/0!</v>
      </c>
      <c r="DS50" s="316">
        <f t="shared" si="65"/>
        <v>0</v>
      </c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67"/>
      <c r="FC50" s="67"/>
      <c r="FD50" s="67"/>
      <c r="FE50" s="67"/>
      <c r="FF50" s="67"/>
      <c r="FG50" s="67"/>
      <c r="FH50" s="67"/>
      <c r="FI50" s="67"/>
      <c r="FJ50" s="67"/>
      <c r="FK50" s="67"/>
      <c r="FL50" s="67"/>
      <c r="FM50" s="67"/>
      <c r="FN50" s="67"/>
    </row>
    <row r="51" spans="1:170">
      <c r="A51" s="479">
        <f>'調查資料(OUT)'!A57</f>
        <v>1130</v>
      </c>
      <c r="B51" s="480">
        <f t="shared" si="106"/>
        <v>0</v>
      </c>
      <c r="C51" s="385">
        <f>IFERROR('調查資料(OUT)'!B$1*'調查資料(OUT)'!B57,0)+IFERROR('調查資料(OUT)'!E$1*'調查資料(OUT)'!E57,0)+IFERROR('調查資料(OUT)'!H$1*'調查資料(OUT)'!H57,0)+IFERROR('調查資料(OUT)'!I$1*'調查資料(OUT)'!I57,0)</f>
        <v>0</v>
      </c>
      <c r="D51" s="385">
        <f>IFERROR('調查資料(OUT)'!C$1*'調查資料(OUT)'!C57,0)+IFERROR('調查資料(OUT)'!F$1*'調查資料(OUT)'!F57,0)+IFERROR('調查資料(OUT)'!J$1*'調查資料(OUT)'!J57,0)</f>
        <v>0</v>
      </c>
      <c r="E51" s="409">
        <f>IFERROR('調查資料(OUT)'!D$1*'調查資料(OUT)'!D57,0)+IFERROR('調查資料(OUT)'!G$1*'調查資料(OUT)'!G57,0)+IFERROR('調查資料(OUT)'!K$1*'調查資料(OUT)'!K57,0)</f>
        <v>0</v>
      </c>
      <c r="F51" s="480">
        <f t="shared" si="107"/>
        <v>0</v>
      </c>
      <c r="G51" s="385">
        <f>IFERROR('調查資料(OUT)'!L$1*'調查資料(OUT)'!L57,0)+IFERROR('調查資料(OUT)'!O$1*'調查資料(OUT)'!O57,0)+IFERROR('調查資料(OUT)'!R$1*'調查資料(OUT)'!R57,0)+IFERROR('調查資料(OUT)'!S$1*'調查資料(OUT)'!S57,0)</f>
        <v>0</v>
      </c>
      <c r="H51" s="385">
        <f>IFERROR('調查資料(OUT)'!M$1*'調查資料(OUT)'!M57,0)+IFERROR('調查資料(OUT)'!P$1*'調查資料(OUT)'!P57,0)+IFERROR('調查資料(OUT)'!T$1*'調查資料(OUT)'!T57,0)</f>
        <v>0</v>
      </c>
      <c r="I51" s="409">
        <f>IFERROR('調查資料(OUT)'!N$1*'調查資料(OUT)'!N57,0)+IFERROR('調查資料(OUT)'!Q$1*'調查資料(OUT)'!Q57,0)+IFERROR('調查資料(OUT)'!U$1*'調查資料(OUT)'!U57,0)</f>
        <v>0</v>
      </c>
      <c r="J51" s="480">
        <f t="shared" si="24"/>
        <v>0</v>
      </c>
      <c r="K51" s="385">
        <f>IFERROR('調查資料(OUT)'!V$1*'調查資料(OUT)'!V57,0)+IFERROR('調查資料(OUT)'!Y$1*'調查資料(OUT)'!Y57,0)+IFERROR('調查資料(OUT)'!AB$1*'調查資料(OUT)'!AB57,0)+IFERROR('調查資料(OUT)'!AC$1*'調查資料(OUT)'!AC57,0)</f>
        <v>0</v>
      </c>
      <c r="L51" s="385">
        <f>IFERROR('調查資料(OUT)'!W$1*'調查資料(OUT)'!W57,0)+IFERROR('調查資料(OUT)'!Z$1*'調查資料(OUT)'!Z57,0)+IFERROR('調查資料(OUT)'!AD$1*'調查資料(OUT)'!AD57,0)</f>
        <v>0</v>
      </c>
      <c r="M51" s="409">
        <f>IFERROR('調查資料(OUT)'!X$1*'調查資料(OUT)'!X57,0)+IFERROR('調查資料(OUT)'!AA$1*'調查資料(OUT)'!AA57,0)+IFERROR('調查資料(OUT)'!AE$1*'調查資料(OUT)'!AE57,0)</f>
        <v>0</v>
      </c>
      <c r="N51" s="480">
        <f t="shared" si="25"/>
        <v>0</v>
      </c>
      <c r="O51" s="385">
        <f>IFERROR('調查資料(OUT)'!AF$1*'調查資料(OUT)'!AF57,0)+IFERROR('調查資料(OUT)'!AI$1*'調查資料(OUT)'!AI57,0)+IFERROR('調查資料(OUT)'!AL$1*'調查資料(OUT)'!AL57,0)+IFERROR('調查資料(OUT)'!AM$1*'調查資料(OUT)'!AM57,0)</f>
        <v>0</v>
      </c>
      <c r="P51" s="385">
        <f>IFERROR('調查資料(OUT)'!AG$1*'調查資料(OUT)'!AG57,0)+IFERROR('調查資料(OUT)'!AJ$1*'調查資料(OUT)'!AJ57,0)+IFERROR('調查資料(OUT)'!AN$1*'調查資料(OUT)'!AN57,0)</f>
        <v>0</v>
      </c>
      <c r="Q51" s="409">
        <f>IFERROR('調查資料(OUT)'!AH$1*'調查資料(OUT)'!AH57,0)+IFERROR('調查資料(OUT)'!AK$1*'調查資料(OUT)'!AK57,0)+IFERROR('調查資料(OUT)'!AO$1*'調查資料(OUT)'!AO57,0)</f>
        <v>0</v>
      </c>
      <c r="R51" s="478">
        <f t="shared" si="108"/>
        <v>0</v>
      </c>
      <c r="S51" s="66"/>
      <c r="T51" s="378">
        <f>'調查資料(OUT)'!A57</f>
        <v>1130</v>
      </c>
      <c r="U51" s="384">
        <f t="shared" si="109"/>
        <v>1230</v>
      </c>
      <c r="V51" s="385">
        <f t="shared" si="110"/>
        <v>0</v>
      </c>
      <c r="W51" s="386"/>
      <c r="X51" s="385">
        <f t="shared" si="104"/>
        <v>0</v>
      </c>
      <c r="Y51" s="408" t="e">
        <f t="shared" si="103"/>
        <v>#DIV/0!</v>
      </c>
      <c r="Z51" s="408" t="e">
        <f t="shared" si="100"/>
        <v>#DIV/0!</v>
      </c>
      <c r="AA51" s="408" t="e">
        <f t="shared" si="101"/>
        <v>#DIV/0!</v>
      </c>
      <c r="AB51" s="408" t="e">
        <f t="shared" si="102"/>
        <v>#DIV/0!</v>
      </c>
      <c r="AC51" s="410"/>
      <c r="AD51" s="385">
        <f t="shared" si="111"/>
        <v>1130</v>
      </c>
      <c r="AE51" s="409">
        <f t="shared" si="105"/>
        <v>1230</v>
      </c>
      <c r="AF51" s="309">
        <f>IF($AD51="N","N",SUM(C51:C54))</f>
        <v>0</v>
      </c>
      <c r="AG51" s="66">
        <f>IF($AD51="N","N",SUM('調查資料(OUT)'!B57:B60))</f>
        <v>0</v>
      </c>
      <c r="AH51" s="66">
        <f>IF($AD51="N","N",SUM('調查資料(OUT)'!E57:E60))</f>
        <v>0</v>
      </c>
      <c r="AI51" s="66">
        <f>IF($AD51="N","N",SUM('調查資料(OUT)'!I57:I60))</f>
        <v>0</v>
      </c>
      <c r="AJ51" s="66">
        <f>IF($AD51="N","N",SUM('調查資料(OUT)'!H57:H60))</f>
        <v>0</v>
      </c>
      <c r="AK51" s="383" t="e">
        <f t="shared" si="77"/>
        <v>#DIV/0!</v>
      </c>
      <c r="AL51" s="66">
        <f t="shared" si="78"/>
        <v>0</v>
      </c>
      <c r="AM51" s="66">
        <f>IF($AD51="N","N",SUM('調查資料(OUT)'!C57:C60))</f>
        <v>0</v>
      </c>
      <c r="AN51" s="66">
        <f>IF($AD51="N","N",SUM('調查資料(OUT)'!F57:F60))</f>
        <v>0</v>
      </c>
      <c r="AO51" s="66">
        <f>IF($AD51="N","N",SUM('調查資料(OUT)'!J57:J60))</f>
        <v>0</v>
      </c>
      <c r="AP51" s="383" t="e">
        <f t="shared" si="79"/>
        <v>#DIV/0!</v>
      </c>
      <c r="AQ51" s="66">
        <f t="shared" si="80"/>
        <v>0</v>
      </c>
      <c r="AR51" s="66">
        <f>IF($AD51="N","N",SUM('調查資料(OUT)'!D57:D60))</f>
        <v>0</v>
      </c>
      <c r="AS51" s="66">
        <f>IF($AD51="N","N",SUM('調查資料(OUT)'!G57:G60))</f>
        <v>0</v>
      </c>
      <c r="AT51" s="66">
        <f>IF($AD51="N","N",SUM('調查資料(OUT)'!K57:K60))</f>
        <v>0</v>
      </c>
      <c r="AU51" s="383" t="e">
        <f t="shared" si="81"/>
        <v>#DIV/0!</v>
      </c>
      <c r="AV51" s="66">
        <f t="shared" si="38"/>
        <v>0</v>
      </c>
      <c r="AW51" s="383" t="e">
        <f t="shared" si="39"/>
        <v>#DIV/0!</v>
      </c>
      <c r="AX51" s="66">
        <f t="shared" si="40"/>
        <v>0</v>
      </c>
      <c r="AY51" s="383" t="e">
        <f t="shared" si="41"/>
        <v>#DIV/0!</v>
      </c>
      <c r="AZ51" s="66">
        <f t="shared" si="42"/>
        <v>0</v>
      </c>
      <c r="BA51" s="383" t="e">
        <f t="shared" si="43"/>
        <v>#DIV/0!</v>
      </c>
      <c r="BB51" s="316">
        <f t="shared" si="44"/>
        <v>0</v>
      </c>
      <c r="BC51" s="309">
        <f t="shared" si="82"/>
        <v>0</v>
      </c>
      <c r="BD51" s="66">
        <f>IF($AD51="N","N",SUM('調查資料(OUT)'!L57:L60))</f>
        <v>0</v>
      </c>
      <c r="BE51" s="66">
        <f>IF($AD51="N","N",SUM('調查資料(OUT)'!O57:O60))</f>
        <v>0</v>
      </c>
      <c r="BF51" s="66">
        <f>IF($AD51="N","N",SUM('調查資料(OUT)'!S57:S60))</f>
        <v>0</v>
      </c>
      <c r="BG51" s="66">
        <f>IF($AD51="N","N",SUM('調查資料(OUT)'!R57:R60))</f>
        <v>0</v>
      </c>
      <c r="BH51" s="383" t="e">
        <f t="shared" si="83"/>
        <v>#DIV/0!</v>
      </c>
      <c r="BI51" s="66">
        <f t="shared" si="84"/>
        <v>0</v>
      </c>
      <c r="BJ51" s="66">
        <f>IF($AD51="N","N",SUM('調查資料(OUT)'!M57:M60))</f>
        <v>0</v>
      </c>
      <c r="BK51" s="66">
        <f>IF($AD51="N","N",SUM('調查資料(OUT)'!P57:P60))</f>
        <v>0</v>
      </c>
      <c r="BL51" s="66">
        <f>IF($AD51="N","N",SUM('調查資料(OUT)'!T57:T60))</f>
        <v>0</v>
      </c>
      <c r="BM51" s="383" t="e">
        <f t="shared" si="85"/>
        <v>#DIV/0!</v>
      </c>
      <c r="BN51" s="66">
        <f t="shared" si="86"/>
        <v>0</v>
      </c>
      <c r="BO51" s="66">
        <f>IF($AD51="N","N",SUM('調查資料(OUT)'!N57:N60))</f>
        <v>0</v>
      </c>
      <c r="BP51" s="66">
        <f>IF($AD51="N","N",SUM('調查資料(OUT)'!Q57:Q60))</f>
        <v>0</v>
      </c>
      <c r="BQ51" s="66">
        <f>IF($AD51="N","N",SUM('調查資料(OUT)'!U57:U60))</f>
        <v>0</v>
      </c>
      <c r="BR51" s="383" t="e">
        <f t="shared" si="87"/>
        <v>#DIV/0!</v>
      </c>
      <c r="BS51" s="66">
        <f t="shared" si="45"/>
        <v>0</v>
      </c>
      <c r="BT51" s="383" t="e">
        <f t="shared" si="46"/>
        <v>#DIV/0!</v>
      </c>
      <c r="BU51" s="66">
        <f t="shared" si="47"/>
        <v>0</v>
      </c>
      <c r="BV51" s="383" t="e">
        <f t="shared" si="48"/>
        <v>#DIV/0!</v>
      </c>
      <c r="BW51" s="66">
        <f t="shared" si="49"/>
        <v>0</v>
      </c>
      <c r="BX51" s="383" t="e">
        <f t="shared" si="50"/>
        <v>#DIV/0!</v>
      </c>
      <c r="BY51" s="316">
        <f t="shared" si="51"/>
        <v>0</v>
      </c>
      <c r="BZ51" s="309">
        <f t="shared" si="88"/>
        <v>0</v>
      </c>
      <c r="CA51" s="66">
        <f>IF($AD51="N","N",SUM('調查資料(OUT)'!V57:V60))</f>
        <v>0</v>
      </c>
      <c r="CB51" s="66">
        <f>IF($AD51="N","N",SUM('調查資料(OUT)'!Y57:Y60))</f>
        <v>0</v>
      </c>
      <c r="CC51" s="66">
        <f>IF($AD51="N","N",SUM('調查資料(OUT)'!AC57:AC60))</f>
        <v>0</v>
      </c>
      <c r="CD51" s="66">
        <f>IF($AD51="N","N",SUM('調查資料(OUT)'!AB57:AB60))</f>
        <v>0</v>
      </c>
      <c r="CE51" s="383" t="e">
        <f t="shared" si="89"/>
        <v>#DIV/0!</v>
      </c>
      <c r="CF51" s="66">
        <f t="shared" si="90"/>
        <v>0</v>
      </c>
      <c r="CG51" s="66">
        <f>IF($AD51="N","N",SUM('調查資料(OUT)'!W57:W60))</f>
        <v>0</v>
      </c>
      <c r="CH51" s="66">
        <f>IF($AD51="N","N",SUM('調查資料(OUT)'!Z57:Z60))</f>
        <v>0</v>
      </c>
      <c r="CI51" s="66">
        <f>IF($AD51="N","N",SUM('調查資料(OUT)'!AD57:AD60))</f>
        <v>0</v>
      </c>
      <c r="CJ51" s="383" t="e">
        <f t="shared" si="91"/>
        <v>#DIV/0!</v>
      </c>
      <c r="CK51" s="66">
        <f t="shared" si="92"/>
        <v>0</v>
      </c>
      <c r="CL51" s="66">
        <f>IF($AD51="N","N",SUM('調查資料(OUT)'!X57:X60))</f>
        <v>0</v>
      </c>
      <c r="CM51" s="66">
        <f>IF($AD51="N","N",SUM('調查資料(OUT)'!AA57:AA60))</f>
        <v>0</v>
      </c>
      <c r="CN51" s="66">
        <f>IF($AD51="N","N",SUM('調查資料(OUT)'!AE57:AE60))</f>
        <v>0</v>
      </c>
      <c r="CO51" s="383" t="e">
        <f t="shared" si="93"/>
        <v>#DIV/0!</v>
      </c>
      <c r="CP51" s="66">
        <f t="shared" si="52"/>
        <v>0</v>
      </c>
      <c r="CQ51" s="383" t="e">
        <f t="shared" si="53"/>
        <v>#DIV/0!</v>
      </c>
      <c r="CR51" s="66">
        <f t="shared" si="54"/>
        <v>0</v>
      </c>
      <c r="CS51" s="383" t="e">
        <f t="shared" si="55"/>
        <v>#DIV/0!</v>
      </c>
      <c r="CT51" s="66">
        <f t="shared" si="56"/>
        <v>0</v>
      </c>
      <c r="CU51" s="383" t="e">
        <f t="shared" si="57"/>
        <v>#DIV/0!</v>
      </c>
      <c r="CV51" s="316">
        <f t="shared" si="58"/>
        <v>0</v>
      </c>
      <c r="CW51" s="309">
        <f t="shared" si="94"/>
        <v>0</v>
      </c>
      <c r="CX51" s="66">
        <f>IF($AD51="N","N",SUM('調查資料(OUT)'!AF57:AF60))</f>
        <v>0</v>
      </c>
      <c r="CY51" s="66">
        <f>IF($AD51="N","N",SUM('調查資料(OUT)'!AI57:AI60))</f>
        <v>0</v>
      </c>
      <c r="CZ51" s="66">
        <f>IF($AD51="N","N",SUM('調查資料(OUT)'!AM57:AM60))</f>
        <v>0</v>
      </c>
      <c r="DA51" s="66">
        <f>IF($AD51="N","N",SUM('調查資料(OUT)'!AL57:AL60))</f>
        <v>0</v>
      </c>
      <c r="DB51" s="383" t="e">
        <f t="shared" si="95"/>
        <v>#DIV/0!</v>
      </c>
      <c r="DC51" s="66">
        <f t="shared" si="96"/>
        <v>0</v>
      </c>
      <c r="DD51" s="66">
        <f>IF($AD51="N","N",SUM('調查資料(OUT)'!AG57:AG60))</f>
        <v>0</v>
      </c>
      <c r="DE51" s="66">
        <f>IF($AD51="N","N",SUM('調查資料(OUT)'!AJ57:AJ60))</f>
        <v>0</v>
      </c>
      <c r="DF51" s="66">
        <f>IF($AD51="N","N",SUM('調查資料(OUT)'!AN57:AN60))</f>
        <v>0</v>
      </c>
      <c r="DG51" s="383" t="e">
        <f t="shared" si="97"/>
        <v>#DIV/0!</v>
      </c>
      <c r="DH51" s="66">
        <f t="shared" si="98"/>
        <v>0</v>
      </c>
      <c r="DI51" s="66">
        <f>IF($AD51="N","N",SUM('調查資料(OUT)'!AH57:AH60))</f>
        <v>0</v>
      </c>
      <c r="DJ51" s="66">
        <f>IF($AD51="N","N",SUM('調查資料(OUT)'!AK57:AK60))</f>
        <v>0</v>
      </c>
      <c r="DK51" s="66">
        <f>IF($AD51="N","N",SUM('調查資料(OUT)'!AO57:AO60))</f>
        <v>0</v>
      </c>
      <c r="DL51" s="383" t="e">
        <f t="shared" si="99"/>
        <v>#DIV/0!</v>
      </c>
      <c r="DM51" s="66">
        <f t="shared" si="59"/>
        <v>0</v>
      </c>
      <c r="DN51" s="383" t="e">
        <f t="shared" si="60"/>
        <v>#DIV/0!</v>
      </c>
      <c r="DO51" s="66">
        <f t="shared" si="61"/>
        <v>0</v>
      </c>
      <c r="DP51" s="383" t="e">
        <f t="shared" si="62"/>
        <v>#DIV/0!</v>
      </c>
      <c r="DQ51" s="66">
        <f t="shared" si="63"/>
        <v>0</v>
      </c>
      <c r="DR51" s="383" t="e">
        <f t="shared" si="64"/>
        <v>#DIV/0!</v>
      </c>
      <c r="DS51" s="316">
        <f t="shared" si="65"/>
        <v>0</v>
      </c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7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  <c r="FK51" s="67"/>
      <c r="FL51" s="67"/>
      <c r="FM51" s="67"/>
      <c r="FN51" s="67"/>
    </row>
    <row r="52" spans="1:170">
      <c r="A52" s="479">
        <f>'調查資料(OUT)'!A58</f>
        <v>1145</v>
      </c>
      <c r="B52" s="480">
        <f t="shared" si="106"/>
        <v>0</v>
      </c>
      <c r="C52" s="385">
        <f>IFERROR('調查資料(OUT)'!B$1*'調查資料(OUT)'!B58,0)+IFERROR('調查資料(OUT)'!E$1*'調查資料(OUT)'!E58,0)+IFERROR('調查資料(OUT)'!H$1*'調查資料(OUT)'!H58,0)+IFERROR('調查資料(OUT)'!I$1*'調查資料(OUT)'!I58,0)</f>
        <v>0</v>
      </c>
      <c r="D52" s="385">
        <f>IFERROR('調查資料(OUT)'!C$1*'調查資料(OUT)'!C58,0)+IFERROR('調查資料(OUT)'!F$1*'調查資料(OUT)'!F58,0)+IFERROR('調查資料(OUT)'!J$1*'調查資料(OUT)'!J58,0)</f>
        <v>0</v>
      </c>
      <c r="E52" s="409">
        <f>IFERROR('調查資料(OUT)'!D$1*'調查資料(OUT)'!D58,0)+IFERROR('調查資料(OUT)'!G$1*'調查資料(OUT)'!G58,0)+IFERROR('調查資料(OUT)'!K$1*'調查資料(OUT)'!K58,0)</f>
        <v>0</v>
      </c>
      <c r="F52" s="480">
        <f t="shared" si="107"/>
        <v>0</v>
      </c>
      <c r="G52" s="385">
        <f>IFERROR('調查資料(OUT)'!L$1*'調查資料(OUT)'!L58,0)+IFERROR('調查資料(OUT)'!O$1*'調查資料(OUT)'!O58,0)+IFERROR('調查資料(OUT)'!R$1*'調查資料(OUT)'!R58,0)+IFERROR('調查資料(OUT)'!S$1*'調查資料(OUT)'!S58,0)</f>
        <v>0</v>
      </c>
      <c r="H52" s="385">
        <f>IFERROR('調查資料(OUT)'!M$1*'調查資料(OUT)'!M58,0)+IFERROR('調查資料(OUT)'!P$1*'調查資料(OUT)'!P58,0)+IFERROR('調查資料(OUT)'!T$1*'調查資料(OUT)'!T58,0)</f>
        <v>0</v>
      </c>
      <c r="I52" s="409">
        <f>IFERROR('調查資料(OUT)'!N$1*'調查資料(OUT)'!N58,0)+IFERROR('調查資料(OUT)'!Q$1*'調查資料(OUT)'!Q58,0)+IFERROR('調查資料(OUT)'!U$1*'調查資料(OUT)'!U58,0)</f>
        <v>0</v>
      </c>
      <c r="J52" s="480">
        <f t="shared" si="24"/>
        <v>0</v>
      </c>
      <c r="K52" s="385">
        <f>IFERROR('調查資料(OUT)'!V$1*'調查資料(OUT)'!V58,0)+IFERROR('調查資料(OUT)'!Y$1*'調查資料(OUT)'!Y58,0)+IFERROR('調查資料(OUT)'!AB$1*'調查資料(OUT)'!AB58,0)+IFERROR('調查資料(OUT)'!AC$1*'調查資料(OUT)'!AC58,0)</f>
        <v>0</v>
      </c>
      <c r="L52" s="385">
        <f>IFERROR('調查資料(OUT)'!W$1*'調查資料(OUT)'!W58,0)+IFERROR('調查資料(OUT)'!Z$1*'調查資料(OUT)'!Z58,0)+IFERROR('調查資料(OUT)'!AD$1*'調查資料(OUT)'!AD58,0)</f>
        <v>0</v>
      </c>
      <c r="M52" s="409">
        <f>IFERROR('調查資料(OUT)'!X$1*'調查資料(OUT)'!X58,0)+IFERROR('調查資料(OUT)'!AA$1*'調查資料(OUT)'!AA58,0)+IFERROR('調查資料(OUT)'!AE$1*'調查資料(OUT)'!AE58,0)</f>
        <v>0</v>
      </c>
      <c r="N52" s="480">
        <f t="shared" si="25"/>
        <v>0</v>
      </c>
      <c r="O52" s="385">
        <f>IFERROR('調查資料(OUT)'!AF$1*'調查資料(OUT)'!AF58,0)+IFERROR('調查資料(OUT)'!AI$1*'調查資料(OUT)'!AI58,0)+IFERROR('調查資料(OUT)'!AL$1*'調查資料(OUT)'!AL58,0)+IFERROR('調查資料(OUT)'!AM$1*'調查資料(OUT)'!AM58,0)</f>
        <v>0</v>
      </c>
      <c r="P52" s="385">
        <f>IFERROR('調查資料(OUT)'!AG$1*'調查資料(OUT)'!AG58,0)+IFERROR('調查資料(OUT)'!AJ$1*'調查資料(OUT)'!AJ58,0)+IFERROR('調查資料(OUT)'!AN$1*'調查資料(OUT)'!AN58,0)</f>
        <v>0</v>
      </c>
      <c r="Q52" s="409">
        <f>IFERROR('調查資料(OUT)'!AH$1*'調查資料(OUT)'!AH58,0)+IFERROR('調查資料(OUT)'!AK$1*'調查資料(OUT)'!AK58,0)+IFERROR('調查資料(OUT)'!AO$1*'調查資料(OUT)'!AO58,0)</f>
        <v>0</v>
      </c>
      <c r="R52" s="478">
        <f t="shared" si="108"/>
        <v>0</v>
      </c>
      <c r="S52" s="66"/>
      <c r="T52" s="378">
        <f>'調查資料(OUT)'!A58</f>
        <v>1145</v>
      </c>
      <c r="U52" s="384">
        <f t="shared" si="109"/>
        <v>1245</v>
      </c>
      <c r="V52" s="385">
        <f t="shared" si="110"/>
        <v>0</v>
      </c>
      <c r="W52" s="386"/>
      <c r="X52" s="385">
        <f t="shared" si="104"/>
        <v>0</v>
      </c>
      <c r="Y52" s="408" t="e">
        <f t="shared" si="103"/>
        <v>#DIV/0!</v>
      </c>
      <c r="Z52" s="408" t="e">
        <f t="shared" si="100"/>
        <v>#DIV/0!</v>
      </c>
      <c r="AA52" s="408" t="e">
        <f t="shared" si="101"/>
        <v>#DIV/0!</v>
      </c>
      <c r="AB52" s="408" t="e">
        <f t="shared" si="102"/>
        <v>#DIV/0!</v>
      </c>
      <c r="AC52" s="410"/>
      <c r="AD52" s="385">
        <f t="shared" si="111"/>
        <v>1145</v>
      </c>
      <c r="AE52" s="409">
        <f t="shared" si="105"/>
        <v>1245</v>
      </c>
      <c r="AF52" s="309">
        <f t="shared" ref="AF52:AF60" si="112">IF($AD52="N","N",SUM(C52:C55))</f>
        <v>0</v>
      </c>
      <c r="AG52" s="66">
        <f>IF($AD52="N","N",SUM('調查資料(OUT)'!B58:B61))</f>
        <v>0</v>
      </c>
      <c r="AH52" s="66">
        <f>IF($AD52="N","N",SUM('調查資料(OUT)'!E58:E61))</f>
        <v>0</v>
      </c>
      <c r="AI52" s="66">
        <f>IF($AD52="N","N",SUM('調查資料(OUT)'!I58:I61))</f>
        <v>0</v>
      </c>
      <c r="AJ52" s="66">
        <f>IF($AD52="N","N",SUM('調查資料(OUT)'!H58:H61))</f>
        <v>0</v>
      </c>
      <c r="AK52" s="383" t="e">
        <f t="shared" si="77"/>
        <v>#DIV/0!</v>
      </c>
      <c r="AL52" s="66">
        <f t="shared" si="78"/>
        <v>0</v>
      </c>
      <c r="AM52" s="66">
        <f>IF($AD52="N","N",SUM('調查資料(OUT)'!C58:C61))</f>
        <v>0</v>
      </c>
      <c r="AN52" s="66">
        <f>IF($AD52="N","N",SUM('調查資料(OUT)'!F58:F61))</f>
        <v>0</v>
      </c>
      <c r="AO52" s="66">
        <f>IF($AD52="N","N",SUM('調查資料(OUT)'!J58:J61))</f>
        <v>0</v>
      </c>
      <c r="AP52" s="383" t="e">
        <f t="shared" si="79"/>
        <v>#DIV/0!</v>
      </c>
      <c r="AQ52" s="66">
        <f t="shared" si="80"/>
        <v>0</v>
      </c>
      <c r="AR52" s="66">
        <f>IF($AD52="N","N",SUM('調查資料(OUT)'!D58:D61))</f>
        <v>0</v>
      </c>
      <c r="AS52" s="66">
        <f>IF($AD52="N","N",SUM('調查資料(OUT)'!G58:G61))</f>
        <v>0</v>
      </c>
      <c r="AT52" s="66">
        <f>IF($AD52="N","N",SUM('調查資料(OUT)'!K58:K61))</f>
        <v>0</v>
      </c>
      <c r="AU52" s="383" t="e">
        <f t="shared" si="81"/>
        <v>#DIV/0!</v>
      </c>
      <c r="AV52" s="66">
        <f t="shared" si="38"/>
        <v>0</v>
      </c>
      <c r="AW52" s="383" t="e">
        <f t="shared" si="39"/>
        <v>#DIV/0!</v>
      </c>
      <c r="AX52" s="66">
        <f t="shared" si="40"/>
        <v>0</v>
      </c>
      <c r="AY52" s="383" t="e">
        <f t="shared" si="41"/>
        <v>#DIV/0!</v>
      </c>
      <c r="AZ52" s="66">
        <f t="shared" si="42"/>
        <v>0</v>
      </c>
      <c r="BA52" s="383" t="e">
        <f t="shared" si="43"/>
        <v>#DIV/0!</v>
      </c>
      <c r="BB52" s="316">
        <f t="shared" si="44"/>
        <v>0</v>
      </c>
      <c r="BC52" s="309">
        <f t="shared" si="82"/>
        <v>0</v>
      </c>
      <c r="BD52" s="66">
        <f>IF($AD52="N","N",SUM('調查資料(OUT)'!L58:L61))</f>
        <v>0</v>
      </c>
      <c r="BE52" s="66">
        <f>IF($AD52="N","N",SUM('調查資料(OUT)'!O58:O61))</f>
        <v>0</v>
      </c>
      <c r="BF52" s="66">
        <f>IF($AD52="N","N",SUM('調查資料(OUT)'!S58:S61))</f>
        <v>0</v>
      </c>
      <c r="BG52" s="66">
        <f>IF($AD52="N","N",SUM('調查資料(OUT)'!R58:R61))</f>
        <v>0</v>
      </c>
      <c r="BH52" s="383" t="e">
        <f t="shared" si="83"/>
        <v>#DIV/0!</v>
      </c>
      <c r="BI52" s="66">
        <f t="shared" si="84"/>
        <v>0</v>
      </c>
      <c r="BJ52" s="66">
        <f>IF($AD52="N","N",SUM('調查資料(OUT)'!M58:M61))</f>
        <v>0</v>
      </c>
      <c r="BK52" s="66">
        <f>IF($AD52="N","N",SUM('調查資料(OUT)'!P58:P61))</f>
        <v>0</v>
      </c>
      <c r="BL52" s="66">
        <f>IF($AD52="N","N",SUM('調查資料(OUT)'!T58:T61))</f>
        <v>0</v>
      </c>
      <c r="BM52" s="383" t="e">
        <f t="shared" si="85"/>
        <v>#DIV/0!</v>
      </c>
      <c r="BN52" s="66">
        <f t="shared" si="86"/>
        <v>0</v>
      </c>
      <c r="BO52" s="66">
        <f>IF($AD52="N","N",SUM('調查資料(OUT)'!N58:N61))</f>
        <v>0</v>
      </c>
      <c r="BP52" s="66">
        <f>IF($AD52="N","N",SUM('調查資料(OUT)'!Q58:Q61))</f>
        <v>0</v>
      </c>
      <c r="BQ52" s="66">
        <f>IF($AD52="N","N",SUM('調查資料(OUT)'!U58:U61))</f>
        <v>0</v>
      </c>
      <c r="BR52" s="383" t="e">
        <f t="shared" si="87"/>
        <v>#DIV/0!</v>
      </c>
      <c r="BS52" s="66">
        <f t="shared" si="45"/>
        <v>0</v>
      </c>
      <c r="BT52" s="383" t="e">
        <f t="shared" si="46"/>
        <v>#DIV/0!</v>
      </c>
      <c r="BU52" s="66">
        <f t="shared" si="47"/>
        <v>0</v>
      </c>
      <c r="BV52" s="383" t="e">
        <f t="shared" si="48"/>
        <v>#DIV/0!</v>
      </c>
      <c r="BW52" s="66">
        <f t="shared" si="49"/>
        <v>0</v>
      </c>
      <c r="BX52" s="383" t="e">
        <f t="shared" si="50"/>
        <v>#DIV/0!</v>
      </c>
      <c r="BY52" s="316">
        <f t="shared" si="51"/>
        <v>0</v>
      </c>
      <c r="BZ52" s="309">
        <f t="shared" si="88"/>
        <v>0</v>
      </c>
      <c r="CA52" s="66">
        <f>IF($AD52="N","N",SUM('調查資料(OUT)'!V58:V61))</f>
        <v>0</v>
      </c>
      <c r="CB52" s="66">
        <f>IF($AD52="N","N",SUM('調查資料(OUT)'!Y58:Y61))</f>
        <v>0</v>
      </c>
      <c r="CC52" s="66">
        <f>IF($AD52="N","N",SUM('調查資料(OUT)'!AC58:AC61))</f>
        <v>0</v>
      </c>
      <c r="CD52" s="66">
        <f>IF($AD52="N","N",SUM('調查資料(OUT)'!AB58:AB61))</f>
        <v>0</v>
      </c>
      <c r="CE52" s="383" t="e">
        <f t="shared" si="89"/>
        <v>#DIV/0!</v>
      </c>
      <c r="CF52" s="66">
        <f t="shared" si="90"/>
        <v>0</v>
      </c>
      <c r="CG52" s="66">
        <f>IF($AD52="N","N",SUM('調查資料(OUT)'!W58:W61))</f>
        <v>0</v>
      </c>
      <c r="CH52" s="66">
        <f>IF($AD52="N","N",SUM('調查資料(OUT)'!Z58:Z61))</f>
        <v>0</v>
      </c>
      <c r="CI52" s="66">
        <f>IF($AD52="N","N",SUM('調查資料(OUT)'!AD58:AD61))</f>
        <v>0</v>
      </c>
      <c r="CJ52" s="383" t="e">
        <f t="shared" si="91"/>
        <v>#DIV/0!</v>
      </c>
      <c r="CK52" s="66">
        <f t="shared" si="92"/>
        <v>0</v>
      </c>
      <c r="CL52" s="66">
        <f>IF($AD52="N","N",SUM('調查資料(OUT)'!X58:X61))</f>
        <v>0</v>
      </c>
      <c r="CM52" s="66">
        <f>IF($AD52="N","N",SUM('調查資料(OUT)'!AA58:AA61))</f>
        <v>0</v>
      </c>
      <c r="CN52" s="66">
        <f>IF($AD52="N","N",SUM('調查資料(OUT)'!AE58:AE61))</f>
        <v>0</v>
      </c>
      <c r="CO52" s="383" t="e">
        <f t="shared" si="93"/>
        <v>#DIV/0!</v>
      </c>
      <c r="CP52" s="66">
        <f t="shared" si="52"/>
        <v>0</v>
      </c>
      <c r="CQ52" s="383" t="e">
        <f t="shared" si="53"/>
        <v>#DIV/0!</v>
      </c>
      <c r="CR52" s="66">
        <f t="shared" si="54"/>
        <v>0</v>
      </c>
      <c r="CS52" s="383" t="e">
        <f t="shared" si="55"/>
        <v>#DIV/0!</v>
      </c>
      <c r="CT52" s="66">
        <f t="shared" si="56"/>
        <v>0</v>
      </c>
      <c r="CU52" s="383" t="e">
        <f t="shared" si="57"/>
        <v>#DIV/0!</v>
      </c>
      <c r="CV52" s="316">
        <f t="shared" si="58"/>
        <v>0</v>
      </c>
      <c r="CW52" s="309">
        <f t="shared" si="94"/>
        <v>0</v>
      </c>
      <c r="CX52" s="66">
        <f>IF($AD52="N","N",SUM('調查資料(OUT)'!AF58:AF61))</f>
        <v>0</v>
      </c>
      <c r="CY52" s="66">
        <f>IF($AD52="N","N",SUM('調查資料(OUT)'!AI58:AI61))</f>
        <v>0</v>
      </c>
      <c r="CZ52" s="66">
        <f>IF($AD52="N","N",SUM('調查資料(OUT)'!AM58:AM61))</f>
        <v>0</v>
      </c>
      <c r="DA52" s="66">
        <f>IF($AD52="N","N",SUM('調查資料(OUT)'!AL58:AL61))</f>
        <v>0</v>
      </c>
      <c r="DB52" s="383" t="e">
        <f t="shared" si="95"/>
        <v>#DIV/0!</v>
      </c>
      <c r="DC52" s="66">
        <f t="shared" si="96"/>
        <v>0</v>
      </c>
      <c r="DD52" s="66">
        <f>IF($AD52="N","N",SUM('調查資料(OUT)'!AG58:AG61))</f>
        <v>0</v>
      </c>
      <c r="DE52" s="66">
        <f>IF($AD52="N","N",SUM('調查資料(OUT)'!AJ58:AJ61))</f>
        <v>0</v>
      </c>
      <c r="DF52" s="66">
        <f>IF($AD52="N","N",SUM('調查資料(OUT)'!AN58:AN61))</f>
        <v>0</v>
      </c>
      <c r="DG52" s="383" t="e">
        <f t="shared" si="97"/>
        <v>#DIV/0!</v>
      </c>
      <c r="DH52" s="66">
        <f t="shared" si="98"/>
        <v>0</v>
      </c>
      <c r="DI52" s="66">
        <f>IF($AD52="N","N",SUM('調查資料(OUT)'!AH58:AH61))</f>
        <v>0</v>
      </c>
      <c r="DJ52" s="66">
        <f>IF($AD52="N","N",SUM('調查資料(OUT)'!AK58:AK61))</f>
        <v>0</v>
      </c>
      <c r="DK52" s="66">
        <f>IF($AD52="N","N",SUM('調查資料(OUT)'!AO58:AO61))</f>
        <v>0</v>
      </c>
      <c r="DL52" s="383" t="e">
        <f t="shared" si="99"/>
        <v>#DIV/0!</v>
      </c>
      <c r="DM52" s="66">
        <f t="shared" si="59"/>
        <v>0</v>
      </c>
      <c r="DN52" s="383" t="e">
        <f t="shared" si="60"/>
        <v>#DIV/0!</v>
      </c>
      <c r="DO52" s="66">
        <f t="shared" si="61"/>
        <v>0</v>
      </c>
      <c r="DP52" s="383" t="e">
        <f t="shared" si="62"/>
        <v>#DIV/0!</v>
      </c>
      <c r="DQ52" s="66">
        <f t="shared" si="63"/>
        <v>0</v>
      </c>
      <c r="DR52" s="383" t="e">
        <f t="shared" si="64"/>
        <v>#DIV/0!</v>
      </c>
      <c r="DS52" s="316">
        <f t="shared" si="65"/>
        <v>0</v>
      </c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  <c r="FK52" s="67"/>
      <c r="FL52" s="67"/>
      <c r="FM52" s="67"/>
      <c r="FN52" s="67"/>
    </row>
    <row r="53" spans="1:170">
      <c r="A53" s="479">
        <f>'調查資料(OUT)'!A59</f>
        <v>1200</v>
      </c>
      <c r="B53" s="480">
        <f t="shared" si="106"/>
        <v>0</v>
      </c>
      <c r="C53" s="385">
        <f>IFERROR('調查資料(OUT)'!B$1*'調查資料(OUT)'!B59,0)+IFERROR('調查資料(OUT)'!E$1*'調查資料(OUT)'!E59,0)+IFERROR('調查資料(OUT)'!H$1*'調查資料(OUT)'!H59,0)+IFERROR('調查資料(OUT)'!I$1*'調查資料(OUT)'!I59,0)</f>
        <v>0</v>
      </c>
      <c r="D53" s="385">
        <f>IFERROR('調查資料(OUT)'!C$1*'調查資料(OUT)'!C59,0)+IFERROR('調查資料(OUT)'!F$1*'調查資料(OUT)'!F59,0)+IFERROR('調查資料(OUT)'!J$1*'調查資料(OUT)'!J59,0)</f>
        <v>0</v>
      </c>
      <c r="E53" s="409">
        <f>IFERROR('調查資料(OUT)'!D$1*'調查資料(OUT)'!D59,0)+IFERROR('調查資料(OUT)'!G$1*'調查資料(OUT)'!G59,0)+IFERROR('調查資料(OUT)'!K$1*'調查資料(OUT)'!K59,0)</f>
        <v>0</v>
      </c>
      <c r="F53" s="480">
        <f t="shared" si="107"/>
        <v>0</v>
      </c>
      <c r="G53" s="385">
        <f>IFERROR('調查資料(OUT)'!L$1*'調查資料(OUT)'!L59,0)+IFERROR('調查資料(OUT)'!O$1*'調查資料(OUT)'!O59,0)+IFERROR('調查資料(OUT)'!R$1*'調查資料(OUT)'!R59,0)+IFERROR('調查資料(OUT)'!S$1*'調查資料(OUT)'!S59,0)</f>
        <v>0</v>
      </c>
      <c r="H53" s="385">
        <f>IFERROR('調查資料(OUT)'!M$1*'調查資料(OUT)'!M59,0)+IFERROR('調查資料(OUT)'!P$1*'調查資料(OUT)'!P59,0)+IFERROR('調查資料(OUT)'!T$1*'調查資料(OUT)'!T59,0)</f>
        <v>0</v>
      </c>
      <c r="I53" s="409">
        <f>IFERROR('調查資料(OUT)'!N$1*'調查資料(OUT)'!N59,0)+IFERROR('調查資料(OUT)'!Q$1*'調查資料(OUT)'!Q59,0)+IFERROR('調查資料(OUT)'!U$1*'調查資料(OUT)'!U59,0)</f>
        <v>0</v>
      </c>
      <c r="J53" s="480">
        <f t="shared" si="24"/>
        <v>0</v>
      </c>
      <c r="K53" s="385">
        <f>IFERROR('調查資料(OUT)'!V$1*'調查資料(OUT)'!V59,0)+IFERROR('調查資料(OUT)'!Y$1*'調查資料(OUT)'!Y59,0)+IFERROR('調查資料(OUT)'!AB$1*'調查資料(OUT)'!AB59,0)+IFERROR('調查資料(OUT)'!AC$1*'調查資料(OUT)'!AC59,0)</f>
        <v>0</v>
      </c>
      <c r="L53" s="385">
        <f>IFERROR('調查資料(OUT)'!W$1*'調查資料(OUT)'!W59,0)+IFERROR('調查資料(OUT)'!Z$1*'調查資料(OUT)'!Z59,0)+IFERROR('調查資料(OUT)'!AD$1*'調查資料(OUT)'!AD59,0)</f>
        <v>0</v>
      </c>
      <c r="M53" s="409">
        <f>IFERROR('調查資料(OUT)'!X$1*'調查資料(OUT)'!X59,0)+IFERROR('調查資料(OUT)'!AA$1*'調查資料(OUT)'!AA59,0)+IFERROR('調查資料(OUT)'!AE$1*'調查資料(OUT)'!AE59,0)</f>
        <v>0</v>
      </c>
      <c r="N53" s="480">
        <f t="shared" si="25"/>
        <v>0</v>
      </c>
      <c r="O53" s="385">
        <f>IFERROR('調查資料(OUT)'!AF$1*'調查資料(OUT)'!AF59,0)+IFERROR('調查資料(OUT)'!AI$1*'調查資料(OUT)'!AI59,0)+IFERROR('調查資料(OUT)'!AL$1*'調查資料(OUT)'!AL59,0)+IFERROR('調查資料(OUT)'!AM$1*'調查資料(OUT)'!AM59,0)</f>
        <v>0</v>
      </c>
      <c r="P53" s="385">
        <f>IFERROR('調查資料(OUT)'!AG$1*'調查資料(OUT)'!AG59,0)+IFERROR('調查資料(OUT)'!AJ$1*'調查資料(OUT)'!AJ59,0)+IFERROR('調查資料(OUT)'!AN$1*'調查資料(OUT)'!AN59,0)</f>
        <v>0</v>
      </c>
      <c r="Q53" s="409">
        <f>IFERROR('調查資料(OUT)'!AH$1*'調查資料(OUT)'!AH59,0)+IFERROR('調查資料(OUT)'!AK$1*'調查資料(OUT)'!AK59,0)+IFERROR('調查資料(OUT)'!AO$1*'調查資料(OUT)'!AO59,0)</f>
        <v>0</v>
      </c>
      <c r="R53" s="478">
        <f t="shared" si="108"/>
        <v>0</v>
      </c>
      <c r="S53" s="66"/>
      <c r="T53" s="378">
        <f>'調查資料(OUT)'!A59</f>
        <v>1200</v>
      </c>
      <c r="U53" s="384">
        <f t="shared" si="109"/>
        <v>1300</v>
      </c>
      <c r="V53" s="385">
        <f t="shared" si="110"/>
        <v>0</v>
      </c>
      <c r="W53" s="386"/>
      <c r="X53" s="385">
        <f t="shared" si="104"/>
        <v>0</v>
      </c>
      <c r="Y53" s="408" t="e">
        <f>IF($V53=W$41,SUM(B53:B56)/(4*(MAX(B53:B56))),0)</f>
        <v>#DIV/0!</v>
      </c>
      <c r="Z53" s="408" t="e">
        <f>IF($V53=W$41,SUM(F53:F56)/(4*(MAX(F53:F56))),0)</f>
        <v>#DIV/0!</v>
      </c>
      <c r="AA53" s="408" t="e">
        <f>IF($V53=W$41,SUM(J53:J56)/(4*(MAX(J53:J56))),0)</f>
        <v>#DIV/0!</v>
      </c>
      <c r="AB53" s="408" t="e">
        <f>IF($V53=W$41,SUM(N53:N56)/(4*(MAX(N53:N56))),0)</f>
        <v>#DIV/0!</v>
      </c>
      <c r="AC53" s="410"/>
      <c r="AD53" s="385">
        <f t="shared" si="111"/>
        <v>1200</v>
      </c>
      <c r="AE53" s="409">
        <f t="shared" si="105"/>
        <v>1300</v>
      </c>
      <c r="AF53" s="309">
        <f t="shared" si="112"/>
        <v>0</v>
      </c>
      <c r="AG53" s="66">
        <f>IF($AD53="N","N",SUM('調查資料(OUT)'!B59:B62))</f>
        <v>0</v>
      </c>
      <c r="AH53" s="66">
        <f>IF($AD53="N","N",SUM('調查資料(OUT)'!E59:E62))</f>
        <v>0</v>
      </c>
      <c r="AI53" s="66">
        <f>IF($AD53="N","N",SUM('調查資料(OUT)'!I59:I62))</f>
        <v>0</v>
      </c>
      <c r="AJ53" s="66">
        <f>IF($AD53="N","N",SUM('調查資料(OUT)'!H59:H62))</f>
        <v>0</v>
      </c>
      <c r="AK53" s="383" t="e">
        <f t="shared" si="77"/>
        <v>#DIV/0!</v>
      </c>
      <c r="AL53" s="66">
        <f t="shared" si="78"/>
        <v>0</v>
      </c>
      <c r="AM53" s="66">
        <f>IF($AD53="N","N",SUM('調查資料(OUT)'!C59:C62))</f>
        <v>0</v>
      </c>
      <c r="AN53" s="66">
        <f>IF($AD53="N","N",SUM('調查資料(OUT)'!F59:F62))</f>
        <v>0</v>
      </c>
      <c r="AO53" s="66">
        <f>IF($AD53="N","N",SUM('調查資料(OUT)'!J59:J62))</f>
        <v>0</v>
      </c>
      <c r="AP53" s="383" t="e">
        <f t="shared" si="79"/>
        <v>#DIV/0!</v>
      </c>
      <c r="AQ53" s="66">
        <f t="shared" si="80"/>
        <v>0</v>
      </c>
      <c r="AR53" s="66">
        <f>IF($AD53="N","N",SUM('調查資料(OUT)'!D59:D62))</f>
        <v>0</v>
      </c>
      <c r="AS53" s="66">
        <f>IF($AD53="N","N",SUM('調查資料(OUT)'!G59:G62))</f>
        <v>0</v>
      </c>
      <c r="AT53" s="66">
        <f>IF($AD53="N","N",SUM('調查資料(OUT)'!K59:K62))</f>
        <v>0</v>
      </c>
      <c r="AU53" s="383" t="e">
        <f t="shared" si="81"/>
        <v>#DIV/0!</v>
      </c>
      <c r="AV53" s="66">
        <f t="shared" si="38"/>
        <v>0</v>
      </c>
      <c r="AW53" s="383" t="e">
        <f t="shared" si="39"/>
        <v>#DIV/0!</v>
      </c>
      <c r="AX53" s="66">
        <f t="shared" si="40"/>
        <v>0</v>
      </c>
      <c r="AY53" s="383" t="e">
        <f t="shared" si="41"/>
        <v>#DIV/0!</v>
      </c>
      <c r="AZ53" s="66">
        <f t="shared" si="42"/>
        <v>0</v>
      </c>
      <c r="BA53" s="383" t="e">
        <f t="shared" si="43"/>
        <v>#DIV/0!</v>
      </c>
      <c r="BB53" s="316">
        <f t="shared" si="44"/>
        <v>0</v>
      </c>
      <c r="BC53" s="309">
        <f t="shared" si="82"/>
        <v>0</v>
      </c>
      <c r="BD53" s="66">
        <f>IF($AD53="N","N",SUM('調查資料(OUT)'!L59:L62))</f>
        <v>0</v>
      </c>
      <c r="BE53" s="66">
        <f>IF($AD53="N","N",SUM('調查資料(OUT)'!O59:O62))</f>
        <v>0</v>
      </c>
      <c r="BF53" s="66">
        <f>IF($AD53="N","N",SUM('調查資料(OUT)'!S59:S62))</f>
        <v>0</v>
      </c>
      <c r="BG53" s="66">
        <f>IF($AD53="N","N",SUM('調查資料(OUT)'!R59:R62))</f>
        <v>0</v>
      </c>
      <c r="BH53" s="383" t="e">
        <f t="shared" si="83"/>
        <v>#DIV/0!</v>
      </c>
      <c r="BI53" s="66">
        <f t="shared" si="84"/>
        <v>0</v>
      </c>
      <c r="BJ53" s="66">
        <f>IF($AD53="N","N",SUM('調查資料(OUT)'!M59:M62))</f>
        <v>0</v>
      </c>
      <c r="BK53" s="66">
        <f>IF($AD53="N","N",SUM('調查資料(OUT)'!P59:P62))</f>
        <v>0</v>
      </c>
      <c r="BL53" s="66">
        <f>IF($AD53="N","N",SUM('調查資料(OUT)'!T59:T62))</f>
        <v>0</v>
      </c>
      <c r="BM53" s="383" t="e">
        <f t="shared" si="85"/>
        <v>#DIV/0!</v>
      </c>
      <c r="BN53" s="66">
        <f t="shared" si="86"/>
        <v>0</v>
      </c>
      <c r="BO53" s="66">
        <f>IF($AD53="N","N",SUM('調查資料(OUT)'!N59:N62))</f>
        <v>0</v>
      </c>
      <c r="BP53" s="66">
        <f>IF($AD53="N","N",SUM('調查資料(OUT)'!Q59:Q62))</f>
        <v>0</v>
      </c>
      <c r="BQ53" s="66">
        <f>IF($AD53="N","N",SUM('調查資料(OUT)'!U59:U62))</f>
        <v>0</v>
      </c>
      <c r="BR53" s="383" t="e">
        <f t="shared" si="87"/>
        <v>#DIV/0!</v>
      </c>
      <c r="BS53" s="66">
        <f t="shared" si="45"/>
        <v>0</v>
      </c>
      <c r="BT53" s="383" t="e">
        <f t="shared" si="46"/>
        <v>#DIV/0!</v>
      </c>
      <c r="BU53" s="66">
        <f t="shared" si="47"/>
        <v>0</v>
      </c>
      <c r="BV53" s="383" t="e">
        <f t="shared" si="48"/>
        <v>#DIV/0!</v>
      </c>
      <c r="BW53" s="66">
        <f t="shared" si="49"/>
        <v>0</v>
      </c>
      <c r="BX53" s="383" t="e">
        <f t="shared" si="50"/>
        <v>#DIV/0!</v>
      </c>
      <c r="BY53" s="316">
        <f t="shared" si="51"/>
        <v>0</v>
      </c>
      <c r="BZ53" s="309">
        <f t="shared" si="88"/>
        <v>0</v>
      </c>
      <c r="CA53" s="66">
        <f>IF($AD53="N","N",SUM('調查資料(OUT)'!V59:V62))</f>
        <v>0</v>
      </c>
      <c r="CB53" s="66">
        <f>IF($AD53="N","N",SUM('調查資料(OUT)'!Y59:Y62))</f>
        <v>0</v>
      </c>
      <c r="CC53" s="66">
        <f>IF($AD53="N","N",SUM('調查資料(OUT)'!AC59:AC62))</f>
        <v>0</v>
      </c>
      <c r="CD53" s="66">
        <f>IF($AD53="N","N",SUM('調查資料(OUT)'!AB59:AB62))</f>
        <v>0</v>
      </c>
      <c r="CE53" s="383" t="e">
        <f t="shared" si="89"/>
        <v>#DIV/0!</v>
      </c>
      <c r="CF53" s="66">
        <f t="shared" si="90"/>
        <v>0</v>
      </c>
      <c r="CG53" s="66">
        <f>IF($AD53="N","N",SUM('調查資料(OUT)'!W59:W62))</f>
        <v>0</v>
      </c>
      <c r="CH53" s="66">
        <f>IF($AD53="N","N",SUM('調查資料(OUT)'!Z59:Z62))</f>
        <v>0</v>
      </c>
      <c r="CI53" s="66">
        <f>IF($AD53="N","N",SUM('調查資料(OUT)'!AD59:AD62))</f>
        <v>0</v>
      </c>
      <c r="CJ53" s="383" t="e">
        <f t="shared" si="91"/>
        <v>#DIV/0!</v>
      </c>
      <c r="CK53" s="66">
        <f t="shared" si="92"/>
        <v>0</v>
      </c>
      <c r="CL53" s="66">
        <f>IF($AD53="N","N",SUM('調查資料(OUT)'!X59:X62))</f>
        <v>0</v>
      </c>
      <c r="CM53" s="66">
        <f>IF($AD53="N","N",SUM('調查資料(OUT)'!AA59:AA62))</f>
        <v>0</v>
      </c>
      <c r="CN53" s="66">
        <f>IF($AD53="N","N",SUM('調查資料(OUT)'!AE59:AE62))</f>
        <v>0</v>
      </c>
      <c r="CO53" s="383" t="e">
        <f t="shared" si="93"/>
        <v>#DIV/0!</v>
      </c>
      <c r="CP53" s="66">
        <f t="shared" si="52"/>
        <v>0</v>
      </c>
      <c r="CQ53" s="383" t="e">
        <f t="shared" si="53"/>
        <v>#DIV/0!</v>
      </c>
      <c r="CR53" s="66">
        <f t="shared" si="54"/>
        <v>0</v>
      </c>
      <c r="CS53" s="383" t="e">
        <f t="shared" si="55"/>
        <v>#DIV/0!</v>
      </c>
      <c r="CT53" s="66">
        <f t="shared" si="56"/>
        <v>0</v>
      </c>
      <c r="CU53" s="383" t="e">
        <f t="shared" si="57"/>
        <v>#DIV/0!</v>
      </c>
      <c r="CV53" s="316">
        <f t="shared" si="58"/>
        <v>0</v>
      </c>
      <c r="CW53" s="309">
        <f t="shared" si="94"/>
        <v>0</v>
      </c>
      <c r="CX53" s="66">
        <f>IF($AD53="N","N",SUM('調查資料(OUT)'!AF59:AF62))</f>
        <v>0</v>
      </c>
      <c r="CY53" s="66">
        <f>IF($AD53="N","N",SUM('調查資料(OUT)'!AI59:AI62))</f>
        <v>0</v>
      </c>
      <c r="CZ53" s="66">
        <f>IF($AD53="N","N",SUM('調查資料(OUT)'!AM59:AM62))</f>
        <v>0</v>
      </c>
      <c r="DA53" s="66">
        <f>IF($AD53="N","N",SUM('調查資料(OUT)'!AL59:AL62))</f>
        <v>0</v>
      </c>
      <c r="DB53" s="383" t="e">
        <f t="shared" si="95"/>
        <v>#DIV/0!</v>
      </c>
      <c r="DC53" s="66">
        <f t="shared" si="96"/>
        <v>0</v>
      </c>
      <c r="DD53" s="66">
        <f>IF($AD53="N","N",SUM('調查資料(OUT)'!AG59:AG62))</f>
        <v>0</v>
      </c>
      <c r="DE53" s="66">
        <f>IF($AD53="N","N",SUM('調查資料(OUT)'!AJ59:AJ62))</f>
        <v>0</v>
      </c>
      <c r="DF53" s="66">
        <f>IF($AD53="N","N",SUM('調查資料(OUT)'!AN59:AN62))</f>
        <v>0</v>
      </c>
      <c r="DG53" s="383" t="e">
        <f t="shared" si="97"/>
        <v>#DIV/0!</v>
      </c>
      <c r="DH53" s="66">
        <f t="shared" si="98"/>
        <v>0</v>
      </c>
      <c r="DI53" s="66">
        <f>IF($AD53="N","N",SUM('調查資料(OUT)'!AH59:AH62))</f>
        <v>0</v>
      </c>
      <c r="DJ53" s="66">
        <f>IF($AD53="N","N",SUM('調查資料(OUT)'!AK59:AK62))</f>
        <v>0</v>
      </c>
      <c r="DK53" s="66">
        <f>IF($AD53="N","N",SUM('調查資料(OUT)'!AO59:AO62))</f>
        <v>0</v>
      </c>
      <c r="DL53" s="383" t="e">
        <f t="shared" si="99"/>
        <v>#DIV/0!</v>
      </c>
      <c r="DM53" s="66">
        <f t="shared" si="59"/>
        <v>0</v>
      </c>
      <c r="DN53" s="383" t="e">
        <f t="shared" si="60"/>
        <v>#DIV/0!</v>
      </c>
      <c r="DO53" s="66">
        <f t="shared" si="61"/>
        <v>0</v>
      </c>
      <c r="DP53" s="383" t="e">
        <f t="shared" si="62"/>
        <v>#DIV/0!</v>
      </c>
      <c r="DQ53" s="66">
        <f t="shared" si="63"/>
        <v>0</v>
      </c>
      <c r="DR53" s="383" t="e">
        <f t="shared" si="64"/>
        <v>#DIV/0!</v>
      </c>
      <c r="DS53" s="316">
        <f t="shared" si="65"/>
        <v>0</v>
      </c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</row>
    <row r="54" spans="1:170">
      <c r="A54" s="118">
        <f>'調查資料(OUT)'!A60</f>
        <v>1215</v>
      </c>
      <c r="B54" s="309">
        <f t="shared" si="106"/>
        <v>0</v>
      </c>
      <c r="C54" s="66">
        <f>IFERROR('調查資料(OUT)'!B$1*'調查資料(OUT)'!B60,0)+IFERROR('調查資料(OUT)'!E$1*'調查資料(OUT)'!E60,0)+IFERROR('調查資料(OUT)'!H$1*'調查資料(OUT)'!H60,0)+IFERROR('調查資料(OUT)'!I$1*'調查資料(OUT)'!I60,0)</f>
        <v>0</v>
      </c>
      <c r="D54" s="66">
        <f>IFERROR('調查資料(OUT)'!C$1*'調查資料(OUT)'!C60,0)+IFERROR('調查資料(OUT)'!F$1*'調查資料(OUT)'!F60,0)+IFERROR('調查資料(OUT)'!J$1*'調查資料(OUT)'!J60,0)</f>
        <v>0</v>
      </c>
      <c r="E54" s="316">
        <f>IFERROR('調查資料(OUT)'!D$1*'調查資料(OUT)'!D60,0)+IFERROR('調查資料(OUT)'!G$1*'調查資料(OUT)'!G60,0)+IFERROR('調查資料(OUT)'!K$1*'調查資料(OUT)'!K60,0)</f>
        <v>0</v>
      </c>
      <c r="F54" s="309">
        <f t="shared" si="107"/>
        <v>0</v>
      </c>
      <c r="G54" s="66">
        <f>IFERROR('調查資料(OUT)'!L$1*'調查資料(OUT)'!L60,0)+IFERROR('調查資料(OUT)'!O$1*'調查資料(OUT)'!O60,0)+IFERROR('調查資料(OUT)'!R$1*'調查資料(OUT)'!R60,0)+IFERROR('調查資料(OUT)'!S$1*'調查資料(OUT)'!S60,0)</f>
        <v>0</v>
      </c>
      <c r="H54" s="66">
        <f>IFERROR('調查資料(OUT)'!M$1*'調查資料(OUT)'!M60,0)+IFERROR('調查資料(OUT)'!P$1*'調查資料(OUT)'!P60,0)+IFERROR('調查資料(OUT)'!T$1*'調查資料(OUT)'!T60,0)</f>
        <v>0</v>
      </c>
      <c r="I54" s="316">
        <f>IFERROR('調查資料(OUT)'!N$1*'調查資料(OUT)'!N60,0)+IFERROR('調查資料(OUT)'!Q$1*'調查資料(OUT)'!Q60,0)+IFERROR('調查資料(OUT)'!U$1*'調查資料(OUT)'!U60,0)</f>
        <v>0</v>
      </c>
      <c r="J54" s="309">
        <f t="shared" si="24"/>
        <v>0</v>
      </c>
      <c r="K54" s="66">
        <f>IFERROR('調查資料(OUT)'!V$1*'調查資料(OUT)'!V60,0)+IFERROR('調查資料(OUT)'!Y$1*'調查資料(OUT)'!Y60,0)+IFERROR('調查資料(OUT)'!AB$1*'調查資料(OUT)'!AB60,0)+IFERROR('調查資料(OUT)'!AC$1*'調查資料(OUT)'!AC60,0)</f>
        <v>0</v>
      </c>
      <c r="L54" s="66">
        <f>IFERROR('調查資料(OUT)'!W$1*'調查資料(OUT)'!W60,0)+IFERROR('調查資料(OUT)'!Z$1*'調查資料(OUT)'!Z60,0)+IFERROR('調查資料(OUT)'!AD$1*'調查資料(OUT)'!AD60,0)</f>
        <v>0</v>
      </c>
      <c r="M54" s="316">
        <f>IFERROR('調查資料(OUT)'!X$1*'調查資料(OUT)'!X60,0)+IFERROR('調查資料(OUT)'!AA$1*'調查資料(OUT)'!AA60,0)+IFERROR('調查資料(OUT)'!AE$1*'調查資料(OUT)'!AE60,0)</f>
        <v>0</v>
      </c>
      <c r="N54" s="309">
        <f t="shared" si="25"/>
        <v>0</v>
      </c>
      <c r="O54" s="66">
        <f>IFERROR('調查資料(OUT)'!AF$1*'調查資料(OUT)'!AF60,0)+IFERROR('調查資料(OUT)'!AI$1*'調查資料(OUT)'!AI60,0)+IFERROR('調查資料(OUT)'!AL$1*'調查資料(OUT)'!AL60,0)+IFERROR('調查資料(OUT)'!AM$1*'調查資料(OUT)'!AM60,0)</f>
        <v>0</v>
      </c>
      <c r="P54" s="66">
        <f>IFERROR('調查資料(OUT)'!AG$1*'調查資料(OUT)'!AG60,0)+IFERROR('調查資料(OUT)'!AJ$1*'調查資料(OUT)'!AJ60,0)+IFERROR('調查資料(OUT)'!AN$1*'調查資料(OUT)'!AN60,0)</f>
        <v>0</v>
      </c>
      <c r="Q54" s="316">
        <f>IFERROR('調查資料(OUT)'!AH$1*'調查資料(OUT)'!AH60,0)+IFERROR('調查資料(OUT)'!AK$1*'調查資料(OUT)'!AK60,0)+IFERROR('調查資料(OUT)'!AO$1*'調查資料(OUT)'!AO60,0)</f>
        <v>0</v>
      </c>
      <c r="R54" s="133">
        <f t="shared" si="108"/>
        <v>0</v>
      </c>
      <c r="S54" s="66"/>
      <c r="T54" s="366">
        <f>'調查資料(OUT)'!A60</f>
        <v>1215</v>
      </c>
      <c r="U54" s="101">
        <f t="shared" si="109"/>
        <v>1315</v>
      </c>
      <c r="V54" s="66">
        <f t="shared" si="110"/>
        <v>0</v>
      </c>
      <c r="W54" s="381"/>
      <c r="X54" s="66">
        <f t="shared" si="104"/>
        <v>0</v>
      </c>
      <c r="Y54" s="379" t="e">
        <f>IF($V54=W$41,SUM(B54:B57)/(4*(MAX(B54:B57))),0)</f>
        <v>#DIV/0!</v>
      </c>
      <c r="Z54" s="379" t="e">
        <f>IF($V54=W$41,SUM(F54:F57)/(4*(MAX(F54:F57))),0)</f>
        <v>#DIV/0!</v>
      </c>
      <c r="AA54" s="379" t="e">
        <f t="shared" ref="AA54:AA56" si="113">IF($V54=W$41,SUM(J54:J57)/(4*(MAX(J54:J57))),0)</f>
        <v>#DIV/0!</v>
      </c>
      <c r="AB54" s="379" t="e">
        <f t="shared" ref="AB54:AB56" si="114">IF($V54=W$41,SUM(N54:N57)/(4*(MAX(N54:N57))),0)</f>
        <v>#DIV/0!</v>
      </c>
      <c r="AC54" s="67"/>
      <c r="AD54" s="66">
        <f>IF(V54=W$41,$T54,"N")</f>
        <v>1215</v>
      </c>
      <c r="AE54" s="316">
        <f>IF(V54=W$41,$U54,"N")</f>
        <v>1315</v>
      </c>
      <c r="AF54" s="309">
        <f t="shared" si="112"/>
        <v>0</v>
      </c>
      <c r="AG54" s="66">
        <f>IF($AD54="N","N",SUM('調查資料(OUT)'!B60:B63))</f>
        <v>0</v>
      </c>
      <c r="AH54" s="66">
        <f>IF($AD54="N","N",SUM('調查資料(OUT)'!E60:E63))</f>
        <v>0</v>
      </c>
      <c r="AI54" s="66">
        <f>IF($AD54="N","N",SUM('調查資料(OUT)'!I60:I63))</f>
        <v>0</v>
      </c>
      <c r="AJ54" s="66">
        <f>IF($AD54="N","N",SUM('調查資料(OUT)'!H60:H63))</f>
        <v>0</v>
      </c>
      <c r="AK54" s="383" t="e">
        <f t="shared" si="77"/>
        <v>#DIV/0!</v>
      </c>
      <c r="AL54" s="66">
        <f t="shared" si="78"/>
        <v>0</v>
      </c>
      <c r="AM54" s="66">
        <f>IF($AD54="N","N",SUM('調查資料(OUT)'!C60:C63))</f>
        <v>0</v>
      </c>
      <c r="AN54" s="66">
        <f>IF($AD54="N","N",SUM('調查資料(OUT)'!F60:F63))</f>
        <v>0</v>
      </c>
      <c r="AO54" s="66">
        <f>IF($AD54="N","N",SUM('調查資料(OUT)'!J60:J63))</f>
        <v>0</v>
      </c>
      <c r="AP54" s="383" t="e">
        <f t="shared" si="79"/>
        <v>#DIV/0!</v>
      </c>
      <c r="AQ54" s="66">
        <f t="shared" si="80"/>
        <v>0</v>
      </c>
      <c r="AR54" s="66">
        <f>IF($AD54="N","N",SUM('調查資料(OUT)'!D60:D63))</f>
        <v>0</v>
      </c>
      <c r="AS54" s="66">
        <f>IF($AD54="N","N",SUM('調查資料(OUT)'!G60:G63))</f>
        <v>0</v>
      </c>
      <c r="AT54" s="66">
        <f>IF($AD54="N","N",SUM('調查資料(OUT)'!K60:K63))</f>
        <v>0</v>
      </c>
      <c r="AU54" s="383" t="e">
        <f t="shared" si="81"/>
        <v>#DIV/0!</v>
      </c>
      <c r="AV54" s="66">
        <f t="shared" si="38"/>
        <v>0</v>
      </c>
      <c r="AW54" s="383" t="e">
        <f t="shared" si="39"/>
        <v>#DIV/0!</v>
      </c>
      <c r="AX54" s="66">
        <f t="shared" si="40"/>
        <v>0</v>
      </c>
      <c r="AY54" s="383" t="e">
        <f t="shared" si="41"/>
        <v>#DIV/0!</v>
      </c>
      <c r="AZ54" s="66">
        <f t="shared" si="42"/>
        <v>0</v>
      </c>
      <c r="BA54" s="383" t="e">
        <f t="shared" si="43"/>
        <v>#DIV/0!</v>
      </c>
      <c r="BB54" s="316">
        <f t="shared" si="44"/>
        <v>0</v>
      </c>
      <c r="BC54" s="309">
        <f t="shared" si="82"/>
        <v>0</v>
      </c>
      <c r="BD54" s="66">
        <f>IF($AD54="N","N",SUM('調查資料(OUT)'!L60:L63))</f>
        <v>0</v>
      </c>
      <c r="BE54" s="66">
        <f>IF($AD54="N","N",SUM('調查資料(OUT)'!O60:O63))</f>
        <v>0</v>
      </c>
      <c r="BF54" s="66">
        <f>IF($AD54="N","N",SUM('調查資料(OUT)'!S60:S63))</f>
        <v>0</v>
      </c>
      <c r="BG54" s="66">
        <f>IF($AD54="N","N",SUM('調查資料(OUT)'!R60:R63))</f>
        <v>0</v>
      </c>
      <c r="BH54" s="383" t="e">
        <f t="shared" si="83"/>
        <v>#DIV/0!</v>
      </c>
      <c r="BI54" s="66">
        <f t="shared" si="84"/>
        <v>0</v>
      </c>
      <c r="BJ54" s="66">
        <f>IF($AD54="N","N",SUM('調查資料(OUT)'!M60:M63))</f>
        <v>0</v>
      </c>
      <c r="BK54" s="66">
        <f>IF($AD54="N","N",SUM('調查資料(OUT)'!P60:P63))</f>
        <v>0</v>
      </c>
      <c r="BL54" s="66">
        <f>IF($AD54="N","N",SUM('調查資料(OUT)'!T60:T63))</f>
        <v>0</v>
      </c>
      <c r="BM54" s="383" t="e">
        <f t="shared" si="85"/>
        <v>#DIV/0!</v>
      </c>
      <c r="BN54" s="66">
        <f t="shared" si="86"/>
        <v>0</v>
      </c>
      <c r="BO54" s="66">
        <f>IF($AD54="N","N",SUM('調查資料(OUT)'!N60:N63))</f>
        <v>0</v>
      </c>
      <c r="BP54" s="66">
        <f>IF($AD54="N","N",SUM('調查資料(OUT)'!Q60:Q63))</f>
        <v>0</v>
      </c>
      <c r="BQ54" s="66">
        <f>IF($AD54="N","N",SUM('調查資料(OUT)'!U60:U63))</f>
        <v>0</v>
      </c>
      <c r="BR54" s="383" t="e">
        <f t="shared" si="87"/>
        <v>#DIV/0!</v>
      </c>
      <c r="BS54" s="66">
        <f t="shared" si="45"/>
        <v>0</v>
      </c>
      <c r="BT54" s="383" t="e">
        <f t="shared" si="46"/>
        <v>#DIV/0!</v>
      </c>
      <c r="BU54" s="66">
        <f t="shared" si="47"/>
        <v>0</v>
      </c>
      <c r="BV54" s="383" t="e">
        <f t="shared" si="48"/>
        <v>#DIV/0!</v>
      </c>
      <c r="BW54" s="66">
        <f t="shared" si="49"/>
        <v>0</v>
      </c>
      <c r="BX54" s="383" t="e">
        <f t="shared" si="50"/>
        <v>#DIV/0!</v>
      </c>
      <c r="BY54" s="316">
        <f t="shared" si="51"/>
        <v>0</v>
      </c>
      <c r="BZ54" s="309">
        <f t="shared" si="88"/>
        <v>0</v>
      </c>
      <c r="CA54" s="66">
        <f>IF($AD54="N","N",SUM('調查資料(OUT)'!V60:V63))</f>
        <v>0</v>
      </c>
      <c r="CB54" s="66">
        <f>IF($AD54="N","N",SUM('調查資料(OUT)'!Y60:Y63))</f>
        <v>0</v>
      </c>
      <c r="CC54" s="66">
        <f>IF($AD54="N","N",SUM('調查資料(OUT)'!AC60:AC63))</f>
        <v>0</v>
      </c>
      <c r="CD54" s="66">
        <f>IF($AD54="N","N",SUM('調查資料(OUT)'!AB60:AB63))</f>
        <v>0</v>
      </c>
      <c r="CE54" s="383" t="e">
        <f t="shared" si="89"/>
        <v>#DIV/0!</v>
      </c>
      <c r="CF54" s="66">
        <f t="shared" si="90"/>
        <v>0</v>
      </c>
      <c r="CG54" s="66">
        <f>IF($AD54="N","N",SUM('調查資料(OUT)'!W60:W63))</f>
        <v>0</v>
      </c>
      <c r="CH54" s="66">
        <f>IF($AD54="N","N",SUM('調查資料(OUT)'!Z60:Z63))</f>
        <v>0</v>
      </c>
      <c r="CI54" s="66">
        <f>IF($AD54="N","N",SUM('調查資料(OUT)'!AD60:AD63))</f>
        <v>0</v>
      </c>
      <c r="CJ54" s="383" t="e">
        <f t="shared" si="91"/>
        <v>#DIV/0!</v>
      </c>
      <c r="CK54" s="66">
        <f t="shared" si="92"/>
        <v>0</v>
      </c>
      <c r="CL54" s="66">
        <f>IF($AD54="N","N",SUM('調查資料(OUT)'!X60:X63))</f>
        <v>0</v>
      </c>
      <c r="CM54" s="66">
        <f>IF($AD54="N","N",SUM('調查資料(OUT)'!AA60:AA63))</f>
        <v>0</v>
      </c>
      <c r="CN54" s="66">
        <f>IF($AD54="N","N",SUM('調查資料(OUT)'!AE60:AE63))</f>
        <v>0</v>
      </c>
      <c r="CO54" s="383" t="e">
        <f t="shared" si="93"/>
        <v>#DIV/0!</v>
      </c>
      <c r="CP54" s="66">
        <f t="shared" si="52"/>
        <v>0</v>
      </c>
      <c r="CQ54" s="383" t="e">
        <f t="shared" si="53"/>
        <v>#DIV/0!</v>
      </c>
      <c r="CR54" s="66">
        <f t="shared" si="54"/>
        <v>0</v>
      </c>
      <c r="CS54" s="383" t="e">
        <f t="shared" si="55"/>
        <v>#DIV/0!</v>
      </c>
      <c r="CT54" s="66">
        <f t="shared" si="56"/>
        <v>0</v>
      </c>
      <c r="CU54" s="383" t="e">
        <f t="shared" si="57"/>
        <v>#DIV/0!</v>
      </c>
      <c r="CV54" s="316">
        <f t="shared" si="58"/>
        <v>0</v>
      </c>
      <c r="CW54" s="309">
        <f t="shared" si="94"/>
        <v>0</v>
      </c>
      <c r="CX54" s="66">
        <f>IF($AD54="N","N",SUM('調查資料(OUT)'!AF60:AF63))</f>
        <v>0</v>
      </c>
      <c r="CY54" s="66">
        <f>IF($AD54="N","N",SUM('調查資料(OUT)'!AI60:AI63))</f>
        <v>0</v>
      </c>
      <c r="CZ54" s="66">
        <f>IF($AD54="N","N",SUM('調查資料(OUT)'!AM60:AM63))</f>
        <v>0</v>
      </c>
      <c r="DA54" s="66">
        <f>IF($AD54="N","N",SUM('調查資料(OUT)'!AL60:AL63))</f>
        <v>0</v>
      </c>
      <c r="DB54" s="383" t="e">
        <f t="shared" si="95"/>
        <v>#DIV/0!</v>
      </c>
      <c r="DC54" s="66">
        <f t="shared" si="96"/>
        <v>0</v>
      </c>
      <c r="DD54" s="66">
        <f>IF($AD54="N","N",SUM('調查資料(OUT)'!AG60:AG63))</f>
        <v>0</v>
      </c>
      <c r="DE54" s="66">
        <f>IF($AD54="N","N",SUM('調查資料(OUT)'!AJ60:AJ63))</f>
        <v>0</v>
      </c>
      <c r="DF54" s="66">
        <f>IF($AD54="N","N",SUM('調查資料(OUT)'!AN60:AN63))</f>
        <v>0</v>
      </c>
      <c r="DG54" s="383" t="e">
        <f t="shared" si="97"/>
        <v>#DIV/0!</v>
      </c>
      <c r="DH54" s="66">
        <f t="shared" si="98"/>
        <v>0</v>
      </c>
      <c r="DI54" s="66">
        <f>IF($AD54="N","N",SUM('調查資料(OUT)'!AH60:AH63))</f>
        <v>0</v>
      </c>
      <c r="DJ54" s="66">
        <f>IF($AD54="N","N",SUM('調查資料(OUT)'!AK60:AK63))</f>
        <v>0</v>
      </c>
      <c r="DK54" s="66">
        <f>IF($AD54="N","N",SUM('調查資料(OUT)'!AO60:AO63))</f>
        <v>0</v>
      </c>
      <c r="DL54" s="383" t="e">
        <f t="shared" si="99"/>
        <v>#DIV/0!</v>
      </c>
      <c r="DM54" s="66">
        <f t="shared" si="59"/>
        <v>0</v>
      </c>
      <c r="DN54" s="383" t="e">
        <f t="shared" si="60"/>
        <v>#DIV/0!</v>
      </c>
      <c r="DO54" s="66">
        <f t="shared" si="61"/>
        <v>0</v>
      </c>
      <c r="DP54" s="383" t="e">
        <f t="shared" si="62"/>
        <v>#DIV/0!</v>
      </c>
      <c r="DQ54" s="66">
        <f t="shared" si="63"/>
        <v>0</v>
      </c>
      <c r="DR54" s="383" t="e">
        <f t="shared" si="64"/>
        <v>#DIV/0!</v>
      </c>
      <c r="DS54" s="316">
        <f t="shared" si="65"/>
        <v>0</v>
      </c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  <c r="FK54" s="67"/>
      <c r="FL54" s="67"/>
      <c r="FM54" s="67"/>
      <c r="FN54" s="67"/>
    </row>
    <row r="55" spans="1:170">
      <c r="A55" s="118">
        <f>'調查資料(OUT)'!A61</f>
        <v>1230</v>
      </c>
      <c r="B55" s="309">
        <f t="shared" si="106"/>
        <v>0</v>
      </c>
      <c r="C55" s="66">
        <f>IFERROR('調查資料(OUT)'!B$1*'調查資料(OUT)'!B61,0)+IFERROR('調查資料(OUT)'!E$1*'調查資料(OUT)'!E61,0)+IFERROR('調查資料(OUT)'!H$1*'調查資料(OUT)'!H61,0)+IFERROR('調查資料(OUT)'!I$1*'調查資料(OUT)'!I61,0)</f>
        <v>0</v>
      </c>
      <c r="D55" s="66">
        <f>IFERROR('調查資料(OUT)'!C$1*'調查資料(OUT)'!C61,0)+IFERROR('調查資料(OUT)'!F$1*'調查資料(OUT)'!F61,0)+IFERROR('調查資料(OUT)'!J$1*'調查資料(OUT)'!J61,0)</f>
        <v>0</v>
      </c>
      <c r="E55" s="316">
        <f>IFERROR('調查資料(OUT)'!D$1*'調查資料(OUT)'!D61,0)+IFERROR('調查資料(OUT)'!G$1*'調查資料(OUT)'!G61,0)+IFERROR('調查資料(OUT)'!K$1*'調查資料(OUT)'!K61,0)</f>
        <v>0</v>
      </c>
      <c r="F55" s="309">
        <f t="shared" si="107"/>
        <v>0</v>
      </c>
      <c r="G55" s="66">
        <f>IFERROR('調查資料(OUT)'!L$1*'調查資料(OUT)'!L61,0)+IFERROR('調查資料(OUT)'!O$1*'調查資料(OUT)'!O61,0)+IFERROR('調查資料(OUT)'!R$1*'調查資料(OUT)'!R61,0)+IFERROR('調查資料(OUT)'!S$1*'調查資料(OUT)'!S61,0)</f>
        <v>0</v>
      </c>
      <c r="H55" s="66">
        <f>IFERROR('調查資料(OUT)'!M$1*'調查資料(OUT)'!M61,0)+IFERROR('調查資料(OUT)'!P$1*'調查資料(OUT)'!P61,0)+IFERROR('調查資料(OUT)'!T$1*'調查資料(OUT)'!T61,0)</f>
        <v>0</v>
      </c>
      <c r="I55" s="316">
        <f>IFERROR('調查資料(OUT)'!N$1*'調查資料(OUT)'!N61,0)+IFERROR('調查資料(OUT)'!Q$1*'調查資料(OUT)'!Q61,0)+IFERROR('調查資料(OUT)'!U$1*'調查資料(OUT)'!U61,0)</f>
        <v>0</v>
      </c>
      <c r="J55" s="309">
        <f t="shared" si="24"/>
        <v>0</v>
      </c>
      <c r="K55" s="66">
        <f>IFERROR('調查資料(OUT)'!V$1*'調查資料(OUT)'!V61,0)+IFERROR('調查資料(OUT)'!Y$1*'調查資料(OUT)'!Y61,0)+IFERROR('調查資料(OUT)'!AB$1*'調查資料(OUT)'!AB61,0)+IFERROR('調查資料(OUT)'!AC$1*'調查資料(OUT)'!AC61,0)</f>
        <v>0</v>
      </c>
      <c r="L55" s="66">
        <f>IFERROR('調查資料(OUT)'!W$1*'調查資料(OUT)'!W61,0)+IFERROR('調查資料(OUT)'!Z$1*'調查資料(OUT)'!Z61,0)+IFERROR('調查資料(OUT)'!AD$1*'調查資料(OUT)'!AD61,0)</f>
        <v>0</v>
      </c>
      <c r="M55" s="316">
        <f>IFERROR('調查資料(OUT)'!X$1*'調查資料(OUT)'!X61,0)+IFERROR('調查資料(OUT)'!AA$1*'調查資料(OUT)'!AA61,0)+IFERROR('調查資料(OUT)'!AE$1*'調查資料(OUT)'!AE61,0)</f>
        <v>0</v>
      </c>
      <c r="N55" s="309">
        <f t="shared" si="25"/>
        <v>0</v>
      </c>
      <c r="O55" s="66">
        <f>IFERROR('調查資料(OUT)'!AF$1*'調查資料(OUT)'!AF61,0)+IFERROR('調查資料(OUT)'!AI$1*'調查資料(OUT)'!AI61,0)+IFERROR('調查資料(OUT)'!AL$1*'調查資料(OUT)'!AL61,0)+IFERROR('調查資料(OUT)'!AM$1*'調查資料(OUT)'!AM61,0)</f>
        <v>0</v>
      </c>
      <c r="P55" s="66">
        <f>IFERROR('調查資料(OUT)'!AG$1*'調查資料(OUT)'!AG61,0)+IFERROR('調查資料(OUT)'!AJ$1*'調查資料(OUT)'!AJ61,0)+IFERROR('調查資料(OUT)'!AN$1*'調查資料(OUT)'!AN61,0)</f>
        <v>0</v>
      </c>
      <c r="Q55" s="316">
        <f>IFERROR('調查資料(OUT)'!AH$1*'調查資料(OUT)'!AH61,0)+IFERROR('調查資料(OUT)'!AK$1*'調查資料(OUT)'!AK61,0)+IFERROR('調查資料(OUT)'!AO$1*'調查資料(OUT)'!AO61,0)</f>
        <v>0</v>
      </c>
      <c r="R55" s="133">
        <f t="shared" si="108"/>
        <v>0</v>
      </c>
      <c r="S55" s="66"/>
      <c r="T55" s="366">
        <f>'調查資料(OUT)'!A61</f>
        <v>1230</v>
      </c>
      <c r="U55" s="101">
        <f t="shared" si="109"/>
        <v>1330</v>
      </c>
      <c r="V55" s="66">
        <f t="shared" si="110"/>
        <v>0</v>
      </c>
      <c r="W55" s="381"/>
      <c r="X55" s="66">
        <f t="shared" ref="X55:X56" si="115">IF($V55=$W$41,MAX(R55:R58),0)</f>
        <v>0</v>
      </c>
      <c r="Y55" s="379" t="e">
        <f t="shared" ref="Y55:Y56" si="116">IF($V55=W$41,SUM(B55:B58)/(4*(MAX(B55:B58))),0)</f>
        <v>#DIV/0!</v>
      </c>
      <c r="Z55" s="379" t="e">
        <f t="shared" ref="Z55:Z56" si="117">IF($V55=W$41,SUM(F55:F58)/(4*(MAX(F55:F58))),0)</f>
        <v>#DIV/0!</v>
      </c>
      <c r="AA55" s="379" t="e">
        <f t="shared" si="113"/>
        <v>#DIV/0!</v>
      </c>
      <c r="AB55" s="379" t="e">
        <f t="shared" si="114"/>
        <v>#DIV/0!</v>
      </c>
      <c r="AC55" s="67"/>
      <c r="AD55" s="66">
        <f t="shared" ref="AD55:AD56" si="118">IF(V55=W$41,$T55,"N")</f>
        <v>1230</v>
      </c>
      <c r="AE55" s="316">
        <f t="shared" ref="AE55:AE56" si="119">IF(V55=W$41,$U55,"N")</f>
        <v>1330</v>
      </c>
      <c r="AF55" s="309">
        <f t="shared" si="112"/>
        <v>0</v>
      </c>
      <c r="AG55" s="66">
        <f>IF($AD55="N","N",SUM('調查資料(OUT)'!B61:B64))</f>
        <v>0</v>
      </c>
      <c r="AH55" s="66">
        <f>IF($AD55="N","N",SUM('調查資料(OUT)'!E61:E64))</f>
        <v>0</v>
      </c>
      <c r="AI55" s="66">
        <f>IF($AD55="N","N",SUM('調查資料(OUT)'!I61:I64))</f>
        <v>0</v>
      </c>
      <c r="AJ55" s="66">
        <f>IF($AD55="N","N",SUM('調查資料(OUT)'!H61:H64))</f>
        <v>0</v>
      </c>
      <c r="AK55" s="383" t="e">
        <f t="shared" si="77"/>
        <v>#DIV/0!</v>
      </c>
      <c r="AL55" s="66">
        <f t="shared" si="78"/>
        <v>0</v>
      </c>
      <c r="AM55" s="66">
        <f>IF($AD55="N","N",SUM('調查資料(OUT)'!C61:C64))</f>
        <v>0</v>
      </c>
      <c r="AN55" s="66">
        <f>IF($AD55="N","N",SUM('調查資料(OUT)'!F61:F64))</f>
        <v>0</v>
      </c>
      <c r="AO55" s="66">
        <f>IF($AD55="N","N",SUM('調查資料(OUT)'!J61:J64))</f>
        <v>0</v>
      </c>
      <c r="AP55" s="383" t="e">
        <f t="shared" si="79"/>
        <v>#DIV/0!</v>
      </c>
      <c r="AQ55" s="66">
        <f t="shared" si="80"/>
        <v>0</v>
      </c>
      <c r="AR55" s="66">
        <f>IF($AD55="N","N",SUM('調查資料(OUT)'!D61:D64))</f>
        <v>0</v>
      </c>
      <c r="AS55" s="66">
        <f>IF($AD55="N","N",SUM('調查資料(OUT)'!G61:G64))</f>
        <v>0</v>
      </c>
      <c r="AT55" s="66">
        <f>IF($AD55="N","N",SUM('調查資料(OUT)'!K61:K64))</f>
        <v>0</v>
      </c>
      <c r="AU55" s="383" t="e">
        <f t="shared" si="81"/>
        <v>#DIV/0!</v>
      </c>
      <c r="AV55" s="66">
        <f t="shared" si="38"/>
        <v>0</v>
      </c>
      <c r="AW55" s="383" t="e">
        <f t="shared" si="39"/>
        <v>#DIV/0!</v>
      </c>
      <c r="AX55" s="66">
        <f t="shared" si="40"/>
        <v>0</v>
      </c>
      <c r="AY55" s="383" t="e">
        <f t="shared" si="41"/>
        <v>#DIV/0!</v>
      </c>
      <c r="AZ55" s="66">
        <f t="shared" si="42"/>
        <v>0</v>
      </c>
      <c r="BA55" s="383" t="e">
        <f t="shared" si="43"/>
        <v>#DIV/0!</v>
      </c>
      <c r="BB55" s="316">
        <f t="shared" si="44"/>
        <v>0</v>
      </c>
      <c r="BC55" s="309">
        <f t="shared" si="82"/>
        <v>0</v>
      </c>
      <c r="BD55" s="66">
        <f>IF($AD55="N","N",SUM('調查資料(OUT)'!L61:L64))</f>
        <v>0</v>
      </c>
      <c r="BE55" s="66">
        <f>IF($AD55="N","N",SUM('調查資料(OUT)'!O61:O64))</f>
        <v>0</v>
      </c>
      <c r="BF55" s="66">
        <f>IF($AD55="N","N",SUM('調查資料(OUT)'!S61:S64))</f>
        <v>0</v>
      </c>
      <c r="BG55" s="66">
        <f>IF($AD55="N","N",SUM('調查資料(OUT)'!R61:R64))</f>
        <v>0</v>
      </c>
      <c r="BH55" s="383" t="e">
        <f t="shared" si="83"/>
        <v>#DIV/0!</v>
      </c>
      <c r="BI55" s="66">
        <f t="shared" si="84"/>
        <v>0</v>
      </c>
      <c r="BJ55" s="66">
        <f>IF($AD55="N","N",SUM('調查資料(OUT)'!M61:M64))</f>
        <v>0</v>
      </c>
      <c r="BK55" s="66">
        <f>IF($AD55="N","N",SUM('調查資料(OUT)'!P61:P64))</f>
        <v>0</v>
      </c>
      <c r="BL55" s="66">
        <f>IF($AD55="N","N",SUM('調查資料(OUT)'!T61:T64))</f>
        <v>0</v>
      </c>
      <c r="BM55" s="383" t="e">
        <f t="shared" si="85"/>
        <v>#DIV/0!</v>
      </c>
      <c r="BN55" s="66">
        <f t="shared" si="86"/>
        <v>0</v>
      </c>
      <c r="BO55" s="66">
        <f>IF($AD55="N","N",SUM('調查資料(OUT)'!N61:N64))</f>
        <v>0</v>
      </c>
      <c r="BP55" s="66">
        <f>IF($AD55="N","N",SUM('調查資料(OUT)'!Q61:Q64))</f>
        <v>0</v>
      </c>
      <c r="BQ55" s="66">
        <f>IF($AD55="N","N",SUM('調查資料(OUT)'!U61:U64))</f>
        <v>0</v>
      </c>
      <c r="BR55" s="383" t="e">
        <f t="shared" si="87"/>
        <v>#DIV/0!</v>
      </c>
      <c r="BS55" s="66">
        <f t="shared" si="45"/>
        <v>0</v>
      </c>
      <c r="BT55" s="383" t="e">
        <f t="shared" si="46"/>
        <v>#DIV/0!</v>
      </c>
      <c r="BU55" s="66">
        <f t="shared" si="47"/>
        <v>0</v>
      </c>
      <c r="BV55" s="383" t="e">
        <f t="shared" si="48"/>
        <v>#DIV/0!</v>
      </c>
      <c r="BW55" s="66">
        <f t="shared" si="49"/>
        <v>0</v>
      </c>
      <c r="BX55" s="383" t="e">
        <f t="shared" si="50"/>
        <v>#DIV/0!</v>
      </c>
      <c r="BY55" s="316">
        <f t="shared" si="51"/>
        <v>0</v>
      </c>
      <c r="BZ55" s="309">
        <f t="shared" si="88"/>
        <v>0</v>
      </c>
      <c r="CA55" s="66">
        <f>IF($AD55="N","N",SUM('調查資料(OUT)'!V61:V64))</f>
        <v>0</v>
      </c>
      <c r="CB55" s="66">
        <f>IF($AD55="N","N",SUM('調查資料(OUT)'!Y61:Y64))</f>
        <v>0</v>
      </c>
      <c r="CC55" s="66">
        <f>IF($AD55="N","N",SUM('調查資料(OUT)'!AC61:AC64))</f>
        <v>0</v>
      </c>
      <c r="CD55" s="66">
        <f>IF($AD55="N","N",SUM('調查資料(OUT)'!AB61:AB64))</f>
        <v>0</v>
      </c>
      <c r="CE55" s="383" t="e">
        <f t="shared" si="89"/>
        <v>#DIV/0!</v>
      </c>
      <c r="CF55" s="66">
        <f t="shared" si="90"/>
        <v>0</v>
      </c>
      <c r="CG55" s="66">
        <f>IF($AD55="N","N",SUM('調查資料(OUT)'!W61:W64))</f>
        <v>0</v>
      </c>
      <c r="CH55" s="66">
        <f>IF($AD55="N","N",SUM('調查資料(OUT)'!Z61:Z64))</f>
        <v>0</v>
      </c>
      <c r="CI55" s="66">
        <f>IF($AD55="N","N",SUM('調查資料(OUT)'!AD61:AD64))</f>
        <v>0</v>
      </c>
      <c r="CJ55" s="383" t="e">
        <f t="shared" si="91"/>
        <v>#DIV/0!</v>
      </c>
      <c r="CK55" s="66">
        <f t="shared" si="92"/>
        <v>0</v>
      </c>
      <c r="CL55" s="66">
        <f>IF($AD55="N","N",SUM('調查資料(OUT)'!X61:X64))</f>
        <v>0</v>
      </c>
      <c r="CM55" s="66">
        <f>IF($AD55="N","N",SUM('調查資料(OUT)'!AA61:AA64))</f>
        <v>0</v>
      </c>
      <c r="CN55" s="66">
        <f>IF($AD55="N","N",SUM('調查資料(OUT)'!AE61:AE64))</f>
        <v>0</v>
      </c>
      <c r="CO55" s="383" t="e">
        <f t="shared" si="93"/>
        <v>#DIV/0!</v>
      </c>
      <c r="CP55" s="66">
        <f t="shared" si="52"/>
        <v>0</v>
      </c>
      <c r="CQ55" s="383" t="e">
        <f t="shared" si="53"/>
        <v>#DIV/0!</v>
      </c>
      <c r="CR55" s="66">
        <f t="shared" si="54"/>
        <v>0</v>
      </c>
      <c r="CS55" s="383" t="e">
        <f t="shared" si="55"/>
        <v>#DIV/0!</v>
      </c>
      <c r="CT55" s="66">
        <f t="shared" si="56"/>
        <v>0</v>
      </c>
      <c r="CU55" s="383" t="e">
        <f t="shared" si="57"/>
        <v>#DIV/0!</v>
      </c>
      <c r="CV55" s="316">
        <f t="shared" si="58"/>
        <v>0</v>
      </c>
      <c r="CW55" s="309">
        <f t="shared" si="94"/>
        <v>0</v>
      </c>
      <c r="CX55" s="66">
        <f>IF($AD55="N","N",SUM('調查資料(OUT)'!AF61:AF64))</f>
        <v>0</v>
      </c>
      <c r="CY55" s="66">
        <f>IF($AD55="N","N",SUM('調查資料(OUT)'!AI61:AI64))</f>
        <v>0</v>
      </c>
      <c r="CZ55" s="66">
        <f>IF($AD55="N","N",SUM('調查資料(OUT)'!AM61:AM64))</f>
        <v>0</v>
      </c>
      <c r="DA55" s="66">
        <f>IF($AD55="N","N",SUM('調查資料(OUT)'!AL61:AL64))</f>
        <v>0</v>
      </c>
      <c r="DB55" s="383" t="e">
        <f t="shared" si="95"/>
        <v>#DIV/0!</v>
      </c>
      <c r="DC55" s="66">
        <f t="shared" si="96"/>
        <v>0</v>
      </c>
      <c r="DD55" s="66">
        <f>IF($AD55="N","N",SUM('調查資料(OUT)'!AG61:AG64))</f>
        <v>0</v>
      </c>
      <c r="DE55" s="66">
        <f>IF($AD55="N","N",SUM('調查資料(OUT)'!AJ61:AJ64))</f>
        <v>0</v>
      </c>
      <c r="DF55" s="66">
        <f>IF($AD55="N","N",SUM('調查資料(OUT)'!AN61:AN64))</f>
        <v>0</v>
      </c>
      <c r="DG55" s="383" t="e">
        <f t="shared" si="97"/>
        <v>#DIV/0!</v>
      </c>
      <c r="DH55" s="66">
        <f t="shared" si="98"/>
        <v>0</v>
      </c>
      <c r="DI55" s="66">
        <f>IF($AD55="N","N",SUM('調查資料(OUT)'!AH61:AH64))</f>
        <v>0</v>
      </c>
      <c r="DJ55" s="66">
        <f>IF($AD55="N","N",SUM('調查資料(OUT)'!AK61:AK64))</f>
        <v>0</v>
      </c>
      <c r="DK55" s="66">
        <f>IF($AD55="N","N",SUM('調查資料(OUT)'!AO61:AO64))</f>
        <v>0</v>
      </c>
      <c r="DL55" s="383" t="e">
        <f t="shared" si="99"/>
        <v>#DIV/0!</v>
      </c>
      <c r="DM55" s="66">
        <f t="shared" si="59"/>
        <v>0</v>
      </c>
      <c r="DN55" s="383" t="e">
        <f t="shared" si="60"/>
        <v>#DIV/0!</v>
      </c>
      <c r="DO55" s="66">
        <f t="shared" si="61"/>
        <v>0</v>
      </c>
      <c r="DP55" s="383" t="e">
        <f t="shared" si="62"/>
        <v>#DIV/0!</v>
      </c>
      <c r="DQ55" s="66">
        <f t="shared" si="63"/>
        <v>0</v>
      </c>
      <c r="DR55" s="383" t="e">
        <f t="shared" si="64"/>
        <v>#DIV/0!</v>
      </c>
      <c r="DS55" s="316">
        <f t="shared" si="65"/>
        <v>0</v>
      </c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</row>
    <row r="56" spans="1:170">
      <c r="A56" s="118">
        <f>'調查資料(OUT)'!A62</f>
        <v>1245</v>
      </c>
      <c r="B56" s="309">
        <f t="shared" ref="B56:B61" si="120">SUM(C56:E56)</f>
        <v>0</v>
      </c>
      <c r="C56" s="66">
        <f>IFERROR('調查資料(OUT)'!B$1*'調查資料(OUT)'!B62,0)+IFERROR('調查資料(OUT)'!E$1*'調查資料(OUT)'!E62,0)+IFERROR('調查資料(OUT)'!H$1*'調查資料(OUT)'!H62,0)+IFERROR('調查資料(OUT)'!I$1*'調查資料(OUT)'!I62,0)</f>
        <v>0</v>
      </c>
      <c r="D56" s="66">
        <f>IFERROR('調查資料(OUT)'!C$1*'調查資料(OUT)'!C62,0)+IFERROR('調查資料(OUT)'!F$1*'調查資料(OUT)'!F62,0)+IFERROR('調查資料(OUT)'!J$1*'調查資料(OUT)'!J62,0)</f>
        <v>0</v>
      </c>
      <c r="E56" s="316">
        <f>IFERROR('調查資料(OUT)'!D$1*'調查資料(OUT)'!D62,0)+IFERROR('調查資料(OUT)'!G$1*'調查資料(OUT)'!G62,0)+IFERROR('調查資料(OUT)'!K$1*'調查資料(OUT)'!K62,0)</f>
        <v>0</v>
      </c>
      <c r="F56" s="309">
        <f t="shared" ref="F56:F61" si="121">SUM(G56:I56)</f>
        <v>0</v>
      </c>
      <c r="G56" s="66">
        <f>IFERROR('調查資料(OUT)'!L$1*'調查資料(OUT)'!L62,0)+IFERROR('調查資料(OUT)'!O$1*'調查資料(OUT)'!O62,0)+IFERROR('調查資料(OUT)'!R$1*'調查資料(OUT)'!R62,0)+IFERROR('調查資料(OUT)'!S$1*'調查資料(OUT)'!S62,0)</f>
        <v>0</v>
      </c>
      <c r="H56" s="66">
        <f>IFERROR('調查資料(OUT)'!M$1*'調查資料(OUT)'!M62,0)+IFERROR('調查資料(OUT)'!P$1*'調查資料(OUT)'!P62,0)+IFERROR('調查資料(OUT)'!T$1*'調查資料(OUT)'!T62,0)</f>
        <v>0</v>
      </c>
      <c r="I56" s="316">
        <f>IFERROR('調查資料(OUT)'!N$1*'調查資料(OUT)'!N62,0)+IFERROR('調查資料(OUT)'!Q$1*'調查資料(OUT)'!Q62,0)+IFERROR('調查資料(OUT)'!U$1*'調查資料(OUT)'!U62,0)</f>
        <v>0</v>
      </c>
      <c r="J56" s="309">
        <f t="shared" si="24"/>
        <v>0</v>
      </c>
      <c r="K56" s="66">
        <f>IFERROR('調查資料(OUT)'!V$1*'調查資料(OUT)'!V62,0)+IFERROR('調查資料(OUT)'!Y$1*'調查資料(OUT)'!Y62,0)+IFERROR('調查資料(OUT)'!AB$1*'調查資料(OUT)'!AB62,0)+IFERROR('調查資料(OUT)'!AC$1*'調查資料(OUT)'!AC62,0)</f>
        <v>0</v>
      </c>
      <c r="L56" s="66">
        <f>IFERROR('調查資料(OUT)'!W$1*'調查資料(OUT)'!W62,0)+IFERROR('調查資料(OUT)'!Z$1*'調查資料(OUT)'!Z62,0)+IFERROR('調查資料(OUT)'!AD$1*'調查資料(OUT)'!AD62,0)</f>
        <v>0</v>
      </c>
      <c r="M56" s="316">
        <f>IFERROR('調查資料(OUT)'!X$1*'調查資料(OUT)'!X62,0)+IFERROR('調查資料(OUT)'!AA$1*'調查資料(OUT)'!AA62,0)+IFERROR('調查資料(OUT)'!AE$1*'調查資料(OUT)'!AE62,0)</f>
        <v>0</v>
      </c>
      <c r="N56" s="309">
        <f t="shared" si="25"/>
        <v>0</v>
      </c>
      <c r="O56" s="66">
        <f>IFERROR('調查資料(OUT)'!AF$1*'調查資料(OUT)'!AF62,0)+IFERROR('調查資料(OUT)'!AI$1*'調查資料(OUT)'!AI62,0)+IFERROR('調查資料(OUT)'!AL$1*'調查資料(OUT)'!AL62,0)+IFERROR('調查資料(OUT)'!AM$1*'調查資料(OUT)'!AM62,0)</f>
        <v>0</v>
      </c>
      <c r="P56" s="66">
        <f>IFERROR('調查資料(OUT)'!AG$1*'調查資料(OUT)'!AG62,0)+IFERROR('調查資料(OUT)'!AJ$1*'調查資料(OUT)'!AJ62,0)+IFERROR('調查資料(OUT)'!AN$1*'調查資料(OUT)'!AN62,0)</f>
        <v>0</v>
      </c>
      <c r="Q56" s="316">
        <f>IFERROR('調查資料(OUT)'!AH$1*'調查資料(OUT)'!AH62,0)+IFERROR('調查資料(OUT)'!AK$1*'調查資料(OUT)'!AK62,0)+IFERROR('調查資料(OUT)'!AO$1*'調查資料(OUT)'!AO62,0)</f>
        <v>0</v>
      </c>
      <c r="R56" s="133">
        <f t="shared" ref="R56:R61" si="122">B56+F56+J56+N56</f>
        <v>0</v>
      </c>
      <c r="S56" s="66"/>
      <c r="T56" s="366">
        <f>'調查資料(OUT)'!A62</f>
        <v>1245</v>
      </c>
      <c r="U56" s="101">
        <f t="shared" si="109"/>
        <v>1345</v>
      </c>
      <c r="V56" s="66">
        <f t="shared" ref="V56:V61" si="123">SUM(R56:R59)</f>
        <v>0</v>
      </c>
      <c r="W56" s="381"/>
      <c r="X56" s="66">
        <f t="shared" si="115"/>
        <v>0</v>
      </c>
      <c r="Y56" s="379" t="e">
        <f t="shared" si="116"/>
        <v>#DIV/0!</v>
      </c>
      <c r="Z56" s="379" t="e">
        <f t="shared" si="117"/>
        <v>#DIV/0!</v>
      </c>
      <c r="AA56" s="379" t="e">
        <f t="shared" si="113"/>
        <v>#DIV/0!</v>
      </c>
      <c r="AB56" s="379" t="e">
        <f t="shared" si="114"/>
        <v>#DIV/0!</v>
      </c>
      <c r="AC56" s="67"/>
      <c r="AD56" s="66">
        <f t="shared" si="118"/>
        <v>1245</v>
      </c>
      <c r="AE56" s="316">
        <f t="shared" si="119"/>
        <v>1345</v>
      </c>
      <c r="AF56" s="309">
        <f t="shared" si="112"/>
        <v>0</v>
      </c>
      <c r="AG56" s="66">
        <f>IF($AD56="N","N",SUM('調查資料(OUT)'!B62:B65))</f>
        <v>0</v>
      </c>
      <c r="AH56" s="66">
        <f>IF($AD56="N","N",SUM('調查資料(OUT)'!E62:E65))</f>
        <v>0</v>
      </c>
      <c r="AI56" s="66">
        <f>IF($AD56="N","N",SUM('調查資料(OUT)'!I62:I65))</f>
        <v>0</v>
      </c>
      <c r="AJ56" s="66">
        <f>IF($AD56="N","N",SUM('調查資料(OUT)'!H62:H65))</f>
        <v>0</v>
      </c>
      <c r="AK56" s="383" t="e">
        <f t="shared" si="77"/>
        <v>#DIV/0!</v>
      </c>
      <c r="AL56" s="66">
        <f t="shared" si="78"/>
        <v>0</v>
      </c>
      <c r="AM56" s="66">
        <f>IF($AD56="N","N",SUM('調查資料(OUT)'!C62:C65))</f>
        <v>0</v>
      </c>
      <c r="AN56" s="66">
        <f>IF($AD56="N","N",SUM('調查資料(OUT)'!F62:F65))</f>
        <v>0</v>
      </c>
      <c r="AO56" s="66">
        <f>IF($AD56="N","N",SUM('調查資料(OUT)'!J62:J65))</f>
        <v>0</v>
      </c>
      <c r="AP56" s="383" t="e">
        <f t="shared" si="79"/>
        <v>#DIV/0!</v>
      </c>
      <c r="AQ56" s="66">
        <f t="shared" si="80"/>
        <v>0</v>
      </c>
      <c r="AR56" s="66">
        <f>IF($AD56="N","N",SUM('調查資料(OUT)'!D62:D65))</f>
        <v>0</v>
      </c>
      <c r="AS56" s="66">
        <f>IF($AD56="N","N",SUM('調查資料(OUT)'!G62:G65))</f>
        <v>0</v>
      </c>
      <c r="AT56" s="66">
        <f>IF($AD56="N","N",SUM('調查資料(OUT)'!K62:K65))</f>
        <v>0</v>
      </c>
      <c r="AU56" s="383" t="e">
        <f t="shared" si="81"/>
        <v>#DIV/0!</v>
      </c>
      <c r="AV56" s="66">
        <f t="shared" si="38"/>
        <v>0</v>
      </c>
      <c r="AW56" s="383" t="e">
        <f t="shared" si="39"/>
        <v>#DIV/0!</v>
      </c>
      <c r="AX56" s="66">
        <f t="shared" si="40"/>
        <v>0</v>
      </c>
      <c r="AY56" s="383" t="e">
        <f t="shared" si="41"/>
        <v>#DIV/0!</v>
      </c>
      <c r="AZ56" s="66">
        <f t="shared" si="42"/>
        <v>0</v>
      </c>
      <c r="BA56" s="383" t="e">
        <f t="shared" si="43"/>
        <v>#DIV/0!</v>
      </c>
      <c r="BB56" s="316">
        <f t="shared" si="44"/>
        <v>0</v>
      </c>
      <c r="BC56" s="309">
        <f t="shared" si="82"/>
        <v>0</v>
      </c>
      <c r="BD56" s="66">
        <f>IF($AD56="N","N",SUM('調查資料(OUT)'!L62:L65))</f>
        <v>0</v>
      </c>
      <c r="BE56" s="66">
        <f>IF($AD56="N","N",SUM('調查資料(OUT)'!O62:O65))</f>
        <v>0</v>
      </c>
      <c r="BF56" s="66">
        <f>IF($AD56="N","N",SUM('調查資料(OUT)'!S62:S65))</f>
        <v>0</v>
      </c>
      <c r="BG56" s="66">
        <f>IF($AD56="N","N",SUM('調查資料(OUT)'!R62:R65))</f>
        <v>0</v>
      </c>
      <c r="BH56" s="383" t="e">
        <f t="shared" si="83"/>
        <v>#DIV/0!</v>
      </c>
      <c r="BI56" s="66">
        <f t="shared" si="84"/>
        <v>0</v>
      </c>
      <c r="BJ56" s="66">
        <f>IF($AD56="N","N",SUM('調查資料(OUT)'!M62:M65))</f>
        <v>0</v>
      </c>
      <c r="BK56" s="66">
        <f>IF($AD56="N","N",SUM('調查資料(OUT)'!P62:P65))</f>
        <v>0</v>
      </c>
      <c r="BL56" s="66">
        <f>IF($AD56="N","N",SUM('調查資料(OUT)'!T62:T65))</f>
        <v>0</v>
      </c>
      <c r="BM56" s="383" t="e">
        <f t="shared" si="85"/>
        <v>#DIV/0!</v>
      </c>
      <c r="BN56" s="66">
        <f t="shared" si="86"/>
        <v>0</v>
      </c>
      <c r="BO56" s="66">
        <f>IF($AD56="N","N",SUM('調查資料(OUT)'!N62:N65))</f>
        <v>0</v>
      </c>
      <c r="BP56" s="66">
        <f>IF($AD56="N","N",SUM('調查資料(OUT)'!Q62:Q65))</f>
        <v>0</v>
      </c>
      <c r="BQ56" s="66">
        <f>IF($AD56="N","N",SUM('調查資料(OUT)'!U62:U65))</f>
        <v>0</v>
      </c>
      <c r="BR56" s="383" t="e">
        <f t="shared" si="87"/>
        <v>#DIV/0!</v>
      </c>
      <c r="BS56" s="66">
        <f t="shared" si="45"/>
        <v>0</v>
      </c>
      <c r="BT56" s="383" t="e">
        <f t="shared" si="46"/>
        <v>#DIV/0!</v>
      </c>
      <c r="BU56" s="66">
        <f t="shared" si="47"/>
        <v>0</v>
      </c>
      <c r="BV56" s="383" t="e">
        <f t="shared" si="48"/>
        <v>#DIV/0!</v>
      </c>
      <c r="BW56" s="66">
        <f t="shared" si="49"/>
        <v>0</v>
      </c>
      <c r="BX56" s="383" t="e">
        <f t="shared" si="50"/>
        <v>#DIV/0!</v>
      </c>
      <c r="BY56" s="316">
        <f t="shared" si="51"/>
        <v>0</v>
      </c>
      <c r="BZ56" s="309">
        <f t="shared" si="88"/>
        <v>0</v>
      </c>
      <c r="CA56" s="66">
        <f>IF($AD56="N","N",SUM('調查資料(OUT)'!V62:V65))</f>
        <v>0</v>
      </c>
      <c r="CB56" s="66">
        <f>IF($AD56="N","N",SUM('調查資料(OUT)'!Y62:Y65))</f>
        <v>0</v>
      </c>
      <c r="CC56" s="66">
        <f>IF($AD56="N","N",SUM('調查資料(OUT)'!AC62:AC65))</f>
        <v>0</v>
      </c>
      <c r="CD56" s="66">
        <f>IF($AD56="N","N",SUM('調查資料(OUT)'!AB62:AB65))</f>
        <v>0</v>
      </c>
      <c r="CE56" s="383" t="e">
        <f t="shared" si="89"/>
        <v>#DIV/0!</v>
      </c>
      <c r="CF56" s="66">
        <f t="shared" si="90"/>
        <v>0</v>
      </c>
      <c r="CG56" s="66">
        <f>IF($AD56="N","N",SUM('調查資料(OUT)'!W62:W65))</f>
        <v>0</v>
      </c>
      <c r="CH56" s="66">
        <f>IF($AD56="N","N",SUM('調查資料(OUT)'!Z62:Z65))</f>
        <v>0</v>
      </c>
      <c r="CI56" s="66">
        <f>IF($AD56="N","N",SUM('調查資料(OUT)'!AD62:AD65))</f>
        <v>0</v>
      </c>
      <c r="CJ56" s="383" t="e">
        <f t="shared" si="91"/>
        <v>#DIV/0!</v>
      </c>
      <c r="CK56" s="66">
        <f t="shared" si="92"/>
        <v>0</v>
      </c>
      <c r="CL56" s="66">
        <f>IF($AD56="N","N",SUM('調查資料(OUT)'!X62:X65))</f>
        <v>0</v>
      </c>
      <c r="CM56" s="66">
        <f>IF($AD56="N","N",SUM('調查資料(OUT)'!AA62:AA65))</f>
        <v>0</v>
      </c>
      <c r="CN56" s="66">
        <f>IF($AD56="N","N",SUM('調查資料(OUT)'!AE62:AE65))</f>
        <v>0</v>
      </c>
      <c r="CO56" s="383" t="e">
        <f t="shared" si="93"/>
        <v>#DIV/0!</v>
      </c>
      <c r="CP56" s="66">
        <f t="shared" si="52"/>
        <v>0</v>
      </c>
      <c r="CQ56" s="383" t="e">
        <f t="shared" si="53"/>
        <v>#DIV/0!</v>
      </c>
      <c r="CR56" s="66">
        <f t="shared" si="54"/>
        <v>0</v>
      </c>
      <c r="CS56" s="383" t="e">
        <f t="shared" si="55"/>
        <v>#DIV/0!</v>
      </c>
      <c r="CT56" s="66">
        <f t="shared" si="56"/>
        <v>0</v>
      </c>
      <c r="CU56" s="383" t="e">
        <f t="shared" si="57"/>
        <v>#DIV/0!</v>
      </c>
      <c r="CV56" s="316">
        <f t="shared" si="58"/>
        <v>0</v>
      </c>
      <c r="CW56" s="309">
        <f t="shared" si="94"/>
        <v>0</v>
      </c>
      <c r="CX56" s="66">
        <f>IF($AD56="N","N",SUM('調查資料(OUT)'!AF62:AF65))</f>
        <v>0</v>
      </c>
      <c r="CY56" s="66">
        <f>IF($AD56="N","N",SUM('調查資料(OUT)'!AI62:AI65))</f>
        <v>0</v>
      </c>
      <c r="CZ56" s="66">
        <f>IF($AD56="N","N",SUM('調查資料(OUT)'!AM62:AM65))</f>
        <v>0</v>
      </c>
      <c r="DA56" s="66">
        <f>IF($AD56="N","N",SUM('調查資料(OUT)'!AL62:AL65))</f>
        <v>0</v>
      </c>
      <c r="DB56" s="383" t="e">
        <f t="shared" si="95"/>
        <v>#DIV/0!</v>
      </c>
      <c r="DC56" s="66">
        <f t="shared" si="96"/>
        <v>0</v>
      </c>
      <c r="DD56" s="66">
        <f>IF($AD56="N","N",SUM('調查資料(OUT)'!AG62:AG65))</f>
        <v>0</v>
      </c>
      <c r="DE56" s="66">
        <f>IF($AD56="N","N",SUM('調查資料(OUT)'!AJ62:AJ65))</f>
        <v>0</v>
      </c>
      <c r="DF56" s="66">
        <f>IF($AD56="N","N",SUM('調查資料(OUT)'!AN62:AN65))</f>
        <v>0</v>
      </c>
      <c r="DG56" s="383" t="e">
        <f t="shared" si="97"/>
        <v>#DIV/0!</v>
      </c>
      <c r="DH56" s="66">
        <f t="shared" si="98"/>
        <v>0</v>
      </c>
      <c r="DI56" s="66">
        <f>IF($AD56="N","N",SUM('調查資料(OUT)'!AH62:AH65))</f>
        <v>0</v>
      </c>
      <c r="DJ56" s="66">
        <f>IF($AD56="N","N",SUM('調查資料(OUT)'!AK62:AK65))</f>
        <v>0</v>
      </c>
      <c r="DK56" s="66">
        <f>IF($AD56="N","N",SUM('調查資料(OUT)'!AO62:AO65))</f>
        <v>0</v>
      </c>
      <c r="DL56" s="383" t="e">
        <f t="shared" si="99"/>
        <v>#DIV/0!</v>
      </c>
      <c r="DM56" s="66">
        <f t="shared" si="59"/>
        <v>0</v>
      </c>
      <c r="DN56" s="383" t="e">
        <f t="shared" si="60"/>
        <v>#DIV/0!</v>
      </c>
      <c r="DO56" s="66">
        <f t="shared" si="61"/>
        <v>0</v>
      </c>
      <c r="DP56" s="383" t="e">
        <f t="shared" si="62"/>
        <v>#DIV/0!</v>
      </c>
      <c r="DQ56" s="66">
        <f t="shared" si="63"/>
        <v>0</v>
      </c>
      <c r="DR56" s="383" t="e">
        <f t="shared" si="64"/>
        <v>#DIV/0!</v>
      </c>
      <c r="DS56" s="316">
        <f t="shared" si="65"/>
        <v>0</v>
      </c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</row>
    <row r="57" spans="1:170">
      <c r="A57" s="475">
        <f>'調查資料(OUT)'!A63</f>
        <v>1300</v>
      </c>
      <c r="B57" s="476">
        <f t="shared" si="120"/>
        <v>0</v>
      </c>
      <c r="C57" s="399">
        <f>IFERROR('調查資料(OUT)'!B$1*'調查資料(OUT)'!B63,0)+IFERROR('調查資料(OUT)'!E$1*'調查資料(OUT)'!E63,0)+IFERROR('調查資料(OUT)'!H$1*'調查資料(OUT)'!H63,0)+IFERROR('調查資料(OUT)'!I$1*'調查資料(OUT)'!I63,0)</f>
        <v>0</v>
      </c>
      <c r="D57" s="399">
        <f>IFERROR('調查資料(OUT)'!C$1*'調查資料(OUT)'!C63,0)+IFERROR('調查資料(OUT)'!F$1*'調查資料(OUT)'!F63,0)+IFERROR('調查資料(OUT)'!J$1*'調查資料(OUT)'!J63,0)</f>
        <v>0</v>
      </c>
      <c r="E57" s="413">
        <f>IFERROR('調查資料(OUT)'!D$1*'調查資料(OUT)'!D63,0)+IFERROR('調查資料(OUT)'!G$1*'調查資料(OUT)'!G63,0)+IFERROR('調查資料(OUT)'!K$1*'調查資料(OUT)'!K63,0)</f>
        <v>0</v>
      </c>
      <c r="F57" s="476">
        <f t="shared" si="121"/>
        <v>0</v>
      </c>
      <c r="G57" s="399">
        <f>IFERROR('調查資料(OUT)'!L$1*'調查資料(OUT)'!L63,0)+IFERROR('調查資料(OUT)'!O$1*'調查資料(OUT)'!O63,0)+IFERROR('調查資料(OUT)'!R$1*'調查資料(OUT)'!R63,0)+IFERROR('調查資料(OUT)'!S$1*'調查資料(OUT)'!S63,0)</f>
        <v>0</v>
      </c>
      <c r="H57" s="399">
        <f>IFERROR('調查資料(OUT)'!M$1*'調查資料(OUT)'!M63,0)+IFERROR('調查資料(OUT)'!P$1*'調查資料(OUT)'!P63,0)+IFERROR('調查資料(OUT)'!T$1*'調查資料(OUT)'!T63,0)</f>
        <v>0</v>
      </c>
      <c r="I57" s="413">
        <f>IFERROR('調查資料(OUT)'!N$1*'調查資料(OUT)'!N63,0)+IFERROR('調查資料(OUT)'!Q$1*'調查資料(OUT)'!Q63,0)+IFERROR('調查資料(OUT)'!U$1*'調查資料(OUT)'!U63,0)</f>
        <v>0</v>
      </c>
      <c r="J57" s="476">
        <f t="shared" si="24"/>
        <v>0</v>
      </c>
      <c r="K57" s="399">
        <f>IFERROR('調查資料(OUT)'!V$1*'調查資料(OUT)'!V63,0)+IFERROR('調查資料(OUT)'!Y$1*'調查資料(OUT)'!Y63,0)+IFERROR('調查資料(OUT)'!AB$1*'調查資料(OUT)'!AB63,0)+IFERROR('調查資料(OUT)'!AC$1*'調查資料(OUT)'!AC63,0)</f>
        <v>0</v>
      </c>
      <c r="L57" s="399">
        <f>IFERROR('調查資料(OUT)'!W$1*'調查資料(OUT)'!W63,0)+IFERROR('調查資料(OUT)'!Z$1*'調查資料(OUT)'!Z63,0)+IFERROR('調查資料(OUT)'!AD$1*'調查資料(OUT)'!AD63,0)</f>
        <v>0</v>
      </c>
      <c r="M57" s="413">
        <f>IFERROR('調查資料(OUT)'!X$1*'調查資料(OUT)'!X63,0)+IFERROR('調查資料(OUT)'!AA$1*'調查資料(OUT)'!AA63,0)+IFERROR('調查資料(OUT)'!AE$1*'調查資料(OUT)'!AE63,0)</f>
        <v>0</v>
      </c>
      <c r="N57" s="476">
        <f t="shared" si="25"/>
        <v>0</v>
      </c>
      <c r="O57" s="399">
        <f>IFERROR('調查資料(OUT)'!AF$1*'調查資料(OUT)'!AF63,0)+IFERROR('調查資料(OUT)'!AI$1*'調查資料(OUT)'!AI63,0)+IFERROR('調查資料(OUT)'!AL$1*'調查資料(OUT)'!AL63,0)+IFERROR('調查資料(OUT)'!AM$1*'調查資料(OUT)'!AM63,0)</f>
        <v>0</v>
      </c>
      <c r="P57" s="399">
        <f>IFERROR('調查資料(OUT)'!AG$1*'調查資料(OUT)'!AG63,0)+IFERROR('調查資料(OUT)'!AJ$1*'調查資料(OUT)'!AJ63,0)+IFERROR('調查資料(OUT)'!AN$1*'調查資料(OUT)'!AN63,0)</f>
        <v>0</v>
      </c>
      <c r="Q57" s="413">
        <f>IFERROR('調查資料(OUT)'!AH$1*'調查資料(OUT)'!AH63,0)+IFERROR('調查資料(OUT)'!AK$1*'調查資料(OUT)'!AK63,0)+IFERROR('調查資料(OUT)'!AO$1*'調查資料(OUT)'!AO63,0)</f>
        <v>0</v>
      </c>
      <c r="R57" s="477">
        <f t="shared" si="122"/>
        <v>0</v>
      </c>
      <c r="S57" s="66"/>
      <c r="T57" s="397">
        <f>'調查資料(OUT)'!A63</f>
        <v>1300</v>
      </c>
      <c r="U57" s="398">
        <f>T57+100</f>
        <v>1400</v>
      </c>
      <c r="V57" s="399">
        <f>SUM(R57:R60)</f>
        <v>0</v>
      </c>
      <c r="W57" s="400">
        <f>MAX(V57:V65)</f>
        <v>0</v>
      </c>
      <c r="X57" s="399">
        <f t="shared" ref="X57:X66" si="124">IF($V57=$W$41,MAX(R57:R60),0)</f>
        <v>0</v>
      </c>
      <c r="Y57" s="411" t="e">
        <f>IF($V57=W$57,SUM(B57:B60)/(4*(MAX(B57:B60))),0)</f>
        <v>#DIV/0!</v>
      </c>
      <c r="Z57" s="411" t="e">
        <f>IF($V57=W$57,SUM(F57:F60)/(4*(MAX(F57:F60))),0)</f>
        <v>#DIV/0!</v>
      </c>
      <c r="AA57" s="411" t="e">
        <f>IF($V57=W$57,SUM(J57:J60)/(4*(MAX(J57:J60))),0)</f>
        <v>#DIV/0!</v>
      </c>
      <c r="AB57" s="411" t="e">
        <f>IF($V57=W$57,SUM(N57:N60)/(4*(MAX(N57:N60))),0)</f>
        <v>#DIV/0!</v>
      </c>
      <c r="AC57" s="412" t="e">
        <f>$W$57/(4*MAX(X57:X65))</f>
        <v>#DIV/0!</v>
      </c>
      <c r="AD57" s="399">
        <f>IF(V57=W$57,$T57,"N")</f>
        <v>1300</v>
      </c>
      <c r="AE57" s="413">
        <f>IF(V57=W$57,$U57,"N")</f>
        <v>1400</v>
      </c>
      <c r="AF57" s="309">
        <f>IF($AD57="N","N",SUM(C57:C60))</f>
        <v>0</v>
      </c>
      <c r="AG57" s="66">
        <f>IF($AD57="N","N",SUM('調查資料(OUT)'!B63:B66))</f>
        <v>0</v>
      </c>
      <c r="AH57" s="66">
        <f>IF($AD57="N","N",SUM('調查資料(OUT)'!E63:E66))</f>
        <v>0</v>
      </c>
      <c r="AI57" s="66">
        <f>IF($AD57="N","N",SUM('調查資料(OUT)'!I63:I66))</f>
        <v>0</v>
      </c>
      <c r="AJ57" s="66">
        <f>IF($AD57="N","N",SUM('調查資料(OUT)'!H63:H66))</f>
        <v>0</v>
      </c>
      <c r="AK57" s="383" t="e">
        <f t="shared" si="77"/>
        <v>#DIV/0!</v>
      </c>
      <c r="AL57" s="66">
        <f t="shared" si="78"/>
        <v>0</v>
      </c>
      <c r="AM57" s="66">
        <f>IF($AD57="N","N",SUM('調查資料(OUT)'!C63:C66))</f>
        <v>0</v>
      </c>
      <c r="AN57" s="66">
        <f>IF($AD57="N","N",SUM('調查資料(OUT)'!F63:F66))</f>
        <v>0</v>
      </c>
      <c r="AO57" s="66">
        <f>IF($AD57="N","N",SUM('調查資料(OUT)'!J63:J66))</f>
        <v>0</v>
      </c>
      <c r="AP57" s="383" t="e">
        <f t="shared" si="79"/>
        <v>#DIV/0!</v>
      </c>
      <c r="AQ57" s="66">
        <f t="shared" si="80"/>
        <v>0</v>
      </c>
      <c r="AR57" s="66">
        <f>IF($AD57="N","N",SUM('調查資料(OUT)'!D63:D66))</f>
        <v>0</v>
      </c>
      <c r="AS57" s="66">
        <f>IF($AD57="N","N",SUM('調查資料(OUT)'!G63:G66))</f>
        <v>0</v>
      </c>
      <c r="AT57" s="66">
        <f>IF($AD57="N","N",SUM('調查資料(OUT)'!K63:K66))</f>
        <v>0</v>
      </c>
      <c r="AU57" s="383" t="e">
        <f t="shared" si="81"/>
        <v>#DIV/0!</v>
      </c>
      <c r="AV57" s="66">
        <f t="shared" si="38"/>
        <v>0</v>
      </c>
      <c r="AW57" s="383" t="e">
        <f t="shared" si="39"/>
        <v>#DIV/0!</v>
      </c>
      <c r="AX57" s="66">
        <f t="shared" si="40"/>
        <v>0</v>
      </c>
      <c r="AY57" s="383" t="e">
        <f t="shared" si="41"/>
        <v>#DIV/0!</v>
      </c>
      <c r="AZ57" s="66">
        <f t="shared" si="42"/>
        <v>0</v>
      </c>
      <c r="BA57" s="383" t="e">
        <f t="shared" si="43"/>
        <v>#DIV/0!</v>
      </c>
      <c r="BB57" s="316">
        <f t="shared" si="44"/>
        <v>0</v>
      </c>
      <c r="BC57" s="309">
        <f t="shared" si="82"/>
        <v>0</v>
      </c>
      <c r="BD57" s="66">
        <f>IF($AD57="N","N",SUM('調查資料(OUT)'!L63:L66))</f>
        <v>0</v>
      </c>
      <c r="BE57" s="66">
        <f>IF($AD57="N","N",SUM('調查資料(OUT)'!O63:O66))</f>
        <v>0</v>
      </c>
      <c r="BF57" s="66">
        <f>IF($AD57="N","N",SUM('調查資料(OUT)'!S63:S66))</f>
        <v>0</v>
      </c>
      <c r="BG57" s="66">
        <f>IF($AD57="N","N",SUM('調查資料(OUT)'!R63:R66))</f>
        <v>0</v>
      </c>
      <c r="BH57" s="383" t="e">
        <f t="shared" si="83"/>
        <v>#DIV/0!</v>
      </c>
      <c r="BI57" s="66">
        <f t="shared" si="84"/>
        <v>0</v>
      </c>
      <c r="BJ57" s="66">
        <f>IF($AD57="N","N",SUM('調查資料(OUT)'!M63:M66))</f>
        <v>0</v>
      </c>
      <c r="BK57" s="66">
        <f>IF($AD57="N","N",SUM('調查資料(OUT)'!P63:P66))</f>
        <v>0</v>
      </c>
      <c r="BL57" s="66">
        <f>IF($AD57="N","N",SUM('調查資料(OUT)'!T63:T66))</f>
        <v>0</v>
      </c>
      <c r="BM57" s="383" t="e">
        <f t="shared" si="85"/>
        <v>#DIV/0!</v>
      </c>
      <c r="BN57" s="66">
        <f t="shared" si="86"/>
        <v>0</v>
      </c>
      <c r="BO57" s="66">
        <f>IF($AD57="N","N",SUM('調查資料(OUT)'!N63:N66))</f>
        <v>0</v>
      </c>
      <c r="BP57" s="66">
        <f>IF($AD57="N","N",SUM('調查資料(OUT)'!Q63:Q66))</f>
        <v>0</v>
      </c>
      <c r="BQ57" s="66">
        <f>IF($AD57="N","N",SUM('調查資料(OUT)'!U63:U66))</f>
        <v>0</v>
      </c>
      <c r="BR57" s="383" t="e">
        <f t="shared" si="87"/>
        <v>#DIV/0!</v>
      </c>
      <c r="BS57" s="66">
        <f t="shared" si="45"/>
        <v>0</v>
      </c>
      <c r="BT57" s="383" t="e">
        <f t="shared" si="46"/>
        <v>#DIV/0!</v>
      </c>
      <c r="BU57" s="66">
        <f t="shared" si="47"/>
        <v>0</v>
      </c>
      <c r="BV57" s="383" t="e">
        <f t="shared" si="48"/>
        <v>#DIV/0!</v>
      </c>
      <c r="BW57" s="66">
        <f t="shared" si="49"/>
        <v>0</v>
      </c>
      <c r="BX57" s="383" t="e">
        <f t="shared" si="50"/>
        <v>#DIV/0!</v>
      </c>
      <c r="BY57" s="316">
        <f t="shared" si="51"/>
        <v>0</v>
      </c>
      <c r="BZ57" s="309">
        <f t="shared" si="88"/>
        <v>0</v>
      </c>
      <c r="CA57" s="66">
        <f>IF($AD57="N","N",SUM('調查資料(OUT)'!V63:V66))</f>
        <v>0</v>
      </c>
      <c r="CB57" s="66">
        <f>IF($AD57="N","N",SUM('調查資料(OUT)'!Y63:Y66))</f>
        <v>0</v>
      </c>
      <c r="CC57" s="66">
        <f>IF($AD57="N","N",SUM('調查資料(OUT)'!AC63:AC66))</f>
        <v>0</v>
      </c>
      <c r="CD57" s="66">
        <f>IF($AD57="N","N",SUM('調查資料(OUT)'!AB63:AB66))</f>
        <v>0</v>
      </c>
      <c r="CE57" s="383" t="e">
        <f t="shared" si="89"/>
        <v>#DIV/0!</v>
      </c>
      <c r="CF57" s="66">
        <f t="shared" si="90"/>
        <v>0</v>
      </c>
      <c r="CG57" s="66">
        <f>IF($AD57="N","N",SUM('調查資料(OUT)'!W63:W66))</f>
        <v>0</v>
      </c>
      <c r="CH57" s="66">
        <f>IF($AD57="N","N",SUM('調查資料(OUT)'!Z63:Z66))</f>
        <v>0</v>
      </c>
      <c r="CI57" s="66">
        <f>IF($AD57="N","N",SUM('調查資料(OUT)'!AD63:AD66))</f>
        <v>0</v>
      </c>
      <c r="CJ57" s="383" t="e">
        <f t="shared" si="91"/>
        <v>#DIV/0!</v>
      </c>
      <c r="CK57" s="66">
        <f t="shared" si="92"/>
        <v>0</v>
      </c>
      <c r="CL57" s="66">
        <f>IF($AD57="N","N",SUM('調查資料(OUT)'!X63:X66))</f>
        <v>0</v>
      </c>
      <c r="CM57" s="66">
        <f>IF($AD57="N","N",SUM('調查資料(OUT)'!AA63:AA66))</f>
        <v>0</v>
      </c>
      <c r="CN57" s="66">
        <f>IF($AD57="N","N",SUM('調查資料(OUT)'!AE63:AE66))</f>
        <v>0</v>
      </c>
      <c r="CO57" s="383" t="e">
        <f t="shared" si="93"/>
        <v>#DIV/0!</v>
      </c>
      <c r="CP57" s="66">
        <f t="shared" si="52"/>
        <v>0</v>
      </c>
      <c r="CQ57" s="383" t="e">
        <f t="shared" si="53"/>
        <v>#DIV/0!</v>
      </c>
      <c r="CR57" s="66">
        <f t="shared" si="54"/>
        <v>0</v>
      </c>
      <c r="CS57" s="383" t="e">
        <f t="shared" si="55"/>
        <v>#DIV/0!</v>
      </c>
      <c r="CT57" s="66">
        <f t="shared" si="56"/>
        <v>0</v>
      </c>
      <c r="CU57" s="383" t="e">
        <f t="shared" si="57"/>
        <v>#DIV/0!</v>
      </c>
      <c r="CV57" s="316">
        <f t="shared" si="58"/>
        <v>0</v>
      </c>
      <c r="CW57" s="309">
        <f t="shared" si="94"/>
        <v>0</v>
      </c>
      <c r="CX57" s="66">
        <f>IF($AD57="N","N",SUM('調查資料(OUT)'!AF63:AF66))</f>
        <v>0</v>
      </c>
      <c r="CY57" s="66">
        <f>IF($AD57="N","N",SUM('調查資料(OUT)'!AI63:AI66))</f>
        <v>0</v>
      </c>
      <c r="CZ57" s="66">
        <f>IF($AD57="N","N",SUM('調查資料(OUT)'!AM63:AM66))</f>
        <v>0</v>
      </c>
      <c r="DA57" s="66">
        <f>IF($AD57="N","N",SUM('調查資料(OUT)'!AL63:AL66))</f>
        <v>0</v>
      </c>
      <c r="DB57" s="383" t="e">
        <f t="shared" si="95"/>
        <v>#DIV/0!</v>
      </c>
      <c r="DC57" s="66">
        <f t="shared" si="96"/>
        <v>0</v>
      </c>
      <c r="DD57" s="66">
        <f>IF($AD57="N","N",SUM('調查資料(OUT)'!AG63:AG66))</f>
        <v>0</v>
      </c>
      <c r="DE57" s="66">
        <f>IF($AD57="N","N",SUM('調查資料(OUT)'!AJ63:AJ66))</f>
        <v>0</v>
      </c>
      <c r="DF57" s="66">
        <f>IF($AD57="N","N",SUM('調查資料(OUT)'!AN63:AN66))</f>
        <v>0</v>
      </c>
      <c r="DG57" s="383" t="e">
        <f t="shared" si="97"/>
        <v>#DIV/0!</v>
      </c>
      <c r="DH57" s="66">
        <f t="shared" si="98"/>
        <v>0</v>
      </c>
      <c r="DI57" s="66">
        <f>IF($AD57="N","N",SUM('調查資料(OUT)'!AH63:AH66))</f>
        <v>0</v>
      </c>
      <c r="DJ57" s="66">
        <f>IF($AD57="N","N",SUM('調查資料(OUT)'!AK63:AK66))</f>
        <v>0</v>
      </c>
      <c r="DK57" s="66">
        <f>IF($AD57="N","N",SUM('調查資料(OUT)'!AO63:AO66))</f>
        <v>0</v>
      </c>
      <c r="DL57" s="383" t="e">
        <f t="shared" si="99"/>
        <v>#DIV/0!</v>
      </c>
      <c r="DM57" s="66">
        <f t="shared" si="59"/>
        <v>0</v>
      </c>
      <c r="DN57" s="383" t="e">
        <f t="shared" si="60"/>
        <v>#DIV/0!</v>
      </c>
      <c r="DO57" s="66">
        <f t="shared" si="61"/>
        <v>0</v>
      </c>
      <c r="DP57" s="383" t="e">
        <f t="shared" si="62"/>
        <v>#DIV/0!</v>
      </c>
      <c r="DQ57" s="66">
        <f t="shared" si="63"/>
        <v>0</v>
      </c>
      <c r="DR57" s="383" t="e">
        <f t="shared" si="64"/>
        <v>#DIV/0!</v>
      </c>
      <c r="DS57" s="316">
        <f t="shared" si="65"/>
        <v>0</v>
      </c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</row>
    <row r="58" spans="1:170">
      <c r="A58" s="475">
        <f>'調查資料(OUT)'!A64</f>
        <v>1315</v>
      </c>
      <c r="B58" s="476">
        <f t="shared" si="120"/>
        <v>0</v>
      </c>
      <c r="C58" s="399">
        <f>IFERROR('調查資料(OUT)'!B$1*'調查資料(OUT)'!B64,0)+IFERROR('調查資料(OUT)'!E$1*'調查資料(OUT)'!E64,0)+IFERROR('調查資料(OUT)'!H$1*'調查資料(OUT)'!H64,0)+IFERROR('調查資料(OUT)'!I$1*'調查資料(OUT)'!I64,0)</f>
        <v>0</v>
      </c>
      <c r="D58" s="399">
        <f>IFERROR('調查資料(OUT)'!C$1*'調查資料(OUT)'!C64,0)+IFERROR('調查資料(OUT)'!F$1*'調查資料(OUT)'!F64,0)+IFERROR('調查資料(OUT)'!J$1*'調查資料(OUT)'!J64,0)</f>
        <v>0</v>
      </c>
      <c r="E58" s="413">
        <f>IFERROR('調查資料(OUT)'!D$1*'調查資料(OUT)'!D64,0)+IFERROR('調查資料(OUT)'!G$1*'調查資料(OUT)'!G64,0)+IFERROR('調查資料(OUT)'!K$1*'調查資料(OUT)'!K64,0)</f>
        <v>0</v>
      </c>
      <c r="F58" s="476">
        <f t="shared" si="121"/>
        <v>0</v>
      </c>
      <c r="G58" s="399">
        <f>IFERROR('調查資料(OUT)'!L$1*'調查資料(OUT)'!L64,0)+IFERROR('調查資料(OUT)'!O$1*'調查資料(OUT)'!O64,0)+IFERROR('調查資料(OUT)'!R$1*'調查資料(OUT)'!R64,0)+IFERROR('調查資料(OUT)'!S$1*'調查資料(OUT)'!S64,0)</f>
        <v>0</v>
      </c>
      <c r="H58" s="399">
        <f>IFERROR('調查資料(OUT)'!M$1*'調查資料(OUT)'!M64,0)+IFERROR('調查資料(OUT)'!P$1*'調查資料(OUT)'!P64,0)+IFERROR('調查資料(OUT)'!T$1*'調查資料(OUT)'!T64,0)</f>
        <v>0</v>
      </c>
      <c r="I58" s="413">
        <f>IFERROR('調查資料(OUT)'!N$1*'調查資料(OUT)'!N64,0)+IFERROR('調查資料(OUT)'!Q$1*'調查資料(OUT)'!Q64,0)+IFERROR('調查資料(OUT)'!U$1*'調查資料(OUT)'!U64,0)</f>
        <v>0</v>
      </c>
      <c r="J58" s="476">
        <f t="shared" si="24"/>
        <v>0</v>
      </c>
      <c r="K58" s="399">
        <f>IFERROR('調查資料(OUT)'!V$1*'調查資料(OUT)'!V64,0)+IFERROR('調查資料(OUT)'!Y$1*'調查資料(OUT)'!Y64,0)+IFERROR('調查資料(OUT)'!AB$1*'調查資料(OUT)'!AB64,0)+IFERROR('調查資料(OUT)'!AC$1*'調查資料(OUT)'!AC64,0)</f>
        <v>0</v>
      </c>
      <c r="L58" s="399">
        <f>IFERROR('調查資料(OUT)'!W$1*'調查資料(OUT)'!W64,0)+IFERROR('調查資料(OUT)'!Z$1*'調查資料(OUT)'!Z64,0)+IFERROR('調查資料(OUT)'!AD$1*'調查資料(OUT)'!AD64,0)</f>
        <v>0</v>
      </c>
      <c r="M58" s="413">
        <f>IFERROR('調查資料(OUT)'!X$1*'調查資料(OUT)'!X64,0)+IFERROR('調查資料(OUT)'!AA$1*'調查資料(OUT)'!AA64,0)+IFERROR('調查資料(OUT)'!AE$1*'調查資料(OUT)'!AE64,0)</f>
        <v>0</v>
      </c>
      <c r="N58" s="476">
        <f t="shared" si="25"/>
        <v>0</v>
      </c>
      <c r="O58" s="399">
        <f>IFERROR('調查資料(OUT)'!AF$1*'調查資料(OUT)'!AF64,0)+IFERROR('調查資料(OUT)'!AI$1*'調查資料(OUT)'!AI64,0)+IFERROR('調查資料(OUT)'!AL$1*'調查資料(OUT)'!AL64,0)+IFERROR('調查資料(OUT)'!AM$1*'調查資料(OUT)'!AM64,0)</f>
        <v>0</v>
      </c>
      <c r="P58" s="399">
        <f>IFERROR('調查資料(OUT)'!AG$1*'調查資料(OUT)'!AG64,0)+IFERROR('調查資料(OUT)'!AJ$1*'調查資料(OUT)'!AJ64,0)+IFERROR('調查資料(OUT)'!AN$1*'調查資料(OUT)'!AN64,0)</f>
        <v>0</v>
      </c>
      <c r="Q58" s="413">
        <f>IFERROR('調查資料(OUT)'!AH$1*'調查資料(OUT)'!AH64,0)+IFERROR('調查資料(OUT)'!AK$1*'調查資料(OUT)'!AK64,0)+IFERROR('調查資料(OUT)'!AO$1*'調查資料(OUT)'!AO64,0)</f>
        <v>0</v>
      </c>
      <c r="R58" s="477">
        <f t="shared" si="122"/>
        <v>0</v>
      </c>
      <c r="S58" s="66"/>
      <c r="T58" s="397">
        <f>'調查資料(OUT)'!A64</f>
        <v>1315</v>
      </c>
      <c r="U58" s="398">
        <f t="shared" si="109"/>
        <v>1415</v>
      </c>
      <c r="V58" s="399">
        <f>SUM(R58:R61)</f>
        <v>0</v>
      </c>
      <c r="W58" s="400"/>
      <c r="X58" s="399">
        <f t="shared" si="124"/>
        <v>0</v>
      </c>
      <c r="Y58" s="411" t="e">
        <f>IF($V58=W$57,SUM(B58:B61)/(4*(MAX(B58:B61))),0)</f>
        <v>#DIV/0!</v>
      </c>
      <c r="Z58" s="411" t="e">
        <f>IF($V58=W$57,SUM(F58:F61)/(4*(MAX(F58:F61))),0)</f>
        <v>#DIV/0!</v>
      </c>
      <c r="AA58" s="411" t="e">
        <f>IF($V58=W$57,SUM(J58:J61)/(4*(MAX(J58:J61))),0)</f>
        <v>#DIV/0!</v>
      </c>
      <c r="AB58" s="411" t="e">
        <f>IF($V58=W$57,SUM(N58:N61)/(4*(MAX(N58:N61))),0)</f>
        <v>#DIV/0!</v>
      </c>
      <c r="AC58" s="401"/>
      <c r="AD58" s="399">
        <f>IF(V58=W$57,$T58,"N")</f>
        <v>1315</v>
      </c>
      <c r="AE58" s="413">
        <f>IF(V58=W$57,$U58,"N")</f>
        <v>1415</v>
      </c>
      <c r="AF58" s="309">
        <f t="shared" si="112"/>
        <v>0</v>
      </c>
      <c r="AG58" s="66">
        <f>IF($AD58="N","N",SUM('調查資料(OUT)'!B64:B67))</f>
        <v>0</v>
      </c>
      <c r="AH58" s="66">
        <f>IF($AD58="N","N",SUM('調查資料(OUT)'!E64:E67))</f>
        <v>0</v>
      </c>
      <c r="AI58" s="66">
        <f>IF($AD58="N","N",SUM('調查資料(OUT)'!I64:I67))</f>
        <v>0</v>
      </c>
      <c r="AJ58" s="66">
        <f>IF($AD58="N","N",SUM('調查資料(OUT)'!H64:H67))</f>
        <v>0</v>
      </c>
      <c r="AK58" s="383" t="e">
        <f t="shared" si="77"/>
        <v>#DIV/0!</v>
      </c>
      <c r="AL58" s="66">
        <f t="shared" si="78"/>
        <v>0</v>
      </c>
      <c r="AM58" s="66">
        <f>IF($AD58="N","N",SUM('調查資料(OUT)'!C64:C67))</f>
        <v>0</v>
      </c>
      <c r="AN58" s="66">
        <f>IF($AD58="N","N",SUM('調查資料(OUT)'!F64:F67))</f>
        <v>0</v>
      </c>
      <c r="AO58" s="66">
        <f>IF($AD58="N","N",SUM('調查資料(OUT)'!J64:J67))</f>
        <v>0</v>
      </c>
      <c r="AP58" s="383" t="e">
        <f t="shared" si="79"/>
        <v>#DIV/0!</v>
      </c>
      <c r="AQ58" s="66">
        <f t="shared" si="80"/>
        <v>0</v>
      </c>
      <c r="AR58" s="66">
        <f>IF($AD58="N","N",SUM('調查資料(OUT)'!D64:D67))</f>
        <v>0</v>
      </c>
      <c r="AS58" s="66">
        <f>IF($AD58="N","N",SUM('調查資料(OUT)'!G64:G67))</f>
        <v>0</v>
      </c>
      <c r="AT58" s="66">
        <f>IF($AD58="N","N",SUM('調查資料(OUT)'!K64:K67))</f>
        <v>0</v>
      </c>
      <c r="AU58" s="383" t="e">
        <f t="shared" si="81"/>
        <v>#DIV/0!</v>
      </c>
      <c r="AV58" s="66">
        <f t="shared" si="38"/>
        <v>0</v>
      </c>
      <c r="AW58" s="383" t="e">
        <f t="shared" si="39"/>
        <v>#DIV/0!</v>
      </c>
      <c r="AX58" s="66">
        <f t="shared" si="40"/>
        <v>0</v>
      </c>
      <c r="AY58" s="383" t="e">
        <f t="shared" si="41"/>
        <v>#DIV/0!</v>
      </c>
      <c r="AZ58" s="66">
        <f t="shared" si="42"/>
        <v>0</v>
      </c>
      <c r="BA58" s="383" t="e">
        <f t="shared" si="43"/>
        <v>#DIV/0!</v>
      </c>
      <c r="BB58" s="316">
        <f t="shared" si="44"/>
        <v>0</v>
      </c>
      <c r="BC58" s="309">
        <f t="shared" si="82"/>
        <v>0</v>
      </c>
      <c r="BD58" s="66">
        <f>IF($AD58="N","N",SUM('調查資料(OUT)'!L64:L67))</f>
        <v>0</v>
      </c>
      <c r="BE58" s="66">
        <f>IF($AD58="N","N",SUM('調查資料(OUT)'!O64:O67))</f>
        <v>0</v>
      </c>
      <c r="BF58" s="66">
        <f>IF($AD58="N","N",SUM('調查資料(OUT)'!S64:S67))</f>
        <v>0</v>
      </c>
      <c r="BG58" s="66">
        <f>IF($AD58="N","N",SUM('調查資料(OUT)'!R64:R67))</f>
        <v>0</v>
      </c>
      <c r="BH58" s="383" t="e">
        <f t="shared" si="83"/>
        <v>#DIV/0!</v>
      </c>
      <c r="BI58" s="66">
        <f t="shared" si="84"/>
        <v>0</v>
      </c>
      <c r="BJ58" s="66">
        <f>IF($AD58="N","N",SUM('調查資料(OUT)'!M64:M67))</f>
        <v>0</v>
      </c>
      <c r="BK58" s="66">
        <f>IF($AD58="N","N",SUM('調查資料(OUT)'!P64:P67))</f>
        <v>0</v>
      </c>
      <c r="BL58" s="66">
        <f>IF($AD58="N","N",SUM('調查資料(OUT)'!T64:T67))</f>
        <v>0</v>
      </c>
      <c r="BM58" s="383" t="e">
        <f t="shared" si="85"/>
        <v>#DIV/0!</v>
      </c>
      <c r="BN58" s="66">
        <f t="shared" si="86"/>
        <v>0</v>
      </c>
      <c r="BO58" s="66">
        <f>IF($AD58="N","N",SUM('調查資料(OUT)'!N64:N67))</f>
        <v>0</v>
      </c>
      <c r="BP58" s="66">
        <f>IF($AD58="N","N",SUM('調查資料(OUT)'!Q64:Q67))</f>
        <v>0</v>
      </c>
      <c r="BQ58" s="66">
        <f>IF($AD58="N","N",SUM('調查資料(OUT)'!U64:U67))</f>
        <v>0</v>
      </c>
      <c r="BR58" s="383" t="e">
        <f t="shared" si="87"/>
        <v>#DIV/0!</v>
      </c>
      <c r="BS58" s="66">
        <f t="shared" si="45"/>
        <v>0</v>
      </c>
      <c r="BT58" s="383" t="e">
        <f t="shared" si="46"/>
        <v>#DIV/0!</v>
      </c>
      <c r="BU58" s="66">
        <f t="shared" si="47"/>
        <v>0</v>
      </c>
      <c r="BV58" s="383" t="e">
        <f t="shared" si="48"/>
        <v>#DIV/0!</v>
      </c>
      <c r="BW58" s="66">
        <f t="shared" si="49"/>
        <v>0</v>
      </c>
      <c r="BX58" s="383" t="e">
        <f t="shared" si="50"/>
        <v>#DIV/0!</v>
      </c>
      <c r="BY58" s="316">
        <f t="shared" si="51"/>
        <v>0</v>
      </c>
      <c r="BZ58" s="309">
        <f t="shared" si="88"/>
        <v>0</v>
      </c>
      <c r="CA58" s="66">
        <f>IF($AD58="N","N",SUM('調查資料(OUT)'!V64:V67))</f>
        <v>0</v>
      </c>
      <c r="CB58" s="66">
        <f>IF($AD58="N","N",SUM('調查資料(OUT)'!Y64:Y67))</f>
        <v>0</v>
      </c>
      <c r="CC58" s="66">
        <f>IF($AD58="N","N",SUM('調查資料(OUT)'!AC64:AC67))</f>
        <v>0</v>
      </c>
      <c r="CD58" s="66">
        <f>IF($AD58="N","N",SUM('調查資料(OUT)'!AB64:AB67))</f>
        <v>0</v>
      </c>
      <c r="CE58" s="383" t="e">
        <f t="shared" si="89"/>
        <v>#DIV/0!</v>
      </c>
      <c r="CF58" s="66">
        <f t="shared" si="90"/>
        <v>0</v>
      </c>
      <c r="CG58" s="66">
        <f>IF($AD58="N","N",SUM('調查資料(OUT)'!W64:W67))</f>
        <v>0</v>
      </c>
      <c r="CH58" s="66">
        <f>IF($AD58="N","N",SUM('調查資料(OUT)'!Z64:Z67))</f>
        <v>0</v>
      </c>
      <c r="CI58" s="66">
        <f>IF($AD58="N","N",SUM('調查資料(OUT)'!AD64:AD67))</f>
        <v>0</v>
      </c>
      <c r="CJ58" s="383" t="e">
        <f t="shared" si="91"/>
        <v>#DIV/0!</v>
      </c>
      <c r="CK58" s="66">
        <f t="shared" si="92"/>
        <v>0</v>
      </c>
      <c r="CL58" s="66">
        <f>IF($AD58="N","N",SUM('調查資料(OUT)'!X64:X67))</f>
        <v>0</v>
      </c>
      <c r="CM58" s="66">
        <f>IF($AD58="N","N",SUM('調查資料(OUT)'!AA64:AA67))</f>
        <v>0</v>
      </c>
      <c r="CN58" s="66">
        <f>IF($AD58="N","N",SUM('調查資料(OUT)'!AE64:AE67))</f>
        <v>0</v>
      </c>
      <c r="CO58" s="383" t="e">
        <f t="shared" si="93"/>
        <v>#DIV/0!</v>
      </c>
      <c r="CP58" s="66">
        <f t="shared" si="52"/>
        <v>0</v>
      </c>
      <c r="CQ58" s="383" t="e">
        <f t="shared" si="53"/>
        <v>#DIV/0!</v>
      </c>
      <c r="CR58" s="66">
        <f t="shared" si="54"/>
        <v>0</v>
      </c>
      <c r="CS58" s="383" t="e">
        <f t="shared" si="55"/>
        <v>#DIV/0!</v>
      </c>
      <c r="CT58" s="66">
        <f t="shared" si="56"/>
        <v>0</v>
      </c>
      <c r="CU58" s="383" t="e">
        <f t="shared" si="57"/>
        <v>#DIV/0!</v>
      </c>
      <c r="CV58" s="316">
        <f t="shared" si="58"/>
        <v>0</v>
      </c>
      <c r="CW58" s="309">
        <f t="shared" si="94"/>
        <v>0</v>
      </c>
      <c r="CX58" s="66">
        <f>IF($AD58="N","N",SUM('調查資料(OUT)'!AF64:AF67))</f>
        <v>0</v>
      </c>
      <c r="CY58" s="66">
        <f>IF($AD58="N","N",SUM('調查資料(OUT)'!AI64:AI67))</f>
        <v>0</v>
      </c>
      <c r="CZ58" s="66">
        <f>IF($AD58="N","N",SUM('調查資料(OUT)'!AM64:AM67))</f>
        <v>0</v>
      </c>
      <c r="DA58" s="66">
        <f>IF($AD58="N","N",SUM('調查資料(OUT)'!AL64:AL67))</f>
        <v>0</v>
      </c>
      <c r="DB58" s="383" t="e">
        <f t="shared" si="95"/>
        <v>#DIV/0!</v>
      </c>
      <c r="DC58" s="66">
        <f t="shared" si="96"/>
        <v>0</v>
      </c>
      <c r="DD58" s="66">
        <f>IF($AD58="N","N",SUM('調查資料(OUT)'!AG64:AG67))</f>
        <v>0</v>
      </c>
      <c r="DE58" s="66">
        <f>IF($AD58="N","N",SUM('調查資料(OUT)'!AJ64:AJ67))</f>
        <v>0</v>
      </c>
      <c r="DF58" s="66">
        <f>IF($AD58="N","N",SUM('調查資料(OUT)'!AN64:AN67))</f>
        <v>0</v>
      </c>
      <c r="DG58" s="383" t="e">
        <f t="shared" si="97"/>
        <v>#DIV/0!</v>
      </c>
      <c r="DH58" s="66">
        <f t="shared" si="98"/>
        <v>0</v>
      </c>
      <c r="DI58" s="66">
        <f>IF($AD58="N","N",SUM('調查資料(OUT)'!AH64:AH67))</f>
        <v>0</v>
      </c>
      <c r="DJ58" s="66">
        <f>IF($AD58="N","N",SUM('調查資料(OUT)'!AK64:AK67))</f>
        <v>0</v>
      </c>
      <c r="DK58" s="66">
        <f>IF($AD58="N","N",SUM('調查資料(OUT)'!AO64:AO67))</f>
        <v>0</v>
      </c>
      <c r="DL58" s="383" t="e">
        <f t="shared" si="99"/>
        <v>#DIV/0!</v>
      </c>
      <c r="DM58" s="66">
        <f t="shared" si="59"/>
        <v>0</v>
      </c>
      <c r="DN58" s="383" t="e">
        <f t="shared" si="60"/>
        <v>#DIV/0!</v>
      </c>
      <c r="DO58" s="66">
        <f t="shared" si="61"/>
        <v>0</v>
      </c>
      <c r="DP58" s="383" t="e">
        <f t="shared" si="62"/>
        <v>#DIV/0!</v>
      </c>
      <c r="DQ58" s="66">
        <f t="shared" si="63"/>
        <v>0</v>
      </c>
      <c r="DR58" s="383" t="e">
        <f t="shared" si="64"/>
        <v>#DIV/0!</v>
      </c>
      <c r="DS58" s="316">
        <f t="shared" si="65"/>
        <v>0</v>
      </c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</row>
    <row r="59" spans="1:170">
      <c r="A59" s="475">
        <f>'調查資料(OUT)'!A65</f>
        <v>1330</v>
      </c>
      <c r="B59" s="476">
        <f t="shared" si="120"/>
        <v>0</v>
      </c>
      <c r="C59" s="399">
        <f>IFERROR('調查資料(OUT)'!B$1*'調查資料(OUT)'!B65,0)+IFERROR('調查資料(OUT)'!E$1*'調查資料(OUT)'!E65,0)+IFERROR('調查資料(OUT)'!H$1*'調查資料(OUT)'!H65,0)+IFERROR('調查資料(OUT)'!I$1*'調查資料(OUT)'!I65,0)</f>
        <v>0</v>
      </c>
      <c r="D59" s="399">
        <f>IFERROR('調查資料(OUT)'!C$1*'調查資料(OUT)'!C65,0)+IFERROR('調查資料(OUT)'!F$1*'調查資料(OUT)'!F65,0)+IFERROR('調查資料(OUT)'!J$1*'調查資料(OUT)'!J65,0)</f>
        <v>0</v>
      </c>
      <c r="E59" s="413">
        <f>IFERROR('調查資料(OUT)'!D$1*'調查資料(OUT)'!D65,0)+IFERROR('調查資料(OUT)'!G$1*'調查資料(OUT)'!G65,0)+IFERROR('調查資料(OUT)'!K$1*'調查資料(OUT)'!K65,0)</f>
        <v>0</v>
      </c>
      <c r="F59" s="476">
        <f t="shared" si="121"/>
        <v>0</v>
      </c>
      <c r="G59" s="399">
        <f>IFERROR('調查資料(OUT)'!L$1*'調查資料(OUT)'!L65,0)+IFERROR('調查資料(OUT)'!O$1*'調查資料(OUT)'!O65,0)+IFERROR('調查資料(OUT)'!R$1*'調查資料(OUT)'!R65,0)+IFERROR('調查資料(OUT)'!S$1*'調查資料(OUT)'!S65,0)</f>
        <v>0</v>
      </c>
      <c r="H59" s="399">
        <f>IFERROR('調查資料(OUT)'!M$1*'調查資料(OUT)'!M65,0)+IFERROR('調查資料(OUT)'!P$1*'調查資料(OUT)'!P65,0)+IFERROR('調查資料(OUT)'!T$1*'調查資料(OUT)'!T65,0)</f>
        <v>0</v>
      </c>
      <c r="I59" s="413">
        <f>IFERROR('調查資料(OUT)'!N$1*'調查資料(OUT)'!N65,0)+IFERROR('調查資料(OUT)'!Q$1*'調查資料(OUT)'!Q65,0)+IFERROR('調查資料(OUT)'!U$1*'調查資料(OUT)'!U65,0)</f>
        <v>0</v>
      </c>
      <c r="J59" s="476">
        <f t="shared" si="24"/>
        <v>0</v>
      </c>
      <c r="K59" s="399">
        <f>IFERROR('調查資料(OUT)'!V$1*'調查資料(OUT)'!V65,0)+IFERROR('調查資料(OUT)'!Y$1*'調查資料(OUT)'!Y65,0)+IFERROR('調查資料(OUT)'!AB$1*'調查資料(OUT)'!AB65,0)+IFERROR('調查資料(OUT)'!AC$1*'調查資料(OUT)'!AC65,0)</f>
        <v>0</v>
      </c>
      <c r="L59" s="399">
        <f>IFERROR('調查資料(OUT)'!W$1*'調查資料(OUT)'!W65,0)+IFERROR('調查資料(OUT)'!Z$1*'調查資料(OUT)'!Z65,0)+IFERROR('調查資料(OUT)'!AD$1*'調查資料(OUT)'!AD65,0)</f>
        <v>0</v>
      </c>
      <c r="M59" s="413">
        <f>IFERROR('調查資料(OUT)'!X$1*'調查資料(OUT)'!X65,0)+IFERROR('調查資料(OUT)'!AA$1*'調查資料(OUT)'!AA65,0)+IFERROR('調查資料(OUT)'!AE$1*'調查資料(OUT)'!AE65,0)</f>
        <v>0</v>
      </c>
      <c r="N59" s="476">
        <f t="shared" si="25"/>
        <v>0</v>
      </c>
      <c r="O59" s="399">
        <f>IFERROR('調查資料(OUT)'!AF$1*'調查資料(OUT)'!AF65,0)+IFERROR('調查資料(OUT)'!AI$1*'調查資料(OUT)'!AI65,0)+IFERROR('調查資料(OUT)'!AL$1*'調查資料(OUT)'!AL65,0)+IFERROR('調查資料(OUT)'!AM$1*'調查資料(OUT)'!AM65,0)</f>
        <v>0</v>
      </c>
      <c r="P59" s="399">
        <f>IFERROR('調查資料(OUT)'!AG$1*'調查資料(OUT)'!AG65,0)+IFERROR('調查資料(OUT)'!AJ$1*'調查資料(OUT)'!AJ65,0)+IFERROR('調查資料(OUT)'!AN$1*'調查資料(OUT)'!AN65,0)</f>
        <v>0</v>
      </c>
      <c r="Q59" s="413">
        <f>IFERROR('調查資料(OUT)'!AH$1*'調查資料(OUT)'!AH65,0)+IFERROR('調查資料(OUT)'!AK$1*'調查資料(OUT)'!AK65,0)+IFERROR('調查資料(OUT)'!AO$1*'調查資料(OUT)'!AO65,0)</f>
        <v>0</v>
      </c>
      <c r="R59" s="477">
        <f t="shared" si="122"/>
        <v>0</v>
      </c>
      <c r="S59" s="66"/>
      <c r="T59" s="397">
        <f>'調查資料(OUT)'!A65</f>
        <v>1330</v>
      </c>
      <c r="U59" s="398">
        <f t="shared" si="109"/>
        <v>1430</v>
      </c>
      <c r="V59" s="399">
        <f>SUM(R59:R62)</f>
        <v>0</v>
      </c>
      <c r="W59" s="400"/>
      <c r="X59" s="399">
        <f t="shared" si="124"/>
        <v>0</v>
      </c>
      <c r="Y59" s="411" t="e">
        <f>IF($V59=W$57,SUM(B59:B62)/(4*(MAX(B59:B62))),0)</f>
        <v>#DIV/0!</v>
      </c>
      <c r="Z59" s="411" t="e">
        <f t="shared" ref="Z59:Z64" si="125">IF($V59=W$57,SUM(F59:F62)/(4*(MAX(F59:F62))),0)</f>
        <v>#DIV/0!</v>
      </c>
      <c r="AA59" s="411" t="e">
        <f>IF($V59=W$57,SUM(J59:J62)/(4*(MAX(J59:J62))),0)</f>
        <v>#DIV/0!</v>
      </c>
      <c r="AB59" s="411" t="e">
        <f>IF($V59=W$57,SUM(N59:N62)/(4*(MAX(N59:N62))),0)</f>
        <v>#DIV/0!</v>
      </c>
      <c r="AC59" s="401"/>
      <c r="AD59" s="399">
        <f>IF(V59=W$57,$T59,"N")</f>
        <v>1330</v>
      </c>
      <c r="AE59" s="413">
        <f>IF(V59=W$57,$U59,"N")</f>
        <v>1430</v>
      </c>
      <c r="AF59" s="309">
        <f t="shared" si="112"/>
        <v>0</v>
      </c>
      <c r="AG59" s="66">
        <f>IF($AD59="N","N",SUM('調查資料(OUT)'!B65:B68))</f>
        <v>0</v>
      </c>
      <c r="AH59" s="66">
        <f>IF($AD59="N","N",SUM('調查資料(OUT)'!E65:E68))</f>
        <v>0</v>
      </c>
      <c r="AI59" s="66">
        <f>IF($AD59="N","N",SUM('調查資料(OUT)'!I65:I68))</f>
        <v>0</v>
      </c>
      <c r="AJ59" s="66">
        <f>IF($AD59="N","N",SUM('調查資料(OUT)'!H65:H68))</f>
        <v>0</v>
      </c>
      <c r="AK59" s="383" t="e">
        <f t="shared" si="77"/>
        <v>#DIV/0!</v>
      </c>
      <c r="AL59" s="66">
        <f t="shared" si="78"/>
        <v>0</v>
      </c>
      <c r="AM59" s="66">
        <f>IF($AD59="N","N",SUM('調查資料(OUT)'!C65:C68))</f>
        <v>0</v>
      </c>
      <c r="AN59" s="66">
        <f>IF($AD59="N","N",SUM('調查資料(OUT)'!F65:F68))</f>
        <v>0</v>
      </c>
      <c r="AO59" s="66">
        <f>IF($AD59="N","N",SUM('調查資料(OUT)'!J65:J68))</f>
        <v>0</v>
      </c>
      <c r="AP59" s="383" t="e">
        <f t="shared" si="79"/>
        <v>#DIV/0!</v>
      </c>
      <c r="AQ59" s="66">
        <f t="shared" si="80"/>
        <v>0</v>
      </c>
      <c r="AR59" s="66">
        <f>IF($AD59="N","N",SUM('調查資料(OUT)'!D65:D68))</f>
        <v>0</v>
      </c>
      <c r="AS59" s="66">
        <f>IF($AD59="N","N",SUM('調查資料(OUT)'!G65:G68))</f>
        <v>0</v>
      </c>
      <c r="AT59" s="66">
        <f>IF($AD59="N","N",SUM('調查資料(OUT)'!K65:K68))</f>
        <v>0</v>
      </c>
      <c r="AU59" s="383" t="e">
        <f t="shared" si="81"/>
        <v>#DIV/0!</v>
      </c>
      <c r="AV59" s="66">
        <f t="shared" si="38"/>
        <v>0</v>
      </c>
      <c r="AW59" s="383" t="e">
        <f t="shared" si="39"/>
        <v>#DIV/0!</v>
      </c>
      <c r="AX59" s="66">
        <f t="shared" si="40"/>
        <v>0</v>
      </c>
      <c r="AY59" s="383" t="e">
        <f t="shared" si="41"/>
        <v>#DIV/0!</v>
      </c>
      <c r="AZ59" s="66">
        <f t="shared" si="42"/>
        <v>0</v>
      </c>
      <c r="BA59" s="383" t="e">
        <f t="shared" si="43"/>
        <v>#DIV/0!</v>
      </c>
      <c r="BB59" s="316">
        <f t="shared" si="44"/>
        <v>0</v>
      </c>
      <c r="BC59" s="309">
        <f t="shared" si="82"/>
        <v>0</v>
      </c>
      <c r="BD59" s="66">
        <f>IF($AD59="N","N",SUM('調查資料(OUT)'!L65:L68))</f>
        <v>0</v>
      </c>
      <c r="BE59" s="66">
        <f>IF($AD59="N","N",SUM('調查資料(OUT)'!O65:O68))</f>
        <v>0</v>
      </c>
      <c r="BF59" s="66">
        <f>IF($AD59="N","N",SUM('調查資料(OUT)'!S65:S68))</f>
        <v>0</v>
      </c>
      <c r="BG59" s="66">
        <f>IF($AD59="N","N",SUM('調查資料(OUT)'!R65:R68))</f>
        <v>0</v>
      </c>
      <c r="BH59" s="383" t="e">
        <f t="shared" si="83"/>
        <v>#DIV/0!</v>
      </c>
      <c r="BI59" s="66">
        <f t="shared" si="84"/>
        <v>0</v>
      </c>
      <c r="BJ59" s="66">
        <f>IF($AD59="N","N",SUM('調查資料(OUT)'!M65:M68))</f>
        <v>0</v>
      </c>
      <c r="BK59" s="66">
        <f>IF($AD59="N","N",SUM('調查資料(OUT)'!P65:P68))</f>
        <v>0</v>
      </c>
      <c r="BL59" s="66">
        <f>IF($AD59="N","N",SUM('調查資料(OUT)'!T65:T68))</f>
        <v>0</v>
      </c>
      <c r="BM59" s="383" t="e">
        <f t="shared" si="85"/>
        <v>#DIV/0!</v>
      </c>
      <c r="BN59" s="66">
        <f t="shared" si="86"/>
        <v>0</v>
      </c>
      <c r="BO59" s="66">
        <f>IF($AD59="N","N",SUM('調查資料(OUT)'!N65:N68))</f>
        <v>0</v>
      </c>
      <c r="BP59" s="66">
        <f>IF($AD59="N","N",SUM('調查資料(OUT)'!Q65:Q68))</f>
        <v>0</v>
      </c>
      <c r="BQ59" s="66">
        <f>IF($AD59="N","N",SUM('調查資料(OUT)'!U65:U68))</f>
        <v>0</v>
      </c>
      <c r="BR59" s="383" t="e">
        <f t="shared" si="87"/>
        <v>#DIV/0!</v>
      </c>
      <c r="BS59" s="66">
        <f t="shared" si="45"/>
        <v>0</v>
      </c>
      <c r="BT59" s="383" t="e">
        <f t="shared" si="46"/>
        <v>#DIV/0!</v>
      </c>
      <c r="BU59" s="66">
        <f t="shared" si="47"/>
        <v>0</v>
      </c>
      <c r="BV59" s="383" t="e">
        <f t="shared" si="48"/>
        <v>#DIV/0!</v>
      </c>
      <c r="BW59" s="66">
        <f t="shared" si="49"/>
        <v>0</v>
      </c>
      <c r="BX59" s="383" t="e">
        <f t="shared" si="50"/>
        <v>#DIV/0!</v>
      </c>
      <c r="BY59" s="316">
        <f t="shared" si="51"/>
        <v>0</v>
      </c>
      <c r="BZ59" s="309">
        <f t="shared" si="88"/>
        <v>0</v>
      </c>
      <c r="CA59" s="66">
        <f>IF($AD59="N","N",SUM('調查資料(OUT)'!V65:V68))</f>
        <v>0</v>
      </c>
      <c r="CB59" s="66">
        <f>IF($AD59="N","N",SUM('調查資料(OUT)'!Y65:Y68))</f>
        <v>0</v>
      </c>
      <c r="CC59" s="66">
        <f>IF($AD59="N","N",SUM('調查資料(OUT)'!AC65:AC68))</f>
        <v>0</v>
      </c>
      <c r="CD59" s="66">
        <f>IF($AD59="N","N",SUM('調查資料(OUT)'!AB65:AB68))</f>
        <v>0</v>
      </c>
      <c r="CE59" s="383" t="e">
        <f t="shared" si="89"/>
        <v>#DIV/0!</v>
      </c>
      <c r="CF59" s="66">
        <f t="shared" si="90"/>
        <v>0</v>
      </c>
      <c r="CG59" s="66">
        <f>IF($AD59="N","N",SUM('調查資料(OUT)'!W65:W68))</f>
        <v>0</v>
      </c>
      <c r="CH59" s="66">
        <f>IF($AD59="N","N",SUM('調查資料(OUT)'!Z65:Z68))</f>
        <v>0</v>
      </c>
      <c r="CI59" s="66">
        <f>IF($AD59="N","N",SUM('調查資料(OUT)'!AD65:AD68))</f>
        <v>0</v>
      </c>
      <c r="CJ59" s="383" t="e">
        <f t="shared" si="91"/>
        <v>#DIV/0!</v>
      </c>
      <c r="CK59" s="66">
        <f t="shared" si="92"/>
        <v>0</v>
      </c>
      <c r="CL59" s="66">
        <f>IF($AD59="N","N",SUM('調查資料(OUT)'!X65:X68))</f>
        <v>0</v>
      </c>
      <c r="CM59" s="66">
        <f>IF($AD59="N","N",SUM('調查資料(OUT)'!AA65:AA68))</f>
        <v>0</v>
      </c>
      <c r="CN59" s="66">
        <f>IF($AD59="N","N",SUM('調查資料(OUT)'!AE65:AE68))</f>
        <v>0</v>
      </c>
      <c r="CO59" s="383" t="e">
        <f t="shared" si="93"/>
        <v>#DIV/0!</v>
      </c>
      <c r="CP59" s="66">
        <f t="shared" si="52"/>
        <v>0</v>
      </c>
      <c r="CQ59" s="383" t="e">
        <f t="shared" si="53"/>
        <v>#DIV/0!</v>
      </c>
      <c r="CR59" s="66">
        <f t="shared" si="54"/>
        <v>0</v>
      </c>
      <c r="CS59" s="383" t="e">
        <f t="shared" si="55"/>
        <v>#DIV/0!</v>
      </c>
      <c r="CT59" s="66">
        <f t="shared" si="56"/>
        <v>0</v>
      </c>
      <c r="CU59" s="383" t="e">
        <f t="shared" si="57"/>
        <v>#DIV/0!</v>
      </c>
      <c r="CV59" s="316">
        <f t="shared" si="58"/>
        <v>0</v>
      </c>
      <c r="CW59" s="309">
        <f t="shared" si="94"/>
        <v>0</v>
      </c>
      <c r="CX59" s="66">
        <f>IF($AD59="N","N",SUM('調查資料(OUT)'!AF65:AF68))</f>
        <v>0</v>
      </c>
      <c r="CY59" s="66">
        <f>IF($AD59="N","N",SUM('調查資料(OUT)'!AI65:AI68))</f>
        <v>0</v>
      </c>
      <c r="CZ59" s="66">
        <f>IF($AD59="N","N",SUM('調查資料(OUT)'!AM65:AM68))</f>
        <v>0</v>
      </c>
      <c r="DA59" s="66">
        <f>IF($AD59="N","N",SUM('調查資料(OUT)'!AL65:AL68))</f>
        <v>0</v>
      </c>
      <c r="DB59" s="383" t="e">
        <f t="shared" si="95"/>
        <v>#DIV/0!</v>
      </c>
      <c r="DC59" s="66">
        <f t="shared" si="96"/>
        <v>0</v>
      </c>
      <c r="DD59" s="66">
        <f>IF($AD59="N","N",SUM('調查資料(OUT)'!AG65:AG68))</f>
        <v>0</v>
      </c>
      <c r="DE59" s="66">
        <f>IF($AD59="N","N",SUM('調查資料(OUT)'!AJ65:AJ68))</f>
        <v>0</v>
      </c>
      <c r="DF59" s="66">
        <f>IF($AD59="N","N",SUM('調查資料(OUT)'!AN65:AN68))</f>
        <v>0</v>
      </c>
      <c r="DG59" s="383" t="e">
        <f t="shared" si="97"/>
        <v>#DIV/0!</v>
      </c>
      <c r="DH59" s="66">
        <f t="shared" si="98"/>
        <v>0</v>
      </c>
      <c r="DI59" s="66">
        <f>IF($AD59="N","N",SUM('調查資料(OUT)'!AH65:AH68))</f>
        <v>0</v>
      </c>
      <c r="DJ59" s="66">
        <f>IF($AD59="N","N",SUM('調查資料(OUT)'!AK65:AK68))</f>
        <v>0</v>
      </c>
      <c r="DK59" s="66">
        <f>IF($AD59="N","N",SUM('調查資料(OUT)'!AO65:AO68))</f>
        <v>0</v>
      </c>
      <c r="DL59" s="383" t="e">
        <f t="shared" si="99"/>
        <v>#DIV/0!</v>
      </c>
      <c r="DM59" s="66">
        <f t="shared" si="59"/>
        <v>0</v>
      </c>
      <c r="DN59" s="383" t="e">
        <f t="shared" si="60"/>
        <v>#DIV/0!</v>
      </c>
      <c r="DO59" s="66">
        <f t="shared" si="61"/>
        <v>0</v>
      </c>
      <c r="DP59" s="383" t="e">
        <f t="shared" si="62"/>
        <v>#DIV/0!</v>
      </c>
      <c r="DQ59" s="66">
        <f t="shared" si="63"/>
        <v>0</v>
      </c>
      <c r="DR59" s="383" t="e">
        <f t="shared" si="64"/>
        <v>#DIV/0!</v>
      </c>
      <c r="DS59" s="316">
        <f t="shared" si="65"/>
        <v>0</v>
      </c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</row>
    <row r="60" spans="1:170">
      <c r="A60" s="475">
        <f>'調查資料(OUT)'!A66</f>
        <v>1345</v>
      </c>
      <c r="B60" s="476">
        <f t="shared" si="120"/>
        <v>0</v>
      </c>
      <c r="C60" s="399">
        <f>IFERROR('調查資料(OUT)'!B$1*'調查資料(OUT)'!B66,0)+IFERROR('調查資料(OUT)'!E$1*'調查資料(OUT)'!E66,0)+IFERROR('調查資料(OUT)'!H$1*'調查資料(OUT)'!H66,0)+IFERROR('調查資料(OUT)'!I$1*'調查資料(OUT)'!I66,0)</f>
        <v>0</v>
      </c>
      <c r="D60" s="399">
        <f>IFERROR('調查資料(OUT)'!C$1*'調查資料(OUT)'!C66,0)+IFERROR('調查資料(OUT)'!F$1*'調查資料(OUT)'!F66,0)+IFERROR('調查資料(OUT)'!J$1*'調查資料(OUT)'!J66,0)</f>
        <v>0</v>
      </c>
      <c r="E60" s="413">
        <f>IFERROR('調查資料(OUT)'!D$1*'調查資料(OUT)'!D66,0)+IFERROR('調查資料(OUT)'!G$1*'調查資料(OUT)'!G66,0)+IFERROR('調查資料(OUT)'!K$1*'調查資料(OUT)'!K66,0)</f>
        <v>0</v>
      </c>
      <c r="F60" s="476">
        <f t="shared" si="121"/>
        <v>0</v>
      </c>
      <c r="G60" s="399">
        <f>IFERROR('調查資料(OUT)'!L$1*'調查資料(OUT)'!L66,0)+IFERROR('調查資料(OUT)'!O$1*'調查資料(OUT)'!O66,0)+IFERROR('調查資料(OUT)'!R$1*'調查資料(OUT)'!R66,0)+IFERROR('調查資料(OUT)'!S$1*'調查資料(OUT)'!S66,0)</f>
        <v>0</v>
      </c>
      <c r="H60" s="399">
        <f>IFERROR('調查資料(OUT)'!M$1*'調查資料(OUT)'!M66,0)+IFERROR('調查資料(OUT)'!P$1*'調查資料(OUT)'!P66,0)+IFERROR('調查資料(OUT)'!T$1*'調查資料(OUT)'!T66,0)</f>
        <v>0</v>
      </c>
      <c r="I60" s="413">
        <f>IFERROR('調查資料(OUT)'!N$1*'調查資料(OUT)'!N66,0)+IFERROR('調查資料(OUT)'!Q$1*'調查資料(OUT)'!Q66,0)+IFERROR('調查資料(OUT)'!U$1*'調查資料(OUT)'!U66,0)</f>
        <v>0</v>
      </c>
      <c r="J60" s="476">
        <f t="shared" si="24"/>
        <v>0</v>
      </c>
      <c r="K60" s="399">
        <f>IFERROR('調查資料(OUT)'!V$1*'調查資料(OUT)'!V66,0)+IFERROR('調查資料(OUT)'!Y$1*'調查資料(OUT)'!Y66,0)+IFERROR('調查資料(OUT)'!AB$1*'調查資料(OUT)'!AB66,0)+IFERROR('調查資料(OUT)'!AC$1*'調查資料(OUT)'!AC66,0)</f>
        <v>0</v>
      </c>
      <c r="L60" s="399">
        <f>IFERROR('調查資料(OUT)'!W$1*'調查資料(OUT)'!W66,0)+IFERROR('調查資料(OUT)'!Z$1*'調查資料(OUT)'!Z66,0)+IFERROR('調查資料(OUT)'!AD$1*'調查資料(OUT)'!AD66,0)</f>
        <v>0</v>
      </c>
      <c r="M60" s="413">
        <f>IFERROR('調查資料(OUT)'!X$1*'調查資料(OUT)'!X66,0)+IFERROR('調查資料(OUT)'!AA$1*'調查資料(OUT)'!AA66,0)+IFERROR('調查資料(OUT)'!AE$1*'調查資料(OUT)'!AE66,0)</f>
        <v>0</v>
      </c>
      <c r="N60" s="476">
        <f t="shared" si="25"/>
        <v>0</v>
      </c>
      <c r="O60" s="399">
        <f>IFERROR('調查資料(OUT)'!AF$1*'調查資料(OUT)'!AF66,0)+IFERROR('調查資料(OUT)'!AI$1*'調查資料(OUT)'!AI66,0)+IFERROR('調查資料(OUT)'!AL$1*'調查資料(OUT)'!AL66,0)+IFERROR('調查資料(OUT)'!AM$1*'調查資料(OUT)'!AM66,0)</f>
        <v>0</v>
      </c>
      <c r="P60" s="399">
        <f>IFERROR('調查資料(OUT)'!AG$1*'調查資料(OUT)'!AG66,0)+IFERROR('調查資料(OUT)'!AJ$1*'調查資料(OUT)'!AJ66,0)+IFERROR('調查資料(OUT)'!AN$1*'調查資料(OUT)'!AN66,0)</f>
        <v>0</v>
      </c>
      <c r="Q60" s="413">
        <f>IFERROR('調查資料(OUT)'!AH$1*'調查資料(OUT)'!AH66,0)+IFERROR('調查資料(OUT)'!AK$1*'調查資料(OUT)'!AK66,0)+IFERROR('調查資料(OUT)'!AO$1*'調查資料(OUT)'!AO66,0)</f>
        <v>0</v>
      </c>
      <c r="R60" s="477">
        <f t="shared" si="122"/>
        <v>0</v>
      </c>
      <c r="S60" s="66"/>
      <c r="T60" s="397">
        <f>'調查資料(OUT)'!A66</f>
        <v>1345</v>
      </c>
      <c r="U60" s="398">
        <f t="shared" si="109"/>
        <v>1445</v>
      </c>
      <c r="V60" s="399">
        <f t="shared" si="123"/>
        <v>0</v>
      </c>
      <c r="W60" s="400"/>
      <c r="X60" s="399">
        <f t="shared" si="124"/>
        <v>0</v>
      </c>
      <c r="Y60" s="411" t="e">
        <f t="shared" ref="Y60:Y64" si="126">IF($V60=W$57,SUM(B60:B63)/(4*(MAX(B60:B63))),0)</f>
        <v>#DIV/0!</v>
      </c>
      <c r="Z60" s="411" t="e">
        <f t="shared" si="125"/>
        <v>#DIV/0!</v>
      </c>
      <c r="AA60" s="411" t="e">
        <f t="shared" ref="AA60:AA64" si="127">IF($V60=W$57,SUM(J60:J63)/(4*(MAX(J60:J63))),0)</f>
        <v>#DIV/0!</v>
      </c>
      <c r="AB60" s="411" t="e">
        <f t="shared" ref="AB60:AB64" si="128">IF($V60=W$57,SUM(N60:N63)/(4*(MAX(N60:N63))),0)</f>
        <v>#DIV/0!</v>
      </c>
      <c r="AC60" s="401"/>
      <c r="AD60" s="399">
        <f>IF(V60=W$57,$T60,"N")</f>
        <v>1345</v>
      </c>
      <c r="AE60" s="413">
        <f>IF(V60=W$57,$U60,"N")</f>
        <v>1445</v>
      </c>
      <c r="AF60" s="309">
        <f t="shared" si="112"/>
        <v>0</v>
      </c>
      <c r="AG60" s="66">
        <f>IF($AD60="N","N",SUM('調查資料(OUT)'!B66:B69))</f>
        <v>0</v>
      </c>
      <c r="AH60" s="66">
        <f>IF($AD60="N","N",SUM('調查資料(OUT)'!E66:E69))</f>
        <v>0</v>
      </c>
      <c r="AI60" s="66">
        <f>IF($AD60="N","N",SUM('調查資料(OUT)'!I66:I69))</f>
        <v>0</v>
      </c>
      <c r="AJ60" s="66">
        <f>IF($AD60="N","N",SUM('調查資料(OUT)'!H66:H69))</f>
        <v>0</v>
      </c>
      <c r="AK60" s="383" t="e">
        <f t="shared" si="77"/>
        <v>#DIV/0!</v>
      </c>
      <c r="AL60" s="66">
        <f t="shared" si="78"/>
        <v>0</v>
      </c>
      <c r="AM60" s="66">
        <f>IF($AD60="N","N",SUM('調查資料(OUT)'!C66:C69))</f>
        <v>0</v>
      </c>
      <c r="AN60" s="66">
        <f>IF($AD60="N","N",SUM('調查資料(OUT)'!F66:F69))</f>
        <v>0</v>
      </c>
      <c r="AO60" s="66">
        <f>IF($AD60="N","N",SUM('調查資料(OUT)'!J66:J69))</f>
        <v>0</v>
      </c>
      <c r="AP60" s="383" t="e">
        <f t="shared" si="79"/>
        <v>#DIV/0!</v>
      </c>
      <c r="AQ60" s="66">
        <f t="shared" si="80"/>
        <v>0</v>
      </c>
      <c r="AR60" s="66">
        <f>IF($AD60="N","N",SUM('調查資料(OUT)'!D66:D69))</f>
        <v>0</v>
      </c>
      <c r="AS60" s="66">
        <f>IF($AD60="N","N",SUM('調查資料(OUT)'!G66:G69))</f>
        <v>0</v>
      </c>
      <c r="AT60" s="66">
        <f>IF($AD60="N","N",SUM('調查資料(OUT)'!K66:K69))</f>
        <v>0</v>
      </c>
      <c r="AU60" s="383" t="e">
        <f t="shared" si="81"/>
        <v>#DIV/0!</v>
      </c>
      <c r="AV60" s="66">
        <f t="shared" si="38"/>
        <v>0</v>
      </c>
      <c r="AW60" s="383" t="e">
        <f t="shared" si="39"/>
        <v>#DIV/0!</v>
      </c>
      <c r="AX60" s="66">
        <f t="shared" si="40"/>
        <v>0</v>
      </c>
      <c r="AY60" s="383" t="e">
        <f t="shared" si="41"/>
        <v>#DIV/0!</v>
      </c>
      <c r="AZ60" s="66">
        <f t="shared" si="42"/>
        <v>0</v>
      </c>
      <c r="BA60" s="383" t="e">
        <f t="shared" si="43"/>
        <v>#DIV/0!</v>
      </c>
      <c r="BB60" s="316">
        <f t="shared" si="44"/>
        <v>0</v>
      </c>
      <c r="BC60" s="309">
        <f t="shared" si="82"/>
        <v>0</v>
      </c>
      <c r="BD60" s="66">
        <f>IF($AD60="N","N",SUM('調查資料(OUT)'!L66:L69))</f>
        <v>0</v>
      </c>
      <c r="BE60" s="66">
        <f>IF($AD60="N","N",SUM('調查資料(OUT)'!O66:O69))</f>
        <v>0</v>
      </c>
      <c r="BF60" s="66">
        <f>IF($AD60="N","N",SUM('調查資料(OUT)'!S66:S69))</f>
        <v>0</v>
      </c>
      <c r="BG60" s="66">
        <f>IF($AD60="N","N",SUM('調查資料(OUT)'!R66:R69))</f>
        <v>0</v>
      </c>
      <c r="BH60" s="383" t="e">
        <f t="shared" si="83"/>
        <v>#DIV/0!</v>
      </c>
      <c r="BI60" s="66">
        <f t="shared" si="84"/>
        <v>0</v>
      </c>
      <c r="BJ60" s="66">
        <f>IF($AD60="N","N",SUM('調查資料(OUT)'!M66:M69))</f>
        <v>0</v>
      </c>
      <c r="BK60" s="66">
        <f>IF($AD60="N","N",SUM('調查資料(OUT)'!P66:P69))</f>
        <v>0</v>
      </c>
      <c r="BL60" s="66">
        <f>IF($AD60="N","N",SUM('調查資料(OUT)'!T66:T69))</f>
        <v>0</v>
      </c>
      <c r="BM60" s="383" t="e">
        <f t="shared" si="85"/>
        <v>#DIV/0!</v>
      </c>
      <c r="BN60" s="66">
        <f t="shared" si="86"/>
        <v>0</v>
      </c>
      <c r="BO60" s="66">
        <f>IF($AD60="N","N",SUM('調查資料(OUT)'!N66:N69))</f>
        <v>0</v>
      </c>
      <c r="BP60" s="66">
        <f>IF($AD60="N","N",SUM('調查資料(OUT)'!Q66:Q69))</f>
        <v>0</v>
      </c>
      <c r="BQ60" s="66">
        <f>IF($AD60="N","N",SUM('調查資料(OUT)'!U66:U69))</f>
        <v>0</v>
      </c>
      <c r="BR60" s="383" t="e">
        <f t="shared" si="87"/>
        <v>#DIV/0!</v>
      </c>
      <c r="BS60" s="66">
        <f t="shared" si="45"/>
        <v>0</v>
      </c>
      <c r="BT60" s="383" t="e">
        <f t="shared" si="46"/>
        <v>#DIV/0!</v>
      </c>
      <c r="BU60" s="66">
        <f t="shared" si="47"/>
        <v>0</v>
      </c>
      <c r="BV60" s="383" t="e">
        <f t="shared" si="48"/>
        <v>#DIV/0!</v>
      </c>
      <c r="BW60" s="66">
        <f t="shared" si="49"/>
        <v>0</v>
      </c>
      <c r="BX60" s="383" t="e">
        <f t="shared" si="50"/>
        <v>#DIV/0!</v>
      </c>
      <c r="BY60" s="316">
        <f t="shared" si="51"/>
        <v>0</v>
      </c>
      <c r="BZ60" s="309">
        <f t="shared" si="88"/>
        <v>0</v>
      </c>
      <c r="CA60" s="66">
        <f>IF($AD60="N","N",SUM('調查資料(OUT)'!V66:V69))</f>
        <v>0</v>
      </c>
      <c r="CB60" s="66">
        <f>IF($AD60="N","N",SUM('調查資料(OUT)'!Y66:Y69))</f>
        <v>0</v>
      </c>
      <c r="CC60" s="66">
        <f>IF($AD60="N","N",SUM('調查資料(OUT)'!AC66:AC69))</f>
        <v>0</v>
      </c>
      <c r="CD60" s="66">
        <f>IF($AD60="N","N",SUM('調查資料(OUT)'!AB66:AB69))</f>
        <v>0</v>
      </c>
      <c r="CE60" s="383" t="e">
        <f t="shared" si="89"/>
        <v>#DIV/0!</v>
      </c>
      <c r="CF60" s="66">
        <f t="shared" si="90"/>
        <v>0</v>
      </c>
      <c r="CG60" s="66">
        <f>IF($AD60="N","N",SUM('調查資料(OUT)'!W66:W69))</f>
        <v>0</v>
      </c>
      <c r="CH60" s="66">
        <f>IF($AD60="N","N",SUM('調查資料(OUT)'!Z66:Z69))</f>
        <v>0</v>
      </c>
      <c r="CI60" s="66">
        <f>IF($AD60="N","N",SUM('調查資料(OUT)'!AD66:AD69))</f>
        <v>0</v>
      </c>
      <c r="CJ60" s="383" t="e">
        <f t="shared" si="91"/>
        <v>#DIV/0!</v>
      </c>
      <c r="CK60" s="66">
        <f t="shared" si="92"/>
        <v>0</v>
      </c>
      <c r="CL60" s="66">
        <f>IF($AD60="N","N",SUM('調查資料(OUT)'!X66:X69))</f>
        <v>0</v>
      </c>
      <c r="CM60" s="66">
        <f>IF($AD60="N","N",SUM('調查資料(OUT)'!AA66:AA69))</f>
        <v>0</v>
      </c>
      <c r="CN60" s="66">
        <f>IF($AD60="N","N",SUM('調查資料(OUT)'!AE66:AE69))</f>
        <v>0</v>
      </c>
      <c r="CO60" s="383" t="e">
        <f t="shared" si="93"/>
        <v>#DIV/0!</v>
      </c>
      <c r="CP60" s="66">
        <f t="shared" si="52"/>
        <v>0</v>
      </c>
      <c r="CQ60" s="383" t="e">
        <f t="shared" si="53"/>
        <v>#DIV/0!</v>
      </c>
      <c r="CR60" s="66">
        <f t="shared" si="54"/>
        <v>0</v>
      </c>
      <c r="CS60" s="383" t="e">
        <f t="shared" si="55"/>
        <v>#DIV/0!</v>
      </c>
      <c r="CT60" s="66">
        <f t="shared" si="56"/>
        <v>0</v>
      </c>
      <c r="CU60" s="383" t="e">
        <f t="shared" si="57"/>
        <v>#DIV/0!</v>
      </c>
      <c r="CV60" s="316">
        <f t="shared" si="58"/>
        <v>0</v>
      </c>
      <c r="CW60" s="309">
        <f t="shared" si="94"/>
        <v>0</v>
      </c>
      <c r="CX60" s="66">
        <f>IF($AD60="N","N",SUM('調查資料(OUT)'!AF66:AF69))</f>
        <v>0</v>
      </c>
      <c r="CY60" s="66">
        <f>IF($AD60="N","N",SUM('調查資料(OUT)'!AI66:AI69))</f>
        <v>0</v>
      </c>
      <c r="CZ60" s="66">
        <f>IF($AD60="N","N",SUM('調查資料(OUT)'!AM66:AM69))</f>
        <v>0</v>
      </c>
      <c r="DA60" s="66">
        <f>IF($AD60="N","N",SUM('調查資料(OUT)'!AL66:AL69))</f>
        <v>0</v>
      </c>
      <c r="DB60" s="383" t="e">
        <f t="shared" si="95"/>
        <v>#DIV/0!</v>
      </c>
      <c r="DC60" s="66">
        <f t="shared" si="96"/>
        <v>0</v>
      </c>
      <c r="DD60" s="66">
        <f>IF($AD60="N","N",SUM('調查資料(OUT)'!AG66:AG69))</f>
        <v>0</v>
      </c>
      <c r="DE60" s="66">
        <f>IF($AD60="N","N",SUM('調查資料(OUT)'!AJ66:AJ69))</f>
        <v>0</v>
      </c>
      <c r="DF60" s="66">
        <f>IF($AD60="N","N",SUM('調查資料(OUT)'!AN66:AN69))</f>
        <v>0</v>
      </c>
      <c r="DG60" s="383" t="e">
        <f t="shared" si="97"/>
        <v>#DIV/0!</v>
      </c>
      <c r="DH60" s="66">
        <f t="shared" si="98"/>
        <v>0</v>
      </c>
      <c r="DI60" s="66">
        <f>IF($AD60="N","N",SUM('調查資料(OUT)'!AH66:AH69))</f>
        <v>0</v>
      </c>
      <c r="DJ60" s="66">
        <f>IF($AD60="N","N",SUM('調查資料(OUT)'!AK66:AK69))</f>
        <v>0</v>
      </c>
      <c r="DK60" s="66">
        <f>IF($AD60="N","N",SUM('調查資料(OUT)'!AO66:AO69))</f>
        <v>0</v>
      </c>
      <c r="DL60" s="383" t="e">
        <f t="shared" si="99"/>
        <v>#DIV/0!</v>
      </c>
      <c r="DM60" s="66">
        <f t="shared" si="59"/>
        <v>0</v>
      </c>
      <c r="DN60" s="383" t="e">
        <f t="shared" si="60"/>
        <v>#DIV/0!</v>
      </c>
      <c r="DO60" s="66">
        <f t="shared" si="61"/>
        <v>0</v>
      </c>
      <c r="DP60" s="383" t="e">
        <f t="shared" si="62"/>
        <v>#DIV/0!</v>
      </c>
      <c r="DQ60" s="66">
        <f t="shared" si="63"/>
        <v>0</v>
      </c>
      <c r="DR60" s="383" t="e">
        <f t="shared" si="64"/>
        <v>#DIV/0!</v>
      </c>
      <c r="DS60" s="316">
        <f t="shared" si="65"/>
        <v>0</v>
      </c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</row>
    <row r="61" spans="1:170">
      <c r="A61" s="475">
        <f>'調查資料(OUT)'!A67</f>
        <v>1400</v>
      </c>
      <c r="B61" s="476">
        <f t="shared" si="120"/>
        <v>0</v>
      </c>
      <c r="C61" s="399">
        <f>IFERROR('調查資料(OUT)'!B$1*'調查資料(OUT)'!B67,0)+IFERROR('調查資料(OUT)'!E$1*'調查資料(OUT)'!E67,0)+IFERROR('調查資料(OUT)'!H$1*'調查資料(OUT)'!H67,0)+IFERROR('調查資料(OUT)'!I$1*'調查資料(OUT)'!I67,0)</f>
        <v>0</v>
      </c>
      <c r="D61" s="399">
        <f>IFERROR('調查資料(OUT)'!C$1*'調查資料(OUT)'!C67,0)+IFERROR('調查資料(OUT)'!F$1*'調查資料(OUT)'!F67,0)+IFERROR('調查資料(OUT)'!J$1*'調查資料(OUT)'!J67,0)</f>
        <v>0</v>
      </c>
      <c r="E61" s="413">
        <f>IFERROR('調查資料(OUT)'!D$1*'調查資料(OUT)'!D67,0)+IFERROR('調查資料(OUT)'!G$1*'調查資料(OUT)'!G67,0)+IFERROR('調查資料(OUT)'!K$1*'調查資料(OUT)'!K67,0)</f>
        <v>0</v>
      </c>
      <c r="F61" s="476">
        <f t="shared" si="121"/>
        <v>0</v>
      </c>
      <c r="G61" s="399">
        <f>IFERROR('調查資料(OUT)'!L$1*'調查資料(OUT)'!L67,0)+IFERROR('調查資料(OUT)'!O$1*'調查資料(OUT)'!O67,0)+IFERROR('調查資料(OUT)'!R$1*'調查資料(OUT)'!R67,0)+IFERROR('調查資料(OUT)'!S$1*'調查資料(OUT)'!S67,0)</f>
        <v>0</v>
      </c>
      <c r="H61" s="399">
        <f>IFERROR('調查資料(OUT)'!M$1*'調查資料(OUT)'!M67,0)+IFERROR('調查資料(OUT)'!P$1*'調查資料(OUT)'!P67,0)+IFERROR('調查資料(OUT)'!T$1*'調查資料(OUT)'!T67,0)</f>
        <v>0</v>
      </c>
      <c r="I61" s="413">
        <f>IFERROR('調查資料(OUT)'!N$1*'調查資料(OUT)'!N67,0)+IFERROR('調查資料(OUT)'!Q$1*'調查資料(OUT)'!Q67,0)+IFERROR('調查資料(OUT)'!U$1*'調查資料(OUT)'!U67,0)</f>
        <v>0</v>
      </c>
      <c r="J61" s="476">
        <f t="shared" si="24"/>
        <v>0</v>
      </c>
      <c r="K61" s="399">
        <f>IFERROR('調查資料(OUT)'!V$1*'調查資料(OUT)'!V67,0)+IFERROR('調查資料(OUT)'!Y$1*'調查資料(OUT)'!Y67,0)+IFERROR('調查資料(OUT)'!AB$1*'調查資料(OUT)'!AB67,0)+IFERROR('調查資料(OUT)'!AC$1*'調查資料(OUT)'!AC67,0)</f>
        <v>0</v>
      </c>
      <c r="L61" s="399">
        <f>IFERROR('調查資料(OUT)'!W$1*'調查資料(OUT)'!W67,0)+IFERROR('調查資料(OUT)'!Z$1*'調查資料(OUT)'!Z67,0)+IFERROR('調查資料(OUT)'!AD$1*'調查資料(OUT)'!AD67,0)</f>
        <v>0</v>
      </c>
      <c r="M61" s="413">
        <f>IFERROR('調查資料(OUT)'!X$1*'調查資料(OUT)'!X67,0)+IFERROR('調查資料(OUT)'!AA$1*'調查資料(OUT)'!AA67,0)+IFERROR('調查資料(OUT)'!AE$1*'調查資料(OUT)'!AE67,0)</f>
        <v>0</v>
      </c>
      <c r="N61" s="476">
        <f t="shared" si="25"/>
        <v>0</v>
      </c>
      <c r="O61" s="399">
        <f>IFERROR('調查資料(OUT)'!AF$1*'調查資料(OUT)'!AF67,0)+IFERROR('調查資料(OUT)'!AI$1*'調查資料(OUT)'!AI67,0)+IFERROR('調查資料(OUT)'!AL$1*'調查資料(OUT)'!AL67,0)+IFERROR('調查資料(OUT)'!AM$1*'調查資料(OUT)'!AM67,0)</f>
        <v>0</v>
      </c>
      <c r="P61" s="399">
        <f>IFERROR('調查資料(OUT)'!AG$1*'調查資料(OUT)'!AG67,0)+IFERROR('調查資料(OUT)'!AJ$1*'調查資料(OUT)'!AJ67,0)+IFERROR('調查資料(OUT)'!AN$1*'調查資料(OUT)'!AN67,0)</f>
        <v>0</v>
      </c>
      <c r="Q61" s="413">
        <f>IFERROR('調查資料(OUT)'!AH$1*'調查資料(OUT)'!AH67,0)+IFERROR('調查資料(OUT)'!AK$1*'調查資料(OUT)'!AK67,0)+IFERROR('調查資料(OUT)'!AO$1*'調查資料(OUT)'!AO67,0)</f>
        <v>0</v>
      </c>
      <c r="R61" s="477">
        <f t="shared" si="122"/>
        <v>0</v>
      </c>
      <c r="S61" s="131"/>
      <c r="T61" s="397">
        <f>'調查資料(OUT)'!A67</f>
        <v>1400</v>
      </c>
      <c r="U61" s="398">
        <f>T61+100</f>
        <v>1500</v>
      </c>
      <c r="V61" s="399">
        <f t="shared" si="123"/>
        <v>0</v>
      </c>
      <c r="W61" s="407"/>
      <c r="X61" s="399">
        <f t="shared" si="124"/>
        <v>0</v>
      </c>
      <c r="Y61" s="411" t="e">
        <f t="shared" si="126"/>
        <v>#DIV/0!</v>
      </c>
      <c r="Z61" s="411" t="e">
        <f t="shared" si="125"/>
        <v>#DIV/0!</v>
      </c>
      <c r="AA61" s="411" t="e">
        <f t="shared" si="127"/>
        <v>#DIV/0!</v>
      </c>
      <c r="AB61" s="411" t="e">
        <f t="shared" si="128"/>
        <v>#DIV/0!</v>
      </c>
      <c r="AC61" s="414"/>
      <c r="AD61" s="399">
        <f>IF(V61=W$57,$T61,"N")</f>
        <v>1400</v>
      </c>
      <c r="AE61" s="413">
        <f>IF(V61=W$57,$U61,"N")</f>
        <v>1500</v>
      </c>
      <c r="AF61" s="309">
        <f>IF($AD61="N","N",SUM(C61:C64))</f>
        <v>0</v>
      </c>
      <c r="AG61" s="66">
        <f>IF($AD61="N","N",SUM('調查資料(OUT)'!B67:B70))</f>
        <v>0</v>
      </c>
      <c r="AH61" s="66">
        <f>IF($AD61="N","N",SUM('調查資料(OUT)'!E67:E70))</f>
        <v>0</v>
      </c>
      <c r="AI61" s="66">
        <f>IF($AD61="N","N",SUM('調查資料(OUT)'!I67:I70))</f>
        <v>0</v>
      </c>
      <c r="AJ61" s="66">
        <f>IF($AD61="N","N",SUM('調查資料(OUT)'!H67:H70))</f>
        <v>0</v>
      </c>
      <c r="AK61" s="383" t="e">
        <f t="shared" si="77"/>
        <v>#DIV/0!</v>
      </c>
      <c r="AL61" s="66">
        <f t="shared" si="78"/>
        <v>0</v>
      </c>
      <c r="AM61" s="66">
        <f>IF($AD61="N","N",SUM('調查資料(OUT)'!C67:C70))</f>
        <v>0</v>
      </c>
      <c r="AN61" s="66">
        <f>IF($AD61="N","N",SUM('調查資料(OUT)'!F67:F70))</f>
        <v>0</v>
      </c>
      <c r="AO61" s="66">
        <f>IF($AD61="N","N",SUM('調查資料(OUT)'!J67:J70))</f>
        <v>0</v>
      </c>
      <c r="AP61" s="383" t="e">
        <f t="shared" si="79"/>
        <v>#DIV/0!</v>
      </c>
      <c r="AQ61" s="66">
        <f t="shared" si="80"/>
        <v>0</v>
      </c>
      <c r="AR61" s="66">
        <f>IF($AD61="N","N",SUM('調查資料(OUT)'!D67:D70))</f>
        <v>0</v>
      </c>
      <c r="AS61" s="66">
        <f>IF($AD61="N","N",SUM('調查資料(OUT)'!G67:G70))</f>
        <v>0</v>
      </c>
      <c r="AT61" s="66">
        <f>IF($AD61="N","N",SUM('調查資料(OUT)'!K67:K70))</f>
        <v>0</v>
      </c>
      <c r="AU61" s="383" t="e">
        <f t="shared" si="81"/>
        <v>#DIV/0!</v>
      </c>
      <c r="AV61" s="66">
        <f t="shared" si="38"/>
        <v>0</v>
      </c>
      <c r="AW61" s="383" t="e">
        <f t="shared" si="39"/>
        <v>#DIV/0!</v>
      </c>
      <c r="AX61" s="66">
        <f t="shared" si="40"/>
        <v>0</v>
      </c>
      <c r="AY61" s="383" t="e">
        <f t="shared" si="41"/>
        <v>#DIV/0!</v>
      </c>
      <c r="AZ61" s="66">
        <f t="shared" si="42"/>
        <v>0</v>
      </c>
      <c r="BA61" s="383" t="e">
        <f t="shared" si="43"/>
        <v>#DIV/0!</v>
      </c>
      <c r="BB61" s="316">
        <f t="shared" si="44"/>
        <v>0</v>
      </c>
      <c r="BC61" s="309">
        <f t="shared" si="82"/>
        <v>0</v>
      </c>
      <c r="BD61" s="66">
        <f>IF($AD61="N","N",SUM('調查資料(OUT)'!L67:L70))</f>
        <v>0</v>
      </c>
      <c r="BE61" s="66">
        <f>IF($AD61="N","N",SUM('調查資料(OUT)'!O67:O70))</f>
        <v>0</v>
      </c>
      <c r="BF61" s="66">
        <f>IF($AD61="N","N",SUM('調查資料(OUT)'!S67:S70))</f>
        <v>0</v>
      </c>
      <c r="BG61" s="66">
        <f>IF($AD61="N","N",SUM('調查資料(OUT)'!R67:R70))</f>
        <v>0</v>
      </c>
      <c r="BH61" s="383" t="e">
        <f t="shared" si="83"/>
        <v>#DIV/0!</v>
      </c>
      <c r="BI61" s="66">
        <f t="shared" si="84"/>
        <v>0</v>
      </c>
      <c r="BJ61" s="66">
        <f>IF($AD61="N","N",SUM('調查資料(OUT)'!M67:M70))</f>
        <v>0</v>
      </c>
      <c r="BK61" s="66">
        <f>IF($AD61="N","N",SUM('調查資料(OUT)'!P67:P70))</f>
        <v>0</v>
      </c>
      <c r="BL61" s="66">
        <f>IF($AD61="N","N",SUM('調查資料(OUT)'!T67:T70))</f>
        <v>0</v>
      </c>
      <c r="BM61" s="383" t="e">
        <f t="shared" si="85"/>
        <v>#DIV/0!</v>
      </c>
      <c r="BN61" s="66">
        <f t="shared" si="86"/>
        <v>0</v>
      </c>
      <c r="BO61" s="66">
        <f>IF($AD61="N","N",SUM('調查資料(OUT)'!N67:N70))</f>
        <v>0</v>
      </c>
      <c r="BP61" s="66">
        <f>IF($AD61="N","N",SUM('調查資料(OUT)'!Q67:Q70))</f>
        <v>0</v>
      </c>
      <c r="BQ61" s="66">
        <f>IF($AD61="N","N",SUM('調查資料(OUT)'!U67:U70))</f>
        <v>0</v>
      </c>
      <c r="BR61" s="383" t="e">
        <f t="shared" si="87"/>
        <v>#DIV/0!</v>
      </c>
      <c r="BS61" s="66">
        <f t="shared" si="45"/>
        <v>0</v>
      </c>
      <c r="BT61" s="383" t="e">
        <f t="shared" si="46"/>
        <v>#DIV/0!</v>
      </c>
      <c r="BU61" s="66">
        <f t="shared" si="47"/>
        <v>0</v>
      </c>
      <c r="BV61" s="383" t="e">
        <f t="shared" si="48"/>
        <v>#DIV/0!</v>
      </c>
      <c r="BW61" s="66">
        <f t="shared" si="49"/>
        <v>0</v>
      </c>
      <c r="BX61" s="383" t="e">
        <f t="shared" si="50"/>
        <v>#DIV/0!</v>
      </c>
      <c r="BY61" s="316">
        <f t="shared" si="51"/>
        <v>0</v>
      </c>
      <c r="BZ61" s="309">
        <f t="shared" si="88"/>
        <v>0</v>
      </c>
      <c r="CA61" s="66">
        <f>IF($AD61="N","N",SUM('調查資料(OUT)'!V67:V70))</f>
        <v>0</v>
      </c>
      <c r="CB61" s="66">
        <f>IF($AD61="N","N",SUM('調查資料(OUT)'!Y67:Y70))</f>
        <v>0</v>
      </c>
      <c r="CC61" s="66">
        <f>IF($AD61="N","N",SUM('調查資料(OUT)'!AC67:AC70))</f>
        <v>0</v>
      </c>
      <c r="CD61" s="66">
        <f>IF($AD61="N","N",SUM('調查資料(OUT)'!AB67:AB70))</f>
        <v>0</v>
      </c>
      <c r="CE61" s="383" t="e">
        <f t="shared" si="89"/>
        <v>#DIV/0!</v>
      </c>
      <c r="CF61" s="66">
        <f t="shared" si="90"/>
        <v>0</v>
      </c>
      <c r="CG61" s="66">
        <f>IF($AD61="N","N",SUM('調查資料(OUT)'!W67:W70))</f>
        <v>0</v>
      </c>
      <c r="CH61" s="66">
        <f>IF($AD61="N","N",SUM('調查資料(OUT)'!Z67:Z70))</f>
        <v>0</v>
      </c>
      <c r="CI61" s="66">
        <f>IF($AD61="N","N",SUM('調查資料(OUT)'!AD67:AD70))</f>
        <v>0</v>
      </c>
      <c r="CJ61" s="383" t="e">
        <f t="shared" si="91"/>
        <v>#DIV/0!</v>
      </c>
      <c r="CK61" s="66">
        <f t="shared" si="92"/>
        <v>0</v>
      </c>
      <c r="CL61" s="66">
        <f>IF($AD61="N","N",SUM('調查資料(OUT)'!X67:X70))</f>
        <v>0</v>
      </c>
      <c r="CM61" s="66">
        <f>IF($AD61="N","N",SUM('調查資料(OUT)'!AA67:AA70))</f>
        <v>0</v>
      </c>
      <c r="CN61" s="66">
        <f>IF($AD61="N","N",SUM('調查資料(OUT)'!AE67:AE70))</f>
        <v>0</v>
      </c>
      <c r="CO61" s="383" t="e">
        <f t="shared" si="93"/>
        <v>#DIV/0!</v>
      </c>
      <c r="CP61" s="66">
        <f t="shared" si="52"/>
        <v>0</v>
      </c>
      <c r="CQ61" s="383" t="e">
        <f t="shared" si="53"/>
        <v>#DIV/0!</v>
      </c>
      <c r="CR61" s="66">
        <f t="shared" si="54"/>
        <v>0</v>
      </c>
      <c r="CS61" s="383" t="e">
        <f t="shared" si="55"/>
        <v>#DIV/0!</v>
      </c>
      <c r="CT61" s="66">
        <f t="shared" si="56"/>
        <v>0</v>
      </c>
      <c r="CU61" s="383" t="e">
        <f t="shared" si="57"/>
        <v>#DIV/0!</v>
      </c>
      <c r="CV61" s="316">
        <f t="shared" si="58"/>
        <v>0</v>
      </c>
      <c r="CW61" s="309">
        <f t="shared" si="94"/>
        <v>0</v>
      </c>
      <c r="CX61" s="66">
        <f>IF($AD61="N","N",SUM('調查資料(OUT)'!AF67:AF70))</f>
        <v>0</v>
      </c>
      <c r="CY61" s="66">
        <f>IF($AD61="N","N",SUM('調查資料(OUT)'!AI67:AI70))</f>
        <v>0</v>
      </c>
      <c r="CZ61" s="66">
        <f>IF($AD61="N","N",SUM('調查資料(OUT)'!AM67:AM70))</f>
        <v>0</v>
      </c>
      <c r="DA61" s="66">
        <f>IF($AD61="N","N",SUM('調查資料(OUT)'!AL67:AL70))</f>
        <v>0</v>
      </c>
      <c r="DB61" s="383" t="e">
        <f t="shared" si="95"/>
        <v>#DIV/0!</v>
      </c>
      <c r="DC61" s="66">
        <f t="shared" si="96"/>
        <v>0</v>
      </c>
      <c r="DD61" s="66">
        <f>IF($AD61="N","N",SUM('調查資料(OUT)'!AG67:AG70))</f>
        <v>0</v>
      </c>
      <c r="DE61" s="66">
        <f>IF($AD61="N","N",SUM('調查資料(OUT)'!AJ67:AJ70))</f>
        <v>0</v>
      </c>
      <c r="DF61" s="66">
        <f>IF($AD61="N","N",SUM('調查資料(OUT)'!AN67:AN70))</f>
        <v>0</v>
      </c>
      <c r="DG61" s="383" t="e">
        <f t="shared" si="97"/>
        <v>#DIV/0!</v>
      </c>
      <c r="DH61" s="66">
        <f t="shared" si="98"/>
        <v>0</v>
      </c>
      <c r="DI61" s="66">
        <f>IF($AD61="N","N",SUM('調查資料(OUT)'!AH67:AH70))</f>
        <v>0</v>
      </c>
      <c r="DJ61" s="66">
        <f>IF($AD61="N","N",SUM('調查資料(OUT)'!AK67:AK70))</f>
        <v>0</v>
      </c>
      <c r="DK61" s="66">
        <f>IF($AD61="N","N",SUM('調查資料(OUT)'!AO67:AO70))</f>
        <v>0</v>
      </c>
      <c r="DL61" s="383" t="e">
        <f t="shared" si="99"/>
        <v>#DIV/0!</v>
      </c>
      <c r="DM61" s="66">
        <f t="shared" si="59"/>
        <v>0</v>
      </c>
      <c r="DN61" s="383" t="e">
        <f t="shared" si="60"/>
        <v>#DIV/0!</v>
      </c>
      <c r="DO61" s="66">
        <f t="shared" si="61"/>
        <v>0</v>
      </c>
      <c r="DP61" s="383" t="e">
        <f t="shared" si="62"/>
        <v>#DIV/0!</v>
      </c>
      <c r="DQ61" s="66">
        <f t="shared" si="63"/>
        <v>0</v>
      </c>
      <c r="DR61" s="383" t="e">
        <f t="shared" si="64"/>
        <v>#DIV/0!</v>
      </c>
      <c r="DS61" s="316">
        <f t="shared" si="65"/>
        <v>0</v>
      </c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</row>
    <row r="62" spans="1:170">
      <c r="A62" s="475">
        <f>'調查資料(OUT)'!A68</f>
        <v>1415</v>
      </c>
      <c r="B62" s="476">
        <f t="shared" ref="B62:B68" si="129">SUM(C62:E62)</f>
        <v>0</v>
      </c>
      <c r="C62" s="399">
        <f>IFERROR('調查資料(OUT)'!B$1*'調查資料(OUT)'!B68,0)+IFERROR('調查資料(OUT)'!E$1*'調查資料(OUT)'!E68,0)+IFERROR('調查資料(OUT)'!H$1*'調查資料(OUT)'!H68,0)+IFERROR('調查資料(OUT)'!I$1*'調查資料(OUT)'!I68,0)</f>
        <v>0</v>
      </c>
      <c r="D62" s="399">
        <f>IFERROR('調查資料(OUT)'!C$1*'調查資料(OUT)'!C68,0)+IFERROR('調查資料(OUT)'!F$1*'調查資料(OUT)'!F68,0)+IFERROR('調查資料(OUT)'!J$1*'調查資料(OUT)'!J68,0)</f>
        <v>0</v>
      </c>
      <c r="E62" s="413">
        <f>IFERROR('調查資料(OUT)'!D$1*'調查資料(OUT)'!D68,0)+IFERROR('調查資料(OUT)'!G$1*'調查資料(OUT)'!G68,0)+IFERROR('調查資料(OUT)'!K$1*'調查資料(OUT)'!K68,0)</f>
        <v>0</v>
      </c>
      <c r="F62" s="476">
        <f t="shared" ref="F62:F68" si="130">SUM(G62:I62)</f>
        <v>0</v>
      </c>
      <c r="G62" s="399">
        <f>IFERROR('調查資料(OUT)'!L$1*'調查資料(OUT)'!L68,0)+IFERROR('調查資料(OUT)'!O$1*'調查資料(OUT)'!O68,0)+IFERROR('調查資料(OUT)'!R$1*'調查資料(OUT)'!R68,0)+IFERROR('調查資料(OUT)'!S$1*'調查資料(OUT)'!S68,0)</f>
        <v>0</v>
      </c>
      <c r="H62" s="399">
        <f>IFERROR('調查資料(OUT)'!M$1*'調查資料(OUT)'!M68,0)+IFERROR('調查資料(OUT)'!P$1*'調查資料(OUT)'!P68,0)+IFERROR('調查資料(OUT)'!T$1*'調查資料(OUT)'!T68,0)</f>
        <v>0</v>
      </c>
      <c r="I62" s="413">
        <f>IFERROR('調查資料(OUT)'!N$1*'調查資料(OUT)'!N68,0)+IFERROR('調查資料(OUT)'!Q$1*'調查資料(OUT)'!Q68,0)+IFERROR('調查資料(OUT)'!U$1*'調查資料(OUT)'!U68,0)</f>
        <v>0</v>
      </c>
      <c r="J62" s="476">
        <f t="shared" si="24"/>
        <v>0</v>
      </c>
      <c r="K62" s="399">
        <f>IFERROR('調查資料(OUT)'!V$1*'調查資料(OUT)'!V68,0)+IFERROR('調查資料(OUT)'!Y$1*'調查資料(OUT)'!Y68,0)+IFERROR('調查資料(OUT)'!AB$1*'調查資料(OUT)'!AB68,0)+IFERROR('調查資料(OUT)'!AC$1*'調查資料(OUT)'!AC68,0)</f>
        <v>0</v>
      </c>
      <c r="L62" s="399">
        <f>IFERROR('調查資料(OUT)'!W$1*'調查資料(OUT)'!W68,0)+IFERROR('調查資料(OUT)'!Z$1*'調查資料(OUT)'!Z68,0)+IFERROR('調查資料(OUT)'!AD$1*'調查資料(OUT)'!AD68,0)</f>
        <v>0</v>
      </c>
      <c r="M62" s="413">
        <f>IFERROR('調查資料(OUT)'!X$1*'調查資料(OUT)'!X68,0)+IFERROR('調查資料(OUT)'!AA$1*'調查資料(OUT)'!AA68,0)+IFERROR('調查資料(OUT)'!AE$1*'調查資料(OUT)'!AE68,0)</f>
        <v>0</v>
      </c>
      <c r="N62" s="476">
        <f t="shared" si="25"/>
        <v>0</v>
      </c>
      <c r="O62" s="399">
        <f>IFERROR('調查資料(OUT)'!AF$1*'調查資料(OUT)'!AF68,0)+IFERROR('調查資料(OUT)'!AI$1*'調查資料(OUT)'!AI68,0)+IFERROR('調查資料(OUT)'!AL$1*'調查資料(OUT)'!AL68,0)+IFERROR('調查資料(OUT)'!AM$1*'調查資料(OUT)'!AM68,0)</f>
        <v>0</v>
      </c>
      <c r="P62" s="399">
        <f>IFERROR('調查資料(OUT)'!AG$1*'調查資料(OUT)'!AG68,0)+IFERROR('調查資料(OUT)'!AJ$1*'調查資料(OUT)'!AJ68,0)+IFERROR('調查資料(OUT)'!AN$1*'調查資料(OUT)'!AN68,0)</f>
        <v>0</v>
      </c>
      <c r="Q62" s="413">
        <f>IFERROR('調查資料(OUT)'!AH$1*'調查資料(OUT)'!AH68,0)+IFERROR('調查資料(OUT)'!AK$1*'調查資料(OUT)'!AK68,0)+IFERROR('調查資料(OUT)'!AO$1*'調查資料(OUT)'!AO68,0)</f>
        <v>0</v>
      </c>
      <c r="R62" s="477">
        <f t="shared" ref="R62:R68" si="131">B62+F62+J62+N62</f>
        <v>0</v>
      </c>
      <c r="S62" s="131"/>
      <c r="T62" s="397">
        <f>'調查資料(OUT)'!A68</f>
        <v>1415</v>
      </c>
      <c r="U62" s="398">
        <f t="shared" ref="U62:U68" si="132">T62+100</f>
        <v>1515</v>
      </c>
      <c r="V62" s="399">
        <f t="shared" ref="V62:V97" si="133">SUM(R62:R65)</f>
        <v>0</v>
      </c>
      <c r="W62" s="400"/>
      <c r="X62" s="399">
        <f t="shared" si="124"/>
        <v>0</v>
      </c>
      <c r="Y62" s="411" t="e">
        <f t="shared" si="126"/>
        <v>#DIV/0!</v>
      </c>
      <c r="Z62" s="411" t="e">
        <f t="shared" si="125"/>
        <v>#DIV/0!</v>
      </c>
      <c r="AA62" s="411" t="e">
        <f t="shared" si="127"/>
        <v>#DIV/0!</v>
      </c>
      <c r="AB62" s="411" t="e">
        <f t="shared" si="128"/>
        <v>#DIV/0!</v>
      </c>
      <c r="AC62" s="412"/>
      <c r="AD62" s="399">
        <f t="shared" ref="AD62:AD64" si="134">IF(V62=W$57,$T62,"N")</f>
        <v>1415</v>
      </c>
      <c r="AE62" s="413">
        <f t="shared" ref="AE62:AE64" si="135">IF(V62=W$57,$U62,"N")</f>
        <v>1515</v>
      </c>
      <c r="AF62" s="309">
        <f t="shared" ref="AF62:AF65" si="136">IF($AD62="N","N",SUM(C62:C65))</f>
        <v>0</v>
      </c>
      <c r="AG62" s="66">
        <f>IF($AD62="N","N",SUM('調查資料(OUT)'!B68:B71))</f>
        <v>0</v>
      </c>
      <c r="AH62" s="66">
        <f>IF($AD62="N","N",SUM('調查資料(OUT)'!E68:E71))</f>
        <v>0</v>
      </c>
      <c r="AI62" s="66">
        <f>IF($AD62="N","N",SUM('調查資料(OUT)'!I68:I71))</f>
        <v>0</v>
      </c>
      <c r="AJ62" s="66">
        <f>IF($AD62="N","N",SUM('調查資料(OUT)'!H68:H71))</f>
        <v>0</v>
      </c>
      <c r="AK62" s="383" t="e">
        <f t="shared" si="77"/>
        <v>#DIV/0!</v>
      </c>
      <c r="AL62" s="66">
        <f t="shared" si="78"/>
        <v>0</v>
      </c>
      <c r="AM62" s="66">
        <f>IF($AD62="N","N",SUM('調查資料(OUT)'!C68:C71))</f>
        <v>0</v>
      </c>
      <c r="AN62" s="66">
        <f>IF($AD62="N","N",SUM('調查資料(OUT)'!F68:F71))</f>
        <v>0</v>
      </c>
      <c r="AO62" s="66">
        <f>IF($AD62="N","N",SUM('調查資料(OUT)'!J68:J71))</f>
        <v>0</v>
      </c>
      <c r="AP62" s="383" t="e">
        <f t="shared" si="79"/>
        <v>#DIV/0!</v>
      </c>
      <c r="AQ62" s="66">
        <f t="shared" si="80"/>
        <v>0</v>
      </c>
      <c r="AR62" s="66">
        <f>IF($AD62="N","N",SUM('調查資料(OUT)'!D68:D71))</f>
        <v>0</v>
      </c>
      <c r="AS62" s="66">
        <f>IF($AD62="N","N",SUM('調查資料(OUT)'!G68:G71))</f>
        <v>0</v>
      </c>
      <c r="AT62" s="66">
        <f>IF($AD62="N","N",SUM('調查資料(OUT)'!K68:K71))</f>
        <v>0</v>
      </c>
      <c r="AU62" s="383" t="e">
        <f t="shared" si="81"/>
        <v>#DIV/0!</v>
      </c>
      <c r="AV62" s="66">
        <f t="shared" si="38"/>
        <v>0</v>
      </c>
      <c r="AW62" s="383" t="e">
        <f t="shared" si="39"/>
        <v>#DIV/0!</v>
      </c>
      <c r="AX62" s="66">
        <f t="shared" si="40"/>
        <v>0</v>
      </c>
      <c r="AY62" s="383" t="e">
        <f t="shared" si="41"/>
        <v>#DIV/0!</v>
      </c>
      <c r="AZ62" s="66">
        <f t="shared" si="42"/>
        <v>0</v>
      </c>
      <c r="BA62" s="383" t="e">
        <f t="shared" si="43"/>
        <v>#DIV/0!</v>
      </c>
      <c r="BB62" s="316">
        <f t="shared" si="44"/>
        <v>0</v>
      </c>
      <c r="BC62" s="309">
        <f t="shared" si="82"/>
        <v>0</v>
      </c>
      <c r="BD62" s="66">
        <f>IF($AD62="N","N",SUM('調查資料(OUT)'!L68:L71))</f>
        <v>0</v>
      </c>
      <c r="BE62" s="66">
        <f>IF($AD62="N","N",SUM('調查資料(OUT)'!O68:O71))</f>
        <v>0</v>
      </c>
      <c r="BF62" s="66">
        <f>IF($AD62="N","N",SUM('調查資料(OUT)'!S68:S71))</f>
        <v>0</v>
      </c>
      <c r="BG62" s="66">
        <f>IF($AD62="N","N",SUM('調查資料(OUT)'!R68:R71))</f>
        <v>0</v>
      </c>
      <c r="BH62" s="383" t="e">
        <f t="shared" si="83"/>
        <v>#DIV/0!</v>
      </c>
      <c r="BI62" s="66">
        <f t="shared" si="84"/>
        <v>0</v>
      </c>
      <c r="BJ62" s="66">
        <f>IF($AD62="N","N",SUM('調查資料(OUT)'!M68:M71))</f>
        <v>0</v>
      </c>
      <c r="BK62" s="66">
        <f>IF($AD62="N","N",SUM('調查資料(OUT)'!P68:P71))</f>
        <v>0</v>
      </c>
      <c r="BL62" s="66">
        <f>IF($AD62="N","N",SUM('調查資料(OUT)'!T68:T71))</f>
        <v>0</v>
      </c>
      <c r="BM62" s="383" t="e">
        <f t="shared" si="85"/>
        <v>#DIV/0!</v>
      </c>
      <c r="BN62" s="66">
        <f t="shared" si="86"/>
        <v>0</v>
      </c>
      <c r="BO62" s="66">
        <f>IF($AD62="N","N",SUM('調查資料(OUT)'!N68:N71))</f>
        <v>0</v>
      </c>
      <c r="BP62" s="66">
        <f>IF($AD62="N","N",SUM('調查資料(OUT)'!Q68:Q71))</f>
        <v>0</v>
      </c>
      <c r="BQ62" s="66">
        <f>IF($AD62="N","N",SUM('調查資料(OUT)'!U68:U71))</f>
        <v>0</v>
      </c>
      <c r="BR62" s="383" t="e">
        <f t="shared" si="87"/>
        <v>#DIV/0!</v>
      </c>
      <c r="BS62" s="66">
        <f t="shared" si="45"/>
        <v>0</v>
      </c>
      <c r="BT62" s="383" t="e">
        <f t="shared" si="46"/>
        <v>#DIV/0!</v>
      </c>
      <c r="BU62" s="66">
        <f t="shared" si="47"/>
        <v>0</v>
      </c>
      <c r="BV62" s="383" t="e">
        <f t="shared" si="48"/>
        <v>#DIV/0!</v>
      </c>
      <c r="BW62" s="66">
        <f t="shared" si="49"/>
        <v>0</v>
      </c>
      <c r="BX62" s="383" t="e">
        <f t="shared" si="50"/>
        <v>#DIV/0!</v>
      </c>
      <c r="BY62" s="316">
        <f t="shared" si="51"/>
        <v>0</v>
      </c>
      <c r="BZ62" s="309">
        <f t="shared" si="88"/>
        <v>0</v>
      </c>
      <c r="CA62" s="66">
        <f>IF($AD62="N","N",SUM('調查資料(OUT)'!V68:V71))</f>
        <v>0</v>
      </c>
      <c r="CB62" s="66">
        <f>IF($AD62="N","N",SUM('調查資料(OUT)'!Y68:Y71))</f>
        <v>0</v>
      </c>
      <c r="CC62" s="66">
        <f>IF($AD62="N","N",SUM('調查資料(OUT)'!AC68:AC71))</f>
        <v>0</v>
      </c>
      <c r="CD62" s="66">
        <f>IF($AD62="N","N",SUM('調查資料(OUT)'!AB68:AB71))</f>
        <v>0</v>
      </c>
      <c r="CE62" s="383" t="e">
        <f t="shared" si="89"/>
        <v>#DIV/0!</v>
      </c>
      <c r="CF62" s="66">
        <f t="shared" si="90"/>
        <v>0</v>
      </c>
      <c r="CG62" s="66">
        <f>IF($AD62="N","N",SUM('調查資料(OUT)'!W68:W71))</f>
        <v>0</v>
      </c>
      <c r="CH62" s="66">
        <f>IF($AD62="N","N",SUM('調查資料(OUT)'!Z68:Z71))</f>
        <v>0</v>
      </c>
      <c r="CI62" s="66">
        <f>IF($AD62="N","N",SUM('調查資料(OUT)'!AD68:AD71))</f>
        <v>0</v>
      </c>
      <c r="CJ62" s="383" t="e">
        <f t="shared" si="91"/>
        <v>#DIV/0!</v>
      </c>
      <c r="CK62" s="66">
        <f t="shared" si="92"/>
        <v>0</v>
      </c>
      <c r="CL62" s="66">
        <f>IF($AD62="N","N",SUM('調查資料(OUT)'!X68:X71))</f>
        <v>0</v>
      </c>
      <c r="CM62" s="66">
        <f>IF($AD62="N","N",SUM('調查資料(OUT)'!AA68:AA71))</f>
        <v>0</v>
      </c>
      <c r="CN62" s="66">
        <f>IF($AD62="N","N",SUM('調查資料(OUT)'!AE68:AE71))</f>
        <v>0</v>
      </c>
      <c r="CO62" s="383" t="e">
        <f t="shared" si="93"/>
        <v>#DIV/0!</v>
      </c>
      <c r="CP62" s="66">
        <f t="shared" si="52"/>
        <v>0</v>
      </c>
      <c r="CQ62" s="383" t="e">
        <f t="shared" si="53"/>
        <v>#DIV/0!</v>
      </c>
      <c r="CR62" s="66">
        <f t="shared" si="54"/>
        <v>0</v>
      </c>
      <c r="CS62" s="383" t="e">
        <f t="shared" si="55"/>
        <v>#DIV/0!</v>
      </c>
      <c r="CT62" s="66">
        <f t="shared" si="56"/>
        <v>0</v>
      </c>
      <c r="CU62" s="383" t="e">
        <f t="shared" si="57"/>
        <v>#DIV/0!</v>
      </c>
      <c r="CV62" s="316">
        <f t="shared" si="58"/>
        <v>0</v>
      </c>
      <c r="CW62" s="309">
        <f t="shared" si="94"/>
        <v>0</v>
      </c>
      <c r="CX62" s="66">
        <f>IF($AD62="N","N",SUM('調查資料(OUT)'!AF68:AF71))</f>
        <v>0</v>
      </c>
      <c r="CY62" s="66">
        <f>IF($AD62="N","N",SUM('調查資料(OUT)'!AI68:AI71))</f>
        <v>0</v>
      </c>
      <c r="CZ62" s="66">
        <f>IF($AD62="N","N",SUM('調查資料(OUT)'!AM68:AM71))</f>
        <v>0</v>
      </c>
      <c r="DA62" s="66">
        <f>IF($AD62="N","N",SUM('調查資料(OUT)'!AL68:AL71))</f>
        <v>0</v>
      </c>
      <c r="DB62" s="383" t="e">
        <f t="shared" si="95"/>
        <v>#DIV/0!</v>
      </c>
      <c r="DC62" s="66">
        <f t="shared" si="96"/>
        <v>0</v>
      </c>
      <c r="DD62" s="66">
        <f>IF($AD62="N","N",SUM('調查資料(OUT)'!AG68:AG71))</f>
        <v>0</v>
      </c>
      <c r="DE62" s="66">
        <f>IF($AD62="N","N",SUM('調查資料(OUT)'!AJ68:AJ71))</f>
        <v>0</v>
      </c>
      <c r="DF62" s="66">
        <f>IF($AD62="N","N",SUM('調查資料(OUT)'!AN68:AN71))</f>
        <v>0</v>
      </c>
      <c r="DG62" s="383" t="e">
        <f t="shared" si="97"/>
        <v>#DIV/0!</v>
      </c>
      <c r="DH62" s="66">
        <f t="shared" si="98"/>
        <v>0</v>
      </c>
      <c r="DI62" s="66">
        <f>IF($AD62="N","N",SUM('調查資料(OUT)'!AH68:AH71))</f>
        <v>0</v>
      </c>
      <c r="DJ62" s="66">
        <f>IF($AD62="N","N",SUM('調查資料(OUT)'!AK68:AK71))</f>
        <v>0</v>
      </c>
      <c r="DK62" s="66">
        <f>IF($AD62="N","N",SUM('調查資料(OUT)'!AO68:AO71))</f>
        <v>0</v>
      </c>
      <c r="DL62" s="383" t="e">
        <f t="shared" si="99"/>
        <v>#DIV/0!</v>
      </c>
      <c r="DM62" s="66">
        <f t="shared" si="59"/>
        <v>0</v>
      </c>
      <c r="DN62" s="383" t="e">
        <f t="shared" si="60"/>
        <v>#DIV/0!</v>
      </c>
      <c r="DO62" s="66">
        <f t="shared" si="61"/>
        <v>0</v>
      </c>
      <c r="DP62" s="383" t="e">
        <f t="shared" si="62"/>
        <v>#DIV/0!</v>
      </c>
      <c r="DQ62" s="66">
        <f t="shared" si="63"/>
        <v>0</v>
      </c>
      <c r="DR62" s="383" t="e">
        <f t="shared" si="64"/>
        <v>#DIV/0!</v>
      </c>
      <c r="DS62" s="316">
        <f t="shared" si="65"/>
        <v>0</v>
      </c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</row>
    <row r="63" spans="1:170">
      <c r="A63" s="475">
        <f>'調查資料(OUT)'!A69</f>
        <v>1430</v>
      </c>
      <c r="B63" s="476">
        <f t="shared" si="129"/>
        <v>0</v>
      </c>
      <c r="C63" s="399">
        <f>IFERROR('調查資料(OUT)'!B$1*'調查資料(OUT)'!B69,0)+IFERROR('調查資料(OUT)'!E$1*'調查資料(OUT)'!E69,0)+IFERROR('調查資料(OUT)'!H$1*'調查資料(OUT)'!H69,0)+IFERROR('調查資料(OUT)'!I$1*'調查資料(OUT)'!I69,0)</f>
        <v>0</v>
      </c>
      <c r="D63" s="399">
        <f>IFERROR('調查資料(OUT)'!C$1*'調查資料(OUT)'!C69,0)+IFERROR('調查資料(OUT)'!F$1*'調查資料(OUT)'!F69,0)+IFERROR('調查資料(OUT)'!J$1*'調查資料(OUT)'!J69,0)</f>
        <v>0</v>
      </c>
      <c r="E63" s="413">
        <f>IFERROR('調查資料(OUT)'!D$1*'調查資料(OUT)'!D69,0)+IFERROR('調查資料(OUT)'!G$1*'調查資料(OUT)'!G69,0)+IFERROR('調查資料(OUT)'!K$1*'調查資料(OUT)'!K69,0)</f>
        <v>0</v>
      </c>
      <c r="F63" s="476">
        <f t="shared" si="130"/>
        <v>0</v>
      </c>
      <c r="G63" s="399">
        <f>IFERROR('調查資料(OUT)'!L$1*'調查資料(OUT)'!L69,0)+IFERROR('調查資料(OUT)'!O$1*'調查資料(OUT)'!O69,0)+IFERROR('調查資料(OUT)'!R$1*'調查資料(OUT)'!R69,0)+IFERROR('調查資料(OUT)'!S$1*'調查資料(OUT)'!S69,0)</f>
        <v>0</v>
      </c>
      <c r="H63" s="399">
        <f>IFERROR('調查資料(OUT)'!M$1*'調查資料(OUT)'!M69,0)+IFERROR('調查資料(OUT)'!P$1*'調查資料(OUT)'!P69,0)+IFERROR('調查資料(OUT)'!T$1*'調查資料(OUT)'!T69,0)</f>
        <v>0</v>
      </c>
      <c r="I63" s="413">
        <f>IFERROR('調查資料(OUT)'!N$1*'調查資料(OUT)'!N69,0)+IFERROR('調查資料(OUT)'!Q$1*'調查資料(OUT)'!Q69,0)+IFERROR('調查資料(OUT)'!U$1*'調查資料(OUT)'!U69,0)</f>
        <v>0</v>
      </c>
      <c r="J63" s="476">
        <f t="shared" si="24"/>
        <v>0</v>
      </c>
      <c r="K63" s="399">
        <f>IFERROR('調查資料(OUT)'!V$1*'調查資料(OUT)'!V69,0)+IFERROR('調查資料(OUT)'!Y$1*'調查資料(OUT)'!Y69,0)+IFERROR('調查資料(OUT)'!AB$1*'調查資料(OUT)'!AB69,0)+IFERROR('調查資料(OUT)'!AC$1*'調查資料(OUT)'!AC69,0)</f>
        <v>0</v>
      </c>
      <c r="L63" s="399">
        <f>IFERROR('調查資料(OUT)'!W$1*'調查資料(OUT)'!W69,0)+IFERROR('調查資料(OUT)'!Z$1*'調查資料(OUT)'!Z69,0)+IFERROR('調查資料(OUT)'!AD$1*'調查資料(OUT)'!AD69,0)</f>
        <v>0</v>
      </c>
      <c r="M63" s="413">
        <f>IFERROR('調查資料(OUT)'!X$1*'調查資料(OUT)'!X69,0)+IFERROR('調查資料(OUT)'!AA$1*'調查資料(OUT)'!AA69,0)+IFERROR('調查資料(OUT)'!AE$1*'調查資料(OUT)'!AE69,0)</f>
        <v>0</v>
      </c>
      <c r="N63" s="476">
        <f t="shared" si="25"/>
        <v>0</v>
      </c>
      <c r="O63" s="399">
        <f>IFERROR('調查資料(OUT)'!AF$1*'調查資料(OUT)'!AF69,0)+IFERROR('調查資料(OUT)'!AI$1*'調查資料(OUT)'!AI69,0)+IFERROR('調查資料(OUT)'!AL$1*'調查資料(OUT)'!AL69,0)+IFERROR('調查資料(OUT)'!AM$1*'調查資料(OUT)'!AM69,0)</f>
        <v>0</v>
      </c>
      <c r="P63" s="399">
        <f>IFERROR('調查資料(OUT)'!AG$1*'調查資料(OUT)'!AG69,0)+IFERROR('調查資料(OUT)'!AJ$1*'調查資料(OUT)'!AJ69,0)+IFERROR('調查資料(OUT)'!AN$1*'調查資料(OUT)'!AN69,0)</f>
        <v>0</v>
      </c>
      <c r="Q63" s="413">
        <f>IFERROR('調查資料(OUT)'!AH$1*'調查資料(OUT)'!AH69,0)+IFERROR('調查資料(OUT)'!AK$1*'調查資料(OUT)'!AK69,0)+IFERROR('調查資料(OUT)'!AO$1*'調查資料(OUT)'!AO69,0)</f>
        <v>0</v>
      </c>
      <c r="R63" s="477">
        <f t="shared" si="131"/>
        <v>0</v>
      </c>
      <c r="S63" s="131"/>
      <c r="T63" s="397">
        <f>'調查資料(OUT)'!A69</f>
        <v>1430</v>
      </c>
      <c r="U63" s="398">
        <f t="shared" si="132"/>
        <v>1530</v>
      </c>
      <c r="V63" s="399">
        <f t="shared" si="133"/>
        <v>0</v>
      </c>
      <c r="W63" s="400"/>
      <c r="X63" s="399">
        <f t="shared" si="124"/>
        <v>0</v>
      </c>
      <c r="Y63" s="411" t="e">
        <f t="shared" si="126"/>
        <v>#DIV/0!</v>
      </c>
      <c r="Z63" s="411" t="e">
        <f t="shared" si="125"/>
        <v>#DIV/0!</v>
      </c>
      <c r="AA63" s="411" t="e">
        <f t="shared" si="127"/>
        <v>#DIV/0!</v>
      </c>
      <c r="AB63" s="411" t="e">
        <f t="shared" si="128"/>
        <v>#DIV/0!</v>
      </c>
      <c r="AC63" s="412"/>
      <c r="AD63" s="399">
        <f t="shared" si="134"/>
        <v>1430</v>
      </c>
      <c r="AE63" s="413">
        <f t="shared" si="135"/>
        <v>1530</v>
      </c>
      <c r="AF63" s="309">
        <f t="shared" si="136"/>
        <v>0</v>
      </c>
      <c r="AG63" s="66">
        <f>IF($AD63="N","N",SUM('調查資料(OUT)'!B69:B72))</f>
        <v>0</v>
      </c>
      <c r="AH63" s="66">
        <f>IF($AD63="N","N",SUM('調查資料(OUT)'!E69:E72))</f>
        <v>0</v>
      </c>
      <c r="AI63" s="66">
        <f>IF($AD63="N","N",SUM('調查資料(OUT)'!I69:I72))</f>
        <v>0</v>
      </c>
      <c r="AJ63" s="66">
        <f>IF($AD63="N","N",SUM('調查資料(OUT)'!H69:H72))</f>
        <v>0</v>
      </c>
      <c r="AK63" s="383" t="e">
        <f t="shared" si="77"/>
        <v>#DIV/0!</v>
      </c>
      <c r="AL63" s="66">
        <f t="shared" si="78"/>
        <v>0</v>
      </c>
      <c r="AM63" s="66">
        <f>IF($AD63="N","N",SUM('調查資料(OUT)'!C69:C72))</f>
        <v>0</v>
      </c>
      <c r="AN63" s="66">
        <f>IF($AD63="N","N",SUM('調查資料(OUT)'!F69:F72))</f>
        <v>0</v>
      </c>
      <c r="AO63" s="66">
        <f>IF($AD63="N","N",SUM('調查資料(OUT)'!J69:J72))</f>
        <v>0</v>
      </c>
      <c r="AP63" s="383" t="e">
        <f t="shared" si="79"/>
        <v>#DIV/0!</v>
      </c>
      <c r="AQ63" s="66">
        <f t="shared" si="80"/>
        <v>0</v>
      </c>
      <c r="AR63" s="66">
        <f>IF($AD63="N","N",SUM('調查資料(OUT)'!D69:D72))</f>
        <v>0</v>
      </c>
      <c r="AS63" s="66">
        <f>IF($AD63="N","N",SUM('調查資料(OUT)'!G69:G72))</f>
        <v>0</v>
      </c>
      <c r="AT63" s="66">
        <f>IF($AD63="N","N",SUM('調查資料(OUT)'!K69:K72))</f>
        <v>0</v>
      </c>
      <c r="AU63" s="383" t="e">
        <f t="shared" si="81"/>
        <v>#DIV/0!</v>
      </c>
      <c r="AV63" s="66">
        <f t="shared" si="38"/>
        <v>0</v>
      </c>
      <c r="AW63" s="383" t="e">
        <f t="shared" si="39"/>
        <v>#DIV/0!</v>
      </c>
      <c r="AX63" s="66">
        <f t="shared" si="40"/>
        <v>0</v>
      </c>
      <c r="AY63" s="383" t="e">
        <f t="shared" si="41"/>
        <v>#DIV/0!</v>
      </c>
      <c r="AZ63" s="66">
        <f t="shared" si="42"/>
        <v>0</v>
      </c>
      <c r="BA63" s="383" t="e">
        <f t="shared" si="43"/>
        <v>#DIV/0!</v>
      </c>
      <c r="BB63" s="316">
        <f t="shared" si="44"/>
        <v>0</v>
      </c>
      <c r="BC63" s="309">
        <f t="shared" si="82"/>
        <v>0</v>
      </c>
      <c r="BD63" s="66">
        <f>IF($AD63="N","N",SUM('調查資料(OUT)'!L69:L72))</f>
        <v>0</v>
      </c>
      <c r="BE63" s="66">
        <f>IF($AD63="N","N",SUM('調查資料(OUT)'!O69:O72))</f>
        <v>0</v>
      </c>
      <c r="BF63" s="66">
        <f>IF($AD63="N","N",SUM('調查資料(OUT)'!S69:S72))</f>
        <v>0</v>
      </c>
      <c r="BG63" s="66">
        <f>IF($AD63="N","N",SUM('調查資料(OUT)'!R69:R72))</f>
        <v>0</v>
      </c>
      <c r="BH63" s="383" t="e">
        <f t="shared" si="83"/>
        <v>#DIV/0!</v>
      </c>
      <c r="BI63" s="66">
        <f t="shared" si="84"/>
        <v>0</v>
      </c>
      <c r="BJ63" s="66">
        <f>IF($AD63="N","N",SUM('調查資料(OUT)'!M69:M72))</f>
        <v>0</v>
      </c>
      <c r="BK63" s="66">
        <f>IF($AD63="N","N",SUM('調查資料(OUT)'!P69:P72))</f>
        <v>0</v>
      </c>
      <c r="BL63" s="66">
        <f>IF($AD63="N","N",SUM('調查資料(OUT)'!T69:T72))</f>
        <v>0</v>
      </c>
      <c r="BM63" s="383" t="e">
        <f t="shared" si="85"/>
        <v>#DIV/0!</v>
      </c>
      <c r="BN63" s="66">
        <f t="shared" si="86"/>
        <v>0</v>
      </c>
      <c r="BO63" s="66">
        <f>IF($AD63="N","N",SUM('調查資料(OUT)'!N69:N72))</f>
        <v>0</v>
      </c>
      <c r="BP63" s="66">
        <f>IF($AD63="N","N",SUM('調查資料(OUT)'!Q69:Q72))</f>
        <v>0</v>
      </c>
      <c r="BQ63" s="66">
        <f>IF($AD63="N","N",SUM('調查資料(OUT)'!U69:U72))</f>
        <v>0</v>
      </c>
      <c r="BR63" s="383" t="e">
        <f t="shared" si="87"/>
        <v>#DIV/0!</v>
      </c>
      <c r="BS63" s="66">
        <f t="shared" si="45"/>
        <v>0</v>
      </c>
      <c r="BT63" s="383" t="e">
        <f t="shared" si="46"/>
        <v>#DIV/0!</v>
      </c>
      <c r="BU63" s="66">
        <f t="shared" si="47"/>
        <v>0</v>
      </c>
      <c r="BV63" s="383" t="e">
        <f t="shared" si="48"/>
        <v>#DIV/0!</v>
      </c>
      <c r="BW63" s="66">
        <f t="shared" si="49"/>
        <v>0</v>
      </c>
      <c r="BX63" s="383" t="e">
        <f t="shared" si="50"/>
        <v>#DIV/0!</v>
      </c>
      <c r="BY63" s="316">
        <f t="shared" si="51"/>
        <v>0</v>
      </c>
      <c r="BZ63" s="309">
        <f t="shared" si="88"/>
        <v>0</v>
      </c>
      <c r="CA63" s="66">
        <f>IF($AD63="N","N",SUM('調查資料(OUT)'!V69:V72))</f>
        <v>0</v>
      </c>
      <c r="CB63" s="66">
        <f>IF($AD63="N","N",SUM('調查資料(OUT)'!Y69:Y72))</f>
        <v>0</v>
      </c>
      <c r="CC63" s="66">
        <f>IF($AD63="N","N",SUM('調查資料(OUT)'!AC69:AC72))</f>
        <v>0</v>
      </c>
      <c r="CD63" s="66">
        <f>IF($AD63="N","N",SUM('調查資料(OUT)'!AB69:AB72))</f>
        <v>0</v>
      </c>
      <c r="CE63" s="383" t="e">
        <f t="shared" si="89"/>
        <v>#DIV/0!</v>
      </c>
      <c r="CF63" s="66">
        <f t="shared" si="90"/>
        <v>0</v>
      </c>
      <c r="CG63" s="66">
        <f>IF($AD63="N","N",SUM('調查資料(OUT)'!W69:W72))</f>
        <v>0</v>
      </c>
      <c r="CH63" s="66">
        <f>IF($AD63="N","N",SUM('調查資料(OUT)'!Z69:Z72))</f>
        <v>0</v>
      </c>
      <c r="CI63" s="66">
        <f>IF($AD63="N","N",SUM('調查資料(OUT)'!AD69:AD72))</f>
        <v>0</v>
      </c>
      <c r="CJ63" s="383" t="e">
        <f t="shared" si="91"/>
        <v>#DIV/0!</v>
      </c>
      <c r="CK63" s="66">
        <f t="shared" si="92"/>
        <v>0</v>
      </c>
      <c r="CL63" s="66">
        <f>IF($AD63="N","N",SUM('調查資料(OUT)'!X69:X72))</f>
        <v>0</v>
      </c>
      <c r="CM63" s="66">
        <f>IF($AD63="N","N",SUM('調查資料(OUT)'!AA69:AA72))</f>
        <v>0</v>
      </c>
      <c r="CN63" s="66">
        <f>IF($AD63="N","N",SUM('調查資料(OUT)'!AE69:AE72))</f>
        <v>0</v>
      </c>
      <c r="CO63" s="383" t="e">
        <f t="shared" si="93"/>
        <v>#DIV/0!</v>
      </c>
      <c r="CP63" s="66">
        <f t="shared" si="52"/>
        <v>0</v>
      </c>
      <c r="CQ63" s="383" t="e">
        <f t="shared" si="53"/>
        <v>#DIV/0!</v>
      </c>
      <c r="CR63" s="66">
        <f t="shared" si="54"/>
        <v>0</v>
      </c>
      <c r="CS63" s="383" t="e">
        <f t="shared" si="55"/>
        <v>#DIV/0!</v>
      </c>
      <c r="CT63" s="66">
        <f t="shared" si="56"/>
        <v>0</v>
      </c>
      <c r="CU63" s="383" t="e">
        <f t="shared" si="57"/>
        <v>#DIV/0!</v>
      </c>
      <c r="CV63" s="316">
        <f t="shared" si="58"/>
        <v>0</v>
      </c>
      <c r="CW63" s="309">
        <f t="shared" si="94"/>
        <v>0</v>
      </c>
      <c r="CX63" s="66">
        <f>IF($AD63="N","N",SUM('調查資料(OUT)'!AF69:AF72))</f>
        <v>0</v>
      </c>
      <c r="CY63" s="66">
        <f>IF($AD63="N","N",SUM('調查資料(OUT)'!AI69:AI72))</f>
        <v>0</v>
      </c>
      <c r="CZ63" s="66">
        <f>IF($AD63="N","N",SUM('調查資料(OUT)'!AM69:AM72))</f>
        <v>0</v>
      </c>
      <c r="DA63" s="66">
        <f>IF($AD63="N","N",SUM('調查資料(OUT)'!AL69:AL72))</f>
        <v>0</v>
      </c>
      <c r="DB63" s="383" t="e">
        <f t="shared" si="95"/>
        <v>#DIV/0!</v>
      </c>
      <c r="DC63" s="66">
        <f t="shared" si="96"/>
        <v>0</v>
      </c>
      <c r="DD63" s="66">
        <f>IF($AD63="N","N",SUM('調查資料(OUT)'!AG69:AG72))</f>
        <v>0</v>
      </c>
      <c r="DE63" s="66">
        <f>IF($AD63="N","N",SUM('調查資料(OUT)'!AJ69:AJ72))</f>
        <v>0</v>
      </c>
      <c r="DF63" s="66">
        <f>IF($AD63="N","N",SUM('調查資料(OUT)'!AN69:AN72))</f>
        <v>0</v>
      </c>
      <c r="DG63" s="383" t="e">
        <f t="shared" si="97"/>
        <v>#DIV/0!</v>
      </c>
      <c r="DH63" s="66">
        <f t="shared" si="98"/>
        <v>0</v>
      </c>
      <c r="DI63" s="66">
        <f>IF($AD63="N","N",SUM('調查資料(OUT)'!AH69:AH72))</f>
        <v>0</v>
      </c>
      <c r="DJ63" s="66">
        <f>IF($AD63="N","N",SUM('調查資料(OUT)'!AK69:AK72))</f>
        <v>0</v>
      </c>
      <c r="DK63" s="66">
        <f>IF($AD63="N","N",SUM('調查資料(OUT)'!AO69:AO72))</f>
        <v>0</v>
      </c>
      <c r="DL63" s="383" t="e">
        <f t="shared" si="99"/>
        <v>#DIV/0!</v>
      </c>
      <c r="DM63" s="66">
        <f t="shared" si="59"/>
        <v>0</v>
      </c>
      <c r="DN63" s="383" t="e">
        <f t="shared" si="60"/>
        <v>#DIV/0!</v>
      </c>
      <c r="DO63" s="66">
        <f t="shared" si="61"/>
        <v>0</v>
      </c>
      <c r="DP63" s="383" t="e">
        <f t="shared" si="62"/>
        <v>#DIV/0!</v>
      </c>
      <c r="DQ63" s="66">
        <f t="shared" si="63"/>
        <v>0</v>
      </c>
      <c r="DR63" s="383" t="e">
        <f t="shared" si="64"/>
        <v>#DIV/0!</v>
      </c>
      <c r="DS63" s="316">
        <f t="shared" si="65"/>
        <v>0</v>
      </c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</row>
    <row r="64" spans="1:170">
      <c r="A64" s="475">
        <f>'調查資料(OUT)'!A70</f>
        <v>1445</v>
      </c>
      <c r="B64" s="476">
        <f t="shared" si="129"/>
        <v>0</v>
      </c>
      <c r="C64" s="399">
        <f>IFERROR('調查資料(OUT)'!B$1*'調查資料(OUT)'!B70,0)+IFERROR('調查資料(OUT)'!E$1*'調查資料(OUT)'!E70,0)+IFERROR('調查資料(OUT)'!H$1*'調查資料(OUT)'!H70,0)+IFERROR('調查資料(OUT)'!I$1*'調查資料(OUT)'!I70,0)</f>
        <v>0</v>
      </c>
      <c r="D64" s="399">
        <f>IFERROR('調查資料(OUT)'!C$1*'調查資料(OUT)'!C70,0)+IFERROR('調查資料(OUT)'!F$1*'調查資料(OUT)'!F70,0)+IFERROR('調查資料(OUT)'!J$1*'調查資料(OUT)'!J70,0)</f>
        <v>0</v>
      </c>
      <c r="E64" s="413">
        <f>IFERROR('調查資料(OUT)'!D$1*'調查資料(OUT)'!D70,0)+IFERROR('調查資料(OUT)'!G$1*'調查資料(OUT)'!G70,0)+IFERROR('調查資料(OUT)'!K$1*'調查資料(OUT)'!K70,0)</f>
        <v>0</v>
      </c>
      <c r="F64" s="476">
        <f t="shared" si="130"/>
        <v>0</v>
      </c>
      <c r="G64" s="399">
        <f>IFERROR('調查資料(OUT)'!L$1*'調查資料(OUT)'!L70,0)+IFERROR('調查資料(OUT)'!O$1*'調查資料(OUT)'!O70,0)+IFERROR('調查資料(OUT)'!R$1*'調查資料(OUT)'!R70,0)+IFERROR('調查資料(OUT)'!S$1*'調查資料(OUT)'!S70,0)</f>
        <v>0</v>
      </c>
      <c r="H64" s="399">
        <f>IFERROR('調查資料(OUT)'!M$1*'調查資料(OUT)'!M70,0)+IFERROR('調查資料(OUT)'!P$1*'調查資料(OUT)'!P70,0)+IFERROR('調查資料(OUT)'!T$1*'調查資料(OUT)'!T70,0)</f>
        <v>0</v>
      </c>
      <c r="I64" s="413">
        <f>IFERROR('調查資料(OUT)'!N$1*'調查資料(OUT)'!N70,0)+IFERROR('調查資料(OUT)'!Q$1*'調查資料(OUT)'!Q70,0)+IFERROR('調查資料(OUT)'!U$1*'調查資料(OUT)'!U70,0)</f>
        <v>0</v>
      </c>
      <c r="J64" s="476">
        <f t="shared" si="24"/>
        <v>0</v>
      </c>
      <c r="K64" s="399">
        <f>IFERROR('調查資料(OUT)'!V$1*'調查資料(OUT)'!V70,0)+IFERROR('調查資料(OUT)'!Y$1*'調查資料(OUT)'!Y70,0)+IFERROR('調查資料(OUT)'!AB$1*'調查資料(OUT)'!AB70,0)+IFERROR('調查資料(OUT)'!AC$1*'調查資料(OUT)'!AC70,0)</f>
        <v>0</v>
      </c>
      <c r="L64" s="399">
        <f>IFERROR('調查資料(OUT)'!W$1*'調查資料(OUT)'!W70,0)+IFERROR('調查資料(OUT)'!Z$1*'調查資料(OUT)'!Z70,0)+IFERROR('調查資料(OUT)'!AD$1*'調查資料(OUT)'!AD70,0)</f>
        <v>0</v>
      </c>
      <c r="M64" s="413">
        <f>IFERROR('調查資料(OUT)'!X$1*'調查資料(OUT)'!X70,0)+IFERROR('調查資料(OUT)'!AA$1*'調查資料(OUT)'!AA70,0)+IFERROR('調查資料(OUT)'!AE$1*'調查資料(OUT)'!AE70,0)</f>
        <v>0</v>
      </c>
      <c r="N64" s="476">
        <f t="shared" si="25"/>
        <v>0</v>
      </c>
      <c r="O64" s="399">
        <f>IFERROR('調查資料(OUT)'!AF$1*'調查資料(OUT)'!AF70,0)+IFERROR('調查資料(OUT)'!AI$1*'調查資料(OUT)'!AI70,0)+IFERROR('調查資料(OUT)'!AL$1*'調查資料(OUT)'!AL70,0)+IFERROR('調查資料(OUT)'!AM$1*'調查資料(OUT)'!AM70,0)</f>
        <v>0</v>
      </c>
      <c r="P64" s="399">
        <f>IFERROR('調查資料(OUT)'!AG$1*'調查資料(OUT)'!AG70,0)+IFERROR('調查資料(OUT)'!AJ$1*'調查資料(OUT)'!AJ70,0)+IFERROR('調查資料(OUT)'!AN$1*'調查資料(OUT)'!AN70,0)</f>
        <v>0</v>
      </c>
      <c r="Q64" s="413">
        <f>IFERROR('調查資料(OUT)'!AH$1*'調查資料(OUT)'!AH70,0)+IFERROR('調查資料(OUT)'!AK$1*'調查資料(OUT)'!AK70,0)+IFERROR('調查資料(OUT)'!AO$1*'調查資料(OUT)'!AO70,0)</f>
        <v>0</v>
      </c>
      <c r="R64" s="477">
        <f t="shared" si="131"/>
        <v>0</v>
      </c>
      <c r="S64" s="131"/>
      <c r="T64" s="397">
        <f>'調查資料(OUT)'!A70</f>
        <v>1445</v>
      </c>
      <c r="U64" s="398">
        <f t="shared" si="132"/>
        <v>1545</v>
      </c>
      <c r="V64" s="399">
        <f t="shared" si="133"/>
        <v>0</v>
      </c>
      <c r="W64" s="400"/>
      <c r="X64" s="399">
        <f t="shared" si="124"/>
        <v>0</v>
      </c>
      <c r="Y64" s="411" t="e">
        <f t="shared" si="126"/>
        <v>#DIV/0!</v>
      </c>
      <c r="Z64" s="411" t="e">
        <f t="shared" si="125"/>
        <v>#DIV/0!</v>
      </c>
      <c r="AA64" s="411" t="e">
        <f t="shared" si="127"/>
        <v>#DIV/0!</v>
      </c>
      <c r="AB64" s="411" t="e">
        <f t="shared" si="128"/>
        <v>#DIV/0!</v>
      </c>
      <c r="AC64" s="412"/>
      <c r="AD64" s="399">
        <f t="shared" si="134"/>
        <v>1445</v>
      </c>
      <c r="AE64" s="413">
        <f t="shared" si="135"/>
        <v>1545</v>
      </c>
      <c r="AF64" s="309">
        <f t="shared" si="136"/>
        <v>0</v>
      </c>
      <c r="AG64" s="66">
        <f>IF($AD64="N","N",SUM('調查資料(OUT)'!B70:B73))</f>
        <v>0</v>
      </c>
      <c r="AH64" s="66">
        <f>IF($AD64="N","N",SUM('調查資料(OUT)'!E70:E73))</f>
        <v>0</v>
      </c>
      <c r="AI64" s="66">
        <f>IF($AD64="N","N",SUM('調查資料(OUT)'!I70:I73))</f>
        <v>0</v>
      </c>
      <c r="AJ64" s="66">
        <f>IF($AD64="N","N",SUM('調查資料(OUT)'!H70:H73))</f>
        <v>0</v>
      </c>
      <c r="AK64" s="383" t="e">
        <f t="shared" si="77"/>
        <v>#DIV/0!</v>
      </c>
      <c r="AL64" s="66">
        <f t="shared" si="78"/>
        <v>0</v>
      </c>
      <c r="AM64" s="66">
        <f>IF($AD64="N","N",SUM('調查資料(OUT)'!C70:C73))</f>
        <v>0</v>
      </c>
      <c r="AN64" s="66">
        <f>IF($AD64="N","N",SUM('調查資料(OUT)'!F70:F73))</f>
        <v>0</v>
      </c>
      <c r="AO64" s="66">
        <f>IF($AD64="N","N",SUM('調查資料(OUT)'!J70:J73))</f>
        <v>0</v>
      </c>
      <c r="AP64" s="383" t="e">
        <f t="shared" si="79"/>
        <v>#DIV/0!</v>
      </c>
      <c r="AQ64" s="66">
        <f t="shared" si="80"/>
        <v>0</v>
      </c>
      <c r="AR64" s="66">
        <f>IF($AD64="N","N",SUM('調查資料(OUT)'!D70:D73))</f>
        <v>0</v>
      </c>
      <c r="AS64" s="66">
        <f>IF($AD64="N","N",SUM('調查資料(OUT)'!G70:G73))</f>
        <v>0</v>
      </c>
      <c r="AT64" s="66">
        <f>IF($AD64="N","N",SUM('調查資料(OUT)'!K70:K73))</f>
        <v>0</v>
      </c>
      <c r="AU64" s="383" t="e">
        <f t="shared" si="81"/>
        <v>#DIV/0!</v>
      </c>
      <c r="AV64" s="66">
        <f t="shared" si="38"/>
        <v>0</v>
      </c>
      <c r="AW64" s="383" t="e">
        <f t="shared" si="39"/>
        <v>#DIV/0!</v>
      </c>
      <c r="AX64" s="66">
        <f t="shared" si="40"/>
        <v>0</v>
      </c>
      <c r="AY64" s="383" t="e">
        <f t="shared" si="41"/>
        <v>#DIV/0!</v>
      </c>
      <c r="AZ64" s="66">
        <f t="shared" si="42"/>
        <v>0</v>
      </c>
      <c r="BA64" s="383" t="e">
        <f t="shared" si="43"/>
        <v>#DIV/0!</v>
      </c>
      <c r="BB64" s="316">
        <f t="shared" si="44"/>
        <v>0</v>
      </c>
      <c r="BC64" s="309">
        <f t="shared" si="82"/>
        <v>0</v>
      </c>
      <c r="BD64" s="66">
        <f>IF($AD64="N","N",SUM('調查資料(OUT)'!L70:L73))</f>
        <v>0</v>
      </c>
      <c r="BE64" s="66">
        <f>IF($AD64="N","N",SUM('調查資料(OUT)'!O70:O73))</f>
        <v>0</v>
      </c>
      <c r="BF64" s="66">
        <f>IF($AD64="N","N",SUM('調查資料(OUT)'!S70:S73))</f>
        <v>0</v>
      </c>
      <c r="BG64" s="66">
        <f>IF($AD64="N","N",SUM('調查資料(OUT)'!R70:R73))</f>
        <v>0</v>
      </c>
      <c r="BH64" s="383" t="e">
        <f t="shared" si="83"/>
        <v>#DIV/0!</v>
      </c>
      <c r="BI64" s="66">
        <f t="shared" si="84"/>
        <v>0</v>
      </c>
      <c r="BJ64" s="66">
        <f>IF($AD64="N","N",SUM('調查資料(OUT)'!M70:M73))</f>
        <v>0</v>
      </c>
      <c r="BK64" s="66">
        <f>IF($AD64="N","N",SUM('調查資料(OUT)'!P70:P73))</f>
        <v>0</v>
      </c>
      <c r="BL64" s="66">
        <f>IF($AD64="N","N",SUM('調查資料(OUT)'!T70:T73))</f>
        <v>0</v>
      </c>
      <c r="BM64" s="383" t="e">
        <f t="shared" si="85"/>
        <v>#DIV/0!</v>
      </c>
      <c r="BN64" s="66">
        <f t="shared" si="86"/>
        <v>0</v>
      </c>
      <c r="BO64" s="66">
        <f>IF($AD64="N","N",SUM('調查資料(OUT)'!N70:N73))</f>
        <v>0</v>
      </c>
      <c r="BP64" s="66">
        <f>IF($AD64="N","N",SUM('調查資料(OUT)'!Q70:Q73))</f>
        <v>0</v>
      </c>
      <c r="BQ64" s="66">
        <f>IF($AD64="N","N",SUM('調查資料(OUT)'!U70:U73))</f>
        <v>0</v>
      </c>
      <c r="BR64" s="383" t="e">
        <f t="shared" si="87"/>
        <v>#DIV/0!</v>
      </c>
      <c r="BS64" s="66">
        <f t="shared" si="45"/>
        <v>0</v>
      </c>
      <c r="BT64" s="383" t="e">
        <f t="shared" si="46"/>
        <v>#DIV/0!</v>
      </c>
      <c r="BU64" s="66">
        <f t="shared" si="47"/>
        <v>0</v>
      </c>
      <c r="BV64" s="383" t="e">
        <f t="shared" si="48"/>
        <v>#DIV/0!</v>
      </c>
      <c r="BW64" s="66">
        <f t="shared" si="49"/>
        <v>0</v>
      </c>
      <c r="BX64" s="383" t="e">
        <f t="shared" si="50"/>
        <v>#DIV/0!</v>
      </c>
      <c r="BY64" s="316">
        <f t="shared" si="51"/>
        <v>0</v>
      </c>
      <c r="BZ64" s="309">
        <f t="shared" si="88"/>
        <v>0</v>
      </c>
      <c r="CA64" s="66">
        <f>IF($AD64="N","N",SUM('調查資料(OUT)'!V70:V73))</f>
        <v>0</v>
      </c>
      <c r="CB64" s="66">
        <f>IF($AD64="N","N",SUM('調查資料(OUT)'!Y70:Y73))</f>
        <v>0</v>
      </c>
      <c r="CC64" s="66">
        <f>IF($AD64="N","N",SUM('調查資料(OUT)'!AC70:AC73))</f>
        <v>0</v>
      </c>
      <c r="CD64" s="66">
        <f>IF($AD64="N","N",SUM('調查資料(OUT)'!AB70:AB73))</f>
        <v>0</v>
      </c>
      <c r="CE64" s="383" t="e">
        <f t="shared" si="89"/>
        <v>#DIV/0!</v>
      </c>
      <c r="CF64" s="66">
        <f t="shared" si="90"/>
        <v>0</v>
      </c>
      <c r="CG64" s="66">
        <f>IF($AD64="N","N",SUM('調查資料(OUT)'!W70:W73))</f>
        <v>0</v>
      </c>
      <c r="CH64" s="66">
        <f>IF($AD64="N","N",SUM('調查資料(OUT)'!Z70:Z73))</f>
        <v>0</v>
      </c>
      <c r="CI64" s="66">
        <f>IF($AD64="N","N",SUM('調查資料(OUT)'!AD70:AD73))</f>
        <v>0</v>
      </c>
      <c r="CJ64" s="383" t="e">
        <f t="shared" si="91"/>
        <v>#DIV/0!</v>
      </c>
      <c r="CK64" s="66">
        <f t="shared" si="92"/>
        <v>0</v>
      </c>
      <c r="CL64" s="66">
        <f>IF($AD64="N","N",SUM('調查資料(OUT)'!X70:X73))</f>
        <v>0</v>
      </c>
      <c r="CM64" s="66">
        <f>IF($AD64="N","N",SUM('調查資料(OUT)'!AA70:AA73))</f>
        <v>0</v>
      </c>
      <c r="CN64" s="66">
        <f>IF($AD64="N","N",SUM('調查資料(OUT)'!AE70:AE73))</f>
        <v>0</v>
      </c>
      <c r="CO64" s="383" t="e">
        <f t="shared" si="93"/>
        <v>#DIV/0!</v>
      </c>
      <c r="CP64" s="66">
        <f t="shared" si="52"/>
        <v>0</v>
      </c>
      <c r="CQ64" s="383" t="e">
        <f t="shared" si="53"/>
        <v>#DIV/0!</v>
      </c>
      <c r="CR64" s="66">
        <f t="shared" si="54"/>
        <v>0</v>
      </c>
      <c r="CS64" s="383" t="e">
        <f t="shared" si="55"/>
        <v>#DIV/0!</v>
      </c>
      <c r="CT64" s="66">
        <f t="shared" si="56"/>
        <v>0</v>
      </c>
      <c r="CU64" s="383" t="e">
        <f t="shared" si="57"/>
        <v>#DIV/0!</v>
      </c>
      <c r="CV64" s="316">
        <f t="shared" si="58"/>
        <v>0</v>
      </c>
      <c r="CW64" s="309">
        <f t="shared" si="94"/>
        <v>0</v>
      </c>
      <c r="CX64" s="66">
        <f>IF($AD64="N","N",SUM('調查資料(OUT)'!AF70:AF73))</f>
        <v>0</v>
      </c>
      <c r="CY64" s="66">
        <f>IF($AD64="N","N",SUM('調查資料(OUT)'!AI70:AI73))</f>
        <v>0</v>
      </c>
      <c r="CZ64" s="66">
        <f>IF($AD64="N","N",SUM('調查資料(OUT)'!AM70:AM73))</f>
        <v>0</v>
      </c>
      <c r="DA64" s="66">
        <f>IF($AD64="N","N",SUM('調查資料(OUT)'!AL70:AL73))</f>
        <v>0</v>
      </c>
      <c r="DB64" s="383" t="e">
        <f t="shared" si="95"/>
        <v>#DIV/0!</v>
      </c>
      <c r="DC64" s="66">
        <f t="shared" si="96"/>
        <v>0</v>
      </c>
      <c r="DD64" s="66">
        <f>IF($AD64="N","N",SUM('調查資料(OUT)'!AG70:AG73))</f>
        <v>0</v>
      </c>
      <c r="DE64" s="66">
        <f>IF($AD64="N","N",SUM('調查資料(OUT)'!AJ70:AJ73))</f>
        <v>0</v>
      </c>
      <c r="DF64" s="66">
        <f>IF($AD64="N","N",SUM('調查資料(OUT)'!AN70:AN73))</f>
        <v>0</v>
      </c>
      <c r="DG64" s="383" t="e">
        <f t="shared" si="97"/>
        <v>#DIV/0!</v>
      </c>
      <c r="DH64" s="66">
        <f t="shared" si="98"/>
        <v>0</v>
      </c>
      <c r="DI64" s="66">
        <f>IF($AD64="N","N",SUM('調查資料(OUT)'!AH70:AH73))</f>
        <v>0</v>
      </c>
      <c r="DJ64" s="66">
        <f>IF($AD64="N","N",SUM('調查資料(OUT)'!AK70:AK73))</f>
        <v>0</v>
      </c>
      <c r="DK64" s="66">
        <f>IF($AD64="N","N",SUM('調查資料(OUT)'!AO70:AO73))</f>
        <v>0</v>
      </c>
      <c r="DL64" s="383" t="e">
        <f t="shared" si="99"/>
        <v>#DIV/0!</v>
      </c>
      <c r="DM64" s="66">
        <f t="shared" si="59"/>
        <v>0</v>
      </c>
      <c r="DN64" s="383" t="e">
        <f t="shared" si="60"/>
        <v>#DIV/0!</v>
      </c>
      <c r="DO64" s="66">
        <f t="shared" si="61"/>
        <v>0</v>
      </c>
      <c r="DP64" s="383" t="e">
        <f t="shared" si="62"/>
        <v>#DIV/0!</v>
      </c>
      <c r="DQ64" s="66">
        <f t="shared" si="63"/>
        <v>0</v>
      </c>
      <c r="DR64" s="383" t="e">
        <f t="shared" si="64"/>
        <v>#DIV/0!</v>
      </c>
      <c r="DS64" s="316">
        <f t="shared" si="65"/>
        <v>0</v>
      </c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</row>
    <row r="65" spans="1:170">
      <c r="A65" s="475">
        <f>'調查資料(OUT)'!A71</f>
        <v>1500</v>
      </c>
      <c r="B65" s="476">
        <f t="shared" si="129"/>
        <v>0</v>
      </c>
      <c r="C65" s="399">
        <f>IFERROR('調查資料(OUT)'!B$1*'調查資料(OUT)'!B71,0)+IFERROR('調查資料(OUT)'!E$1*'調查資料(OUT)'!E71,0)+IFERROR('調查資料(OUT)'!H$1*'調查資料(OUT)'!H71,0)+IFERROR('調查資料(OUT)'!I$1*'調查資料(OUT)'!I71,0)</f>
        <v>0</v>
      </c>
      <c r="D65" s="399">
        <f>IFERROR('調查資料(OUT)'!C$1*'調查資料(OUT)'!C71,0)+IFERROR('調查資料(OUT)'!F$1*'調查資料(OUT)'!F71,0)+IFERROR('調查資料(OUT)'!J$1*'調查資料(OUT)'!J71,0)</f>
        <v>0</v>
      </c>
      <c r="E65" s="413">
        <f>IFERROR('調查資料(OUT)'!D$1*'調查資料(OUT)'!D71,0)+IFERROR('調查資料(OUT)'!G$1*'調查資料(OUT)'!G71,0)+IFERROR('調查資料(OUT)'!K$1*'調查資料(OUT)'!K71,0)</f>
        <v>0</v>
      </c>
      <c r="F65" s="476">
        <f t="shared" si="130"/>
        <v>0</v>
      </c>
      <c r="G65" s="399">
        <f>IFERROR('調查資料(OUT)'!L$1*'調查資料(OUT)'!L71,0)+IFERROR('調查資料(OUT)'!O$1*'調查資料(OUT)'!O71,0)+IFERROR('調查資料(OUT)'!R$1*'調查資料(OUT)'!R71,0)+IFERROR('調查資料(OUT)'!S$1*'調查資料(OUT)'!S71,0)</f>
        <v>0</v>
      </c>
      <c r="H65" s="399">
        <f>IFERROR('調查資料(OUT)'!M$1*'調查資料(OUT)'!M71,0)+IFERROR('調查資料(OUT)'!P$1*'調查資料(OUT)'!P71,0)+IFERROR('調查資料(OUT)'!T$1*'調查資料(OUT)'!T71,0)</f>
        <v>0</v>
      </c>
      <c r="I65" s="413">
        <f>IFERROR('調查資料(OUT)'!N$1*'調查資料(OUT)'!N71,0)+IFERROR('調查資料(OUT)'!Q$1*'調查資料(OUT)'!Q71,0)+IFERROR('調查資料(OUT)'!U$1*'調查資料(OUT)'!U71,0)</f>
        <v>0</v>
      </c>
      <c r="J65" s="476">
        <f t="shared" si="24"/>
        <v>0</v>
      </c>
      <c r="K65" s="399">
        <f>IFERROR('調查資料(OUT)'!V$1*'調查資料(OUT)'!V71,0)+IFERROR('調查資料(OUT)'!Y$1*'調查資料(OUT)'!Y71,0)+IFERROR('調查資料(OUT)'!AB$1*'調查資料(OUT)'!AB71,0)+IFERROR('調查資料(OUT)'!AC$1*'調查資料(OUT)'!AC71,0)</f>
        <v>0</v>
      </c>
      <c r="L65" s="399">
        <f>IFERROR('調查資料(OUT)'!W$1*'調查資料(OUT)'!W71,0)+IFERROR('調查資料(OUT)'!Z$1*'調查資料(OUT)'!Z71,0)+IFERROR('調查資料(OUT)'!AD$1*'調查資料(OUT)'!AD71,0)</f>
        <v>0</v>
      </c>
      <c r="M65" s="413">
        <f>IFERROR('調查資料(OUT)'!X$1*'調查資料(OUT)'!X71,0)+IFERROR('調查資料(OUT)'!AA$1*'調查資料(OUT)'!AA71,0)+IFERROR('調查資料(OUT)'!AE$1*'調查資料(OUT)'!AE71,0)</f>
        <v>0</v>
      </c>
      <c r="N65" s="476">
        <f t="shared" si="25"/>
        <v>0</v>
      </c>
      <c r="O65" s="399">
        <f>IFERROR('調查資料(OUT)'!AF$1*'調查資料(OUT)'!AF71,0)+IFERROR('調查資料(OUT)'!AI$1*'調查資料(OUT)'!AI71,0)+IFERROR('調查資料(OUT)'!AL$1*'調查資料(OUT)'!AL71,0)+IFERROR('調查資料(OUT)'!AM$1*'調查資料(OUT)'!AM71,0)</f>
        <v>0</v>
      </c>
      <c r="P65" s="399">
        <f>IFERROR('調查資料(OUT)'!AG$1*'調查資料(OUT)'!AG71,0)+IFERROR('調查資料(OUT)'!AJ$1*'調查資料(OUT)'!AJ71,0)+IFERROR('調查資料(OUT)'!AN$1*'調查資料(OUT)'!AN71,0)</f>
        <v>0</v>
      </c>
      <c r="Q65" s="413">
        <f>IFERROR('調查資料(OUT)'!AH$1*'調查資料(OUT)'!AH71,0)+IFERROR('調查資料(OUT)'!AK$1*'調查資料(OUT)'!AK71,0)+IFERROR('調查資料(OUT)'!AO$1*'調查資料(OUT)'!AO71,0)</f>
        <v>0</v>
      </c>
      <c r="R65" s="477">
        <f t="shared" si="131"/>
        <v>0</v>
      </c>
      <c r="S65" s="131"/>
      <c r="T65" s="397">
        <f>'調查資料(OUT)'!A71</f>
        <v>1500</v>
      </c>
      <c r="U65" s="398">
        <f t="shared" si="132"/>
        <v>1600</v>
      </c>
      <c r="V65" s="399">
        <f>SUM(R65:R68)</f>
        <v>0</v>
      </c>
      <c r="W65" s="399"/>
      <c r="X65" s="399">
        <f t="shared" si="124"/>
        <v>0</v>
      </c>
      <c r="Y65" s="411" t="e">
        <f>IF($V65=W$57,SUM(B65:B68)/(4*(MAX(B65:B68))),0)</f>
        <v>#DIV/0!</v>
      </c>
      <c r="Z65" s="411" t="e">
        <f>IF($V65=W$57,SUM(F65:F68)/(4*(MAX(F65:F68))),0)</f>
        <v>#DIV/0!</v>
      </c>
      <c r="AA65" s="411" t="e">
        <f>IF($V65=W$57,SUM(J65:J68)/(4*(MAX(J65:J68))),0)</f>
        <v>#DIV/0!</v>
      </c>
      <c r="AB65" s="411" t="e">
        <f>IF($V65=W$57,SUM(N65:N68)/(4*(MAX(N65:N68))),0)</f>
        <v>#DIV/0!</v>
      </c>
      <c r="AC65" s="412"/>
      <c r="AD65" s="399">
        <f>IF(V65=W$57,$T65,"N")</f>
        <v>1500</v>
      </c>
      <c r="AE65" s="413">
        <f>IF(V65=W$57,$U65,"N")</f>
        <v>1600</v>
      </c>
      <c r="AF65" s="309">
        <f t="shared" si="136"/>
        <v>0</v>
      </c>
      <c r="AG65" s="66">
        <f>IF($AD65="N","N",SUM('調查資料(OUT)'!B71:B74))</f>
        <v>0</v>
      </c>
      <c r="AH65" s="66">
        <f>IF($AD65="N","N",SUM('調查資料(OUT)'!E71:E74))</f>
        <v>0</v>
      </c>
      <c r="AI65" s="66">
        <f>IF($AD65="N","N",SUM('調查資料(OUT)'!I71:I74))</f>
        <v>0</v>
      </c>
      <c r="AJ65" s="66">
        <f>IF($AD65="N","N",SUM('調查資料(OUT)'!H71:H74))</f>
        <v>0</v>
      </c>
      <c r="AK65" s="383" t="e">
        <f t="shared" si="77"/>
        <v>#DIV/0!</v>
      </c>
      <c r="AL65" s="66">
        <f t="shared" si="78"/>
        <v>0</v>
      </c>
      <c r="AM65" s="66">
        <f>IF($AD65="N","N",SUM('調查資料(OUT)'!C71:C74))</f>
        <v>0</v>
      </c>
      <c r="AN65" s="66">
        <f>IF($AD65="N","N",SUM('調查資料(OUT)'!F71:F74))</f>
        <v>0</v>
      </c>
      <c r="AO65" s="66">
        <f>IF($AD65="N","N",SUM('調查資料(OUT)'!J71:J74))</f>
        <v>0</v>
      </c>
      <c r="AP65" s="383" t="e">
        <f t="shared" si="79"/>
        <v>#DIV/0!</v>
      </c>
      <c r="AQ65" s="66">
        <f t="shared" si="80"/>
        <v>0</v>
      </c>
      <c r="AR65" s="66">
        <f>IF($AD65="N","N",SUM('調查資料(OUT)'!D71:D74))</f>
        <v>0</v>
      </c>
      <c r="AS65" s="66">
        <f>IF($AD65="N","N",SUM('調查資料(OUT)'!G71:G74))</f>
        <v>0</v>
      </c>
      <c r="AT65" s="66">
        <f>IF($AD65="N","N",SUM('調查資料(OUT)'!K71:K74))</f>
        <v>0</v>
      </c>
      <c r="AU65" s="383" t="e">
        <f t="shared" si="81"/>
        <v>#DIV/0!</v>
      </c>
      <c r="AV65" s="66">
        <f t="shared" si="38"/>
        <v>0</v>
      </c>
      <c r="AW65" s="383" t="e">
        <f t="shared" si="39"/>
        <v>#DIV/0!</v>
      </c>
      <c r="AX65" s="66">
        <f t="shared" si="40"/>
        <v>0</v>
      </c>
      <c r="AY65" s="383" t="e">
        <f t="shared" si="41"/>
        <v>#DIV/0!</v>
      </c>
      <c r="AZ65" s="66">
        <f t="shared" si="42"/>
        <v>0</v>
      </c>
      <c r="BA65" s="383" t="e">
        <f t="shared" si="43"/>
        <v>#DIV/0!</v>
      </c>
      <c r="BB65" s="316">
        <f t="shared" si="44"/>
        <v>0</v>
      </c>
      <c r="BC65" s="309">
        <f t="shared" si="82"/>
        <v>0</v>
      </c>
      <c r="BD65" s="66">
        <f>IF($AD65="N","N",SUM('調查資料(OUT)'!L71:L74))</f>
        <v>0</v>
      </c>
      <c r="BE65" s="66">
        <f>IF($AD65="N","N",SUM('調查資料(OUT)'!O71:O74))</f>
        <v>0</v>
      </c>
      <c r="BF65" s="66">
        <f>IF($AD65="N","N",SUM('調查資料(OUT)'!S71:S74))</f>
        <v>0</v>
      </c>
      <c r="BG65" s="66">
        <f>IF($AD65="N","N",SUM('調查資料(OUT)'!R71:R74))</f>
        <v>0</v>
      </c>
      <c r="BH65" s="383" t="e">
        <f t="shared" si="83"/>
        <v>#DIV/0!</v>
      </c>
      <c r="BI65" s="66">
        <f t="shared" si="84"/>
        <v>0</v>
      </c>
      <c r="BJ65" s="66">
        <f>IF($AD65="N","N",SUM('調查資料(OUT)'!M71:M74))</f>
        <v>0</v>
      </c>
      <c r="BK65" s="66">
        <f>IF($AD65="N","N",SUM('調查資料(OUT)'!P71:P74))</f>
        <v>0</v>
      </c>
      <c r="BL65" s="66">
        <f>IF($AD65="N","N",SUM('調查資料(OUT)'!T71:T74))</f>
        <v>0</v>
      </c>
      <c r="BM65" s="383" t="e">
        <f t="shared" si="85"/>
        <v>#DIV/0!</v>
      </c>
      <c r="BN65" s="66">
        <f t="shared" si="86"/>
        <v>0</v>
      </c>
      <c r="BO65" s="66">
        <f>IF($AD65="N","N",SUM('調查資料(OUT)'!N71:N74))</f>
        <v>0</v>
      </c>
      <c r="BP65" s="66">
        <f>IF($AD65="N","N",SUM('調查資料(OUT)'!Q71:Q74))</f>
        <v>0</v>
      </c>
      <c r="BQ65" s="66">
        <f>IF($AD65="N","N",SUM('調查資料(OUT)'!U71:U74))</f>
        <v>0</v>
      </c>
      <c r="BR65" s="383" t="e">
        <f t="shared" si="87"/>
        <v>#DIV/0!</v>
      </c>
      <c r="BS65" s="66">
        <f t="shared" si="45"/>
        <v>0</v>
      </c>
      <c r="BT65" s="383" t="e">
        <f t="shared" si="46"/>
        <v>#DIV/0!</v>
      </c>
      <c r="BU65" s="66">
        <f t="shared" si="47"/>
        <v>0</v>
      </c>
      <c r="BV65" s="383" t="e">
        <f t="shared" si="48"/>
        <v>#DIV/0!</v>
      </c>
      <c r="BW65" s="66">
        <f t="shared" si="49"/>
        <v>0</v>
      </c>
      <c r="BX65" s="383" t="e">
        <f t="shared" si="50"/>
        <v>#DIV/0!</v>
      </c>
      <c r="BY65" s="316">
        <f t="shared" si="51"/>
        <v>0</v>
      </c>
      <c r="BZ65" s="309">
        <f t="shared" si="88"/>
        <v>0</v>
      </c>
      <c r="CA65" s="66">
        <f>IF($AD65="N","N",SUM('調查資料(OUT)'!V71:V74))</f>
        <v>0</v>
      </c>
      <c r="CB65" s="66">
        <f>IF($AD65="N","N",SUM('調查資料(OUT)'!Y71:Y74))</f>
        <v>0</v>
      </c>
      <c r="CC65" s="66">
        <f>IF($AD65="N","N",SUM('調查資料(OUT)'!AC71:AC74))</f>
        <v>0</v>
      </c>
      <c r="CD65" s="66">
        <f>IF($AD65="N","N",SUM('調查資料(OUT)'!AB71:AB74))</f>
        <v>0</v>
      </c>
      <c r="CE65" s="383" t="e">
        <f t="shared" si="89"/>
        <v>#DIV/0!</v>
      </c>
      <c r="CF65" s="66">
        <f t="shared" si="90"/>
        <v>0</v>
      </c>
      <c r="CG65" s="66">
        <f>IF($AD65="N","N",SUM('調查資料(OUT)'!W71:W74))</f>
        <v>0</v>
      </c>
      <c r="CH65" s="66">
        <f>IF($AD65="N","N",SUM('調查資料(OUT)'!Z71:Z74))</f>
        <v>0</v>
      </c>
      <c r="CI65" s="66">
        <f>IF($AD65="N","N",SUM('調查資料(OUT)'!AD71:AD74))</f>
        <v>0</v>
      </c>
      <c r="CJ65" s="383" t="e">
        <f t="shared" si="91"/>
        <v>#DIV/0!</v>
      </c>
      <c r="CK65" s="66">
        <f t="shared" si="92"/>
        <v>0</v>
      </c>
      <c r="CL65" s="66">
        <f>IF($AD65="N","N",SUM('調查資料(OUT)'!X71:X74))</f>
        <v>0</v>
      </c>
      <c r="CM65" s="66">
        <f>IF($AD65="N","N",SUM('調查資料(OUT)'!AA71:AA74))</f>
        <v>0</v>
      </c>
      <c r="CN65" s="66">
        <f>IF($AD65="N","N",SUM('調查資料(OUT)'!AE71:AE74))</f>
        <v>0</v>
      </c>
      <c r="CO65" s="383" t="e">
        <f t="shared" si="93"/>
        <v>#DIV/0!</v>
      </c>
      <c r="CP65" s="66">
        <f t="shared" si="52"/>
        <v>0</v>
      </c>
      <c r="CQ65" s="383" t="e">
        <f t="shared" si="53"/>
        <v>#DIV/0!</v>
      </c>
      <c r="CR65" s="66">
        <f t="shared" si="54"/>
        <v>0</v>
      </c>
      <c r="CS65" s="383" t="e">
        <f t="shared" si="55"/>
        <v>#DIV/0!</v>
      </c>
      <c r="CT65" s="66">
        <f t="shared" si="56"/>
        <v>0</v>
      </c>
      <c r="CU65" s="383" t="e">
        <f t="shared" si="57"/>
        <v>#DIV/0!</v>
      </c>
      <c r="CV65" s="316">
        <f t="shared" si="58"/>
        <v>0</v>
      </c>
      <c r="CW65" s="309">
        <f t="shared" si="94"/>
        <v>0</v>
      </c>
      <c r="CX65" s="66">
        <f>IF($AD65="N","N",SUM('調查資料(OUT)'!AF71:AF74))</f>
        <v>0</v>
      </c>
      <c r="CY65" s="66">
        <f>IF($AD65="N","N",SUM('調查資料(OUT)'!AI71:AI74))</f>
        <v>0</v>
      </c>
      <c r="CZ65" s="66">
        <f>IF($AD65="N","N",SUM('調查資料(OUT)'!AM71:AM74))</f>
        <v>0</v>
      </c>
      <c r="DA65" s="66">
        <f>IF($AD65="N","N",SUM('調查資料(OUT)'!AL71:AL74))</f>
        <v>0</v>
      </c>
      <c r="DB65" s="383" t="e">
        <f t="shared" si="95"/>
        <v>#DIV/0!</v>
      </c>
      <c r="DC65" s="66">
        <f t="shared" si="96"/>
        <v>0</v>
      </c>
      <c r="DD65" s="66">
        <f>IF($AD65="N","N",SUM('調查資料(OUT)'!AG71:AG74))</f>
        <v>0</v>
      </c>
      <c r="DE65" s="66">
        <f>IF($AD65="N","N",SUM('調查資料(OUT)'!AJ71:AJ74))</f>
        <v>0</v>
      </c>
      <c r="DF65" s="66">
        <f>IF($AD65="N","N",SUM('調查資料(OUT)'!AN71:AN74))</f>
        <v>0</v>
      </c>
      <c r="DG65" s="383" t="e">
        <f t="shared" si="97"/>
        <v>#DIV/0!</v>
      </c>
      <c r="DH65" s="66">
        <f t="shared" si="98"/>
        <v>0</v>
      </c>
      <c r="DI65" s="66">
        <f>IF($AD65="N","N",SUM('調查資料(OUT)'!AH71:AH74))</f>
        <v>0</v>
      </c>
      <c r="DJ65" s="66">
        <f>IF($AD65="N","N",SUM('調查資料(OUT)'!AK71:AK74))</f>
        <v>0</v>
      </c>
      <c r="DK65" s="66">
        <f>IF($AD65="N","N",SUM('調查資料(OUT)'!AO71:AO74))</f>
        <v>0</v>
      </c>
      <c r="DL65" s="383" t="e">
        <f t="shared" si="99"/>
        <v>#DIV/0!</v>
      </c>
      <c r="DM65" s="66">
        <f t="shared" si="59"/>
        <v>0</v>
      </c>
      <c r="DN65" s="383" t="e">
        <f t="shared" si="60"/>
        <v>#DIV/0!</v>
      </c>
      <c r="DO65" s="66">
        <f t="shared" si="61"/>
        <v>0</v>
      </c>
      <c r="DP65" s="383" t="e">
        <f t="shared" si="62"/>
        <v>#DIV/0!</v>
      </c>
      <c r="DQ65" s="66">
        <f t="shared" si="63"/>
        <v>0</v>
      </c>
      <c r="DR65" s="383" t="e">
        <f t="shared" si="64"/>
        <v>#DIV/0!</v>
      </c>
      <c r="DS65" s="316">
        <f t="shared" si="65"/>
        <v>0</v>
      </c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</row>
    <row r="66" spans="1:170">
      <c r="A66" s="118">
        <f>'調查資料(OUT)'!A72</f>
        <v>1515</v>
      </c>
      <c r="B66" s="309">
        <f t="shared" si="129"/>
        <v>0</v>
      </c>
      <c r="C66" s="66">
        <f>IFERROR('調查資料(OUT)'!B$1*'調查資料(OUT)'!B72,0)+IFERROR('調查資料(OUT)'!E$1*'調查資料(OUT)'!E72,0)+IFERROR('調查資料(OUT)'!H$1*'調查資料(OUT)'!H72,0)+IFERROR('調查資料(OUT)'!I$1*'調查資料(OUT)'!I72,0)</f>
        <v>0</v>
      </c>
      <c r="D66" s="66">
        <f>IFERROR('調查資料(OUT)'!C$1*'調查資料(OUT)'!C72,0)+IFERROR('調查資料(OUT)'!F$1*'調查資料(OUT)'!F72,0)+IFERROR('調查資料(OUT)'!J$1*'調查資料(OUT)'!J72,0)</f>
        <v>0</v>
      </c>
      <c r="E66" s="316">
        <f>IFERROR('調查資料(OUT)'!D$1*'調查資料(OUT)'!D72,0)+IFERROR('調查資料(OUT)'!G$1*'調查資料(OUT)'!G72,0)+IFERROR('調查資料(OUT)'!K$1*'調查資料(OUT)'!K72,0)</f>
        <v>0</v>
      </c>
      <c r="F66" s="309">
        <f t="shared" si="130"/>
        <v>0</v>
      </c>
      <c r="G66" s="66">
        <f>IFERROR('調查資料(OUT)'!L$1*'調查資料(OUT)'!L72,0)+IFERROR('調查資料(OUT)'!O$1*'調查資料(OUT)'!O72,0)+IFERROR('調查資料(OUT)'!R$1*'調查資料(OUT)'!R72,0)+IFERROR('調查資料(OUT)'!S$1*'調查資料(OUT)'!S72,0)</f>
        <v>0</v>
      </c>
      <c r="H66" s="66">
        <f>IFERROR('調查資料(OUT)'!M$1*'調查資料(OUT)'!M72,0)+IFERROR('調查資料(OUT)'!P$1*'調查資料(OUT)'!P72,0)+IFERROR('調查資料(OUT)'!T$1*'調查資料(OUT)'!T72,0)</f>
        <v>0</v>
      </c>
      <c r="I66" s="316">
        <f>IFERROR('調查資料(OUT)'!N$1*'調查資料(OUT)'!N72,0)+IFERROR('調查資料(OUT)'!Q$1*'調查資料(OUT)'!Q72,0)+IFERROR('調查資料(OUT)'!U$1*'調查資料(OUT)'!U72,0)</f>
        <v>0</v>
      </c>
      <c r="J66" s="309">
        <f t="shared" si="24"/>
        <v>0</v>
      </c>
      <c r="K66" s="66">
        <f>IFERROR('調查資料(OUT)'!V$1*'調查資料(OUT)'!V72,0)+IFERROR('調查資料(OUT)'!Y$1*'調查資料(OUT)'!Y72,0)+IFERROR('調查資料(OUT)'!AB$1*'調查資料(OUT)'!AB72,0)+IFERROR('調查資料(OUT)'!AC$1*'調查資料(OUT)'!AC72,0)</f>
        <v>0</v>
      </c>
      <c r="L66" s="66">
        <f>IFERROR('調查資料(OUT)'!W$1*'調查資料(OUT)'!W72,0)+IFERROR('調查資料(OUT)'!Z$1*'調查資料(OUT)'!Z72,0)+IFERROR('調查資料(OUT)'!AD$1*'調查資料(OUT)'!AD72,0)</f>
        <v>0</v>
      </c>
      <c r="M66" s="316">
        <f>IFERROR('調查資料(OUT)'!X$1*'調查資料(OUT)'!X72,0)+IFERROR('調查資料(OUT)'!AA$1*'調查資料(OUT)'!AA72,0)+IFERROR('調查資料(OUT)'!AE$1*'調查資料(OUT)'!AE72,0)</f>
        <v>0</v>
      </c>
      <c r="N66" s="309">
        <f t="shared" si="25"/>
        <v>0</v>
      </c>
      <c r="O66" s="66">
        <f>IFERROR('調查資料(OUT)'!AF$1*'調查資料(OUT)'!AF72,0)+IFERROR('調查資料(OUT)'!AI$1*'調查資料(OUT)'!AI72,0)+IFERROR('調查資料(OUT)'!AL$1*'調查資料(OUT)'!AL72,0)+IFERROR('調查資料(OUT)'!AM$1*'調查資料(OUT)'!AM72,0)</f>
        <v>0</v>
      </c>
      <c r="P66" s="66">
        <f>IFERROR('調查資料(OUT)'!AG$1*'調查資料(OUT)'!AG72,0)+IFERROR('調查資料(OUT)'!AJ$1*'調查資料(OUT)'!AJ72,0)+IFERROR('調查資料(OUT)'!AN$1*'調查資料(OUT)'!AN72,0)</f>
        <v>0</v>
      </c>
      <c r="Q66" s="316">
        <f>IFERROR('調查資料(OUT)'!AH$1*'調查資料(OUT)'!AH72,0)+IFERROR('調查資料(OUT)'!AK$1*'調查資料(OUT)'!AK72,0)+IFERROR('調查資料(OUT)'!AO$1*'調查資料(OUT)'!AO72,0)</f>
        <v>0</v>
      </c>
      <c r="R66" s="133">
        <f t="shared" si="131"/>
        <v>0</v>
      </c>
      <c r="S66" s="131"/>
      <c r="T66" s="366">
        <f>'調查資料(OUT)'!A72</f>
        <v>1515</v>
      </c>
      <c r="U66" s="101">
        <f t="shared" si="132"/>
        <v>1615</v>
      </c>
      <c r="V66" s="66">
        <f t="shared" si="133"/>
        <v>0</v>
      </c>
      <c r="W66" s="66"/>
      <c r="X66" s="66">
        <f t="shared" si="124"/>
        <v>0</v>
      </c>
      <c r="Y66" s="379" t="e">
        <f>IF($V66=W$57,SUM(B66:B69)/(4*(MAX(B66:B69))),0)</f>
        <v>#DIV/0!</v>
      </c>
      <c r="Z66" s="379" t="e">
        <f>IF($V66=W$57,SUM(F66:F69)/(4*(MAX(F66:F69))),0)</f>
        <v>#DIV/0!</v>
      </c>
      <c r="AA66" s="379" t="e">
        <f>IF($V66=W$57,SUM(J66:J69)/(4*(MAX(J66:J69))),0)</f>
        <v>#DIV/0!</v>
      </c>
      <c r="AB66" s="379" t="e">
        <f>IF($V66=W$57,SUM(N66:N69)/(4*(MAX(N66:N69))),0)</f>
        <v>#DIV/0!</v>
      </c>
      <c r="AC66" s="382"/>
      <c r="AD66" s="66">
        <f>IF(V66=W$57,$T66,"N")</f>
        <v>1515</v>
      </c>
      <c r="AE66" s="316">
        <f>IF(V66=W$57,$U66,"N")</f>
        <v>1615</v>
      </c>
      <c r="AF66" s="309">
        <f>IF($AD66="N","N",SUM(C66:C69))</f>
        <v>0</v>
      </c>
      <c r="AG66" s="66">
        <f>IF($AD66="N","N",SUM('調查資料(OUT)'!B72:B75))</f>
        <v>0</v>
      </c>
      <c r="AH66" s="66">
        <f>IF($AD66="N","N",SUM('調查資料(OUT)'!E72:E75))</f>
        <v>0</v>
      </c>
      <c r="AI66" s="66">
        <f>IF($AD66="N","N",SUM('調查資料(OUT)'!I72:I75))</f>
        <v>0</v>
      </c>
      <c r="AJ66" s="66">
        <f>IF($AD66="N","N",SUM('調查資料(OUT)'!H72:H75))</f>
        <v>0</v>
      </c>
      <c r="AK66" s="383" t="e">
        <f t="shared" si="77"/>
        <v>#DIV/0!</v>
      </c>
      <c r="AL66" s="66">
        <f t="shared" si="78"/>
        <v>0</v>
      </c>
      <c r="AM66" s="66">
        <f>IF($AD66="N","N",SUM('調查資料(OUT)'!C72:C75))</f>
        <v>0</v>
      </c>
      <c r="AN66" s="66">
        <f>IF($AD66="N","N",SUM('調查資料(OUT)'!F72:F75))</f>
        <v>0</v>
      </c>
      <c r="AO66" s="66">
        <f>IF($AD66="N","N",SUM('調查資料(OUT)'!J72:J75))</f>
        <v>0</v>
      </c>
      <c r="AP66" s="383" t="e">
        <f t="shared" si="79"/>
        <v>#DIV/0!</v>
      </c>
      <c r="AQ66" s="66">
        <f t="shared" si="80"/>
        <v>0</v>
      </c>
      <c r="AR66" s="66">
        <f>IF($AD66="N","N",SUM('調查資料(OUT)'!D72:D75))</f>
        <v>0</v>
      </c>
      <c r="AS66" s="66">
        <f>IF($AD66="N","N",SUM('調查資料(OUT)'!G72:G75))</f>
        <v>0</v>
      </c>
      <c r="AT66" s="66">
        <f>IF($AD66="N","N",SUM('調查資料(OUT)'!K72:K75))</f>
        <v>0</v>
      </c>
      <c r="AU66" s="383" t="e">
        <f t="shared" si="81"/>
        <v>#DIV/0!</v>
      </c>
      <c r="AV66" s="66">
        <f t="shared" si="38"/>
        <v>0</v>
      </c>
      <c r="AW66" s="383" t="e">
        <f t="shared" si="39"/>
        <v>#DIV/0!</v>
      </c>
      <c r="AX66" s="66">
        <f t="shared" si="40"/>
        <v>0</v>
      </c>
      <c r="AY66" s="383" t="e">
        <f t="shared" si="41"/>
        <v>#DIV/0!</v>
      </c>
      <c r="AZ66" s="66">
        <f t="shared" si="42"/>
        <v>0</v>
      </c>
      <c r="BA66" s="383" t="e">
        <f t="shared" si="43"/>
        <v>#DIV/0!</v>
      </c>
      <c r="BB66" s="316">
        <f t="shared" si="44"/>
        <v>0</v>
      </c>
      <c r="BC66" s="309">
        <f t="shared" si="82"/>
        <v>0</v>
      </c>
      <c r="BD66" s="66">
        <f>IF($AD66="N","N",SUM('調查資料(OUT)'!L72:L75))</f>
        <v>0</v>
      </c>
      <c r="BE66" s="66">
        <f>IF($AD66="N","N",SUM('調查資料(OUT)'!O72:O75))</f>
        <v>0</v>
      </c>
      <c r="BF66" s="66">
        <f>IF($AD66="N","N",SUM('調查資料(OUT)'!S72:S75))</f>
        <v>0</v>
      </c>
      <c r="BG66" s="66">
        <f>IF($AD66="N","N",SUM('調查資料(OUT)'!R72:R75))</f>
        <v>0</v>
      </c>
      <c r="BH66" s="383" t="e">
        <f t="shared" si="83"/>
        <v>#DIV/0!</v>
      </c>
      <c r="BI66" s="66">
        <f t="shared" si="84"/>
        <v>0</v>
      </c>
      <c r="BJ66" s="66">
        <f>IF($AD66="N","N",SUM('調查資料(OUT)'!M72:M75))</f>
        <v>0</v>
      </c>
      <c r="BK66" s="66">
        <f>IF($AD66="N","N",SUM('調查資料(OUT)'!P72:P75))</f>
        <v>0</v>
      </c>
      <c r="BL66" s="66">
        <f>IF($AD66="N","N",SUM('調查資料(OUT)'!T72:T75))</f>
        <v>0</v>
      </c>
      <c r="BM66" s="383" t="e">
        <f t="shared" si="85"/>
        <v>#DIV/0!</v>
      </c>
      <c r="BN66" s="66">
        <f t="shared" si="86"/>
        <v>0</v>
      </c>
      <c r="BO66" s="66">
        <f>IF($AD66="N","N",SUM('調查資料(OUT)'!N72:N75))</f>
        <v>0</v>
      </c>
      <c r="BP66" s="66">
        <f>IF($AD66="N","N",SUM('調查資料(OUT)'!Q72:Q75))</f>
        <v>0</v>
      </c>
      <c r="BQ66" s="66">
        <f>IF($AD66="N","N",SUM('調查資料(OUT)'!U72:U75))</f>
        <v>0</v>
      </c>
      <c r="BR66" s="383" t="e">
        <f t="shared" si="87"/>
        <v>#DIV/0!</v>
      </c>
      <c r="BS66" s="66">
        <f t="shared" si="45"/>
        <v>0</v>
      </c>
      <c r="BT66" s="383" t="e">
        <f t="shared" si="46"/>
        <v>#DIV/0!</v>
      </c>
      <c r="BU66" s="66">
        <f t="shared" si="47"/>
        <v>0</v>
      </c>
      <c r="BV66" s="383" t="e">
        <f t="shared" si="48"/>
        <v>#DIV/0!</v>
      </c>
      <c r="BW66" s="66">
        <f t="shared" si="49"/>
        <v>0</v>
      </c>
      <c r="BX66" s="383" t="e">
        <f t="shared" si="50"/>
        <v>#DIV/0!</v>
      </c>
      <c r="BY66" s="316">
        <f t="shared" si="51"/>
        <v>0</v>
      </c>
      <c r="BZ66" s="309">
        <f t="shared" si="88"/>
        <v>0</v>
      </c>
      <c r="CA66" s="66">
        <f>IF($AD66="N","N",SUM('調查資料(OUT)'!V72:V75))</f>
        <v>0</v>
      </c>
      <c r="CB66" s="66">
        <f>IF($AD66="N","N",SUM('調查資料(OUT)'!Y72:Y75))</f>
        <v>0</v>
      </c>
      <c r="CC66" s="66">
        <f>IF($AD66="N","N",SUM('調查資料(OUT)'!AC72:AC75))</f>
        <v>0</v>
      </c>
      <c r="CD66" s="66">
        <f>IF($AD66="N","N",SUM('調查資料(OUT)'!AB72:AB75))</f>
        <v>0</v>
      </c>
      <c r="CE66" s="383" t="e">
        <f t="shared" si="89"/>
        <v>#DIV/0!</v>
      </c>
      <c r="CF66" s="66">
        <f t="shared" si="90"/>
        <v>0</v>
      </c>
      <c r="CG66" s="66">
        <f>IF($AD66="N","N",SUM('調查資料(OUT)'!W72:W75))</f>
        <v>0</v>
      </c>
      <c r="CH66" s="66">
        <f>IF($AD66="N","N",SUM('調查資料(OUT)'!Z72:Z75))</f>
        <v>0</v>
      </c>
      <c r="CI66" s="66">
        <f>IF($AD66="N","N",SUM('調查資料(OUT)'!AD72:AD75))</f>
        <v>0</v>
      </c>
      <c r="CJ66" s="383" t="e">
        <f t="shared" si="91"/>
        <v>#DIV/0!</v>
      </c>
      <c r="CK66" s="66">
        <f t="shared" si="92"/>
        <v>0</v>
      </c>
      <c r="CL66" s="66">
        <f>IF($AD66="N","N",SUM('調查資料(OUT)'!X72:X75))</f>
        <v>0</v>
      </c>
      <c r="CM66" s="66">
        <f>IF($AD66="N","N",SUM('調查資料(OUT)'!AA72:AA75))</f>
        <v>0</v>
      </c>
      <c r="CN66" s="66">
        <f>IF($AD66="N","N",SUM('調查資料(OUT)'!AE72:AE75))</f>
        <v>0</v>
      </c>
      <c r="CO66" s="383" t="e">
        <f t="shared" si="93"/>
        <v>#DIV/0!</v>
      </c>
      <c r="CP66" s="66">
        <f t="shared" si="52"/>
        <v>0</v>
      </c>
      <c r="CQ66" s="383" t="e">
        <f t="shared" si="53"/>
        <v>#DIV/0!</v>
      </c>
      <c r="CR66" s="66">
        <f t="shared" si="54"/>
        <v>0</v>
      </c>
      <c r="CS66" s="383" t="e">
        <f t="shared" si="55"/>
        <v>#DIV/0!</v>
      </c>
      <c r="CT66" s="66">
        <f t="shared" si="56"/>
        <v>0</v>
      </c>
      <c r="CU66" s="383" t="e">
        <f t="shared" si="57"/>
        <v>#DIV/0!</v>
      </c>
      <c r="CV66" s="316">
        <f t="shared" si="58"/>
        <v>0</v>
      </c>
      <c r="CW66" s="309">
        <f t="shared" si="94"/>
        <v>0</v>
      </c>
      <c r="CX66" s="66">
        <f>IF($AD66="N","N",SUM('調查資料(OUT)'!AF72:AF75))</f>
        <v>0</v>
      </c>
      <c r="CY66" s="66">
        <f>IF($AD66="N","N",SUM('調查資料(OUT)'!AI72:AI75))</f>
        <v>0</v>
      </c>
      <c r="CZ66" s="66">
        <f>IF($AD66="N","N",SUM('調查資料(OUT)'!AM72:AM75))</f>
        <v>0</v>
      </c>
      <c r="DA66" s="66">
        <f>IF($AD66="N","N",SUM('調查資料(OUT)'!AL72:AL75))</f>
        <v>0</v>
      </c>
      <c r="DB66" s="383" t="e">
        <f t="shared" si="95"/>
        <v>#DIV/0!</v>
      </c>
      <c r="DC66" s="66">
        <f t="shared" si="96"/>
        <v>0</v>
      </c>
      <c r="DD66" s="66">
        <f>IF($AD66="N","N",SUM('調查資料(OUT)'!AG72:AG75))</f>
        <v>0</v>
      </c>
      <c r="DE66" s="66">
        <f>IF($AD66="N","N",SUM('調查資料(OUT)'!AJ72:AJ75))</f>
        <v>0</v>
      </c>
      <c r="DF66" s="66">
        <f>IF($AD66="N","N",SUM('調查資料(OUT)'!AN72:AN75))</f>
        <v>0</v>
      </c>
      <c r="DG66" s="383" t="e">
        <f t="shared" si="97"/>
        <v>#DIV/0!</v>
      </c>
      <c r="DH66" s="66">
        <f t="shared" si="98"/>
        <v>0</v>
      </c>
      <c r="DI66" s="66">
        <f>IF($AD66="N","N",SUM('調查資料(OUT)'!AH72:AH75))</f>
        <v>0</v>
      </c>
      <c r="DJ66" s="66">
        <f>IF($AD66="N","N",SUM('調查資料(OUT)'!AK72:AK75))</f>
        <v>0</v>
      </c>
      <c r="DK66" s="66">
        <f>IF($AD66="N","N",SUM('調查資料(OUT)'!AO72:AO75))</f>
        <v>0</v>
      </c>
      <c r="DL66" s="383" t="e">
        <f t="shared" si="99"/>
        <v>#DIV/0!</v>
      </c>
      <c r="DM66" s="66">
        <f t="shared" si="59"/>
        <v>0</v>
      </c>
      <c r="DN66" s="383" t="e">
        <f t="shared" si="60"/>
        <v>#DIV/0!</v>
      </c>
      <c r="DO66" s="66">
        <f t="shared" si="61"/>
        <v>0</v>
      </c>
      <c r="DP66" s="383" t="e">
        <f t="shared" si="62"/>
        <v>#DIV/0!</v>
      </c>
      <c r="DQ66" s="66">
        <f t="shared" si="63"/>
        <v>0</v>
      </c>
      <c r="DR66" s="383" t="e">
        <f t="shared" si="64"/>
        <v>#DIV/0!</v>
      </c>
      <c r="DS66" s="316">
        <f t="shared" si="65"/>
        <v>0</v>
      </c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</row>
    <row r="67" spans="1:170">
      <c r="A67" s="118">
        <f>'調查資料(OUT)'!A73</f>
        <v>1530</v>
      </c>
      <c r="B67" s="309">
        <f t="shared" si="129"/>
        <v>0</v>
      </c>
      <c r="C67" s="66">
        <f>IFERROR('調查資料(OUT)'!B$1*'調查資料(OUT)'!B73,0)+IFERROR('調查資料(OUT)'!E$1*'調查資料(OUT)'!E73,0)+IFERROR('調查資料(OUT)'!H$1*'調查資料(OUT)'!H73,0)+IFERROR('調查資料(OUT)'!I$1*'調查資料(OUT)'!I73,0)</f>
        <v>0</v>
      </c>
      <c r="D67" s="66">
        <f>IFERROR('調查資料(OUT)'!C$1*'調查資料(OUT)'!C73,0)+IFERROR('調查資料(OUT)'!F$1*'調查資料(OUT)'!F73,0)+IFERROR('調查資料(OUT)'!J$1*'調查資料(OUT)'!J73,0)</f>
        <v>0</v>
      </c>
      <c r="E67" s="316">
        <f>IFERROR('調查資料(OUT)'!D$1*'調查資料(OUT)'!D73,0)+IFERROR('調查資料(OUT)'!G$1*'調查資料(OUT)'!G73,0)+IFERROR('調查資料(OUT)'!K$1*'調查資料(OUT)'!K73,0)</f>
        <v>0</v>
      </c>
      <c r="F67" s="309">
        <f t="shared" si="130"/>
        <v>0</v>
      </c>
      <c r="G67" s="66">
        <f>IFERROR('調查資料(OUT)'!L$1*'調查資料(OUT)'!L73,0)+IFERROR('調查資料(OUT)'!O$1*'調查資料(OUT)'!O73,0)+IFERROR('調查資料(OUT)'!R$1*'調查資料(OUT)'!R73,0)+IFERROR('調查資料(OUT)'!S$1*'調查資料(OUT)'!S73,0)</f>
        <v>0</v>
      </c>
      <c r="H67" s="66">
        <f>IFERROR('調查資料(OUT)'!M$1*'調查資料(OUT)'!M73,0)+IFERROR('調查資料(OUT)'!P$1*'調查資料(OUT)'!P73,0)+IFERROR('調查資料(OUT)'!T$1*'調查資料(OUT)'!T73,0)</f>
        <v>0</v>
      </c>
      <c r="I67" s="316">
        <f>IFERROR('調查資料(OUT)'!N$1*'調查資料(OUT)'!N73,0)+IFERROR('調查資料(OUT)'!Q$1*'調查資料(OUT)'!Q73,0)+IFERROR('調查資料(OUT)'!U$1*'調查資料(OUT)'!U73,0)</f>
        <v>0</v>
      </c>
      <c r="J67" s="309">
        <f t="shared" si="24"/>
        <v>0</v>
      </c>
      <c r="K67" s="66">
        <f>IFERROR('調查資料(OUT)'!V$1*'調查資料(OUT)'!V73,0)+IFERROR('調查資料(OUT)'!Y$1*'調查資料(OUT)'!Y73,0)+IFERROR('調查資料(OUT)'!AB$1*'調查資料(OUT)'!AB73,0)+IFERROR('調查資料(OUT)'!AC$1*'調查資料(OUT)'!AC73,0)</f>
        <v>0</v>
      </c>
      <c r="L67" s="66">
        <f>IFERROR('調查資料(OUT)'!W$1*'調查資料(OUT)'!W73,0)+IFERROR('調查資料(OUT)'!Z$1*'調查資料(OUT)'!Z73,0)+IFERROR('調查資料(OUT)'!AD$1*'調查資料(OUT)'!AD73,0)</f>
        <v>0</v>
      </c>
      <c r="M67" s="316">
        <f>IFERROR('調查資料(OUT)'!X$1*'調查資料(OUT)'!X73,0)+IFERROR('調查資料(OUT)'!AA$1*'調查資料(OUT)'!AA73,0)+IFERROR('調查資料(OUT)'!AE$1*'調查資料(OUT)'!AE73,0)</f>
        <v>0</v>
      </c>
      <c r="N67" s="309">
        <f t="shared" si="25"/>
        <v>0</v>
      </c>
      <c r="O67" s="66">
        <f>IFERROR('調查資料(OUT)'!AF$1*'調查資料(OUT)'!AF73,0)+IFERROR('調查資料(OUT)'!AI$1*'調查資料(OUT)'!AI73,0)+IFERROR('調查資料(OUT)'!AL$1*'調查資料(OUT)'!AL73,0)+IFERROR('調查資料(OUT)'!AM$1*'調查資料(OUT)'!AM73,0)</f>
        <v>0</v>
      </c>
      <c r="P67" s="66">
        <f>IFERROR('調查資料(OUT)'!AG$1*'調查資料(OUT)'!AG73,0)+IFERROR('調查資料(OUT)'!AJ$1*'調查資料(OUT)'!AJ73,0)+IFERROR('調查資料(OUT)'!AN$1*'調查資料(OUT)'!AN73,0)</f>
        <v>0</v>
      </c>
      <c r="Q67" s="316">
        <f>IFERROR('調查資料(OUT)'!AH$1*'調查資料(OUT)'!AH73,0)+IFERROR('調查資料(OUT)'!AK$1*'調查資料(OUT)'!AK73,0)+IFERROR('調查資料(OUT)'!AO$1*'調查資料(OUT)'!AO73,0)</f>
        <v>0</v>
      </c>
      <c r="R67" s="133">
        <f t="shared" si="131"/>
        <v>0</v>
      </c>
      <c r="S67" s="131"/>
      <c r="T67" s="366">
        <f>'調查資料(OUT)'!A73</f>
        <v>1530</v>
      </c>
      <c r="U67" s="101">
        <f t="shared" si="132"/>
        <v>1630</v>
      </c>
      <c r="V67" s="66">
        <f t="shared" si="133"/>
        <v>0</v>
      </c>
      <c r="W67" s="66"/>
      <c r="X67" s="66">
        <f t="shared" ref="X67:X68" si="137">IF($V67=$W$41,MAX(R67:R70),0)</f>
        <v>0</v>
      </c>
      <c r="Y67" s="379" t="e">
        <f t="shared" ref="Y67:Y68" si="138">IF($V67=W$57,SUM(B67:B70)/(4*(MAX(B67:B70))),0)</f>
        <v>#DIV/0!</v>
      </c>
      <c r="Z67" s="379" t="e">
        <f t="shared" ref="Z67:Z68" si="139">IF($V67=W$57,SUM(F67:F70)/(4*(MAX(F67:F70))),0)</f>
        <v>#DIV/0!</v>
      </c>
      <c r="AA67" s="379" t="e">
        <f t="shared" ref="AA67:AA68" si="140">IF($V67=W$57,SUM(J67:J70)/(4*(MAX(J67:J70))),0)</f>
        <v>#DIV/0!</v>
      </c>
      <c r="AB67" s="379" t="e">
        <f t="shared" ref="AB67:AB68" si="141">IF($V67=W$57,SUM(N67:N70)/(4*(MAX(N67:N70))),0)</f>
        <v>#DIV/0!</v>
      </c>
      <c r="AC67" s="382"/>
      <c r="AD67" s="66">
        <f t="shared" ref="AD67:AD68" si="142">IF(V67=W$57,$T67,"N")</f>
        <v>1530</v>
      </c>
      <c r="AE67" s="316">
        <f t="shared" ref="AE67:AE68" si="143">IF(V67=W$57,$U67,"N")</f>
        <v>1630</v>
      </c>
      <c r="AF67" s="309">
        <f>IF($AD67="N","N",SUM(C67:C70))</f>
        <v>0</v>
      </c>
      <c r="AG67" s="66">
        <f>IF($AD67="N","N",SUM('調查資料(OUT)'!B73:B76))</f>
        <v>0</v>
      </c>
      <c r="AH67" s="66">
        <f>IF($AD67="N","N",SUM('調查資料(OUT)'!E73:E76))</f>
        <v>0</v>
      </c>
      <c r="AI67" s="66">
        <f>IF($AD67="N","N",SUM('調查資料(OUT)'!I73:I76))</f>
        <v>0</v>
      </c>
      <c r="AJ67" s="66">
        <f>IF($AD67="N","N",SUM('調查資料(OUT)'!H73:H76))</f>
        <v>0</v>
      </c>
      <c r="AK67" s="383" t="e">
        <f t="shared" si="77"/>
        <v>#DIV/0!</v>
      </c>
      <c r="AL67" s="66">
        <f t="shared" si="78"/>
        <v>0</v>
      </c>
      <c r="AM67" s="66">
        <f>IF($AD67="N","N",SUM('調查資料(OUT)'!C73:C76))</f>
        <v>0</v>
      </c>
      <c r="AN67" s="66">
        <f>IF($AD67="N","N",SUM('調查資料(OUT)'!F73:F76))</f>
        <v>0</v>
      </c>
      <c r="AO67" s="66">
        <f>IF($AD67="N","N",SUM('調查資料(OUT)'!J73:J76))</f>
        <v>0</v>
      </c>
      <c r="AP67" s="383" t="e">
        <f t="shared" si="79"/>
        <v>#DIV/0!</v>
      </c>
      <c r="AQ67" s="66">
        <f t="shared" si="80"/>
        <v>0</v>
      </c>
      <c r="AR67" s="66">
        <f>IF($AD67="N","N",SUM('調查資料(OUT)'!D73:D76))</f>
        <v>0</v>
      </c>
      <c r="AS67" s="66">
        <f>IF($AD67="N","N",SUM('調查資料(OUT)'!G73:G76))</f>
        <v>0</v>
      </c>
      <c r="AT67" s="66">
        <f>IF($AD67="N","N",SUM('調查資料(OUT)'!K73:K76))</f>
        <v>0</v>
      </c>
      <c r="AU67" s="383" t="e">
        <f t="shared" si="81"/>
        <v>#DIV/0!</v>
      </c>
      <c r="AV67" s="66">
        <f t="shared" si="38"/>
        <v>0</v>
      </c>
      <c r="AW67" s="383" t="e">
        <f t="shared" si="39"/>
        <v>#DIV/0!</v>
      </c>
      <c r="AX67" s="66">
        <f t="shared" si="40"/>
        <v>0</v>
      </c>
      <c r="AY67" s="383" t="e">
        <f t="shared" si="41"/>
        <v>#DIV/0!</v>
      </c>
      <c r="AZ67" s="66">
        <f t="shared" si="42"/>
        <v>0</v>
      </c>
      <c r="BA67" s="383" t="e">
        <f t="shared" si="43"/>
        <v>#DIV/0!</v>
      </c>
      <c r="BB67" s="316">
        <f t="shared" si="44"/>
        <v>0</v>
      </c>
      <c r="BC67" s="309">
        <f t="shared" si="82"/>
        <v>0</v>
      </c>
      <c r="BD67" s="66">
        <f>IF($AD67="N","N",SUM('調查資料(OUT)'!L73:L76))</f>
        <v>0</v>
      </c>
      <c r="BE67" s="66">
        <f>IF($AD67="N","N",SUM('調查資料(OUT)'!O73:O76))</f>
        <v>0</v>
      </c>
      <c r="BF67" s="66">
        <f>IF($AD67="N","N",SUM('調查資料(OUT)'!S73:S76))</f>
        <v>0</v>
      </c>
      <c r="BG67" s="66">
        <f>IF($AD67="N","N",SUM('調查資料(OUT)'!R73:R76))</f>
        <v>0</v>
      </c>
      <c r="BH67" s="383" t="e">
        <f t="shared" si="83"/>
        <v>#DIV/0!</v>
      </c>
      <c r="BI67" s="66">
        <f t="shared" si="84"/>
        <v>0</v>
      </c>
      <c r="BJ67" s="66">
        <f>IF($AD67="N","N",SUM('調查資料(OUT)'!M73:M76))</f>
        <v>0</v>
      </c>
      <c r="BK67" s="66">
        <f>IF($AD67="N","N",SUM('調查資料(OUT)'!P73:P76))</f>
        <v>0</v>
      </c>
      <c r="BL67" s="66">
        <f>IF($AD67="N","N",SUM('調查資料(OUT)'!T73:T76))</f>
        <v>0</v>
      </c>
      <c r="BM67" s="383" t="e">
        <f t="shared" si="85"/>
        <v>#DIV/0!</v>
      </c>
      <c r="BN67" s="66">
        <f t="shared" si="86"/>
        <v>0</v>
      </c>
      <c r="BO67" s="66">
        <f>IF($AD67="N","N",SUM('調查資料(OUT)'!N73:N76))</f>
        <v>0</v>
      </c>
      <c r="BP67" s="66">
        <f>IF($AD67="N","N",SUM('調查資料(OUT)'!Q73:Q76))</f>
        <v>0</v>
      </c>
      <c r="BQ67" s="66">
        <f>IF($AD67="N","N",SUM('調查資料(OUT)'!U73:U76))</f>
        <v>0</v>
      </c>
      <c r="BR67" s="383" t="e">
        <f t="shared" si="87"/>
        <v>#DIV/0!</v>
      </c>
      <c r="BS67" s="66">
        <f t="shared" si="45"/>
        <v>0</v>
      </c>
      <c r="BT67" s="383" t="e">
        <f t="shared" si="46"/>
        <v>#DIV/0!</v>
      </c>
      <c r="BU67" s="66">
        <f t="shared" si="47"/>
        <v>0</v>
      </c>
      <c r="BV67" s="383" t="e">
        <f t="shared" si="48"/>
        <v>#DIV/0!</v>
      </c>
      <c r="BW67" s="66">
        <f t="shared" si="49"/>
        <v>0</v>
      </c>
      <c r="BX67" s="383" t="e">
        <f t="shared" si="50"/>
        <v>#DIV/0!</v>
      </c>
      <c r="BY67" s="316">
        <f t="shared" si="51"/>
        <v>0</v>
      </c>
      <c r="BZ67" s="309">
        <f t="shared" si="88"/>
        <v>0</v>
      </c>
      <c r="CA67" s="66">
        <f>IF($AD67="N","N",SUM('調查資料(OUT)'!V73:V76))</f>
        <v>0</v>
      </c>
      <c r="CB67" s="66">
        <f>IF($AD67="N","N",SUM('調查資料(OUT)'!Y73:Y76))</f>
        <v>0</v>
      </c>
      <c r="CC67" s="66">
        <f>IF($AD67="N","N",SUM('調查資料(OUT)'!AC73:AC76))</f>
        <v>0</v>
      </c>
      <c r="CD67" s="66">
        <f>IF($AD67="N","N",SUM('調查資料(OUT)'!AB73:AB76))</f>
        <v>0</v>
      </c>
      <c r="CE67" s="383" t="e">
        <f t="shared" si="89"/>
        <v>#DIV/0!</v>
      </c>
      <c r="CF67" s="66">
        <f t="shared" si="90"/>
        <v>0</v>
      </c>
      <c r="CG67" s="66">
        <f>IF($AD67="N","N",SUM('調查資料(OUT)'!W73:W76))</f>
        <v>0</v>
      </c>
      <c r="CH67" s="66">
        <f>IF($AD67="N","N",SUM('調查資料(OUT)'!Z73:Z76))</f>
        <v>0</v>
      </c>
      <c r="CI67" s="66">
        <f>IF($AD67="N","N",SUM('調查資料(OUT)'!AD73:AD76))</f>
        <v>0</v>
      </c>
      <c r="CJ67" s="383" t="e">
        <f t="shared" si="91"/>
        <v>#DIV/0!</v>
      </c>
      <c r="CK67" s="66">
        <f t="shared" si="92"/>
        <v>0</v>
      </c>
      <c r="CL67" s="66">
        <f>IF($AD67="N","N",SUM('調查資料(OUT)'!X73:X76))</f>
        <v>0</v>
      </c>
      <c r="CM67" s="66">
        <f>IF($AD67="N","N",SUM('調查資料(OUT)'!AA73:AA76))</f>
        <v>0</v>
      </c>
      <c r="CN67" s="66">
        <f>IF($AD67="N","N",SUM('調查資料(OUT)'!AE73:AE76))</f>
        <v>0</v>
      </c>
      <c r="CO67" s="383" t="e">
        <f t="shared" si="93"/>
        <v>#DIV/0!</v>
      </c>
      <c r="CP67" s="66">
        <f t="shared" si="52"/>
        <v>0</v>
      </c>
      <c r="CQ67" s="383" t="e">
        <f t="shared" si="53"/>
        <v>#DIV/0!</v>
      </c>
      <c r="CR67" s="66">
        <f t="shared" si="54"/>
        <v>0</v>
      </c>
      <c r="CS67" s="383" t="e">
        <f t="shared" si="55"/>
        <v>#DIV/0!</v>
      </c>
      <c r="CT67" s="66">
        <f t="shared" si="56"/>
        <v>0</v>
      </c>
      <c r="CU67" s="383" t="e">
        <f t="shared" si="57"/>
        <v>#DIV/0!</v>
      </c>
      <c r="CV67" s="316">
        <f t="shared" si="58"/>
        <v>0</v>
      </c>
      <c r="CW67" s="309">
        <f t="shared" si="94"/>
        <v>0</v>
      </c>
      <c r="CX67" s="66">
        <f>IF($AD67="N","N",SUM('調查資料(OUT)'!AF73:AF76))</f>
        <v>0</v>
      </c>
      <c r="CY67" s="66">
        <f>IF($AD67="N","N",SUM('調查資料(OUT)'!AI73:AI76))</f>
        <v>0</v>
      </c>
      <c r="CZ67" s="66">
        <f>IF($AD67="N","N",SUM('調查資料(OUT)'!AM73:AM76))</f>
        <v>0</v>
      </c>
      <c r="DA67" s="66">
        <f>IF($AD67="N","N",SUM('調查資料(OUT)'!AL73:AL76))</f>
        <v>0</v>
      </c>
      <c r="DB67" s="383" t="e">
        <f t="shared" si="95"/>
        <v>#DIV/0!</v>
      </c>
      <c r="DC67" s="66">
        <f t="shared" si="96"/>
        <v>0</v>
      </c>
      <c r="DD67" s="66">
        <f>IF($AD67="N","N",SUM('調查資料(OUT)'!AG73:AG76))</f>
        <v>0</v>
      </c>
      <c r="DE67" s="66">
        <f>IF($AD67="N","N",SUM('調查資料(OUT)'!AJ73:AJ76))</f>
        <v>0</v>
      </c>
      <c r="DF67" s="66">
        <f>IF($AD67="N","N",SUM('調查資料(OUT)'!AN73:AN76))</f>
        <v>0</v>
      </c>
      <c r="DG67" s="383" t="e">
        <f t="shared" si="97"/>
        <v>#DIV/0!</v>
      </c>
      <c r="DH67" s="66">
        <f t="shared" si="98"/>
        <v>0</v>
      </c>
      <c r="DI67" s="66">
        <f>IF($AD67="N","N",SUM('調查資料(OUT)'!AH73:AH76))</f>
        <v>0</v>
      </c>
      <c r="DJ67" s="66">
        <f>IF($AD67="N","N",SUM('調查資料(OUT)'!AK73:AK76))</f>
        <v>0</v>
      </c>
      <c r="DK67" s="66">
        <f>IF($AD67="N","N",SUM('調查資料(OUT)'!AO73:AO76))</f>
        <v>0</v>
      </c>
      <c r="DL67" s="383" t="e">
        <f t="shared" si="99"/>
        <v>#DIV/0!</v>
      </c>
      <c r="DM67" s="66">
        <f t="shared" si="59"/>
        <v>0</v>
      </c>
      <c r="DN67" s="383" t="e">
        <f t="shared" si="60"/>
        <v>#DIV/0!</v>
      </c>
      <c r="DO67" s="66">
        <f t="shared" si="61"/>
        <v>0</v>
      </c>
      <c r="DP67" s="383" t="e">
        <f t="shared" si="62"/>
        <v>#DIV/0!</v>
      </c>
      <c r="DQ67" s="66">
        <f t="shared" si="63"/>
        <v>0</v>
      </c>
      <c r="DR67" s="383" t="e">
        <f t="shared" si="64"/>
        <v>#DIV/0!</v>
      </c>
      <c r="DS67" s="316">
        <f t="shared" si="65"/>
        <v>0</v>
      </c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</row>
    <row r="68" spans="1:170">
      <c r="A68" s="118">
        <f>'調查資料(OUT)'!A74</f>
        <v>1545</v>
      </c>
      <c r="B68" s="309">
        <f t="shared" si="129"/>
        <v>0</v>
      </c>
      <c r="C68" s="66">
        <f>IFERROR('調查資料(OUT)'!B$1*'調查資料(OUT)'!B74,0)+IFERROR('調查資料(OUT)'!E$1*'調查資料(OUT)'!E74,0)+IFERROR('調查資料(OUT)'!H$1*'調查資料(OUT)'!H74,0)+IFERROR('調查資料(OUT)'!I$1*'調查資料(OUT)'!I74,0)</f>
        <v>0</v>
      </c>
      <c r="D68" s="66">
        <f>IFERROR('調查資料(OUT)'!C$1*'調查資料(OUT)'!C74,0)+IFERROR('調查資料(OUT)'!F$1*'調查資料(OUT)'!F74,0)+IFERROR('調查資料(OUT)'!J$1*'調查資料(OUT)'!J74,0)</f>
        <v>0</v>
      </c>
      <c r="E68" s="316">
        <f>IFERROR('調查資料(OUT)'!D$1*'調查資料(OUT)'!D74,0)+IFERROR('調查資料(OUT)'!G$1*'調查資料(OUT)'!G74,0)+IFERROR('調查資料(OUT)'!K$1*'調查資料(OUT)'!K74,0)</f>
        <v>0</v>
      </c>
      <c r="F68" s="309">
        <f t="shared" si="130"/>
        <v>0</v>
      </c>
      <c r="G68" s="66">
        <f>IFERROR('調查資料(OUT)'!L$1*'調查資料(OUT)'!L74,0)+IFERROR('調查資料(OUT)'!O$1*'調查資料(OUT)'!O74,0)+IFERROR('調查資料(OUT)'!R$1*'調查資料(OUT)'!R74,0)+IFERROR('調查資料(OUT)'!S$1*'調查資料(OUT)'!S74,0)</f>
        <v>0</v>
      </c>
      <c r="H68" s="66">
        <f>IFERROR('調查資料(OUT)'!M$1*'調查資料(OUT)'!M74,0)+IFERROR('調查資料(OUT)'!P$1*'調查資料(OUT)'!P74,0)+IFERROR('調查資料(OUT)'!T$1*'調查資料(OUT)'!T74,0)</f>
        <v>0</v>
      </c>
      <c r="I68" s="316">
        <f>IFERROR('調查資料(OUT)'!N$1*'調查資料(OUT)'!N74,0)+IFERROR('調查資料(OUT)'!Q$1*'調查資料(OUT)'!Q74,0)+IFERROR('調查資料(OUT)'!U$1*'調查資料(OUT)'!U74,0)</f>
        <v>0</v>
      </c>
      <c r="J68" s="309">
        <f t="shared" si="24"/>
        <v>0</v>
      </c>
      <c r="K68" s="66">
        <f>IFERROR('調查資料(OUT)'!V$1*'調查資料(OUT)'!V74,0)+IFERROR('調查資料(OUT)'!Y$1*'調查資料(OUT)'!Y74,0)+IFERROR('調查資料(OUT)'!AB$1*'調查資料(OUT)'!AB74,0)+IFERROR('調查資料(OUT)'!AC$1*'調查資料(OUT)'!AC74,0)</f>
        <v>0</v>
      </c>
      <c r="L68" s="66">
        <f>IFERROR('調查資料(OUT)'!W$1*'調查資料(OUT)'!W74,0)+IFERROR('調查資料(OUT)'!Z$1*'調查資料(OUT)'!Z74,0)+IFERROR('調查資料(OUT)'!AD$1*'調查資料(OUT)'!AD74,0)</f>
        <v>0</v>
      </c>
      <c r="M68" s="316">
        <f>IFERROR('調查資料(OUT)'!X$1*'調查資料(OUT)'!X74,0)+IFERROR('調查資料(OUT)'!AA$1*'調查資料(OUT)'!AA74,0)+IFERROR('調查資料(OUT)'!AE$1*'調查資料(OUT)'!AE74,0)</f>
        <v>0</v>
      </c>
      <c r="N68" s="309">
        <f t="shared" si="25"/>
        <v>0</v>
      </c>
      <c r="O68" s="66">
        <f>IFERROR('調查資料(OUT)'!AF$1*'調查資料(OUT)'!AF74,0)+IFERROR('調查資料(OUT)'!AI$1*'調查資料(OUT)'!AI74,0)+IFERROR('調查資料(OUT)'!AL$1*'調查資料(OUT)'!AL74,0)+IFERROR('調查資料(OUT)'!AM$1*'調查資料(OUT)'!AM74,0)</f>
        <v>0</v>
      </c>
      <c r="P68" s="66">
        <f>IFERROR('調查資料(OUT)'!AG$1*'調查資料(OUT)'!AG74,0)+IFERROR('調查資料(OUT)'!AJ$1*'調查資料(OUT)'!AJ74,0)+IFERROR('調查資料(OUT)'!AN$1*'調查資料(OUT)'!AN74,0)</f>
        <v>0</v>
      </c>
      <c r="Q68" s="316">
        <f>IFERROR('調查資料(OUT)'!AH$1*'調查資料(OUT)'!AH74,0)+IFERROR('調查資料(OUT)'!AK$1*'調查資料(OUT)'!AK74,0)+IFERROR('調查資料(OUT)'!AO$1*'調查資料(OUT)'!AO74,0)</f>
        <v>0</v>
      </c>
      <c r="R68" s="133">
        <f t="shared" si="131"/>
        <v>0</v>
      </c>
      <c r="S68" s="131"/>
      <c r="T68" s="366">
        <f>'調查資料(OUT)'!A74</f>
        <v>1545</v>
      </c>
      <c r="U68" s="101">
        <f t="shared" si="132"/>
        <v>1645</v>
      </c>
      <c r="V68" s="66">
        <f t="shared" si="133"/>
        <v>0</v>
      </c>
      <c r="W68" s="66"/>
      <c r="X68" s="66">
        <f t="shared" si="137"/>
        <v>0</v>
      </c>
      <c r="Y68" s="379" t="e">
        <f t="shared" si="138"/>
        <v>#DIV/0!</v>
      </c>
      <c r="Z68" s="379" t="e">
        <f t="shared" si="139"/>
        <v>#DIV/0!</v>
      </c>
      <c r="AA68" s="379" t="e">
        <f t="shared" si="140"/>
        <v>#DIV/0!</v>
      </c>
      <c r="AB68" s="379" t="e">
        <f t="shared" si="141"/>
        <v>#DIV/0!</v>
      </c>
      <c r="AC68" s="382"/>
      <c r="AD68" s="66">
        <f t="shared" si="142"/>
        <v>1545</v>
      </c>
      <c r="AE68" s="316">
        <f t="shared" si="143"/>
        <v>1645</v>
      </c>
      <c r="AF68" s="309">
        <f>IF($AD68="N","N",SUM(C68:C71))</f>
        <v>0</v>
      </c>
      <c r="AG68" s="66">
        <f>IF($AD68="N","N",SUM('調查資料(OUT)'!B74:B77))</f>
        <v>0</v>
      </c>
      <c r="AH68" s="66">
        <f>IF($AD68="N","N",SUM('調查資料(OUT)'!E74:E77))</f>
        <v>0</v>
      </c>
      <c r="AI68" s="66">
        <f>IF($AD68="N","N",SUM('調查資料(OUT)'!I74:I77))</f>
        <v>0</v>
      </c>
      <c r="AJ68" s="66">
        <f>IF($AD68="N","N",SUM('調查資料(OUT)'!H74:H77))</f>
        <v>0</v>
      </c>
      <c r="AK68" s="383" t="e">
        <f t="shared" si="77"/>
        <v>#DIV/0!</v>
      </c>
      <c r="AL68" s="66">
        <f t="shared" si="78"/>
        <v>0</v>
      </c>
      <c r="AM68" s="66">
        <f>IF($AD68="N","N",SUM('調查資料(OUT)'!C74:C77))</f>
        <v>0</v>
      </c>
      <c r="AN68" s="66">
        <f>IF($AD68="N","N",SUM('調查資料(OUT)'!F74:F77))</f>
        <v>0</v>
      </c>
      <c r="AO68" s="66">
        <f>IF($AD68="N","N",SUM('調查資料(OUT)'!J74:J77))</f>
        <v>0</v>
      </c>
      <c r="AP68" s="383" t="e">
        <f t="shared" si="79"/>
        <v>#DIV/0!</v>
      </c>
      <c r="AQ68" s="66">
        <f t="shared" si="80"/>
        <v>0</v>
      </c>
      <c r="AR68" s="66">
        <f>IF($AD68="N","N",SUM('調查資料(OUT)'!D74:D77))</f>
        <v>0</v>
      </c>
      <c r="AS68" s="66">
        <f>IF($AD68="N","N",SUM('調查資料(OUT)'!G74:G77))</f>
        <v>0</v>
      </c>
      <c r="AT68" s="66">
        <f>IF($AD68="N","N",SUM('調查資料(OUT)'!K74:K77))</f>
        <v>0</v>
      </c>
      <c r="AU68" s="383" t="e">
        <f t="shared" si="81"/>
        <v>#DIV/0!</v>
      </c>
      <c r="AV68" s="66">
        <f t="shared" si="38"/>
        <v>0</v>
      </c>
      <c r="AW68" s="383" t="e">
        <f t="shared" si="39"/>
        <v>#DIV/0!</v>
      </c>
      <c r="AX68" s="66">
        <f t="shared" si="40"/>
        <v>0</v>
      </c>
      <c r="AY68" s="383" t="e">
        <f t="shared" si="41"/>
        <v>#DIV/0!</v>
      </c>
      <c r="AZ68" s="66">
        <f t="shared" si="42"/>
        <v>0</v>
      </c>
      <c r="BA68" s="383" t="e">
        <f t="shared" si="43"/>
        <v>#DIV/0!</v>
      </c>
      <c r="BB68" s="316">
        <f t="shared" si="44"/>
        <v>0</v>
      </c>
      <c r="BC68" s="309">
        <f t="shared" si="82"/>
        <v>0</v>
      </c>
      <c r="BD68" s="66">
        <f>IF($AD68="N","N",SUM('調查資料(OUT)'!L74:L77))</f>
        <v>0</v>
      </c>
      <c r="BE68" s="66">
        <f>IF($AD68="N","N",SUM('調查資料(OUT)'!O74:O77))</f>
        <v>0</v>
      </c>
      <c r="BF68" s="66">
        <f>IF($AD68="N","N",SUM('調查資料(OUT)'!S74:S77))</f>
        <v>0</v>
      </c>
      <c r="BG68" s="66">
        <f>IF($AD68="N","N",SUM('調查資料(OUT)'!R74:R77))</f>
        <v>0</v>
      </c>
      <c r="BH68" s="383" t="e">
        <f t="shared" si="83"/>
        <v>#DIV/0!</v>
      </c>
      <c r="BI68" s="66">
        <f t="shared" si="84"/>
        <v>0</v>
      </c>
      <c r="BJ68" s="66">
        <f>IF($AD68="N","N",SUM('調查資料(OUT)'!M74:M77))</f>
        <v>0</v>
      </c>
      <c r="BK68" s="66">
        <f>IF($AD68="N","N",SUM('調查資料(OUT)'!P74:P77))</f>
        <v>0</v>
      </c>
      <c r="BL68" s="66">
        <f>IF($AD68="N","N",SUM('調查資料(OUT)'!T74:T77))</f>
        <v>0</v>
      </c>
      <c r="BM68" s="383" t="e">
        <f t="shared" si="85"/>
        <v>#DIV/0!</v>
      </c>
      <c r="BN68" s="66">
        <f t="shared" si="86"/>
        <v>0</v>
      </c>
      <c r="BO68" s="66">
        <f>IF($AD68="N","N",SUM('調查資料(OUT)'!N74:N77))</f>
        <v>0</v>
      </c>
      <c r="BP68" s="66">
        <f>IF($AD68="N","N",SUM('調查資料(OUT)'!Q74:Q77))</f>
        <v>0</v>
      </c>
      <c r="BQ68" s="66">
        <f>IF($AD68="N","N",SUM('調查資料(OUT)'!U74:U77))</f>
        <v>0</v>
      </c>
      <c r="BR68" s="383" t="e">
        <f t="shared" si="87"/>
        <v>#DIV/0!</v>
      </c>
      <c r="BS68" s="66">
        <f t="shared" si="45"/>
        <v>0</v>
      </c>
      <c r="BT68" s="383" t="e">
        <f t="shared" si="46"/>
        <v>#DIV/0!</v>
      </c>
      <c r="BU68" s="66">
        <f t="shared" si="47"/>
        <v>0</v>
      </c>
      <c r="BV68" s="383" t="e">
        <f t="shared" si="48"/>
        <v>#DIV/0!</v>
      </c>
      <c r="BW68" s="66">
        <f t="shared" si="49"/>
        <v>0</v>
      </c>
      <c r="BX68" s="383" t="e">
        <f t="shared" si="50"/>
        <v>#DIV/0!</v>
      </c>
      <c r="BY68" s="316">
        <f t="shared" si="51"/>
        <v>0</v>
      </c>
      <c r="BZ68" s="309">
        <f t="shared" si="88"/>
        <v>0</v>
      </c>
      <c r="CA68" s="66">
        <f>IF($AD68="N","N",SUM('調查資料(OUT)'!V74:V77))</f>
        <v>0</v>
      </c>
      <c r="CB68" s="66">
        <f>IF($AD68="N","N",SUM('調查資料(OUT)'!Y74:Y77))</f>
        <v>0</v>
      </c>
      <c r="CC68" s="66">
        <f>IF($AD68="N","N",SUM('調查資料(OUT)'!AC74:AC77))</f>
        <v>0</v>
      </c>
      <c r="CD68" s="66">
        <f>IF($AD68="N","N",SUM('調查資料(OUT)'!AB74:AB77))</f>
        <v>0</v>
      </c>
      <c r="CE68" s="383" t="e">
        <f t="shared" si="89"/>
        <v>#DIV/0!</v>
      </c>
      <c r="CF68" s="66">
        <f t="shared" si="90"/>
        <v>0</v>
      </c>
      <c r="CG68" s="66">
        <f>IF($AD68="N","N",SUM('調查資料(OUT)'!W74:W77))</f>
        <v>0</v>
      </c>
      <c r="CH68" s="66">
        <f>IF($AD68="N","N",SUM('調查資料(OUT)'!Z74:Z77))</f>
        <v>0</v>
      </c>
      <c r="CI68" s="66">
        <f>IF($AD68="N","N",SUM('調查資料(OUT)'!AD74:AD77))</f>
        <v>0</v>
      </c>
      <c r="CJ68" s="383" t="e">
        <f t="shared" si="91"/>
        <v>#DIV/0!</v>
      </c>
      <c r="CK68" s="66">
        <f t="shared" si="92"/>
        <v>0</v>
      </c>
      <c r="CL68" s="66">
        <f>IF($AD68="N","N",SUM('調查資料(OUT)'!X74:X77))</f>
        <v>0</v>
      </c>
      <c r="CM68" s="66">
        <f>IF($AD68="N","N",SUM('調查資料(OUT)'!AA74:AA77))</f>
        <v>0</v>
      </c>
      <c r="CN68" s="66">
        <f>IF($AD68="N","N",SUM('調查資料(OUT)'!AE74:AE77))</f>
        <v>0</v>
      </c>
      <c r="CO68" s="383" t="e">
        <f t="shared" si="93"/>
        <v>#DIV/0!</v>
      </c>
      <c r="CP68" s="66">
        <f t="shared" si="52"/>
        <v>0</v>
      </c>
      <c r="CQ68" s="383" t="e">
        <f t="shared" si="53"/>
        <v>#DIV/0!</v>
      </c>
      <c r="CR68" s="66">
        <f t="shared" si="54"/>
        <v>0</v>
      </c>
      <c r="CS68" s="383" t="e">
        <f t="shared" si="55"/>
        <v>#DIV/0!</v>
      </c>
      <c r="CT68" s="66">
        <f t="shared" si="56"/>
        <v>0</v>
      </c>
      <c r="CU68" s="383" t="e">
        <f t="shared" si="57"/>
        <v>#DIV/0!</v>
      </c>
      <c r="CV68" s="316">
        <f t="shared" si="58"/>
        <v>0</v>
      </c>
      <c r="CW68" s="309">
        <f t="shared" si="94"/>
        <v>0</v>
      </c>
      <c r="CX68" s="66">
        <f>IF($AD68="N","N",SUM('調查資料(OUT)'!AF74:AF77))</f>
        <v>0</v>
      </c>
      <c r="CY68" s="66">
        <f>IF($AD68="N","N",SUM('調查資料(OUT)'!AI74:AI77))</f>
        <v>0</v>
      </c>
      <c r="CZ68" s="66">
        <f>IF($AD68="N","N",SUM('調查資料(OUT)'!AM74:AM77))</f>
        <v>0</v>
      </c>
      <c r="DA68" s="66">
        <f>IF($AD68="N","N",SUM('調查資料(OUT)'!AL74:AL77))</f>
        <v>0</v>
      </c>
      <c r="DB68" s="383" t="e">
        <f t="shared" si="95"/>
        <v>#DIV/0!</v>
      </c>
      <c r="DC68" s="66">
        <f t="shared" si="96"/>
        <v>0</v>
      </c>
      <c r="DD68" s="66">
        <f>IF($AD68="N","N",SUM('調查資料(OUT)'!AG74:AG77))</f>
        <v>0</v>
      </c>
      <c r="DE68" s="66">
        <f>IF($AD68="N","N",SUM('調查資料(OUT)'!AJ74:AJ77))</f>
        <v>0</v>
      </c>
      <c r="DF68" s="66">
        <f>IF($AD68="N","N",SUM('調查資料(OUT)'!AN74:AN77))</f>
        <v>0</v>
      </c>
      <c r="DG68" s="383" t="e">
        <f t="shared" si="97"/>
        <v>#DIV/0!</v>
      </c>
      <c r="DH68" s="66">
        <f t="shared" si="98"/>
        <v>0</v>
      </c>
      <c r="DI68" s="66">
        <f>IF($AD68="N","N",SUM('調查資料(OUT)'!AH74:AH77))</f>
        <v>0</v>
      </c>
      <c r="DJ68" s="66">
        <f>IF($AD68="N","N",SUM('調查資料(OUT)'!AK74:AK77))</f>
        <v>0</v>
      </c>
      <c r="DK68" s="66">
        <f>IF($AD68="N","N",SUM('調查資料(OUT)'!AO74:AO77))</f>
        <v>0</v>
      </c>
      <c r="DL68" s="383" t="e">
        <f t="shared" si="99"/>
        <v>#DIV/0!</v>
      </c>
      <c r="DM68" s="66">
        <f t="shared" si="59"/>
        <v>0</v>
      </c>
      <c r="DN68" s="383" t="e">
        <f t="shared" si="60"/>
        <v>#DIV/0!</v>
      </c>
      <c r="DO68" s="66">
        <f t="shared" si="61"/>
        <v>0</v>
      </c>
      <c r="DP68" s="383" t="e">
        <f t="shared" si="62"/>
        <v>#DIV/0!</v>
      </c>
      <c r="DQ68" s="66">
        <f t="shared" si="63"/>
        <v>0</v>
      </c>
      <c r="DR68" s="383" t="e">
        <f t="shared" si="64"/>
        <v>#DIV/0!</v>
      </c>
      <c r="DS68" s="316">
        <f t="shared" si="65"/>
        <v>0</v>
      </c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</row>
    <row r="69" spans="1:170">
      <c r="A69" s="472">
        <f>'調查資料(OUT)'!A75</f>
        <v>1600</v>
      </c>
      <c r="B69" s="473">
        <f t="shared" ref="B69:B86" si="144">SUM(C69:E69)</f>
        <v>0</v>
      </c>
      <c r="C69" s="404">
        <f>IFERROR('調查資料(OUT)'!B$1*'調查資料(OUT)'!B75,0)+IFERROR('調查資料(OUT)'!E$1*'調查資料(OUT)'!E75,0)+IFERROR('調查資料(OUT)'!H$1*'調查資料(OUT)'!H75,0)+IFERROR('調查資料(OUT)'!I$1*'調查資料(OUT)'!I75,0)</f>
        <v>0</v>
      </c>
      <c r="D69" s="404">
        <f>IFERROR('調查資料(OUT)'!C$1*'調查資料(OUT)'!C75,0)+IFERROR('調查資料(OUT)'!F$1*'調查資料(OUT)'!F75,0)+IFERROR('調查資料(OUT)'!J$1*'調查資料(OUT)'!J75,0)</f>
        <v>0</v>
      </c>
      <c r="E69" s="417">
        <f>IFERROR('調查資料(OUT)'!D$1*'調查資料(OUT)'!D75,0)+IFERROR('調查資料(OUT)'!G$1*'調查資料(OUT)'!G75,0)+IFERROR('調查資料(OUT)'!K$1*'調查資料(OUT)'!K75,0)</f>
        <v>0</v>
      </c>
      <c r="F69" s="473">
        <f t="shared" ref="F69:F86" si="145">SUM(G69:I69)</f>
        <v>0</v>
      </c>
      <c r="G69" s="404">
        <f>IFERROR('調查資料(OUT)'!L$1*'調查資料(OUT)'!L75,0)+IFERROR('調查資料(OUT)'!O$1*'調查資料(OUT)'!O75,0)+IFERROR('調查資料(OUT)'!R$1*'調查資料(OUT)'!R75,0)+IFERROR('調查資料(OUT)'!S$1*'調查資料(OUT)'!S75,0)</f>
        <v>0</v>
      </c>
      <c r="H69" s="404">
        <f>IFERROR('調查資料(OUT)'!M$1*'調查資料(OUT)'!M75,0)+IFERROR('調查資料(OUT)'!P$1*'調查資料(OUT)'!P75,0)+IFERROR('調查資料(OUT)'!T$1*'調查資料(OUT)'!T75,0)</f>
        <v>0</v>
      </c>
      <c r="I69" s="417">
        <f>IFERROR('調查資料(OUT)'!N$1*'調查資料(OUT)'!N75,0)+IFERROR('調查資料(OUT)'!Q$1*'調查資料(OUT)'!Q75,0)+IFERROR('調查資料(OUT)'!U$1*'調查資料(OUT)'!U75,0)</f>
        <v>0</v>
      </c>
      <c r="J69" s="473">
        <f t="shared" ref="J69:J86" si="146">SUM(K69:M69)</f>
        <v>0</v>
      </c>
      <c r="K69" s="404">
        <f>IFERROR('調查資料(OUT)'!V$1*'調查資料(OUT)'!V75,0)+IFERROR('調查資料(OUT)'!Y$1*'調查資料(OUT)'!Y75,0)+IFERROR('調查資料(OUT)'!AB$1*'調查資料(OUT)'!AB75,0)+IFERROR('調查資料(OUT)'!AC$1*'調查資料(OUT)'!AC75,0)</f>
        <v>0</v>
      </c>
      <c r="L69" s="404">
        <f>IFERROR('調查資料(OUT)'!W$1*'調查資料(OUT)'!W75,0)+IFERROR('調查資料(OUT)'!Z$1*'調查資料(OUT)'!Z75,0)+IFERROR('調查資料(OUT)'!AD$1*'調查資料(OUT)'!AD75,0)</f>
        <v>0</v>
      </c>
      <c r="M69" s="417">
        <f>IFERROR('調查資料(OUT)'!X$1*'調查資料(OUT)'!X75,0)+IFERROR('調查資料(OUT)'!AA$1*'調查資料(OUT)'!AA75,0)+IFERROR('調查資料(OUT)'!AE$1*'調查資料(OUT)'!AE75,0)</f>
        <v>0</v>
      </c>
      <c r="N69" s="473">
        <f t="shared" ref="N69:N86" si="147">SUM(O69:Q69)</f>
        <v>0</v>
      </c>
      <c r="O69" s="404">
        <f>IFERROR('調查資料(OUT)'!AF$1*'調查資料(OUT)'!AF75,0)+IFERROR('調查資料(OUT)'!AI$1*'調查資料(OUT)'!AI75,0)+IFERROR('調查資料(OUT)'!AL$1*'調查資料(OUT)'!AL75,0)+IFERROR('調查資料(OUT)'!AM$1*'調查資料(OUT)'!AM75,0)</f>
        <v>0</v>
      </c>
      <c r="P69" s="404">
        <f>IFERROR('調查資料(OUT)'!AG$1*'調查資料(OUT)'!AG75,0)+IFERROR('調查資料(OUT)'!AJ$1*'調查資料(OUT)'!AJ75,0)+IFERROR('調查資料(OUT)'!AN$1*'調查資料(OUT)'!AN75,0)</f>
        <v>0</v>
      </c>
      <c r="Q69" s="417">
        <f>IFERROR('調查資料(OUT)'!AH$1*'調查資料(OUT)'!AH75,0)+IFERROR('調查資料(OUT)'!AK$1*'調查資料(OUT)'!AK75,0)+IFERROR('調查資料(OUT)'!AO$1*'調查資料(OUT)'!AO75,0)</f>
        <v>0</v>
      </c>
      <c r="R69" s="474">
        <f t="shared" ref="R69:R86" si="148">B69+F69+J69+N69</f>
        <v>0</v>
      </c>
      <c r="S69" s="66"/>
      <c r="T69" s="402">
        <f>'調查資料(OUT)'!A75</f>
        <v>1600</v>
      </c>
      <c r="U69" s="403">
        <f t="shared" ref="U69:U97" si="149">T69+100</f>
        <v>1700</v>
      </c>
      <c r="V69" s="404">
        <f>SUM(R69:R72)</f>
        <v>0</v>
      </c>
      <c r="W69" s="406">
        <f>MAX(V69:V81)</f>
        <v>0</v>
      </c>
      <c r="X69" s="404">
        <f t="shared" ref="X69:X82" si="150">IF($V69=$W$57,MAX(R69:R72),0)</f>
        <v>0</v>
      </c>
      <c r="Y69" s="415" t="e">
        <f>IF($V69=W$69,SUM(B69:B72)/(4*(MAX(B69:B72))),0)</f>
        <v>#DIV/0!</v>
      </c>
      <c r="Z69" s="415" t="e">
        <f>IF($V69=W$69,SUM(F69:F72)/(4*(MAX(F69:F72))),0)</f>
        <v>#DIV/0!</v>
      </c>
      <c r="AA69" s="415" t="e">
        <f>IF($V69=W$69,SUM(J69:J72)/(4*(MAX(J69:J72))),0)</f>
        <v>#DIV/0!</v>
      </c>
      <c r="AB69" s="415" t="e">
        <f>IF($V69=W$69,SUM(N69:N72)/(4*(MAX(N69:N72))),0)</f>
        <v>#DIV/0!</v>
      </c>
      <c r="AC69" s="416" t="e">
        <f>$W$69/(4*MAX(X69:X81))</f>
        <v>#DIV/0!</v>
      </c>
      <c r="AD69" s="404">
        <f>IF(V69=W$69,$T69,"N")</f>
        <v>1600</v>
      </c>
      <c r="AE69" s="417">
        <f>IF(V69=W$69,$U69,"N")</f>
        <v>1700</v>
      </c>
      <c r="AF69" s="309">
        <f>IF($AD69="N","N",SUM(C69:C72))</f>
        <v>0</v>
      </c>
      <c r="AG69" s="66">
        <f>IF($AD69="N","N",SUM('調查資料(OUT)'!B75:B78))</f>
        <v>0</v>
      </c>
      <c r="AH69" s="66">
        <f>IF($AD69="N","N",SUM('調查資料(OUT)'!E75:E78))</f>
        <v>0</v>
      </c>
      <c r="AI69" s="66">
        <f>IF($AD69="N","N",SUM('調查資料(OUT)'!I75:I78))</f>
        <v>0</v>
      </c>
      <c r="AJ69" s="66">
        <f>IF($AD69="N","N",SUM('調查資料(OUT)'!H75:H78))</f>
        <v>0</v>
      </c>
      <c r="AK69" s="383" t="e">
        <f t="shared" ref="AK69:AK97" si="151">IF($AD69="N","N",(AF69/$BB69)*100)</f>
        <v>#DIV/0!</v>
      </c>
      <c r="AL69" s="66">
        <f t="shared" ref="AL69:AL97" si="152">IF($AD69="N","N",SUM(D69:D72))</f>
        <v>0</v>
      </c>
      <c r="AM69" s="66">
        <f>IF($AD69="N","N",SUM('調查資料(OUT)'!C75:C78))</f>
        <v>0</v>
      </c>
      <c r="AN69" s="66">
        <f>IF($AD69="N","N",SUM('調查資料(OUT)'!F75:F78))</f>
        <v>0</v>
      </c>
      <c r="AO69" s="66">
        <f>IF($AD69="N","N",SUM('調查資料(OUT)'!J75:J78))</f>
        <v>0</v>
      </c>
      <c r="AP69" s="383" t="e">
        <f t="shared" ref="AP69:AP97" si="153">IF($AD69="N","N",(AL69/$BB69)*100)</f>
        <v>#DIV/0!</v>
      </c>
      <c r="AQ69" s="66">
        <f t="shared" ref="AQ69:AQ97" si="154">IF($AD69="N","N",SUM(E69:E72))</f>
        <v>0</v>
      </c>
      <c r="AR69" s="66">
        <f>IF($AD69="N","N",SUM('調查資料(OUT)'!D75:D78))</f>
        <v>0</v>
      </c>
      <c r="AS69" s="66">
        <f>IF($AD69="N","N",SUM('調查資料(OUT)'!G75:G78))</f>
        <v>0</v>
      </c>
      <c r="AT69" s="66">
        <f>IF($AD69="N","N",SUM('調查資料(OUT)'!K75:K78))</f>
        <v>0</v>
      </c>
      <c r="AU69" s="383" t="e">
        <f t="shared" ref="AU69:AU97" si="155">IF($AD69="N","N",(AQ69/$BB69)*100)</f>
        <v>#DIV/0!</v>
      </c>
      <c r="AV69" s="66">
        <f t="shared" ref="AV69:AV97" si="156">IF($AD69="N","N",AG69+AM69+AR69)</f>
        <v>0</v>
      </c>
      <c r="AW69" s="383" t="e">
        <f t="shared" ref="AW69:AW97" si="157">IF($AD69="N","N",(AV69/($AV69+$AX69+$AZ69))*100)</f>
        <v>#DIV/0!</v>
      </c>
      <c r="AX69" s="66">
        <f t="shared" ref="AX69:AX97" si="158">IF($AD69="N","N",AH69+AN69+AS69)</f>
        <v>0</v>
      </c>
      <c r="AY69" s="383" t="e">
        <f t="shared" ref="AY69:AY97" si="159">IF($AD69="N","N",(AX69/($AV69+$AX69+$AZ69))*100)</f>
        <v>#DIV/0!</v>
      </c>
      <c r="AZ69" s="66">
        <f t="shared" ref="AZ69:AZ97" si="160">IF($AD69="N","N",AI69+AJ69+AO69+AT69)</f>
        <v>0</v>
      </c>
      <c r="BA69" s="383" t="e">
        <f t="shared" ref="BA69:BA97" si="161">IF($AD69="N","N",(AZ69/($AV69+$AX69+$AZ69))*100)</f>
        <v>#DIV/0!</v>
      </c>
      <c r="BB69" s="316">
        <f t="shared" ref="BB69:BB97" si="162">IF($AD69="N","N",AF69+AL69+AQ69)</f>
        <v>0</v>
      </c>
      <c r="BC69" s="309">
        <f t="shared" ref="BC69:BC97" si="163">IF($AD69="N","N",SUM(G69:G72))</f>
        <v>0</v>
      </c>
      <c r="BD69" s="66">
        <f>IF($AD69="N","N",SUM('調查資料(OUT)'!L75:L78))</f>
        <v>0</v>
      </c>
      <c r="BE69" s="66">
        <f>IF($AD69="N","N",SUM('調查資料(OUT)'!O75:O78))</f>
        <v>0</v>
      </c>
      <c r="BF69" s="66">
        <f>IF($AD69="N","N",SUM('調查資料(OUT)'!S75:S78))</f>
        <v>0</v>
      </c>
      <c r="BG69" s="66">
        <f>IF($AD69="N","N",SUM('調查資料(OUT)'!R75:R78))</f>
        <v>0</v>
      </c>
      <c r="BH69" s="383" t="e">
        <f t="shared" ref="BH69:BH97" si="164">IF($AD69="N","N",(BC69/BY69)*100)</f>
        <v>#DIV/0!</v>
      </c>
      <c r="BI69" s="66">
        <f t="shared" ref="BI69:BI97" si="165">IF($AD69="N","N",SUM(H69:H72))</f>
        <v>0</v>
      </c>
      <c r="BJ69" s="66">
        <f>IF($AD69="N","N",SUM('調查資料(OUT)'!M75:M78))</f>
        <v>0</v>
      </c>
      <c r="BK69" s="66">
        <f>IF($AD69="N","N",SUM('調查資料(OUT)'!P75:P78))</f>
        <v>0</v>
      </c>
      <c r="BL69" s="66">
        <f>IF($AD69="N","N",SUM('調查資料(OUT)'!T75:T78))</f>
        <v>0</v>
      </c>
      <c r="BM69" s="383" t="e">
        <f t="shared" ref="BM69:BM97" si="166">IF($AD69="N","N",(BI69/BY69)*100)</f>
        <v>#DIV/0!</v>
      </c>
      <c r="BN69" s="66">
        <f t="shared" ref="BN69:BN97" si="167">IF($AD69="N","N",SUM(I69:I72))</f>
        <v>0</v>
      </c>
      <c r="BO69" s="66">
        <f>IF($AD69="N","N",SUM('調查資料(OUT)'!N75:N78))</f>
        <v>0</v>
      </c>
      <c r="BP69" s="66">
        <f>IF($AD69="N","N",SUM('調查資料(OUT)'!Q75:Q78))</f>
        <v>0</v>
      </c>
      <c r="BQ69" s="66">
        <f>IF($AD69="N","N",SUM('調查資料(OUT)'!U75:U78))</f>
        <v>0</v>
      </c>
      <c r="BR69" s="383" t="e">
        <f t="shared" ref="BR69:BR97" si="168">IF($AD69="N","N",(BN69/BY69)*100)</f>
        <v>#DIV/0!</v>
      </c>
      <c r="BS69" s="66">
        <f t="shared" ref="BS69:BS97" si="169">IF($AD69="N","N",BD69+BJ69+BO69)</f>
        <v>0</v>
      </c>
      <c r="BT69" s="383" t="e">
        <f t="shared" ref="BT69:BT97" si="170">IF($AD69="N","N",(BS69/($BS69+$BU69+$BW69))*100)</f>
        <v>#DIV/0!</v>
      </c>
      <c r="BU69" s="66">
        <f t="shared" ref="BU69:BU97" si="171">IF($AD69="N","N",BE69+BK69+BP69)</f>
        <v>0</v>
      </c>
      <c r="BV69" s="383" t="e">
        <f t="shared" ref="BV69:BV97" si="172">IF($AD69="N","N",(BU69/($BS69+$BU69+$BW69))*100)</f>
        <v>#DIV/0!</v>
      </c>
      <c r="BW69" s="66">
        <f t="shared" ref="BW69:BW97" si="173">IF($AD69="N","N",BF69+BG69+BL69+BQ69)</f>
        <v>0</v>
      </c>
      <c r="BX69" s="383" t="e">
        <f t="shared" ref="BX69:BX97" si="174">IF($AD69="N","N",(BW69/($BS69+$BU69+$BW69))*100)</f>
        <v>#DIV/0!</v>
      </c>
      <c r="BY69" s="316">
        <f t="shared" ref="BY69:BY97" si="175">IF($AD69="N","N",BC69+BI69+BN69)</f>
        <v>0</v>
      </c>
      <c r="BZ69" s="309">
        <f t="shared" ref="BZ69:BZ97" si="176">IF($AD69="N","N",SUM(K69:K72))</f>
        <v>0</v>
      </c>
      <c r="CA69" s="66">
        <f>IF($AD69="N","N",SUM('調查資料(OUT)'!V75:V78))</f>
        <v>0</v>
      </c>
      <c r="CB69" s="66">
        <f>IF($AD69="N","N",SUM('調查資料(OUT)'!Y75:Y78))</f>
        <v>0</v>
      </c>
      <c r="CC69" s="66">
        <f>IF($AD69="N","N",SUM('調查資料(OUT)'!AC75:AC78))</f>
        <v>0</v>
      </c>
      <c r="CD69" s="66">
        <f>IF($AD69="N","N",SUM('調查資料(OUT)'!AB75:AB78))</f>
        <v>0</v>
      </c>
      <c r="CE69" s="383" t="e">
        <f t="shared" ref="CE69:CE97" si="177">IF($AD69="N","N",(BZ69/CV69)*100)</f>
        <v>#DIV/0!</v>
      </c>
      <c r="CF69" s="66">
        <f t="shared" ref="CF69:CF97" si="178">IF($AD69="N","N",SUM(L69:L72))</f>
        <v>0</v>
      </c>
      <c r="CG69" s="66">
        <f>IF($AD69="N","N",SUM('調查資料(OUT)'!W75:W78))</f>
        <v>0</v>
      </c>
      <c r="CH69" s="66">
        <f>IF($AD69="N","N",SUM('調查資料(OUT)'!Z75:Z78))</f>
        <v>0</v>
      </c>
      <c r="CI69" s="66">
        <f>IF($AD69="N","N",SUM('調查資料(OUT)'!AD75:AD78))</f>
        <v>0</v>
      </c>
      <c r="CJ69" s="383" t="e">
        <f t="shared" ref="CJ69:CJ97" si="179">IF($AD69="N","N",(CF69/CV69)*100)</f>
        <v>#DIV/0!</v>
      </c>
      <c r="CK69" s="66">
        <f t="shared" ref="CK69:CK97" si="180">IF($AD69="N","N",SUM(M69:M72))</f>
        <v>0</v>
      </c>
      <c r="CL69" s="66">
        <f>IF($AD69="N","N",SUM('調查資料(OUT)'!X75:X78))</f>
        <v>0</v>
      </c>
      <c r="CM69" s="66">
        <f>IF($AD69="N","N",SUM('調查資料(OUT)'!AA75:AA78))</f>
        <v>0</v>
      </c>
      <c r="CN69" s="66">
        <f>IF($AD69="N","N",SUM('調查資料(OUT)'!AE75:AE78))</f>
        <v>0</v>
      </c>
      <c r="CO69" s="383" t="e">
        <f t="shared" ref="CO69:CO97" si="181">IF($AD69="N","N",(CK69/CV69)*100)</f>
        <v>#DIV/0!</v>
      </c>
      <c r="CP69" s="66">
        <f t="shared" ref="CP69:CP97" si="182">IF($AD69="N","N",CA69+CG69+CL69)</f>
        <v>0</v>
      </c>
      <c r="CQ69" s="383" t="e">
        <f t="shared" ref="CQ69:CQ97" si="183">IF($AD69="N","N",(CP69/($CP69+$CR69+$CT69))*100)</f>
        <v>#DIV/0!</v>
      </c>
      <c r="CR69" s="66">
        <f t="shared" ref="CR69:CR97" si="184">IF($AD69="N","N",CB69+CH69+CM69)</f>
        <v>0</v>
      </c>
      <c r="CS69" s="383" t="e">
        <f t="shared" ref="CS69:CS97" si="185">IF($AD69="N","N",(CR69/($CP69+$CR69+$CT69))*100)</f>
        <v>#DIV/0!</v>
      </c>
      <c r="CT69" s="66">
        <f t="shared" ref="CT69:CT97" si="186">IF($AD69="N","N",CC69+CD69+CI69+CN69)</f>
        <v>0</v>
      </c>
      <c r="CU69" s="383" t="e">
        <f t="shared" ref="CU69:CU97" si="187">IF($AD69="N","N",(CT69/($CP69+$CR69+$CT69))*100)</f>
        <v>#DIV/0!</v>
      </c>
      <c r="CV69" s="316">
        <f t="shared" ref="CV69:CV97" si="188">IF($AD69="N","N",BZ69+CF69+CK69)</f>
        <v>0</v>
      </c>
      <c r="CW69" s="309">
        <f t="shared" ref="CW69:CW97" si="189">IF($AD69="N","N",SUM(O69:O72))</f>
        <v>0</v>
      </c>
      <c r="CX69" s="66">
        <f>IF($AD69="N","N",SUM('調查資料(OUT)'!AF75:AF78))</f>
        <v>0</v>
      </c>
      <c r="CY69" s="66">
        <f>IF($AD69="N","N",SUM('調查資料(OUT)'!AI75:AI78))</f>
        <v>0</v>
      </c>
      <c r="CZ69" s="66">
        <f>IF($AD69="N","N",SUM('調查資料(OUT)'!AM75:AM78))</f>
        <v>0</v>
      </c>
      <c r="DA69" s="66">
        <f>IF($AD69="N","N",SUM('調查資料(OUT)'!AL75:AL78))</f>
        <v>0</v>
      </c>
      <c r="DB69" s="383" t="e">
        <f t="shared" ref="DB69:DB97" si="190">IF($AD69="N","N",(CW69/DS69)*100)</f>
        <v>#DIV/0!</v>
      </c>
      <c r="DC69" s="66">
        <f t="shared" ref="DC69:DC97" si="191">IF($AD69="N","N",SUM(P69:P72))</f>
        <v>0</v>
      </c>
      <c r="DD69" s="66">
        <f>IF($AD69="N","N",SUM('調查資料(OUT)'!AG75:AG78))</f>
        <v>0</v>
      </c>
      <c r="DE69" s="66">
        <f>IF($AD69="N","N",SUM('調查資料(OUT)'!AJ75:AJ78))</f>
        <v>0</v>
      </c>
      <c r="DF69" s="66">
        <f>IF($AD69="N","N",SUM('調查資料(OUT)'!AN75:AN78))</f>
        <v>0</v>
      </c>
      <c r="DG69" s="383" t="e">
        <f t="shared" ref="DG69:DG97" si="192">IF($AD69="N","N",(DC69/DS69)*100)</f>
        <v>#DIV/0!</v>
      </c>
      <c r="DH69" s="66">
        <f t="shared" ref="DH69:DH97" si="193">IF($AD69="N","N",SUM(Q69:Q72))</f>
        <v>0</v>
      </c>
      <c r="DI69" s="66">
        <f>IF($AD69="N","N",SUM('調查資料(OUT)'!AH75:AH78))</f>
        <v>0</v>
      </c>
      <c r="DJ69" s="66">
        <f>IF($AD69="N","N",SUM('調查資料(OUT)'!AK75:AK78))</f>
        <v>0</v>
      </c>
      <c r="DK69" s="66">
        <f>IF($AD69="N","N",SUM('調查資料(OUT)'!AO75:AO78))</f>
        <v>0</v>
      </c>
      <c r="DL69" s="383" t="e">
        <f t="shared" ref="DL69:DL97" si="194">IF($AD69="N","N",(DH69/DS69)*100)</f>
        <v>#DIV/0!</v>
      </c>
      <c r="DM69" s="66">
        <f t="shared" ref="DM69:DM97" si="195">IF($AD69="N","N",CX69+DD69+DI69)</f>
        <v>0</v>
      </c>
      <c r="DN69" s="383" t="e">
        <f t="shared" ref="DN69:DN97" si="196">IF($AD69="N","N",(DM69/($DM69+$DO69+$DQ69))*100)</f>
        <v>#DIV/0!</v>
      </c>
      <c r="DO69" s="66">
        <f t="shared" ref="DO69:DO97" si="197">IF($AD69="N","N",CY69+DE69+DJ69)</f>
        <v>0</v>
      </c>
      <c r="DP69" s="383" t="e">
        <f t="shared" ref="DP69:DP97" si="198">IF($AD69="N","N",(DO69/($DM69+$DO69+$DQ69))*100)</f>
        <v>#DIV/0!</v>
      </c>
      <c r="DQ69" s="66">
        <f t="shared" ref="DQ69:DQ97" si="199">IF($AD69="N","N",CZ69+DA69+DF69+DK69)</f>
        <v>0</v>
      </c>
      <c r="DR69" s="383" t="e">
        <f t="shared" ref="DR69:DR97" si="200">IF($AD69="N","N",(DQ69/($DM69+$DO69+$DQ69))*100)</f>
        <v>#DIV/0!</v>
      </c>
      <c r="DS69" s="316">
        <f t="shared" ref="DS69:DS97" si="201">IF($AD69="N","N",CW69+DC69+DH69)</f>
        <v>0</v>
      </c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</row>
    <row r="70" spans="1:170">
      <c r="A70" s="472">
        <f>'調查資料(OUT)'!A76</f>
        <v>1615</v>
      </c>
      <c r="B70" s="473">
        <f t="shared" si="144"/>
        <v>0</v>
      </c>
      <c r="C70" s="404">
        <f>IFERROR('調查資料(OUT)'!B$1*'調查資料(OUT)'!B76,0)+IFERROR('調查資料(OUT)'!E$1*'調查資料(OUT)'!E76,0)+IFERROR('調查資料(OUT)'!H$1*'調查資料(OUT)'!H76,0)+IFERROR('調查資料(OUT)'!I$1*'調查資料(OUT)'!I76,0)</f>
        <v>0</v>
      </c>
      <c r="D70" s="404">
        <f>IFERROR('調查資料(OUT)'!C$1*'調查資料(OUT)'!C76,0)+IFERROR('調查資料(OUT)'!F$1*'調查資料(OUT)'!F76,0)+IFERROR('調查資料(OUT)'!J$1*'調查資料(OUT)'!J76,0)</f>
        <v>0</v>
      </c>
      <c r="E70" s="417">
        <f>IFERROR('調查資料(OUT)'!D$1*'調查資料(OUT)'!D76,0)+IFERROR('調查資料(OUT)'!G$1*'調查資料(OUT)'!G76,0)+IFERROR('調查資料(OUT)'!K$1*'調查資料(OUT)'!K76,0)</f>
        <v>0</v>
      </c>
      <c r="F70" s="473">
        <f t="shared" si="145"/>
        <v>0</v>
      </c>
      <c r="G70" s="404">
        <f>IFERROR('調查資料(OUT)'!L$1*'調查資料(OUT)'!L76,0)+IFERROR('調查資料(OUT)'!O$1*'調查資料(OUT)'!O76,0)+IFERROR('調查資料(OUT)'!R$1*'調查資料(OUT)'!R76,0)+IFERROR('調查資料(OUT)'!S$1*'調查資料(OUT)'!S76,0)</f>
        <v>0</v>
      </c>
      <c r="H70" s="404">
        <f>IFERROR('調查資料(OUT)'!M$1*'調查資料(OUT)'!M76,0)+IFERROR('調查資料(OUT)'!P$1*'調查資料(OUT)'!P76,0)+IFERROR('調查資料(OUT)'!T$1*'調查資料(OUT)'!T76,0)</f>
        <v>0</v>
      </c>
      <c r="I70" s="417">
        <f>IFERROR('調查資料(OUT)'!N$1*'調查資料(OUT)'!N76,0)+IFERROR('調查資料(OUT)'!Q$1*'調查資料(OUT)'!Q76,0)+IFERROR('調查資料(OUT)'!U$1*'調查資料(OUT)'!U76,0)</f>
        <v>0</v>
      </c>
      <c r="J70" s="473">
        <f t="shared" si="146"/>
        <v>0</v>
      </c>
      <c r="K70" s="404">
        <f>IFERROR('調查資料(OUT)'!V$1*'調查資料(OUT)'!V76,0)+IFERROR('調查資料(OUT)'!Y$1*'調查資料(OUT)'!Y76,0)+IFERROR('調查資料(OUT)'!AB$1*'調查資料(OUT)'!AB76,0)+IFERROR('調查資料(OUT)'!AC$1*'調查資料(OUT)'!AC76,0)</f>
        <v>0</v>
      </c>
      <c r="L70" s="404">
        <f>IFERROR('調查資料(OUT)'!W$1*'調查資料(OUT)'!W76,0)+IFERROR('調查資料(OUT)'!Z$1*'調查資料(OUT)'!Z76,0)+IFERROR('調查資料(OUT)'!AD$1*'調查資料(OUT)'!AD76,0)</f>
        <v>0</v>
      </c>
      <c r="M70" s="417">
        <f>IFERROR('調查資料(OUT)'!X$1*'調查資料(OUT)'!X76,0)+IFERROR('調查資料(OUT)'!AA$1*'調查資料(OUT)'!AA76,0)+IFERROR('調查資料(OUT)'!AE$1*'調查資料(OUT)'!AE76,0)</f>
        <v>0</v>
      </c>
      <c r="N70" s="473">
        <f t="shared" si="147"/>
        <v>0</v>
      </c>
      <c r="O70" s="404">
        <f>IFERROR('調查資料(OUT)'!AF$1*'調查資料(OUT)'!AF76,0)+IFERROR('調查資料(OUT)'!AI$1*'調查資料(OUT)'!AI76,0)+IFERROR('調查資料(OUT)'!AL$1*'調查資料(OUT)'!AL76,0)+IFERROR('調查資料(OUT)'!AM$1*'調查資料(OUT)'!AM76,0)</f>
        <v>0</v>
      </c>
      <c r="P70" s="404">
        <f>IFERROR('調查資料(OUT)'!AG$1*'調查資料(OUT)'!AG76,0)+IFERROR('調查資料(OUT)'!AJ$1*'調查資料(OUT)'!AJ76,0)+IFERROR('調查資料(OUT)'!AN$1*'調查資料(OUT)'!AN76,0)</f>
        <v>0</v>
      </c>
      <c r="Q70" s="417">
        <f>IFERROR('調查資料(OUT)'!AH$1*'調查資料(OUT)'!AH76,0)+IFERROR('調查資料(OUT)'!AK$1*'調查資料(OUT)'!AK76,0)+IFERROR('調查資料(OUT)'!AO$1*'調查資料(OUT)'!AO76,0)</f>
        <v>0</v>
      </c>
      <c r="R70" s="474">
        <f t="shared" si="148"/>
        <v>0</v>
      </c>
      <c r="S70" s="66"/>
      <c r="T70" s="402">
        <f>'調查資料(OUT)'!A76</f>
        <v>1615</v>
      </c>
      <c r="U70" s="403">
        <f t="shared" si="149"/>
        <v>1715</v>
      </c>
      <c r="V70" s="404">
        <f>SUM(R70:R73)</f>
        <v>0</v>
      </c>
      <c r="W70" s="404"/>
      <c r="X70" s="404">
        <f t="shared" si="150"/>
        <v>0</v>
      </c>
      <c r="Y70" s="415" t="e">
        <f>IF($V70=W$69,SUM(B70:B73)/(4*(MAX(B70:B73))),0)</f>
        <v>#DIV/0!</v>
      </c>
      <c r="Z70" s="415" t="e">
        <f>IF($V70=W$69,SUM(F70:F73)/(4*(MAX(F70:F73))),0)</f>
        <v>#DIV/0!</v>
      </c>
      <c r="AA70" s="415" t="e">
        <f>IF($V70=W$69,SUM(J70:J73)/(4*(MAX(J70:J73))),0)</f>
        <v>#DIV/0!</v>
      </c>
      <c r="AB70" s="415" t="e">
        <f>IF($V70=W$69,SUM(N70:N73)/(4*(MAX(N70:N73))),0)</f>
        <v>#DIV/0!</v>
      </c>
      <c r="AC70" s="418"/>
      <c r="AD70" s="404">
        <f>IF(V70=W$69,$T70,"N")</f>
        <v>1615</v>
      </c>
      <c r="AE70" s="417">
        <f>IF(V70=W$69,$U70,"N")</f>
        <v>1715</v>
      </c>
      <c r="AF70" s="309">
        <f t="shared" ref="AF70:AF96" si="202">IF($AD70="N","N",SUM(C70:C73))</f>
        <v>0</v>
      </c>
      <c r="AG70" s="66">
        <f>IF($AD70="N","N",SUM('調查資料(OUT)'!B76:B79))</f>
        <v>0</v>
      </c>
      <c r="AH70" s="66">
        <f>IF($AD70="N","N",SUM('調查資料(OUT)'!E76:E79))</f>
        <v>0</v>
      </c>
      <c r="AI70" s="66">
        <f>IF($AD70="N","N",SUM('調查資料(OUT)'!I76:I79))</f>
        <v>0</v>
      </c>
      <c r="AJ70" s="66">
        <f>IF($AD70="N","N",SUM('調查資料(OUT)'!H76:H79))</f>
        <v>0</v>
      </c>
      <c r="AK70" s="383" t="e">
        <f t="shared" si="151"/>
        <v>#DIV/0!</v>
      </c>
      <c r="AL70" s="66">
        <f t="shared" si="152"/>
        <v>0</v>
      </c>
      <c r="AM70" s="66">
        <f>IF($AD70="N","N",SUM('調查資料(OUT)'!C76:C79))</f>
        <v>0</v>
      </c>
      <c r="AN70" s="66">
        <f>IF($AD70="N","N",SUM('調查資料(OUT)'!F76:F79))</f>
        <v>0</v>
      </c>
      <c r="AO70" s="66">
        <f>IF($AD70="N","N",SUM('調查資料(OUT)'!J76:J79))</f>
        <v>0</v>
      </c>
      <c r="AP70" s="383" t="e">
        <f t="shared" si="153"/>
        <v>#DIV/0!</v>
      </c>
      <c r="AQ70" s="66">
        <f t="shared" si="154"/>
        <v>0</v>
      </c>
      <c r="AR70" s="66">
        <f>IF($AD70="N","N",SUM('調查資料(OUT)'!D76:D79))</f>
        <v>0</v>
      </c>
      <c r="AS70" s="66">
        <f>IF($AD70="N","N",SUM('調查資料(OUT)'!G76:G79))</f>
        <v>0</v>
      </c>
      <c r="AT70" s="66">
        <f>IF($AD70="N","N",SUM('調查資料(OUT)'!K76:K79))</f>
        <v>0</v>
      </c>
      <c r="AU70" s="383" t="e">
        <f t="shared" si="155"/>
        <v>#DIV/0!</v>
      </c>
      <c r="AV70" s="66">
        <f t="shared" si="156"/>
        <v>0</v>
      </c>
      <c r="AW70" s="383" t="e">
        <f t="shared" si="157"/>
        <v>#DIV/0!</v>
      </c>
      <c r="AX70" s="66">
        <f t="shared" si="158"/>
        <v>0</v>
      </c>
      <c r="AY70" s="383" t="e">
        <f t="shared" si="159"/>
        <v>#DIV/0!</v>
      </c>
      <c r="AZ70" s="66">
        <f t="shared" si="160"/>
        <v>0</v>
      </c>
      <c r="BA70" s="383" t="e">
        <f t="shared" si="161"/>
        <v>#DIV/0!</v>
      </c>
      <c r="BB70" s="316">
        <f t="shared" si="162"/>
        <v>0</v>
      </c>
      <c r="BC70" s="309">
        <f t="shared" si="163"/>
        <v>0</v>
      </c>
      <c r="BD70" s="66">
        <f>IF($AD70="N","N",SUM('調查資料(OUT)'!L76:L79))</f>
        <v>0</v>
      </c>
      <c r="BE70" s="66">
        <f>IF($AD70="N","N",SUM('調查資料(OUT)'!O76:O79))</f>
        <v>0</v>
      </c>
      <c r="BF70" s="66">
        <f>IF($AD70="N","N",SUM('調查資料(OUT)'!S76:S79))</f>
        <v>0</v>
      </c>
      <c r="BG70" s="66">
        <f>IF($AD70="N","N",SUM('調查資料(OUT)'!R76:R79))</f>
        <v>0</v>
      </c>
      <c r="BH70" s="383" t="e">
        <f t="shared" si="164"/>
        <v>#DIV/0!</v>
      </c>
      <c r="BI70" s="66">
        <f t="shared" si="165"/>
        <v>0</v>
      </c>
      <c r="BJ70" s="66">
        <f>IF($AD70="N","N",SUM('調查資料(OUT)'!M76:M79))</f>
        <v>0</v>
      </c>
      <c r="BK70" s="66">
        <f>IF($AD70="N","N",SUM('調查資料(OUT)'!P76:P79))</f>
        <v>0</v>
      </c>
      <c r="BL70" s="66">
        <f>IF($AD70="N","N",SUM('調查資料(OUT)'!T76:T79))</f>
        <v>0</v>
      </c>
      <c r="BM70" s="383" t="e">
        <f t="shared" si="166"/>
        <v>#DIV/0!</v>
      </c>
      <c r="BN70" s="66">
        <f t="shared" si="167"/>
        <v>0</v>
      </c>
      <c r="BO70" s="66">
        <f>IF($AD70="N","N",SUM('調查資料(OUT)'!N76:N79))</f>
        <v>0</v>
      </c>
      <c r="BP70" s="66">
        <f>IF($AD70="N","N",SUM('調查資料(OUT)'!Q76:Q79))</f>
        <v>0</v>
      </c>
      <c r="BQ70" s="66">
        <f>IF($AD70="N","N",SUM('調查資料(OUT)'!U76:U79))</f>
        <v>0</v>
      </c>
      <c r="BR70" s="383" t="e">
        <f t="shared" si="168"/>
        <v>#DIV/0!</v>
      </c>
      <c r="BS70" s="66">
        <f t="shared" si="169"/>
        <v>0</v>
      </c>
      <c r="BT70" s="383" t="e">
        <f t="shared" si="170"/>
        <v>#DIV/0!</v>
      </c>
      <c r="BU70" s="66">
        <f t="shared" si="171"/>
        <v>0</v>
      </c>
      <c r="BV70" s="383" t="e">
        <f t="shared" si="172"/>
        <v>#DIV/0!</v>
      </c>
      <c r="BW70" s="66">
        <f t="shared" si="173"/>
        <v>0</v>
      </c>
      <c r="BX70" s="383" t="e">
        <f t="shared" si="174"/>
        <v>#DIV/0!</v>
      </c>
      <c r="BY70" s="316">
        <f t="shared" si="175"/>
        <v>0</v>
      </c>
      <c r="BZ70" s="309">
        <f t="shared" si="176"/>
        <v>0</v>
      </c>
      <c r="CA70" s="66">
        <f>IF($AD70="N","N",SUM('調查資料(OUT)'!V76:V79))</f>
        <v>0</v>
      </c>
      <c r="CB70" s="66">
        <f>IF($AD70="N","N",SUM('調查資料(OUT)'!Y76:Y79))</f>
        <v>0</v>
      </c>
      <c r="CC70" s="66">
        <f>IF($AD70="N","N",SUM('調查資料(OUT)'!AC76:AC79))</f>
        <v>0</v>
      </c>
      <c r="CD70" s="66">
        <f>IF($AD70="N","N",SUM('調查資料(OUT)'!AB76:AB79))</f>
        <v>0</v>
      </c>
      <c r="CE70" s="383" t="e">
        <f t="shared" si="177"/>
        <v>#DIV/0!</v>
      </c>
      <c r="CF70" s="66">
        <f t="shared" si="178"/>
        <v>0</v>
      </c>
      <c r="CG70" s="66">
        <f>IF($AD70="N","N",SUM('調查資料(OUT)'!W76:W79))</f>
        <v>0</v>
      </c>
      <c r="CH70" s="66">
        <f>IF($AD70="N","N",SUM('調查資料(OUT)'!Z76:Z79))</f>
        <v>0</v>
      </c>
      <c r="CI70" s="66">
        <f>IF($AD70="N","N",SUM('調查資料(OUT)'!AD76:AD79))</f>
        <v>0</v>
      </c>
      <c r="CJ70" s="383" t="e">
        <f t="shared" si="179"/>
        <v>#DIV/0!</v>
      </c>
      <c r="CK70" s="66">
        <f t="shared" si="180"/>
        <v>0</v>
      </c>
      <c r="CL70" s="66">
        <f>IF($AD70="N","N",SUM('調查資料(OUT)'!X76:X79))</f>
        <v>0</v>
      </c>
      <c r="CM70" s="66">
        <f>IF($AD70="N","N",SUM('調查資料(OUT)'!AA76:AA79))</f>
        <v>0</v>
      </c>
      <c r="CN70" s="66">
        <f>IF($AD70="N","N",SUM('調查資料(OUT)'!AE76:AE79))</f>
        <v>0</v>
      </c>
      <c r="CO70" s="383" t="e">
        <f t="shared" si="181"/>
        <v>#DIV/0!</v>
      </c>
      <c r="CP70" s="66">
        <f t="shared" si="182"/>
        <v>0</v>
      </c>
      <c r="CQ70" s="383" t="e">
        <f t="shared" si="183"/>
        <v>#DIV/0!</v>
      </c>
      <c r="CR70" s="66">
        <f t="shared" si="184"/>
        <v>0</v>
      </c>
      <c r="CS70" s="383" t="e">
        <f t="shared" si="185"/>
        <v>#DIV/0!</v>
      </c>
      <c r="CT70" s="66">
        <f t="shared" si="186"/>
        <v>0</v>
      </c>
      <c r="CU70" s="383" t="e">
        <f t="shared" si="187"/>
        <v>#DIV/0!</v>
      </c>
      <c r="CV70" s="316">
        <f t="shared" si="188"/>
        <v>0</v>
      </c>
      <c r="CW70" s="309">
        <f t="shared" si="189"/>
        <v>0</v>
      </c>
      <c r="CX70" s="66">
        <f>IF($AD70="N","N",SUM('調查資料(OUT)'!AF76:AF79))</f>
        <v>0</v>
      </c>
      <c r="CY70" s="66">
        <f>IF($AD70="N","N",SUM('調查資料(OUT)'!AI76:AI79))</f>
        <v>0</v>
      </c>
      <c r="CZ70" s="66">
        <f>IF($AD70="N","N",SUM('調查資料(OUT)'!AM76:AM79))</f>
        <v>0</v>
      </c>
      <c r="DA70" s="66">
        <f>IF($AD70="N","N",SUM('調查資料(OUT)'!AL76:AL79))</f>
        <v>0</v>
      </c>
      <c r="DB70" s="383" t="e">
        <f t="shared" si="190"/>
        <v>#DIV/0!</v>
      </c>
      <c r="DC70" s="66">
        <f t="shared" si="191"/>
        <v>0</v>
      </c>
      <c r="DD70" s="66">
        <f>IF($AD70="N","N",SUM('調查資料(OUT)'!AG76:AG79))</f>
        <v>0</v>
      </c>
      <c r="DE70" s="66">
        <f>IF($AD70="N","N",SUM('調查資料(OUT)'!AJ76:AJ79))</f>
        <v>0</v>
      </c>
      <c r="DF70" s="66">
        <f>IF($AD70="N","N",SUM('調查資料(OUT)'!AN76:AN79))</f>
        <v>0</v>
      </c>
      <c r="DG70" s="383" t="e">
        <f t="shared" si="192"/>
        <v>#DIV/0!</v>
      </c>
      <c r="DH70" s="66">
        <f t="shared" si="193"/>
        <v>0</v>
      </c>
      <c r="DI70" s="66">
        <f>IF($AD70="N","N",SUM('調查資料(OUT)'!AH76:AH79))</f>
        <v>0</v>
      </c>
      <c r="DJ70" s="66">
        <f>IF($AD70="N","N",SUM('調查資料(OUT)'!AK76:AK79))</f>
        <v>0</v>
      </c>
      <c r="DK70" s="66">
        <f>IF($AD70="N","N",SUM('調查資料(OUT)'!AO76:AO79))</f>
        <v>0</v>
      </c>
      <c r="DL70" s="383" t="e">
        <f t="shared" si="194"/>
        <v>#DIV/0!</v>
      </c>
      <c r="DM70" s="66">
        <f t="shared" si="195"/>
        <v>0</v>
      </c>
      <c r="DN70" s="383" t="e">
        <f t="shared" si="196"/>
        <v>#DIV/0!</v>
      </c>
      <c r="DO70" s="66">
        <f t="shared" si="197"/>
        <v>0</v>
      </c>
      <c r="DP70" s="383" t="e">
        <f t="shared" si="198"/>
        <v>#DIV/0!</v>
      </c>
      <c r="DQ70" s="66">
        <f t="shared" si="199"/>
        <v>0</v>
      </c>
      <c r="DR70" s="383" t="e">
        <f t="shared" si="200"/>
        <v>#DIV/0!</v>
      </c>
      <c r="DS70" s="316">
        <f t="shared" si="201"/>
        <v>0</v>
      </c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</row>
    <row r="71" spans="1:170">
      <c r="A71" s="472">
        <f>'調查資料(OUT)'!A77</f>
        <v>1630</v>
      </c>
      <c r="B71" s="473">
        <f t="shared" si="144"/>
        <v>0</v>
      </c>
      <c r="C71" s="404">
        <f>IFERROR('調查資料(OUT)'!B$1*'調查資料(OUT)'!B77,0)+IFERROR('調查資料(OUT)'!E$1*'調查資料(OUT)'!E77,0)+IFERROR('調查資料(OUT)'!H$1*'調查資料(OUT)'!H77,0)+IFERROR('調查資料(OUT)'!I$1*'調查資料(OUT)'!I77,0)</f>
        <v>0</v>
      </c>
      <c r="D71" s="404">
        <f>IFERROR('調查資料(OUT)'!C$1*'調查資料(OUT)'!C77,0)+IFERROR('調查資料(OUT)'!F$1*'調查資料(OUT)'!F77,0)+IFERROR('調查資料(OUT)'!J$1*'調查資料(OUT)'!J77,0)</f>
        <v>0</v>
      </c>
      <c r="E71" s="417">
        <f>IFERROR('調查資料(OUT)'!D$1*'調查資料(OUT)'!D77,0)+IFERROR('調查資料(OUT)'!G$1*'調查資料(OUT)'!G77,0)+IFERROR('調查資料(OUT)'!K$1*'調查資料(OUT)'!K77,0)</f>
        <v>0</v>
      </c>
      <c r="F71" s="473">
        <f t="shared" si="145"/>
        <v>0</v>
      </c>
      <c r="G71" s="404">
        <f>IFERROR('調查資料(OUT)'!L$1*'調查資料(OUT)'!L77,0)+IFERROR('調查資料(OUT)'!O$1*'調查資料(OUT)'!O77,0)+IFERROR('調查資料(OUT)'!R$1*'調查資料(OUT)'!R77,0)+IFERROR('調查資料(OUT)'!S$1*'調查資料(OUT)'!S77,0)</f>
        <v>0</v>
      </c>
      <c r="H71" s="404">
        <f>IFERROR('調查資料(OUT)'!M$1*'調查資料(OUT)'!M77,0)+IFERROR('調查資料(OUT)'!P$1*'調查資料(OUT)'!P77,0)+IFERROR('調查資料(OUT)'!T$1*'調查資料(OUT)'!T77,0)</f>
        <v>0</v>
      </c>
      <c r="I71" s="417">
        <f>IFERROR('調查資料(OUT)'!N$1*'調查資料(OUT)'!N77,0)+IFERROR('調查資料(OUT)'!Q$1*'調查資料(OUT)'!Q77,0)+IFERROR('調查資料(OUT)'!U$1*'調查資料(OUT)'!U77,0)</f>
        <v>0</v>
      </c>
      <c r="J71" s="473">
        <f t="shared" si="146"/>
        <v>0</v>
      </c>
      <c r="K71" s="404">
        <f>IFERROR('調查資料(OUT)'!V$1*'調查資料(OUT)'!V77,0)+IFERROR('調查資料(OUT)'!Y$1*'調查資料(OUT)'!Y77,0)+IFERROR('調查資料(OUT)'!AB$1*'調查資料(OUT)'!AB77,0)+IFERROR('調查資料(OUT)'!AC$1*'調查資料(OUT)'!AC77,0)</f>
        <v>0</v>
      </c>
      <c r="L71" s="404">
        <f>IFERROR('調查資料(OUT)'!W$1*'調查資料(OUT)'!W77,0)+IFERROR('調查資料(OUT)'!Z$1*'調查資料(OUT)'!Z77,0)+IFERROR('調查資料(OUT)'!AD$1*'調查資料(OUT)'!AD77,0)</f>
        <v>0</v>
      </c>
      <c r="M71" s="417">
        <f>IFERROR('調查資料(OUT)'!X$1*'調查資料(OUT)'!X77,0)+IFERROR('調查資料(OUT)'!AA$1*'調查資料(OUT)'!AA77,0)+IFERROR('調查資料(OUT)'!AE$1*'調查資料(OUT)'!AE77,0)</f>
        <v>0</v>
      </c>
      <c r="N71" s="473">
        <f t="shared" si="147"/>
        <v>0</v>
      </c>
      <c r="O71" s="404">
        <f>IFERROR('調查資料(OUT)'!AF$1*'調查資料(OUT)'!AF77,0)+IFERROR('調查資料(OUT)'!AI$1*'調查資料(OUT)'!AI77,0)+IFERROR('調查資料(OUT)'!AL$1*'調查資料(OUT)'!AL77,0)+IFERROR('調查資料(OUT)'!AM$1*'調查資料(OUT)'!AM77,0)</f>
        <v>0</v>
      </c>
      <c r="P71" s="404">
        <f>IFERROR('調查資料(OUT)'!AG$1*'調查資料(OUT)'!AG77,0)+IFERROR('調查資料(OUT)'!AJ$1*'調查資料(OUT)'!AJ77,0)+IFERROR('調查資料(OUT)'!AN$1*'調查資料(OUT)'!AN77,0)</f>
        <v>0</v>
      </c>
      <c r="Q71" s="417">
        <f>IFERROR('調查資料(OUT)'!AH$1*'調查資料(OUT)'!AH77,0)+IFERROR('調查資料(OUT)'!AK$1*'調查資料(OUT)'!AK77,0)+IFERROR('調查資料(OUT)'!AO$1*'調查資料(OUT)'!AO77,0)</f>
        <v>0</v>
      </c>
      <c r="R71" s="474">
        <f t="shared" si="148"/>
        <v>0</v>
      </c>
      <c r="S71" s="66"/>
      <c r="T71" s="402">
        <f>'調查資料(OUT)'!A77</f>
        <v>1630</v>
      </c>
      <c r="U71" s="403">
        <f t="shared" si="149"/>
        <v>1730</v>
      </c>
      <c r="V71" s="404">
        <f t="shared" si="133"/>
        <v>0</v>
      </c>
      <c r="W71" s="404"/>
      <c r="X71" s="404">
        <f t="shared" si="150"/>
        <v>0</v>
      </c>
      <c r="Y71" s="415" t="e">
        <f>IF($V71=W$69,SUM(B71:B74)/(4*(MAX(B71:B74))),0)</f>
        <v>#DIV/0!</v>
      </c>
      <c r="Z71" s="415" t="e">
        <f>IF($V71=W$69,SUM(F71:F74)/(4*(MAX(F71:F74))),0)</f>
        <v>#DIV/0!</v>
      </c>
      <c r="AA71" s="415" t="e">
        <f>IF($V71=W$69,SUM(J71:J74)/(4*(MAX(J71:J74))),0)</f>
        <v>#DIV/0!</v>
      </c>
      <c r="AB71" s="415" t="e">
        <f>IF($V71=W$69,SUM(N71:N74)/(4*(MAX(N71:N74))),0)</f>
        <v>#DIV/0!</v>
      </c>
      <c r="AC71" s="418"/>
      <c r="AD71" s="404">
        <f>IF(V71=W$69,$T71,"N")</f>
        <v>1630</v>
      </c>
      <c r="AE71" s="417">
        <f>IF(V71=W$69,$U71,"N")</f>
        <v>1730</v>
      </c>
      <c r="AF71" s="309">
        <f t="shared" si="202"/>
        <v>0</v>
      </c>
      <c r="AG71" s="66">
        <f>IF($AD71="N","N",SUM('調查資料(OUT)'!B77:B80))</f>
        <v>0</v>
      </c>
      <c r="AH71" s="66">
        <f>IF($AD71="N","N",SUM('調查資料(OUT)'!E77:E80))</f>
        <v>0</v>
      </c>
      <c r="AI71" s="66">
        <f>IF($AD71="N","N",SUM('調查資料(OUT)'!I77:I80))</f>
        <v>0</v>
      </c>
      <c r="AJ71" s="66">
        <f>IF($AD71="N","N",SUM('調查資料(OUT)'!H77:H80))</f>
        <v>0</v>
      </c>
      <c r="AK71" s="383" t="e">
        <f t="shared" si="151"/>
        <v>#DIV/0!</v>
      </c>
      <c r="AL71" s="66">
        <f t="shared" si="152"/>
        <v>0</v>
      </c>
      <c r="AM71" s="66">
        <f>IF($AD71="N","N",SUM('調查資料(OUT)'!C77:C80))</f>
        <v>0</v>
      </c>
      <c r="AN71" s="66">
        <f>IF($AD71="N","N",SUM('調查資料(OUT)'!F77:F80))</f>
        <v>0</v>
      </c>
      <c r="AO71" s="66">
        <f>IF($AD71="N","N",SUM('調查資料(OUT)'!J77:J80))</f>
        <v>0</v>
      </c>
      <c r="AP71" s="383" t="e">
        <f t="shared" si="153"/>
        <v>#DIV/0!</v>
      </c>
      <c r="AQ71" s="66">
        <f t="shared" si="154"/>
        <v>0</v>
      </c>
      <c r="AR71" s="66">
        <f>IF($AD71="N","N",SUM('調查資料(OUT)'!D77:D80))</f>
        <v>0</v>
      </c>
      <c r="AS71" s="66">
        <f>IF($AD71="N","N",SUM('調查資料(OUT)'!G77:G80))</f>
        <v>0</v>
      </c>
      <c r="AT71" s="66">
        <f>IF($AD71="N","N",SUM('調查資料(OUT)'!K77:K80))</f>
        <v>0</v>
      </c>
      <c r="AU71" s="383" t="e">
        <f t="shared" si="155"/>
        <v>#DIV/0!</v>
      </c>
      <c r="AV71" s="66">
        <f t="shared" si="156"/>
        <v>0</v>
      </c>
      <c r="AW71" s="383" t="e">
        <f t="shared" si="157"/>
        <v>#DIV/0!</v>
      </c>
      <c r="AX71" s="66">
        <f t="shared" si="158"/>
        <v>0</v>
      </c>
      <c r="AY71" s="383" t="e">
        <f t="shared" si="159"/>
        <v>#DIV/0!</v>
      </c>
      <c r="AZ71" s="66">
        <f t="shared" si="160"/>
        <v>0</v>
      </c>
      <c r="BA71" s="383" t="e">
        <f t="shared" si="161"/>
        <v>#DIV/0!</v>
      </c>
      <c r="BB71" s="316">
        <f t="shared" si="162"/>
        <v>0</v>
      </c>
      <c r="BC71" s="309">
        <f t="shared" si="163"/>
        <v>0</v>
      </c>
      <c r="BD71" s="66">
        <f>IF($AD71="N","N",SUM('調查資料(OUT)'!L77:L80))</f>
        <v>0</v>
      </c>
      <c r="BE71" s="66">
        <f>IF($AD71="N","N",SUM('調查資料(OUT)'!O77:O80))</f>
        <v>0</v>
      </c>
      <c r="BF71" s="66">
        <f>IF($AD71="N","N",SUM('調查資料(OUT)'!S77:S80))</f>
        <v>0</v>
      </c>
      <c r="BG71" s="66">
        <f>IF($AD71="N","N",SUM('調查資料(OUT)'!R77:R80))</f>
        <v>0</v>
      </c>
      <c r="BH71" s="383" t="e">
        <f t="shared" si="164"/>
        <v>#DIV/0!</v>
      </c>
      <c r="BI71" s="66">
        <f t="shared" si="165"/>
        <v>0</v>
      </c>
      <c r="BJ71" s="66">
        <f>IF($AD71="N","N",SUM('調查資料(OUT)'!M77:M80))</f>
        <v>0</v>
      </c>
      <c r="BK71" s="66">
        <f>IF($AD71="N","N",SUM('調查資料(OUT)'!P77:P80))</f>
        <v>0</v>
      </c>
      <c r="BL71" s="66">
        <f>IF($AD71="N","N",SUM('調查資料(OUT)'!T77:T80))</f>
        <v>0</v>
      </c>
      <c r="BM71" s="383" t="e">
        <f t="shared" si="166"/>
        <v>#DIV/0!</v>
      </c>
      <c r="BN71" s="66">
        <f t="shared" si="167"/>
        <v>0</v>
      </c>
      <c r="BO71" s="66">
        <f>IF($AD71="N","N",SUM('調查資料(OUT)'!N77:N80))</f>
        <v>0</v>
      </c>
      <c r="BP71" s="66">
        <f>IF($AD71="N","N",SUM('調查資料(OUT)'!Q77:Q80))</f>
        <v>0</v>
      </c>
      <c r="BQ71" s="66">
        <f>IF($AD71="N","N",SUM('調查資料(OUT)'!U77:U80))</f>
        <v>0</v>
      </c>
      <c r="BR71" s="383" t="e">
        <f t="shared" si="168"/>
        <v>#DIV/0!</v>
      </c>
      <c r="BS71" s="66">
        <f t="shared" si="169"/>
        <v>0</v>
      </c>
      <c r="BT71" s="383" t="e">
        <f t="shared" si="170"/>
        <v>#DIV/0!</v>
      </c>
      <c r="BU71" s="66">
        <f t="shared" si="171"/>
        <v>0</v>
      </c>
      <c r="BV71" s="383" t="e">
        <f t="shared" si="172"/>
        <v>#DIV/0!</v>
      </c>
      <c r="BW71" s="66">
        <f t="shared" si="173"/>
        <v>0</v>
      </c>
      <c r="BX71" s="383" t="e">
        <f t="shared" si="174"/>
        <v>#DIV/0!</v>
      </c>
      <c r="BY71" s="316">
        <f t="shared" si="175"/>
        <v>0</v>
      </c>
      <c r="BZ71" s="309">
        <f t="shared" si="176"/>
        <v>0</v>
      </c>
      <c r="CA71" s="66">
        <f>IF($AD71="N","N",SUM('調查資料(OUT)'!V77:V80))</f>
        <v>0</v>
      </c>
      <c r="CB71" s="66">
        <f>IF($AD71="N","N",SUM('調查資料(OUT)'!Y77:Y80))</f>
        <v>0</v>
      </c>
      <c r="CC71" s="66">
        <f>IF($AD71="N","N",SUM('調查資料(OUT)'!AC77:AC80))</f>
        <v>0</v>
      </c>
      <c r="CD71" s="66">
        <f>IF($AD71="N","N",SUM('調查資料(OUT)'!AB77:AB80))</f>
        <v>0</v>
      </c>
      <c r="CE71" s="383" t="e">
        <f t="shared" si="177"/>
        <v>#DIV/0!</v>
      </c>
      <c r="CF71" s="66">
        <f t="shared" si="178"/>
        <v>0</v>
      </c>
      <c r="CG71" s="66">
        <f>IF($AD71="N","N",SUM('調查資料(OUT)'!W77:W80))</f>
        <v>0</v>
      </c>
      <c r="CH71" s="66">
        <f>IF($AD71="N","N",SUM('調查資料(OUT)'!Z77:Z80))</f>
        <v>0</v>
      </c>
      <c r="CI71" s="66">
        <f>IF($AD71="N","N",SUM('調查資料(OUT)'!AD77:AD80))</f>
        <v>0</v>
      </c>
      <c r="CJ71" s="383" t="e">
        <f t="shared" si="179"/>
        <v>#DIV/0!</v>
      </c>
      <c r="CK71" s="66">
        <f t="shared" si="180"/>
        <v>0</v>
      </c>
      <c r="CL71" s="66">
        <f>IF($AD71="N","N",SUM('調查資料(OUT)'!X77:X80))</f>
        <v>0</v>
      </c>
      <c r="CM71" s="66">
        <f>IF($AD71="N","N",SUM('調查資料(OUT)'!AA77:AA80))</f>
        <v>0</v>
      </c>
      <c r="CN71" s="66">
        <f>IF($AD71="N","N",SUM('調查資料(OUT)'!AE77:AE80))</f>
        <v>0</v>
      </c>
      <c r="CO71" s="383" t="e">
        <f t="shared" si="181"/>
        <v>#DIV/0!</v>
      </c>
      <c r="CP71" s="66">
        <f t="shared" si="182"/>
        <v>0</v>
      </c>
      <c r="CQ71" s="383" t="e">
        <f t="shared" si="183"/>
        <v>#DIV/0!</v>
      </c>
      <c r="CR71" s="66">
        <f t="shared" si="184"/>
        <v>0</v>
      </c>
      <c r="CS71" s="383" t="e">
        <f t="shared" si="185"/>
        <v>#DIV/0!</v>
      </c>
      <c r="CT71" s="66">
        <f t="shared" si="186"/>
        <v>0</v>
      </c>
      <c r="CU71" s="383" t="e">
        <f t="shared" si="187"/>
        <v>#DIV/0!</v>
      </c>
      <c r="CV71" s="316">
        <f t="shared" si="188"/>
        <v>0</v>
      </c>
      <c r="CW71" s="309">
        <f t="shared" si="189"/>
        <v>0</v>
      </c>
      <c r="CX71" s="66">
        <f>IF($AD71="N","N",SUM('調查資料(OUT)'!AF77:AF80))</f>
        <v>0</v>
      </c>
      <c r="CY71" s="66">
        <f>IF($AD71="N","N",SUM('調查資料(OUT)'!AI77:AI80))</f>
        <v>0</v>
      </c>
      <c r="CZ71" s="66">
        <f>IF($AD71="N","N",SUM('調查資料(OUT)'!AM77:AM80))</f>
        <v>0</v>
      </c>
      <c r="DA71" s="66">
        <f>IF($AD71="N","N",SUM('調查資料(OUT)'!AL77:AL80))</f>
        <v>0</v>
      </c>
      <c r="DB71" s="383" t="e">
        <f t="shared" si="190"/>
        <v>#DIV/0!</v>
      </c>
      <c r="DC71" s="66">
        <f t="shared" si="191"/>
        <v>0</v>
      </c>
      <c r="DD71" s="66">
        <f>IF($AD71="N","N",SUM('調查資料(OUT)'!AG77:AG80))</f>
        <v>0</v>
      </c>
      <c r="DE71" s="66">
        <f>IF($AD71="N","N",SUM('調查資料(OUT)'!AJ77:AJ80))</f>
        <v>0</v>
      </c>
      <c r="DF71" s="66">
        <f>IF($AD71="N","N",SUM('調查資料(OUT)'!AN77:AN80))</f>
        <v>0</v>
      </c>
      <c r="DG71" s="383" t="e">
        <f t="shared" si="192"/>
        <v>#DIV/0!</v>
      </c>
      <c r="DH71" s="66">
        <f t="shared" si="193"/>
        <v>0</v>
      </c>
      <c r="DI71" s="66">
        <f>IF($AD71="N","N",SUM('調查資料(OUT)'!AH77:AH80))</f>
        <v>0</v>
      </c>
      <c r="DJ71" s="66">
        <f>IF($AD71="N","N",SUM('調查資料(OUT)'!AK77:AK80))</f>
        <v>0</v>
      </c>
      <c r="DK71" s="66">
        <f>IF($AD71="N","N",SUM('調查資料(OUT)'!AO77:AO80))</f>
        <v>0</v>
      </c>
      <c r="DL71" s="383" t="e">
        <f t="shared" si="194"/>
        <v>#DIV/0!</v>
      </c>
      <c r="DM71" s="66">
        <f t="shared" si="195"/>
        <v>0</v>
      </c>
      <c r="DN71" s="383" t="e">
        <f t="shared" si="196"/>
        <v>#DIV/0!</v>
      </c>
      <c r="DO71" s="66">
        <f t="shared" si="197"/>
        <v>0</v>
      </c>
      <c r="DP71" s="383" t="e">
        <f t="shared" si="198"/>
        <v>#DIV/0!</v>
      </c>
      <c r="DQ71" s="66">
        <f t="shared" si="199"/>
        <v>0</v>
      </c>
      <c r="DR71" s="383" t="e">
        <f t="shared" si="200"/>
        <v>#DIV/0!</v>
      </c>
      <c r="DS71" s="316">
        <f t="shared" si="201"/>
        <v>0</v>
      </c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</row>
    <row r="72" spans="1:170">
      <c r="A72" s="472">
        <f>'調查資料(OUT)'!A78</f>
        <v>1645</v>
      </c>
      <c r="B72" s="473">
        <f t="shared" si="144"/>
        <v>0</v>
      </c>
      <c r="C72" s="404">
        <f>IFERROR('調查資料(OUT)'!B$1*'調查資料(OUT)'!B78,0)+IFERROR('調查資料(OUT)'!E$1*'調查資料(OUT)'!E78,0)+IFERROR('調查資料(OUT)'!H$1*'調查資料(OUT)'!H78,0)+IFERROR('調查資料(OUT)'!I$1*'調查資料(OUT)'!I78,0)</f>
        <v>0</v>
      </c>
      <c r="D72" s="404">
        <f>IFERROR('調查資料(OUT)'!C$1*'調查資料(OUT)'!C78,0)+IFERROR('調查資料(OUT)'!F$1*'調查資料(OUT)'!F78,0)+IFERROR('調查資料(OUT)'!J$1*'調查資料(OUT)'!J78,0)</f>
        <v>0</v>
      </c>
      <c r="E72" s="417">
        <f>IFERROR('調查資料(OUT)'!D$1*'調查資料(OUT)'!D78,0)+IFERROR('調查資料(OUT)'!G$1*'調查資料(OUT)'!G78,0)+IFERROR('調查資料(OUT)'!K$1*'調查資料(OUT)'!K78,0)</f>
        <v>0</v>
      </c>
      <c r="F72" s="473">
        <f t="shared" si="145"/>
        <v>0</v>
      </c>
      <c r="G72" s="404">
        <f>IFERROR('調查資料(OUT)'!L$1*'調查資料(OUT)'!L78,0)+IFERROR('調查資料(OUT)'!O$1*'調查資料(OUT)'!O78,0)+IFERROR('調查資料(OUT)'!R$1*'調查資料(OUT)'!R78,0)+IFERROR('調查資料(OUT)'!S$1*'調查資料(OUT)'!S78,0)</f>
        <v>0</v>
      </c>
      <c r="H72" s="404">
        <f>IFERROR('調查資料(OUT)'!M$1*'調查資料(OUT)'!M78,0)+IFERROR('調查資料(OUT)'!P$1*'調查資料(OUT)'!P78,0)+IFERROR('調查資料(OUT)'!T$1*'調查資料(OUT)'!T78,0)</f>
        <v>0</v>
      </c>
      <c r="I72" s="417">
        <f>IFERROR('調查資料(OUT)'!N$1*'調查資料(OUT)'!N78,0)+IFERROR('調查資料(OUT)'!Q$1*'調查資料(OUT)'!Q78,0)+IFERROR('調查資料(OUT)'!U$1*'調查資料(OUT)'!U78,0)</f>
        <v>0</v>
      </c>
      <c r="J72" s="473">
        <f t="shared" si="146"/>
        <v>0</v>
      </c>
      <c r="K72" s="404">
        <f>IFERROR('調查資料(OUT)'!V$1*'調查資料(OUT)'!V78,0)+IFERROR('調查資料(OUT)'!Y$1*'調查資料(OUT)'!Y78,0)+IFERROR('調查資料(OUT)'!AB$1*'調查資料(OUT)'!AB78,0)+IFERROR('調查資料(OUT)'!AC$1*'調查資料(OUT)'!AC78,0)</f>
        <v>0</v>
      </c>
      <c r="L72" s="404">
        <f>IFERROR('調查資料(OUT)'!W$1*'調查資料(OUT)'!W78,0)+IFERROR('調查資料(OUT)'!Z$1*'調查資料(OUT)'!Z78,0)+IFERROR('調查資料(OUT)'!AD$1*'調查資料(OUT)'!AD78,0)</f>
        <v>0</v>
      </c>
      <c r="M72" s="417">
        <f>IFERROR('調查資料(OUT)'!X$1*'調查資料(OUT)'!X78,0)+IFERROR('調查資料(OUT)'!AA$1*'調查資料(OUT)'!AA78,0)+IFERROR('調查資料(OUT)'!AE$1*'調查資料(OUT)'!AE78,0)</f>
        <v>0</v>
      </c>
      <c r="N72" s="473">
        <f t="shared" si="147"/>
        <v>0</v>
      </c>
      <c r="O72" s="404">
        <f>IFERROR('調查資料(OUT)'!AF$1*'調查資料(OUT)'!AF78,0)+IFERROR('調查資料(OUT)'!AI$1*'調查資料(OUT)'!AI78,0)+IFERROR('調查資料(OUT)'!AL$1*'調查資料(OUT)'!AL78,0)+IFERROR('調查資料(OUT)'!AM$1*'調查資料(OUT)'!AM78,0)</f>
        <v>0</v>
      </c>
      <c r="P72" s="404">
        <f>IFERROR('調查資料(OUT)'!AG$1*'調查資料(OUT)'!AG78,0)+IFERROR('調查資料(OUT)'!AJ$1*'調查資料(OUT)'!AJ78,0)+IFERROR('調查資料(OUT)'!AN$1*'調查資料(OUT)'!AN78,0)</f>
        <v>0</v>
      </c>
      <c r="Q72" s="417">
        <f>IFERROR('調查資料(OUT)'!AH$1*'調查資料(OUT)'!AH78,0)+IFERROR('調查資料(OUT)'!AK$1*'調查資料(OUT)'!AK78,0)+IFERROR('調查資料(OUT)'!AO$1*'調查資料(OUT)'!AO78,0)</f>
        <v>0</v>
      </c>
      <c r="R72" s="474">
        <f t="shared" si="148"/>
        <v>0</v>
      </c>
      <c r="S72" s="66"/>
      <c r="T72" s="402">
        <f>'調查資料(OUT)'!A78</f>
        <v>1645</v>
      </c>
      <c r="U72" s="403">
        <f t="shared" si="149"/>
        <v>1745</v>
      </c>
      <c r="V72" s="404">
        <f t="shared" si="133"/>
        <v>0</v>
      </c>
      <c r="W72" s="404"/>
      <c r="X72" s="404">
        <f t="shared" si="150"/>
        <v>0</v>
      </c>
      <c r="Y72" s="415" t="e">
        <f t="shared" ref="Y72:Y81" si="203">IF($V72=W$69,SUM(B72:B75)/(4*(MAX(B72:B75))),0)</f>
        <v>#DIV/0!</v>
      </c>
      <c r="Z72" s="415" t="e">
        <f t="shared" ref="Z72:Z81" si="204">IF($V72=W$69,SUM(F72:F75)/(4*(MAX(F72:F75))),0)</f>
        <v>#DIV/0!</v>
      </c>
      <c r="AA72" s="415" t="e">
        <f t="shared" ref="AA72:AA81" si="205">IF($V72=W$69,SUM(J72:J75)/(4*(MAX(J72:J75))),0)</f>
        <v>#DIV/0!</v>
      </c>
      <c r="AB72" s="415" t="e">
        <f t="shared" ref="AB72:AB81" si="206">IF($V72=W$69,SUM(N72:N75)/(4*(MAX(N72:N75))),0)</f>
        <v>#DIV/0!</v>
      </c>
      <c r="AC72" s="418"/>
      <c r="AD72" s="404">
        <f>IF(V72=W$69,$T72,"N")</f>
        <v>1645</v>
      </c>
      <c r="AE72" s="417">
        <f>IF(V72=W$69,$U72,"N")</f>
        <v>1745</v>
      </c>
      <c r="AF72" s="309">
        <f t="shared" si="202"/>
        <v>0</v>
      </c>
      <c r="AG72" s="66">
        <f>IF($AD72="N","N",SUM('調查資料(OUT)'!B78:B81))</f>
        <v>0</v>
      </c>
      <c r="AH72" s="66">
        <f>IF($AD72="N","N",SUM('調查資料(OUT)'!E78:E81))</f>
        <v>0</v>
      </c>
      <c r="AI72" s="66">
        <f>IF($AD72="N","N",SUM('調查資料(OUT)'!I78:I81))</f>
        <v>0</v>
      </c>
      <c r="AJ72" s="66">
        <f>IF($AD72="N","N",SUM('調查資料(OUT)'!H78:H81))</f>
        <v>0</v>
      </c>
      <c r="AK72" s="383" t="e">
        <f t="shared" si="151"/>
        <v>#DIV/0!</v>
      </c>
      <c r="AL72" s="66">
        <f t="shared" si="152"/>
        <v>0</v>
      </c>
      <c r="AM72" s="66">
        <f>IF($AD72="N","N",SUM('調查資料(OUT)'!C78:C81))</f>
        <v>0</v>
      </c>
      <c r="AN72" s="66">
        <f>IF($AD72="N","N",SUM('調查資料(OUT)'!F78:F81))</f>
        <v>0</v>
      </c>
      <c r="AO72" s="66">
        <f>IF($AD72="N","N",SUM('調查資料(OUT)'!J78:J81))</f>
        <v>0</v>
      </c>
      <c r="AP72" s="383" t="e">
        <f t="shared" si="153"/>
        <v>#DIV/0!</v>
      </c>
      <c r="AQ72" s="66">
        <f t="shared" si="154"/>
        <v>0</v>
      </c>
      <c r="AR72" s="66">
        <f>IF($AD72="N","N",SUM('調查資料(OUT)'!D78:D81))</f>
        <v>0</v>
      </c>
      <c r="AS72" s="66">
        <f>IF($AD72="N","N",SUM('調查資料(OUT)'!G78:G81))</f>
        <v>0</v>
      </c>
      <c r="AT72" s="66">
        <f>IF($AD72="N","N",SUM('調查資料(OUT)'!K78:K81))</f>
        <v>0</v>
      </c>
      <c r="AU72" s="383" t="e">
        <f t="shared" si="155"/>
        <v>#DIV/0!</v>
      </c>
      <c r="AV72" s="66">
        <f t="shared" si="156"/>
        <v>0</v>
      </c>
      <c r="AW72" s="383" t="e">
        <f t="shared" si="157"/>
        <v>#DIV/0!</v>
      </c>
      <c r="AX72" s="66">
        <f t="shared" si="158"/>
        <v>0</v>
      </c>
      <c r="AY72" s="383" t="e">
        <f t="shared" si="159"/>
        <v>#DIV/0!</v>
      </c>
      <c r="AZ72" s="66">
        <f t="shared" si="160"/>
        <v>0</v>
      </c>
      <c r="BA72" s="383" t="e">
        <f t="shared" si="161"/>
        <v>#DIV/0!</v>
      </c>
      <c r="BB72" s="316">
        <f t="shared" si="162"/>
        <v>0</v>
      </c>
      <c r="BC72" s="309">
        <f t="shared" si="163"/>
        <v>0</v>
      </c>
      <c r="BD72" s="66">
        <f>IF($AD72="N","N",SUM('調查資料(OUT)'!L78:L81))</f>
        <v>0</v>
      </c>
      <c r="BE72" s="66">
        <f>IF($AD72="N","N",SUM('調查資料(OUT)'!O78:O81))</f>
        <v>0</v>
      </c>
      <c r="BF72" s="66">
        <f>IF($AD72="N","N",SUM('調查資料(OUT)'!S78:S81))</f>
        <v>0</v>
      </c>
      <c r="BG72" s="66">
        <f>IF($AD72="N","N",SUM('調查資料(OUT)'!R78:R81))</f>
        <v>0</v>
      </c>
      <c r="BH72" s="383" t="e">
        <f t="shared" si="164"/>
        <v>#DIV/0!</v>
      </c>
      <c r="BI72" s="66">
        <f t="shared" si="165"/>
        <v>0</v>
      </c>
      <c r="BJ72" s="66">
        <f>IF($AD72="N","N",SUM('調查資料(OUT)'!M78:M81))</f>
        <v>0</v>
      </c>
      <c r="BK72" s="66">
        <f>IF($AD72="N","N",SUM('調查資料(OUT)'!P78:P81))</f>
        <v>0</v>
      </c>
      <c r="BL72" s="66">
        <f>IF($AD72="N","N",SUM('調查資料(OUT)'!T78:T81))</f>
        <v>0</v>
      </c>
      <c r="BM72" s="383" t="e">
        <f t="shared" si="166"/>
        <v>#DIV/0!</v>
      </c>
      <c r="BN72" s="66">
        <f t="shared" si="167"/>
        <v>0</v>
      </c>
      <c r="BO72" s="66">
        <f>IF($AD72="N","N",SUM('調查資料(OUT)'!N78:N81))</f>
        <v>0</v>
      </c>
      <c r="BP72" s="66">
        <f>IF($AD72="N","N",SUM('調查資料(OUT)'!Q78:Q81))</f>
        <v>0</v>
      </c>
      <c r="BQ72" s="66">
        <f>IF($AD72="N","N",SUM('調查資料(OUT)'!U78:U81))</f>
        <v>0</v>
      </c>
      <c r="BR72" s="383" t="e">
        <f t="shared" si="168"/>
        <v>#DIV/0!</v>
      </c>
      <c r="BS72" s="66">
        <f t="shared" si="169"/>
        <v>0</v>
      </c>
      <c r="BT72" s="383" t="e">
        <f t="shared" si="170"/>
        <v>#DIV/0!</v>
      </c>
      <c r="BU72" s="66">
        <f t="shared" si="171"/>
        <v>0</v>
      </c>
      <c r="BV72" s="383" t="e">
        <f t="shared" si="172"/>
        <v>#DIV/0!</v>
      </c>
      <c r="BW72" s="66">
        <f t="shared" si="173"/>
        <v>0</v>
      </c>
      <c r="BX72" s="383" t="e">
        <f t="shared" si="174"/>
        <v>#DIV/0!</v>
      </c>
      <c r="BY72" s="316">
        <f t="shared" si="175"/>
        <v>0</v>
      </c>
      <c r="BZ72" s="309">
        <f t="shared" si="176"/>
        <v>0</v>
      </c>
      <c r="CA72" s="66">
        <f>IF($AD72="N","N",SUM('調查資料(OUT)'!V78:V81))</f>
        <v>0</v>
      </c>
      <c r="CB72" s="66">
        <f>IF($AD72="N","N",SUM('調查資料(OUT)'!Y78:Y81))</f>
        <v>0</v>
      </c>
      <c r="CC72" s="66">
        <f>IF($AD72="N","N",SUM('調查資料(OUT)'!AC78:AC81))</f>
        <v>0</v>
      </c>
      <c r="CD72" s="66">
        <f>IF($AD72="N","N",SUM('調查資料(OUT)'!AB78:AB81))</f>
        <v>0</v>
      </c>
      <c r="CE72" s="383" t="e">
        <f t="shared" si="177"/>
        <v>#DIV/0!</v>
      </c>
      <c r="CF72" s="66">
        <f t="shared" si="178"/>
        <v>0</v>
      </c>
      <c r="CG72" s="66">
        <f>IF($AD72="N","N",SUM('調查資料(OUT)'!W78:W81))</f>
        <v>0</v>
      </c>
      <c r="CH72" s="66">
        <f>IF($AD72="N","N",SUM('調查資料(OUT)'!Z78:Z81))</f>
        <v>0</v>
      </c>
      <c r="CI72" s="66">
        <f>IF($AD72="N","N",SUM('調查資料(OUT)'!AD78:AD81))</f>
        <v>0</v>
      </c>
      <c r="CJ72" s="383" t="e">
        <f t="shared" si="179"/>
        <v>#DIV/0!</v>
      </c>
      <c r="CK72" s="66">
        <f t="shared" si="180"/>
        <v>0</v>
      </c>
      <c r="CL72" s="66">
        <f>IF($AD72="N","N",SUM('調查資料(OUT)'!X78:X81))</f>
        <v>0</v>
      </c>
      <c r="CM72" s="66">
        <f>IF($AD72="N","N",SUM('調查資料(OUT)'!AA78:AA81))</f>
        <v>0</v>
      </c>
      <c r="CN72" s="66">
        <f>IF($AD72="N","N",SUM('調查資料(OUT)'!AE78:AE81))</f>
        <v>0</v>
      </c>
      <c r="CO72" s="383" t="e">
        <f t="shared" si="181"/>
        <v>#DIV/0!</v>
      </c>
      <c r="CP72" s="66">
        <f t="shared" si="182"/>
        <v>0</v>
      </c>
      <c r="CQ72" s="383" t="e">
        <f t="shared" si="183"/>
        <v>#DIV/0!</v>
      </c>
      <c r="CR72" s="66">
        <f t="shared" si="184"/>
        <v>0</v>
      </c>
      <c r="CS72" s="383" t="e">
        <f t="shared" si="185"/>
        <v>#DIV/0!</v>
      </c>
      <c r="CT72" s="66">
        <f t="shared" si="186"/>
        <v>0</v>
      </c>
      <c r="CU72" s="383" t="e">
        <f t="shared" si="187"/>
        <v>#DIV/0!</v>
      </c>
      <c r="CV72" s="316">
        <f t="shared" si="188"/>
        <v>0</v>
      </c>
      <c r="CW72" s="309">
        <f t="shared" si="189"/>
        <v>0</v>
      </c>
      <c r="CX72" s="66">
        <f>IF($AD72="N","N",SUM('調查資料(OUT)'!AF78:AF81))</f>
        <v>0</v>
      </c>
      <c r="CY72" s="66">
        <f>IF($AD72="N","N",SUM('調查資料(OUT)'!AI78:AI81))</f>
        <v>0</v>
      </c>
      <c r="CZ72" s="66">
        <f>IF($AD72="N","N",SUM('調查資料(OUT)'!AM78:AM81))</f>
        <v>0</v>
      </c>
      <c r="DA72" s="66">
        <f>IF($AD72="N","N",SUM('調查資料(OUT)'!AL78:AL81))</f>
        <v>0</v>
      </c>
      <c r="DB72" s="383" t="e">
        <f t="shared" si="190"/>
        <v>#DIV/0!</v>
      </c>
      <c r="DC72" s="66">
        <f t="shared" si="191"/>
        <v>0</v>
      </c>
      <c r="DD72" s="66">
        <f>IF($AD72="N","N",SUM('調查資料(OUT)'!AG78:AG81))</f>
        <v>0</v>
      </c>
      <c r="DE72" s="66">
        <f>IF($AD72="N","N",SUM('調查資料(OUT)'!AJ78:AJ81))</f>
        <v>0</v>
      </c>
      <c r="DF72" s="66">
        <f>IF($AD72="N","N",SUM('調查資料(OUT)'!AN78:AN81))</f>
        <v>0</v>
      </c>
      <c r="DG72" s="383" t="e">
        <f t="shared" si="192"/>
        <v>#DIV/0!</v>
      </c>
      <c r="DH72" s="66">
        <f t="shared" si="193"/>
        <v>0</v>
      </c>
      <c r="DI72" s="66">
        <f>IF($AD72="N","N",SUM('調查資料(OUT)'!AH78:AH81))</f>
        <v>0</v>
      </c>
      <c r="DJ72" s="66">
        <f>IF($AD72="N","N",SUM('調查資料(OUT)'!AK78:AK81))</f>
        <v>0</v>
      </c>
      <c r="DK72" s="66">
        <f>IF($AD72="N","N",SUM('調查資料(OUT)'!AO78:AO81))</f>
        <v>0</v>
      </c>
      <c r="DL72" s="383" t="e">
        <f t="shared" si="194"/>
        <v>#DIV/0!</v>
      </c>
      <c r="DM72" s="66">
        <f t="shared" si="195"/>
        <v>0</v>
      </c>
      <c r="DN72" s="383" t="e">
        <f t="shared" si="196"/>
        <v>#DIV/0!</v>
      </c>
      <c r="DO72" s="66">
        <f t="shared" si="197"/>
        <v>0</v>
      </c>
      <c r="DP72" s="383" t="e">
        <f t="shared" si="198"/>
        <v>#DIV/0!</v>
      </c>
      <c r="DQ72" s="66">
        <f t="shared" si="199"/>
        <v>0</v>
      </c>
      <c r="DR72" s="383" t="e">
        <f t="shared" si="200"/>
        <v>#DIV/0!</v>
      </c>
      <c r="DS72" s="316">
        <f t="shared" si="201"/>
        <v>0</v>
      </c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</row>
    <row r="73" spans="1:170">
      <c r="A73" s="472">
        <f>'調查資料(OUT)'!A79</f>
        <v>1700</v>
      </c>
      <c r="B73" s="473">
        <f t="shared" si="144"/>
        <v>0</v>
      </c>
      <c r="C73" s="404">
        <f>IFERROR('調查資料(OUT)'!B$1*'調查資料(OUT)'!B79,0)+IFERROR('調查資料(OUT)'!E$1*'調查資料(OUT)'!E79,0)+IFERROR('調查資料(OUT)'!H$1*'調查資料(OUT)'!H79,0)+IFERROR('調查資料(OUT)'!I$1*'調查資料(OUT)'!I79,0)</f>
        <v>0</v>
      </c>
      <c r="D73" s="404">
        <f>IFERROR('調查資料(OUT)'!C$1*'調查資料(OUT)'!C79,0)+IFERROR('調查資料(OUT)'!F$1*'調查資料(OUT)'!F79,0)+IFERROR('調查資料(OUT)'!J$1*'調查資料(OUT)'!J79,0)</f>
        <v>0</v>
      </c>
      <c r="E73" s="417">
        <f>IFERROR('調查資料(OUT)'!D$1*'調查資料(OUT)'!D79,0)+IFERROR('調查資料(OUT)'!G$1*'調查資料(OUT)'!G79,0)+IFERROR('調查資料(OUT)'!K$1*'調查資料(OUT)'!K79,0)</f>
        <v>0</v>
      </c>
      <c r="F73" s="473">
        <f t="shared" si="145"/>
        <v>0</v>
      </c>
      <c r="G73" s="404">
        <f>IFERROR('調查資料(OUT)'!L$1*'調查資料(OUT)'!L79,0)+IFERROR('調查資料(OUT)'!O$1*'調查資料(OUT)'!O79,0)+IFERROR('調查資料(OUT)'!R$1*'調查資料(OUT)'!R79,0)+IFERROR('調查資料(OUT)'!S$1*'調查資料(OUT)'!S79,0)</f>
        <v>0</v>
      </c>
      <c r="H73" s="404">
        <f>IFERROR('調查資料(OUT)'!M$1*'調查資料(OUT)'!M79,0)+IFERROR('調查資料(OUT)'!P$1*'調查資料(OUT)'!P79,0)+IFERROR('調查資料(OUT)'!T$1*'調查資料(OUT)'!T79,0)</f>
        <v>0</v>
      </c>
      <c r="I73" s="417">
        <f>IFERROR('調查資料(OUT)'!N$1*'調查資料(OUT)'!N79,0)+IFERROR('調查資料(OUT)'!Q$1*'調查資料(OUT)'!Q79,0)+IFERROR('調查資料(OUT)'!U$1*'調查資料(OUT)'!U79,0)</f>
        <v>0</v>
      </c>
      <c r="J73" s="473">
        <f t="shared" si="146"/>
        <v>0</v>
      </c>
      <c r="K73" s="404">
        <f>IFERROR('調查資料(OUT)'!V$1*'調查資料(OUT)'!V79,0)+IFERROR('調查資料(OUT)'!Y$1*'調查資料(OUT)'!Y79,0)+IFERROR('調查資料(OUT)'!AB$1*'調查資料(OUT)'!AB79,0)+IFERROR('調查資料(OUT)'!AC$1*'調查資料(OUT)'!AC79,0)</f>
        <v>0</v>
      </c>
      <c r="L73" s="404">
        <f>IFERROR('調查資料(OUT)'!W$1*'調查資料(OUT)'!W79,0)+IFERROR('調查資料(OUT)'!Z$1*'調查資料(OUT)'!Z79,0)+IFERROR('調查資料(OUT)'!AD$1*'調查資料(OUT)'!AD79,0)</f>
        <v>0</v>
      </c>
      <c r="M73" s="417">
        <f>IFERROR('調查資料(OUT)'!X$1*'調查資料(OUT)'!X79,0)+IFERROR('調查資料(OUT)'!AA$1*'調查資料(OUT)'!AA79,0)+IFERROR('調查資料(OUT)'!AE$1*'調查資料(OUT)'!AE79,0)</f>
        <v>0</v>
      </c>
      <c r="N73" s="473">
        <f t="shared" si="147"/>
        <v>0</v>
      </c>
      <c r="O73" s="404">
        <f>IFERROR('調查資料(OUT)'!AF$1*'調查資料(OUT)'!AF79,0)+IFERROR('調查資料(OUT)'!AI$1*'調查資料(OUT)'!AI79,0)+IFERROR('調查資料(OUT)'!AL$1*'調查資料(OUT)'!AL79,0)+IFERROR('調查資料(OUT)'!AM$1*'調查資料(OUT)'!AM79,0)</f>
        <v>0</v>
      </c>
      <c r="P73" s="404">
        <f>IFERROR('調查資料(OUT)'!AG$1*'調查資料(OUT)'!AG79,0)+IFERROR('調查資料(OUT)'!AJ$1*'調查資料(OUT)'!AJ79,0)+IFERROR('調查資料(OUT)'!AN$1*'調查資料(OUT)'!AN79,0)</f>
        <v>0</v>
      </c>
      <c r="Q73" s="417">
        <f>IFERROR('調查資料(OUT)'!AH$1*'調查資料(OUT)'!AH79,0)+IFERROR('調查資料(OUT)'!AK$1*'調查資料(OUT)'!AK79,0)+IFERROR('調查資料(OUT)'!AO$1*'調查資料(OUT)'!AO79,0)</f>
        <v>0</v>
      </c>
      <c r="R73" s="474">
        <f t="shared" si="148"/>
        <v>0</v>
      </c>
      <c r="T73" s="402">
        <f>'調查資料(OUT)'!A79</f>
        <v>1700</v>
      </c>
      <c r="U73" s="403">
        <f t="shared" si="149"/>
        <v>1800</v>
      </c>
      <c r="V73" s="404">
        <f t="shared" si="133"/>
        <v>0</v>
      </c>
      <c r="W73" s="405"/>
      <c r="X73" s="404">
        <f t="shared" si="150"/>
        <v>0</v>
      </c>
      <c r="Y73" s="415" t="e">
        <f t="shared" si="203"/>
        <v>#DIV/0!</v>
      </c>
      <c r="Z73" s="415" t="e">
        <f t="shared" si="204"/>
        <v>#DIV/0!</v>
      </c>
      <c r="AA73" s="415" t="e">
        <f t="shared" si="205"/>
        <v>#DIV/0!</v>
      </c>
      <c r="AB73" s="415" t="e">
        <f t="shared" si="206"/>
        <v>#DIV/0!</v>
      </c>
      <c r="AC73" s="418"/>
      <c r="AD73" s="404">
        <f t="shared" ref="AD73:AD80" si="207">IF(V73=W$69,$T73,"N")</f>
        <v>1700</v>
      </c>
      <c r="AE73" s="417">
        <f t="shared" ref="AE73:AE80" si="208">IF(V73=W$69,$U73,"N")</f>
        <v>1800</v>
      </c>
      <c r="AF73" s="309">
        <f t="shared" si="202"/>
        <v>0</v>
      </c>
      <c r="AG73" s="66">
        <f>IF($AD73="N","N",SUM('調查資料(OUT)'!B79:B82))</f>
        <v>0</v>
      </c>
      <c r="AH73" s="66">
        <f>IF($AD73="N","N",SUM('調查資料(OUT)'!E79:E82))</f>
        <v>0</v>
      </c>
      <c r="AI73" s="66">
        <f>IF($AD73="N","N",SUM('調查資料(OUT)'!I79:I82))</f>
        <v>0</v>
      </c>
      <c r="AJ73" s="66">
        <f>IF($AD73="N","N",SUM('調查資料(OUT)'!H79:H82))</f>
        <v>0</v>
      </c>
      <c r="AK73" s="383" t="e">
        <f t="shared" si="151"/>
        <v>#DIV/0!</v>
      </c>
      <c r="AL73" s="66">
        <f t="shared" si="152"/>
        <v>0</v>
      </c>
      <c r="AM73" s="66">
        <f>IF($AD73="N","N",SUM('調查資料(OUT)'!C79:C82))</f>
        <v>0</v>
      </c>
      <c r="AN73" s="66">
        <f>IF($AD73="N","N",SUM('調查資料(OUT)'!F79:F82))</f>
        <v>0</v>
      </c>
      <c r="AO73" s="66">
        <f>IF($AD73="N","N",SUM('調查資料(OUT)'!J79:J82))</f>
        <v>0</v>
      </c>
      <c r="AP73" s="383" t="e">
        <f t="shared" si="153"/>
        <v>#DIV/0!</v>
      </c>
      <c r="AQ73" s="66">
        <f t="shared" si="154"/>
        <v>0</v>
      </c>
      <c r="AR73" s="66">
        <f>IF($AD73="N","N",SUM('調查資料(OUT)'!D79:D82))</f>
        <v>0</v>
      </c>
      <c r="AS73" s="66">
        <f>IF($AD73="N","N",SUM('調查資料(OUT)'!G79:G82))</f>
        <v>0</v>
      </c>
      <c r="AT73" s="66">
        <f>IF($AD73="N","N",SUM('調查資料(OUT)'!K79:K82))</f>
        <v>0</v>
      </c>
      <c r="AU73" s="383" t="e">
        <f t="shared" si="155"/>
        <v>#DIV/0!</v>
      </c>
      <c r="AV73" s="66">
        <f t="shared" si="156"/>
        <v>0</v>
      </c>
      <c r="AW73" s="383" t="e">
        <f t="shared" si="157"/>
        <v>#DIV/0!</v>
      </c>
      <c r="AX73" s="66">
        <f t="shared" si="158"/>
        <v>0</v>
      </c>
      <c r="AY73" s="383" t="e">
        <f t="shared" si="159"/>
        <v>#DIV/0!</v>
      </c>
      <c r="AZ73" s="66">
        <f t="shared" si="160"/>
        <v>0</v>
      </c>
      <c r="BA73" s="383" t="e">
        <f t="shared" si="161"/>
        <v>#DIV/0!</v>
      </c>
      <c r="BB73" s="316">
        <f t="shared" si="162"/>
        <v>0</v>
      </c>
      <c r="BC73" s="309">
        <f t="shared" si="163"/>
        <v>0</v>
      </c>
      <c r="BD73" s="66">
        <f>IF($AD73="N","N",SUM('調查資料(OUT)'!L79:L82))</f>
        <v>0</v>
      </c>
      <c r="BE73" s="66">
        <f>IF($AD73="N","N",SUM('調查資料(OUT)'!O79:O82))</f>
        <v>0</v>
      </c>
      <c r="BF73" s="66">
        <f>IF($AD73="N","N",SUM('調查資料(OUT)'!S79:S82))</f>
        <v>0</v>
      </c>
      <c r="BG73" s="66">
        <f>IF($AD73="N","N",SUM('調查資料(OUT)'!R79:R82))</f>
        <v>0</v>
      </c>
      <c r="BH73" s="383" t="e">
        <f t="shared" si="164"/>
        <v>#DIV/0!</v>
      </c>
      <c r="BI73" s="66">
        <f t="shared" si="165"/>
        <v>0</v>
      </c>
      <c r="BJ73" s="66">
        <f>IF($AD73="N","N",SUM('調查資料(OUT)'!M79:M82))</f>
        <v>0</v>
      </c>
      <c r="BK73" s="66">
        <f>IF($AD73="N","N",SUM('調查資料(OUT)'!P79:P82))</f>
        <v>0</v>
      </c>
      <c r="BL73" s="66">
        <f>IF($AD73="N","N",SUM('調查資料(OUT)'!T79:T82))</f>
        <v>0</v>
      </c>
      <c r="BM73" s="383" t="e">
        <f t="shared" si="166"/>
        <v>#DIV/0!</v>
      </c>
      <c r="BN73" s="66">
        <f t="shared" si="167"/>
        <v>0</v>
      </c>
      <c r="BO73" s="66">
        <f>IF($AD73="N","N",SUM('調查資料(OUT)'!N79:N82))</f>
        <v>0</v>
      </c>
      <c r="BP73" s="66">
        <f>IF($AD73="N","N",SUM('調查資料(OUT)'!Q79:Q82))</f>
        <v>0</v>
      </c>
      <c r="BQ73" s="66">
        <f>IF($AD73="N","N",SUM('調查資料(OUT)'!U79:U82))</f>
        <v>0</v>
      </c>
      <c r="BR73" s="383" t="e">
        <f t="shared" si="168"/>
        <v>#DIV/0!</v>
      </c>
      <c r="BS73" s="66">
        <f t="shared" si="169"/>
        <v>0</v>
      </c>
      <c r="BT73" s="383" t="e">
        <f t="shared" si="170"/>
        <v>#DIV/0!</v>
      </c>
      <c r="BU73" s="66">
        <f t="shared" si="171"/>
        <v>0</v>
      </c>
      <c r="BV73" s="383" t="e">
        <f t="shared" si="172"/>
        <v>#DIV/0!</v>
      </c>
      <c r="BW73" s="66">
        <f t="shared" si="173"/>
        <v>0</v>
      </c>
      <c r="BX73" s="383" t="e">
        <f t="shared" si="174"/>
        <v>#DIV/0!</v>
      </c>
      <c r="BY73" s="316">
        <f t="shared" si="175"/>
        <v>0</v>
      </c>
      <c r="BZ73" s="309">
        <f t="shared" si="176"/>
        <v>0</v>
      </c>
      <c r="CA73" s="66">
        <f>IF($AD73="N","N",SUM('調查資料(OUT)'!V79:V82))</f>
        <v>0</v>
      </c>
      <c r="CB73" s="66">
        <f>IF($AD73="N","N",SUM('調查資料(OUT)'!Y79:Y82))</f>
        <v>0</v>
      </c>
      <c r="CC73" s="66">
        <f>IF($AD73="N","N",SUM('調查資料(OUT)'!AC79:AC82))</f>
        <v>0</v>
      </c>
      <c r="CD73" s="66">
        <f>IF($AD73="N","N",SUM('調查資料(OUT)'!AB79:AB82))</f>
        <v>0</v>
      </c>
      <c r="CE73" s="383" t="e">
        <f t="shared" si="177"/>
        <v>#DIV/0!</v>
      </c>
      <c r="CF73" s="66">
        <f t="shared" si="178"/>
        <v>0</v>
      </c>
      <c r="CG73" s="66">
        <f>IF($AD73="N","N",SUM('調查資料(OUT)'!W79:W82))</f>
        <v>0</v>
      </c>
      <c r="CH73" s="66">
        <f>IF($AD73="N","N",SUM('調查資料(OUT)'!Z79:Z82))</f>
        <v>0</v>
      </c>
      <c r="CI73" s="66">
        <f>IF($AD73="N","N",SUM('調查資料(OUT)'!AD79:AD82))</f>
        <v>0</v>
      </c>
      <c r="CJ73" s="383" t="e">
        <f t="shared" si="179"/>
        <v>#DIV/0!</v>
      </c>
      <c r="CK73" s="66">
        <f t="shared" si="180"/>
        <v>0</v>
      </c>
      <c r="CL73" s="66">
        <f>IF($AD73="N","N",SUM('調查資料(OUT)'!X79:X82))</f>
        <v>0</v>
      </c>
      <c r="CM73" s="66">
        <f>IF($AD73="N","N",SUM('調查資料(OUT)'!AA79:AA82))</f>
        <v>0</v>
      </c>
      <c r="CN73" s="66">
        <f>IF($AD73="N","N",SUM('調查資料(OUT)'!AE79:AE82))</f>
        <v>0</v>
      </c>
      <c r="CO73" s="383" t="e">
        <f t="shared" si="181"/>
        <v>#DIV/0!</v>
      </c>
      <c r="CP73" s="66">
        <f t="shared" si="182"/>
        <v>0</v>
      </c>
      <c r="CQ73" s="383" t="e">
        <f t="shared" si="183"/>
        <v>#DIV/0!</v>
      </c>
      <c r="CR73" s="66">
        <f t="shared" si="184"/>
        <v>0</v>
      </c>
      <c r="CS73" s="383" t="e">
        <f t="shared" si="185"/>
        <v>#DIV/0!</v>
      </c>
      <c r="CT73" s="66">
        <f t="shared" si="186"/>
        <v>0</v>
      </c>
      <c r="CU73" s="383" t="e">
        <f t="shared" si="187"/>
        <v>#DIV/0!</v>
      </c>
      <c r="CV73" s="316">
        <f t="shared" si="188"/>
        <v>0</v>
      </c>
      <c r="CW73" s="309">
        <f t="shared" si="189"/>
        <v>0</v>
      </c>
      <c r="CX73" s="66">
        <f>IF($AD73="N","N",SUM('調查資料(OUT)'!AF79:AF82))</f>
        <v>0</v>
      </c>
      <c r="CY73" s="66">
        <f>IF($AD73="N","N",SUM('調查資料(OUT)'!AI79:AI82))</f>
        <v>0</v>
      </c>
      <c r="CZ73" s="66">
        <f>IF($AD73="N","N",SUM('調查資料(OUT)'!AM79:AM82))</f>
        <v>0</v>
      </c>
      <c r="DA73" s="66">
        <f>IF($AD73="N","N",SUM('調查資料(OUT)'!AL79:AL82))</f>
        <v>0</v>
      </c>
      <c r="DB73" s="383" t="e">
        <f t="shared" si="190"/>
        <v>#DIV/0!</v>
      </c>
      <c r="DC73" s="66">
        <f t="shared" si="191"/>
        <v>0</v>
      </c>
      <c r="DD73" s="66">
        <f>IF($AD73="N","N",SUM('調查資料(OUT)'!AG79:AG82))</f>
        <v>0</v>
      </c>
      <c r="DE73" s="66">
        <f>IF($AD73="N","N",SUM('調查資料(OUT)'!AJ79:AJ82))</f>
        <v>0</v>
      </c>
      <c r="DF73" s="66">
        <f>IF($AD73="N","N",SUM('調查資料(OUT)'!AN79:AN82))</f>
        <v>0</v>
      </c>
      <c r="DG73" s="383" t="e">
        <f t="shared" si="192"/>
        <v>#DIV/0!</v>
      </c>
      <c r="DH73" s="66">
        <f t="shared" si="193"/>
        <v>0</v>
      </c>
      <c r="DI73" s="66">
        <f>IF($AD73="N","N",SUM('調查資料(OUT)'!AH79:AH82))</f>
        <v>0</v>
      </c>
      <c r="DJ73" s="66">
        <f>IF($AD73="N","N",SUM('調查資料(OUT)'!AK79:AK82))</f>
        <v>0</v>
      </c>
      <c r="DK73" s="66">
        <f>IF($AD73="N","N",SUM('調查資料(OUT)'!AO79:AO82))</f>
        <v>0</v>
      </c>
      <c r="DL73" s="383" t="e">
        <f t="shared" si="194"/>
        <v>#DIV/0!</v>
      </c>
      <c r="DM73" s="66">
        <f t="shared" si="195"/>
        <v>0</v>
      </c>
      <c r="DN73" s="383" t="e">
        <f t="shared" si="196"/>
        <v>#DIV/0!</v>
      </c>
      <c r="DO73" s="66">
        <f t="shared" si="197"/>
        <v>0</v>
      </c>
      <c r="DP73" s="383" t="e">
        <f t="shared" si="198"/>
        <v>#DIV/0!</v>
      </c>
      <c r="DQ73" s="66">
        <f t="shared" si="199"/>
        <v>0</v>
      </c>
      <c r="DR73" s="383" t="e">
        <f t="shared" si="200"/>
        <v>#DIV/0!</v>
      </c>
      <c r="DS73" s="316">
        <f t="shared" si="201"/>
        <v>0</v>
      </c>
    </row>
    <row r="74" spans="1:170">
      <c r="A74" s="472">
        <f>'調查資料(OUT)'!A80</f>
        <v>1715</v>
      </c>
      <c r="B74" s="473">
        <f t="shared" si="144"/>
        <v>0</v>
      </c>
      <c r="C74" s="404">
        <f>IFERROR('調查資料(OUT)'!B$1*'調查資料(OUT)'!B80,0)+IFERROR('調查資料(OUT)'!E$1*'調查資料(OUT)'!E80,0)+IFERROR('調查資料(OUT)'!H$1*'調查資料(OUT)'!H80,0)+IFERROR('調查資料(OUT)'!I$1*'調查資料(OUT)'!I80,0)</f>
        <v>0</v>
      </c>
      <c r="D74" s="404">
        <f>IFERROR('調查資料(OUT)'!C$1*'調查資料(OUT)'!C80,0)+IFERROR('調查資料(OUT)'!F$1*'調查資料(OUT)'!F80,0)+IFERROR('調查資料(OUT)'!J$1*'調查資料(OUT)'!J80,0)</f>
        <v>0</v>
      </c>
      <c r="E74" s="417">
        <f>IFERROR('調查資料(OUT)'!D$1*'調查資料(OUT)'!D80,0)+IFERROR('調查資料(OUT)'!G$1*'調查資料(OUT)'!G80,0)+IFERROR('調查資料(OUT)'!K$1*'調查資料(OUT)'!K80,0)</f>
        <v>0</v>
      </c>
      <c r="F74" s="473">
        <f t="shared" si="145"/>
        <v>0</v>
      </c>
      <c r="G74" s="404">
        <f>IFERROR('調查資料(OUT)'!L$1*'調查資料(OUT)'!L80,0)+IFERROR('調查資料(OUT)'!O$1*'調查資料(OUT)'!O80,0)+IFERROR('調查資料(OUT)'!R$1*'調查資料(OUT)'!R80,0)+IFERROR('調查資料(OUT)'!S$1*'調查資料(OUT)'!S80,0)</f>
        <v>0</v>
      </c>
      <c r="H74" s="404">
        <f>IFERROR('調查資料(OUT)'!M$1*'調查資料(OUT)'!M80,0)+IFERROR('調查資料(OUT)'!P$1*'調查資料(OUT)'!P80,0)+IFERROR('調查資料(OUT)'!T$1*'調查資料(OUT)'!T80,0)</f>
        <v>0</v>
      </c>
      <c r="I74" s="417">
        <f>IFERROR('調查資料(OUT)'!N$1*'調查資料(OUT)'!N80,0)+IFERROR('調查資料(OUT)'!Q$1*'調查資料(OUT)'!Q80,0)+IFERROR('調查資料(OUT)'!U$1*'調查資料(OUT)'!U80,0)</f>
        <v>0</v>
      </c>
      <c r="J74" s="473">
        <f t="shared" si="146"/>
        <v>0</v>
      </c>
      <c r="K74" s="404">
        <f>IFERROR('調查資料(OUT)'!V$1*'調查資料(OUT)'!V80,0)+IFERROR('調查資料(OUT)'!Y$1*'調查資料(OUT)'!Y80,0)+IFERROR('調查資料(OUT)'!AB$1*'調查資料(OUT)'!AB80,0)+IFERROR('調查資料(OUT)'!AC$1*'調查資料(OUT)'!AC80,0)</f>
        <v>0</v>
      </c>
      <c r="L74" s="404">
        <f>IFERROR('調查資料(OUT)'!W$1*'調查資料(OUT)'!W80,0)+IFERROR('調查資料(OUT)'!Z$1*'調查資料(OUT)'!Z80,0)+IFERROR('調查資料(OUT)'!AD$1*'調查資料(OUT)'!AD80,0)</f>
        <v>0</v>
      </c>
      <c r="M74" s="417">
        <f>IFERROR('調查資料(OUT)'!X$1*'調查資料(OUT)'!X80,0)+IFERROR('調查資料(OUT)'!AA$1*'調查資料(OUT)'!AA80,0)+IFERROR('調查資料(OUT)'!AE$1*'調查資料(OUT)'!AE80,0)</f>
        <v>0</v>
      </c>
      <c r="N74" s="473">
        <f t="shared" si="147"/>
        <v>0</v>
      </c>
      <c r="O74" s="404">
        <f>IFERROR('調查資料(OUT)'!AF$1*'調查資料(OUT)'!AF80,0)+IFERROR('調查資料(OUT)'!AI$1*'調查資料(OUT)'!AI80,0)+IFERROR('調查資料(OUT)'!AL$1*'調查資料(OUT)'!AL80,0)+IFERROR('調查資料(OUT)'!AM$1*'調查資料(OUT)'!AM80,0)</f>
        <v>0</v>
      </c>
      <c r="P74" s="404">
        <f>IFERROR('調查資料(OUT)'!AG$1*'調查資料(OUT)'!AG80,0)+IFERROR('調查資料(OUT)'!AJ$1*'調查資料(OUT)'!AJ80,0)+IFERROR('調查資料(OUT)'!AN$1*'調查資料(OUT)'!AN80,0)</f>
        <v>0</v>
      </c>
      <c r="Q74" s="417">
        <f>IFERROR('調查資料(OUT)'!AH$1*'調查資料(OUT)'!AH80,0)+IFERROR('調查資料(OUT)'!AK$1*'調查資料(OUT)'!AK80,0)+IFERROR('調查資料(OUT)'!AO$1*'調查資料(OUT)'!AO80,0)</f>
        <v>0</v>
      </c>
      <c r="R74" s="474">
        <f t="shared" si="148"/>
        <v>0</v>
      </c>
      <c r="T74" s="402">
        <f>'調查資料(OUT)'!A80</f>
        <v>1715</v>
      </c>
      <c r="U74" s="403">
        <f t="shared" si="149"/>
        <v>1815</v>
      </c>
      <c r="V74" s="404">
        <f t="shared" si="133"/>
        <v>0</v>
      </c>
      <c r="W74" s="405"/>
      <c r="X74" s="404">
        <f t="shared" si="150"/>
        <v>0</v>
      </c>
      <c r="Y74" s="415" t="e">
        <f t="shared" si="203"/>
        <v>#DIV/0!</v>
      </c>
      <c r="Z74" s="415" t="e">
        <f t="shared" si="204"/>
        <v>#DIV/0!</v>
      </c>
      <c r="AA74" s="415" t="e">
        <f t="shared" si="205"/>
        <v>#DIV/0!</v>
      </c>
      <c r="AB74" s="415" t="e">
        <f t="shared" si="206"/>
        <v>#DIV/0!</v>
      </c>
      <c r="AC74" s="418"/>
      <c r="AD74" s="404">
        <f t="shared" si="207"/>
        <v>1715</v>
      </c>
      <c r="AE74" s="417">
        <f t="shared" si="208"/>
        <v>1815</v>
      </c>
      <c r="AF74" s="309">
        <f t="shared" si="202"/>
        <v>0</v>
      </c>
      <c r="AG74" s="66">
        <f>IF($AD74="N","N",SUM('調查資料(OUT)'!B80:B83))</f>
        <v>0</v>
      </c>
      <c r="AH74" s="66">
        <f>IF($AD74="N","N",SUM('調查資料(OUT)'!E80:E83))</f>
        <v>0</v>
      </c>
      <c r="AI74" s="66">
        <f>IF($AD74="N","N",SUM('調查資料(OUT)'!I80:I83))</f>
        <v>0</v>
      </c>
      <c r="AJ74" s="66">
        <f>IF($AD74="N","N",SUM('調查資料(OUT)'!H80:H83))</f>
        <v>0</v>
      </c>
      <c r="AK74" s="383" t="e">
        <f t="shared" si="151"/>
        <v>#DIV/0!</v>
      </c>
      <c r="AL74" s="66">
        <f t="shared" si="152"/>
        <v>0</v>
      </c>
      <c r="AM74" s="66">
        <f>IF($AD74="N","N",SUM('調查資料(OUT)'!C80:C83))</f>
        <v>0</v>
      </c>
      <c r="AN74" s="66">
        <f>IF($AD74="N","N",SUM('調查資料(OUT)'!F80:F83))</f>
        <v>0</v>
      </c>
      <c r="AO74" s="66">
        <f>IF($AD74="N","N",SUM('調查資料(OUT)'!J80:J83))</f>
        <v>0</v>
      </c>
      <c r="AP74" s="383" t="e">
        <f t="shared" si="153"/>
        <v>#DIV/0!</v>
      </c>
      <c r="AQ74" s="66">
        <f t="shared" si="154"/>
        <v>0</v>
      </c>
      <c r="AR74" s="66">
        <f>IF($AD74="N","N",SUM('調查資料(OUT)'!D80:D83))</f>
        <v>0</v>
      </c>
      <c r="AS74" s="66">
        <f>IF($AD74="N","N",SUM('調查資料(OUT)'!G80:G83))</f>
        <v>0</v>
      </c>
      <c r="AT74" s="66">
        <f>IF($AD74="N","N",SUM('調查資料(OUT)'!K80:K83))</f>
        <v>0</v>
      </c>
      <c r="AU74" s="383" t="e">
        <f t="shared" si="155"/>
        <v>#DIV/0!</v>
      </c>
      <c r="AV74" s="66">
        <f t="shared" si="156"/>
        <v>0</v>
      </c>
      <c r="AW74" s="383" t="e">
        <f t="shared" si="157"/>
        <v>#DIV/0!</v>
      </c>
      <c r="AX74" s="66">
        <f t="shared" si="158"/>
        <v>0</v>
      </c>
      <c r="AY74" s="383" t="e">
        <f t="shared" si="159"/>
        <v>#DIV/0!</v>
      </c>
      <c r="AZ74" s="66">
        <f t="shared" si="160"/>
        <v>0</v>
      </c>
      <c r="BA74" s="383" t="e">
        <f t="shared" si="161"/>
        <v>#DIV/0!</v>
      </c>
      <c r="BB74" s="316">
        <f t="shared" si="162"/>
        <v>0</v>
      </c>
      <c r="BC74" s="309">
        <f t="shared" si="163"/>
        <v>0</v>
      </c>
      <c r="BD74" s="66">
        <f>IF($AD74="N","N",SUM('調查資料(OUT)'!L80:L83))</f>
        <v>0</v>
      </c>
      <c r="BE74" s="66">
        <f>IF($AD74="N","N",SUM('調查資料(OUT)'!O80:O83))</f>
        <v>0</v>
      </c>
      <c r="BF74" s="66">
        <f>IF($AD74="N","N",SUM('調查資料(OUT)'!S80:S83))</f>
        <v>0</v>
      </c>
      <c r="BG74" s="66">
        <f>IF($AD74="N","N",SUM('調查資料(OUT)'!R80:R83))</f>
        <v>0</v>
      </c>
      <c r="BH74" s="383" t="e">
        <f t="shared" si="164"/>
        <v>#DIV/0!</v>
      </c>
      <c r="BI74" s="66">
        <f t="shared" si="165"/>
        <v>0</v>
      </c>
      <c r="BJ74" s="66">
        <f>IF($AD74="N","N",SUM('調查資料(OUT)'!M80:M83))</f>
        <v>0</v>
      </c>
      <c r="BK74" s="66">
        <f>IF($AD74="N","N",SUM('調查資料(OUT)'!P80:P83))</f>
        <v>0</v>
      </c>
      <c r="BL74" s="66">
        <f>IF($AD74="N","N",SUM('調查資料(OUT)'!T80:T83))</f>
        <v>0</v>
      </c>
      <c r="BM74" s="383" t="e">
        <f t="shared" si="166"/>
        <v>#DIV/0!</v>
      </c>
      <c r="BN74" s="66">
        <f t="shared" si="167"/>
        <v>0</v>
      </c>
      <c r="BO74" s="66">
        <f>IF($AD74="N","N",SUM('調查資料(OUT)'!N80:N83))</f>
        <v>0</v>
      </c>
      <c r="BP74" s="66">
        <f>IF($AD74="N","N",SUM('調查資料(OUT)'!Q80:Q83))</f>
        <v>0</v>
      </c>
      <c r="BQ74" s="66">
        <f>IF($AD74="N","N",SUM('調查資料(OUT)'!U80:U83))</f>
        <v>0</v>
      </c>
      <c r="BR74" s="383" t="e">
        <f t="shared" si="168"/>
        <v>#DIV/0!</v>
      </c>
      <c r="BS74" s="66">
        <f t="shared" si="169"/>
        <v>0</v>
      </c>
      <c r="BT74" s="383" t="e">
        <f t="shared" si="170"/>
        <v>#DIV/0!</v>
      </c>
      <c r="BU74" s="66">
        <f t="shared" si="171"/>
        <v>0</v>
      </c>
      <c r="BV74" s="383" t="e">
        <f t="shared" si="172"/>
        <v>#DIV/0!</v>
      </c>
      <c r="BW74" s="66">
        <f t="shared" si="173"/>
        <v>0</v>
      </c>
      <c r="BX74" s="383" t="e">
        <f t="shared" si="174"/>
        <v>#DIV/0!</v>
      </c>
      <c r="BY74" s="316">
        <f t="shared" si="175"/>
        <v>0</v>
      </c>
      <c r="BZ74" s="309">
        <f t="shared" si="176"/>
        <v>0</v>
      </c>
      <c r="CA74" s="66">
        <f>IF($AD74="N","N",SUM('調查資料(OUT)'!V80:V83))</f>
        <v>0</v>
      </c>
      <c r="CB74" s="66">
        <f>IF($AD74="N","N",SUM('調查資料(OUT)'!Y80:Y83))</f>
        <v>0</v>
      </c>
      <c r="CC74" s="66">
        <f>IF($AD74="N","N",SUM('調查資料(OUT)'!AC80:AC83))</f>
        <v>0</v>
      </c>
      <c r="CD74" s="66">
        <f>IF($AD74="N","N",SUM('調查資料(OUT)'!AB80:AB83))</f>
        <v>0</v>
      </c>
      <c r="CE74" s="383" t="e">
        <f t="shared" si="177"/>
        <v>#DIV/0!</v>
      </c>
      <c r="CF74" s="66">
        <f t="shared" si="178"/>
        <v>0</v>
      </c>
      <c r="CG74" s="66">
        <f>IF($AD74="N","N",SUM('調查資料(OUT)'!W80:W83))</f>
        <v>0</v>
      </c>
      <c r="CH74" s="66">
        <f>IF($AD74="N","N",SUM('調查資料(OUT)'!Z80:Z83))</f>
        <v>0</v>
      </c>
      <c r="CI74" s="66">
        <f>IF($AD74="N","N",SUM('調查資料(OUT)'!AD80:AD83))</f>
        <v>0</v>
      </c>
      <c r="CJ74" s="383" t="e">
        <f t="shared" si="179"/>
        <v>#DIV/0!</v>
      </c>
      <c r="CK74" s="66">
        <f t="shared" si="180"/>
        <v>0</v>
      </c>
      <c r="CL74" s="66">
        <f>IF($AD74="N","N",SUM('調查資料(OUT)'!X80:X83))</f>
        <v>0</v>
      </c>
      <c r="CM74" s="66">
        <f>IF($AD74="N","N",SUM('調查資料(OUT)'!AA80:AA83))</f>
        <v>0</v>
      </c>
      <c r="CN74" s="66">
        <f>IF($AD74="N","N",SUM('調查資料(OUT)'!AE80:AE83))</f>
        <v>0</v>
      </c>
      <c r="CO74" s="383" t="e">
        <f t="shared" si="181"/>
        <v>#DIV/0!</v>
      </c>
      <c r="CP74" s="66">
        <f t="shared" si="182"/>
        <v>0</v>
      </c>
      <c r="CQ74" s="383" t="e">
        <f t="shared" si="183"/>
        <v>#DIV/0!</v>
      </c>
      <c r="CR74" s="66">
        <f t="shared" si="184"/>
        <v>0</v>
      </c>
      <c r="CS74" s="383" t="e">
        <f t="shared" si="185"/>
        <v>#DIV/0!</v>
      </c>
      <c r="CT74" s="66">
        <f t="shared" si="186"/>
        <v>0</v>
      </c>
      <c r="CU74" s="383" t="e">
        <f t="shared" si="187"/>
        <v>#DIV/0!</v>
      </c>
      <c r="CV74" s="316">
        <f t="shared" si="188"/>
        <v>0</v>
      </c>
      <c r="CW74" s="309">
        <f t="shared" si="189"/>
        <v>0</v>
      </c>
      <c r="CX74" s="66">
        <f>IF($AD74="N","N",SUM('調查資料(OUT)'!AF80:AF83))</f>
        <v>0</v>
      </c>
      <c r="CY74" s="66">
        <f>IF($AD74="N","N",SUM('調查資料(OUT)'!AI80:AI83))</f>
        <v>0</v>
      </c>
      <c r="CZ74" s="66">
        <f>IF($AD74="N","N",SUM('調查資料(OUT)'!AM80:AM83))</f>
        <v>0</v>
      </c>
      <c r="DA74" s="66">
        <f>IF($AD74="N","N",SUM('調查資料(OUT)'!AL80:AL83))</f>
        <v>0</v>
      </c>
      <c r="DB74" s="383" t="e">
        <f t="shared" si="190"/>
        <v>#DIV/0!</v>
      </c>
      <c r="DC74" s="66">
        <f t="shared" si="191"/>
        <v>0</v>
      </c>
      <c r="DD74" s="66">
        <f>IF($AD74="N","N",SUM('調查資料(OUT)'!AG80:AG83))</f>
        <v>0</v>
      </c>
      <c r="DE74" s="66">
        <f>IF($AD74="N","N",SUM('調查資料(OUT)'!AJ80:AJ83))</f>
        <v>0</v>
      </c>
      <c r="DF74" s="66">
        <f>IF($AD74="N","N",SUM('調查資料(OUT)'!AN80:AN83))</f>
        <v>0</v>
      </c>
      <c r="DG74" s="383" t="e">
        <f t="shared" si="192"/>
        <v>#DIV/0!</v>
      </c>
      <c r="DH74" s="66">
        <f t="shared" si="193"/>
        <v>0</v>
      </c>
      <c r="DI74" s="66">
        <f>IF($AD74="N","N",SUM('調查資料(OUT)'!AH80:AH83))</f>
        <v>0</v>
      </c>
      <c r="DJ74" s="66">
        <f>IF($AD74="N","N",SUM('調查資料(OUT)'!AK80:AK83))</f>
        <v>0</v>
      </c>
      <c r="DK74" s="66">
        <f>IF($AD74="N","N",SUM('調查資料(OUT)'!AO80:AO83))</f>
        <v>0</v>
      </c>
      <c r="DL74" s="383" t="e">
        <f t="shared" si="194"/>
        <v>#DIV/0!</v>
      </c>
      <c r="DM74" s="66">
        <f t="shared" si="195"/>
        <v>0</v>
      </c>
      <c r="DN74" s="383" t="e">
        <f t="shared" si="196"/>
        <v>#DIV/0!</v>
      </c>
      <c r="DO74" s="66">
        <f t="shared" si="197"/>
        <v>0</v>
      </c>
      <c r="DP74" s="383" t="e">
        <f t="shared" si="198"/>
        <v>#DIV/0!</v>
      </c>
      <c r="DQ74" s="66">
        <f t="shared" si="199"/>
        <v>0</v>
      </c>
      <c r="DR74" s="383" t="e">
        <f t="shared" si="200"/>
        <v>#DIV/0!</v>
      </c>
      <c r="DS74" s="316">
        <f t="shared" si="201"/>
        <v>0</v>
      </c>
    </row>
    <row r="75" spans="1:170">
      <c r="A75" s="472">
        <f>'調查資料(OUT)'!A81</f>
        <v>1730</v>
      </c>
      <c r="B75" s="473">
        <f t="shared" si="144"/>
        <v>0</v>
      </c>
      <c r="C75" s="404">
        <f>IFERROR('調查資料(OUT)'!B$1*'調查資料(OUT)'!B81,0)+IFERROR('調查資料(OUT)'!E$1*'調查資料(OUT)'!E81,0)+IFERROR('調查資料(OUT)'!H$1*'調查資料(OUT)'!H81,0)+IFERROR('調查資料(OUT)'!I$1*'調查資料(OUT)'!I81,0)</f>
        <v>0</v>
      </c>
      <c r="D75" s="404">
        <f>IFERROR('調查資料(OUT)'!C$1*'調查資料(OUT)'!C81,0)+IFERROR('調查資料(OUT)'!F$1*'調查資料(OUT)'!F81,0)+IFERROR('調查資料(OUT)'!J$1*'調查資料(OUT)'!J81,0)</f>
        <v>0</v>
      </c>
      <c r="E75" s="417">
        <f>IFERROR('調查資料(OUT)'!D$1*'調查資料(OUT)'!D81,0)+IFERROR('調查資料(OUT)'!G$1*'調查資料(OUT)'!G81,0)+IFERROR('調查資料(OUT)'!K$1*'調查資料(OUT)'!K81,0)</f>
        <v>0</v>
      </c>
      <c r="F75" s="473">
        <f t="shared" si="145"/>
        <v>0</v>
      </c>
      <c r="G75" s="404">
        <f>IFERROR('調查資料(OUT)'!L$1*'調查資料(OUT)'!L81,0)+IFERROR('調查資料(OUT)'!O$1*'調查資料(OUT)'!O81,0)+IFERROR('調查資料(OUT)'!R$1*'調查資料(OUT)'!R81,0)+IFERROR('調查資料(OUT)'!S$1*'調查資料(OUT)'!S81,0)</f>
        <v>0</v>
      </c>
      <c r="H75" s="404">
        <f>IFERROR('調查資料(OUT)'!M$1*'調查資料(OUT)'!M81,0)+IFERROR('調查資料(OUT)'!P$1*'調查資料(OUT)'!P81,0)+IFERROR('調查資料(OUT)'!T$1*'調查資料(OUT)'!T81,0)</f>
        <v>0</v>
      </c>
      <c r="I75" s="417">
        <f>IFERROR('調查資料(OUT)'!N$1*'調查資料(OUT)'!N81,0)+IFERROR('調查資料(OUT)'!Q$1*'調查資料(OUT)'!Q81,0)+IFERROR('調查資料(OUT)'!U$1*'調查資料(OUT)'!U81,0)</f>
        <v>0</v>
      </c>
      <c r="J75" s="473">
        <f t="shared" si="146"/>
        <v>0</v>
      </c>
      <c r="K75" s="404">
        <f>IFERROR('調查資料(OUT)'!V$1*'調查資料(OUT)'!V81,0)+IFERROR('調查資料(OUT)'!Y$1*'調查資料(OUT)'!Y81,0)+IFERROR('調查資料(OUT)'!AB$1*'調查資料(OUT)'!AB81,0)+IFERROR('調查資料(OUT)'!AC$1*'調查資料(OUT)'!AC81,0)</f>
        <v>0</v>
      </c>
      <c r="L75" s="404">
        <f>IFERROR('調查資料(OUT)'!W$1*'調查資料(OUT)'!W81,0)+IFERROR('調查資料(OUT)'!Z$1*'調查資料(OUT)'!Z81,0)+IFERROR('調查資料(OUT)'!AD$1*'調查資料(OUT)'!AD81,0)</f>
        <v>0</v>
      </c>
      <c r="M75" s="417">
        <f>IFERROR('調查資料(OUT)'!X$1*'調查資料(OUT)'!X81,0)+IFERROR('調查資料(OUT)'!AA$1*'調查資料(OUT)'!AA81,0)+IFERROR('調查資料(OUT)'!AE$1*'調查資料(OUT)'!AE81,0)</f>
        <v>0</v>
      </c>
      <c r="N75" s="473">
        <f t="shared" si="147"/>
        <v>0</v>
      </c>
      <c r="O75" s="404">
        <f>IFERROR('調查資料(OUT)'!AF$1*'調查資料(OUT)'!AF81,0)+IFERROR('調查資料(OUT)'!AI$1*'調查資料(OUT)'!AI81,0)+IFERROR('調查資料(OUT)'!AL$1*'調查資料(OUT)'!AL81,0)+IFERROR('調查資料(OUT)'!AM$1*'調查資料(OUT)'!AM81,0)</f>
        <v>0</v>
      </c>
      <c r="P75" s="404">
        <f>IFERROR('調查資料(OUT)'!AG$1*'調查資料(OUT)'!AG81,0)+IFERROR('調查資料(OUT)'!AJ$1*'調查資料(OUT)'!AJ81,0)+IFERROR('調查資料(OUT)'!AN$1*'調查資料(OUT)'!AN81,0)</f>
        <v>0</v>
      </c>
      <c r="Q75" s="417">
        <f>IFERROR('調查資料(OUT)'!AH$1*'調查資料(OUT)'!AH81,0)+IFERROR('調查資料(OUT)'!AK$1*'調查資料(OUT)'!AK81,0)+IFERROR('調查資料(OUT)'!AO$1*'調查資料(OUT)'!AO81,0)</f>
        <v>0</v>
      </c>
      <c r="R75" s="474">
        <f t="shared" si="148"/>
        <v>0</v>
      </c>
      <c r="T75" s="402">
        <f>'調查資料(OUT)'!A81</f>
        <v>1730</v>
      </c>
      <c r="U75" s="403">
        <f t="shared" si="149"/>
        <v>1830</v>
      </c>
      <c r="V75" s="404">
        <f t="shared" si="133"/>
        <v>0</v>
      </c>
      <c r="W75" s="405"/>
      <c r="X75" s="404">
        <f t="shared" si="150"/>
        <v>0</v>
      </c>
      <c r="Y75" s="415" t="e">
        <f t="shared" si="203"/>
        <v>#DIV/0!</v>
      </c>
      <c r="Z75" s="415" t="e">
        <f t="shared" si="204"/>
        <v>#DIV/0!</v>
      </c>
      <c r="AA75" s="415" t="e">
        <f t="shared" si="205"/>
        <v>#DIV/0!</v>
      </c>
      <c r="AB75" s="415" t="e">
        <f t="shared" si="206"/>
        <v>#DIV/0!</v>
      </c>
      <c r="AC75" s="418"/>
      <c r="AD75" s="404">
        <f t="shared" si="207"/>
        <v>1730</v>
      </c>
      <c r="AE75" s="417">
        <f t="shared" si="208"/>
        <v>1830</v>
      </c>
      <c r="AF75" s="309">
        <f t="shared" si="202"/>
        <v>0</v>
      </c>
      <c r="AG75" s="66">
        <f>IF($AD75="N","N",SUM('調查資料(OUT)'!B81:B84))</f>
        <v>0</v>
      </c>
      <c r="AH75" s="66">
        <f>IF($AD75="N","N",SUM('調查資料(OUT)'!E81:E84))</f>
        <v>0</v>
      </c>
      <c r="AI75" s="66">
        <f>IF($AD75="N","N",SUM('調查資料(OUT)'!I81:I84))</f>
        <v>0</v>
      </c>
      <c r="AJ75" s="66">
        <f>IF($AD75="N","N",SUM('調查資料(OUT)'!H81:H84))</f>
        <v>0</v>
      </c>
      <c r="AK75" s="383" t="e">
        <f t="shared" si="151"/>
        <v>#DIV/0!</v>
      </c>
      <c r="AL75" s="66">
        <f t="shared" si="152"/>
        <v>0</v>
      </c>
      <c r="AM75" s="66">
        <f>IF($AD75="N","N",SUM('調查資料(OUT)'!C81:C84))</f>
        <v>0</v>
      </c>
      <c r="AN75" s="66">
        <f>IF($AD75="N","N",SUM('調查資料(OUT)'!F81:F84))</f>
        <v>0</v>
      </c>
      <c r="AO75" s="66">
        <f>IF($AD75="N","N",SUM('調查資料(OUT)'!J81:J84))</f>
        <v>0</v>
      </c>
      <c r="AP75" s="383" t="e">
        <f t="shared" si="153"/>
        <v>#DIV/0!</v>
      </c>
      <c r="AQ75" s="66">
        <f t="shared" si="154"/>
        <v>0</v>
      </c>
      <c r="AR75" s="66">
        <f>IF($AD75="N","N",SUM('調查資料(OUT)'!D81:D84))</f>
        <v>0</v>
      </c>
      <c r="AS75" s="66">
        <f>IF($AD75="N","N",SUM('調查資料(OUT)'!G81:G84))</f>
        <v>0</v>
      </c>
      <c r="AT75" s="66">
        <f>IF($AD75="N","N",SUM('調查資料(OUT)'!K81:K84))</f>
        <v>0</v>
      </c>
      <c r="AU75" s="383" t="e">
        <f t="shared" si="155"/>
        <v>#DIV/0!</v>
      </c>
      <c r="AV75" s="66">
        <f t="shared" si="156"/>
        <v>0</v>
      </c>
      <c r="AW75" s="383" t="e">
        <f t="shared" si="157"/>
        <v>#DIV/0!</v>
      </c>
      <c r="AX75" s="66">
        <f t="shared" si="158"/>
        <v>0</v>
      </c>
      <c r="AY75" s="383" t="e">
        <f t="shared" si="159"/>
        <v>#DIV/0!</v>
      </c>
      <c r="AZ75" s="66">
        <f t="shared" si="160"/>
        <v>0</v>
      </c>
      <c r="BA75" s="383" t="e">
        <f t="shared" si="161"/>
        <v>#DIV/0!</v>
      </c>
      <c r="BB75" s="316">
        <f t="shared" si="162"/>
        <v>0</v>
      </c>
      <c r="BC75" s="309">
        <f t="shared" si="163"/>
        <v>0</v>
      </c>
      <c r="BD75" s="66">
        <f>IF($AD75="N","N",SUM('調查資料(OUT)'!L81:L84))</f>
        <v>0</v>
      </c>
      <c r="BE75" s="66">
        <f>IF($AD75="N","N",SUM('調查資料(OUT)'!O81:O84))</f>
        <v>0</v>
      </c>
      <c r="BF75" s="66">
        <f>IF($AD75="N","N",SUM('調查資料(OUT)'!S81:S84))</f>
        <v>0</v>
      </c>
      <c r="BG75" s="66">
        <f>IF($AD75="N","N",SUM('調查資料(OUT)'!R81:R84))</f>
        <v>0</v>
      </c>
      <c r="BH75" s="383" t="e">
        <f t="shared" si="164"/>
        <v>#DIV/0!</v>
      </c>
      <c r="BI75" s="66">
        <f t="shared" si="165"/>
        <v>0</v>
      </c>
      <c r="BJ75" s="66">
        <f>IF($AD75="N","N",SUM('調查資料(OUT)'!M81:M84))</f>
        <v>0</v>
      </c>
      <c r="BK75" s="66">
        <f>IF($AD75="N","N",SUM('調查資料(OUT)'!P81:P84))</f>
        <v>0</v>
      </c>
      <c r="BL75" s="66">
        <f>IF($AD75="N","N",SUM('調查資料(OUT)'!T81:T84))</f>
        <v>0</v>
      </c>
      <c r="BM75" s="383" t="e">
        <f t="shared" si="166"/>
        <v>#DIV/0!</v>
      </c>
      <c r="BN75" s="66">
        <f t="shared" si="167"/>
        <v>0</v>
      </c>
      <c r="BO75" s="66">
        <f>IF($AD75="N","N",SUM('調查資料(OUT)'!N81:N84))</f>
        <v>0</v>
      </c>
      <c r="BP75" s="66">
        <f>IF($AD75="N","N",SUM('調查資料(OUT)'!Q81:Q84))</f>
        <v>0</v>
      </c>
      <c r="BQ75" s="66">
        <f>IF($AD75="N","N",SUM('調查資料(OUT)'!U81:U84))</f>
        <v>0</v>
      </c>
      <c r="BR75" s="383" t="e">
        <f t="shared" si="168"/>
        <v>#DIV/0!</v>
      </c>
      <c r="BS75" s="66">
        <f t="shared" si="169"/>
        <v>0</v>
      </c>
      <c r="BT75" s="383" t="e">
        <f t="shared" si="170"/>
        <v>#DIV/0!</v>
      </c>
      <c r="BU75" s="66">
        <f t="shared" si="171"/>
        <v>0</v>
      </c>
      <c r="BV75" s="383" t="e">
        <f t="shared" si="172"/>
        <v>#DIV/0!</v>
      </c>
      <c r="BW75" s="66">
        <f t="shared" si="173"/>
        <v>0</v>
      </c>
      <c r="BX75" s="383" t="e">
        <f t="shared" si="174"/>
        <v>#DIV/0!</v>
      </c>
      <c r="BY75" s="316">
        <f t="shared" si="175"/>
        <v>0</v>
      </c>
      <c r="BZ75" s="309">
        <f t="shared" si="176"/>
        <v>0</v>
      </c>
      <c r="CA75" s="66">
        <f>IF($AD75="N","N",SUM('調查資料(OUT)'!V81:V84))</f>
        <v>0</v>
      </c>
      <c r="CB75" s="66">
        <f>IF($AD75="N","N",SUM('調查資料(OUT)'!Y81:Y84))</f>
        <v>0</v>
      </c>
      <c r="CC75" s="66">
        <f>IF($AD75="N","N",SUM('調查資料(OUT)'!AC81:AC84))</f>
        <v>0</v>
      </c>
      <c r="CD75" s="66">
        <f>IF($AD75="N","N",SUM('調查資料(OUT)'!AB81:AB84))</f>
        <v>0</v>
      </c>
      <c r="CE75" s="383" t="e">
        <f t="shared" si="177"/>
        <v>#DIV/0!</v>
      </c>
      <c r="CF75" s="66">
        <f t="shared" si="178"/>
        <v>0</v>
      </c>
      <c r="CG75" s="66">
        <f>IF($AD75="N","N",SUM('調查資料(OUT)'!W81:W84))</f>
        <v>0</v>
      </c>
      <c r="CH75" s="66">
        <f>IF($AD75="N","N",SUM('調查資料(OUT)'!Z81:Z84))</f>
        <v>0</v>
      </c>
      <c r="CI75" s="66">
        <f>IF($AD75="N","N",SUM('調查資料(OUT)'!AD81:AD84))</f>
        <v>0</v>
      </c>
      <c r="CJ75" s="383" t="e">
        <f t="shared" si="179"/>
        <v>#DIV/0!</v>
      </c>
      <c r="CK75" s="66">
        <f t="shared" si="180"/>
        <v>0</v>
      </c>
      <c r="CL75" s="66">
        <f>IF($AD75="N","N",SUM('調查資料(OUT)'!X81:X84))</f>
        <v>0</v>
      </c>
      <c r="CM75" s="66">
        <f>IF($AD75="N","N",SUM('調查資料(OUT)'!AA81:AA84))</f>
        <v>0</v>
      </c>
      <c r="CN75" s="66">
        <f>IF($AD75="N","N",SUM('調查資料(OUT)'!AE81:AE84))</f>
        <v>0</v>
      </c>
      <c r="CO75" s="383" t="e">
        <f t="shared" si="181"/>
        <v>#DIV/0!</v>
      </c>
      <c r="CP75" s="66">
        <f t="shared" si="182"/>
        <v>0</v>
      </c>
      <c r="CQ75" s="383" t="e">
        <f t="shared" si="183"/>
        <v>#DIV/0!</v>
      </c>
      <c r="CR75" s="66">
        <f t="shared" si="184"/>
        <v>0</v>
      </c>
      <c r="CS75" s="383" t="e">
        <f t="shared" si="185"/>
        <v>#DIV/0!</v>
      </c>
      <c r="CT75" s="66">
        <f t="shared" si="186"/>
        <v>0</v>
      </c>
      <c r="CU75" s="383" t="e">
        <f t="shared" si="187"/>
        <v>#DIV/0!</v>
      </c>
      <c r="CV75" s="316">
        <f t="shared" si="188"/>
        <v>0</v>
      </c>
      <c r="CW75" s="309">
        <f t="shared" si="189"/>
        <v>0</v>
      </c>
      <c r="CX75" s="66">
        <f>IF($AD75="N","N",SUM('調查資料(OUT)'!AF81:AF84))</f>
        <v>0</v>
      </c>
      <c r="CY75" s="66">
        <f>IF($AD75="N","N",SUM('調查資料(OUT)'!AI81:AI84))</f>
        <v>0</v>
      </c>
      <c r="CZ75" s="66">
        <f>IF($AD75="N","N",SUM('調查資料(OUT)'!AM81:AM84))</f>
        <v>0</v>
      </c>
      <c r="DA75" s="66">
        <f>IF($AD75="N","N",SUM('調查資料(OUT)'!AL81:AL84))</f>
        <v>0</v>
      </c>
      <c r="DB75" s="383" t="e">
        <f t="shared" si="190"/>
        <v>#DIV/0!</v>
      </c>
      <c r="DC75" s="66">
        <f t="shared" si="191"/>
        <v>0</v>
      </c>
      <c r="DD75" s="66">
        <f>IF($AD75="N","N",SUM('調查資料(OUT)'!AG81:AG84))</f>
        <v>0</v>
      </c>
      <c r="DE75" s="66">
        <f>IF($AD75="N","N",SUM('調查資料(OUT)'!AJ81:AJ84))</f>
        <v>0</v>
      </c>
      <c r="DF75" s="66">
        <f>IF($AD75="N","N",SUM('調查資料(OUT)'!AN81:AN84))</f>
        <v>0</v>
      </c>
      <c r="DG75" s="383" t="e">
        <f t="shared" si="192"/>
        <v>#DIV/0!</v>
      </c>
      <c r="DH75" s="66">
        <f t="shared" si="193"/>
        <v>0</v>
      </c>
      <c r="DI75" s="66">
        <f>IF($AD75="N","N",SUM('調查資料(OUT)'!AH81:AH84))</f>
        <v>0</v>
      </c>
      <c r="DJ75" s="66">
        <f>IF($AD75="N","N",SUM('調查資料(OUT)'!AK81:AK84))</f>
        <v>0</v>
      </c>
      <c r="DK75" s="66">
        <f>IF($AD75="N","N",SUM('調查資料(OUT)'!AO81:AO84))</f>
        <v>0</v>
      </c>
      <c r="DL75" s="383" t="e">
        <f t="shared" si="194"/>
        <v>#DIV/0!</v>
      </c>
      <c r="DM75" s="66">
        <f t="shared" si="195"/>
        <v>0</v>
      </c>
      <c r="DN75" s="383" t="e">
        <f t="shared" si="196"/>
        <v>#DIV/0!</v>
      </c>
      <c r="DO75" s="66">
        <f t="shared" si="197"/>
        <v>0</v>
      </c>
      <c r="DP75" s="383" t="e">
        <f t="shared" si="198"/>
        <v>#DIV/0!</v>
      </c>
      <c r="DQ75" s="66">
        <f t="shared" si="199"/>
        <v>0</v>
      </c>
      <c r="DR75" s="383" t="e">
        <f t="shared" si="200"/>
        <v>#DIV/0!</v>
      </c>
      <c r="DS75" s="316">
        <f t="shared" si="201"/>
        <v>0</v>
      </c>
    </row>
    <row r="76" spans="1:170">
      <c r="A76" s="472">
        <f>'調查資料(OUT)'!A82</f>
        <v>1745</v>
      </c>
      <c r="B76" s="473">
        <f t="shared" si="144"/>
        <v>0</v>
      </c>
      <c r="C76" s="404">
        <f>IFERROR('調查資料(OUT)'!B$1*'調查資料(OUT)'!B82,0)+IFERROR('調查資料(OUT)'!E$1*'調查資料(OUT)'!E82,0)+IFERROR('調查資料(OUT)'!H$1*'調查資料(OUT)'!H82,0)+IFERROR('調查資料(OUT)'!I$1*'調查資料(OUT)'!I82,0)</f>
        <v>0</v>
      </c>
      <c r="D76" s="404">
        <f>IFERROR('調查資料(OUT)'!C$1*'調查資料(OUT)'!C82,0)+IFERROR('調查資料(OUT)'!F$1*'調查資料(OUT)'!F82,0)+IFERROR('調查資料(OUT)'!J$1*'調查資料(OUT)'!J82,0)</f>
        <v>0</v>
      </c>
      <c r="E76" s="417">
        <f>IFERROR('調查資料(OUT)'!D$1*'調查資料(OUT)'!D82,0)+IFERROR('調查資料(OUT)'!G$1*'調查資料(OUT)'!G82,0)+IFERROR('調查資料(OUT)'!K$1*'調查資料(OUT)'!K82,0)</f>
        <v>0</v>
      </c>
      <c r="F76" s="473">
        <f t="shared" si="145"/>
        <v>0</v>
      </c>
      <c r="G76" s="404">
        <f>IFERROR('調查資料(OUT)'!L$1*'調查資料(OUT)'!L82,0)+IFERROR('調查資料(OUT)'!O$1*'調查資料(OUT)'!O82,0)+IFERROR('調查資料(OUT)'!R$1*'調查資料(OUT)'!R82,0)+IFERROR('調查資料(OUT)'!S$1*'調查資料(OUT)'!S82,0)</f>
        <v>0</v>
      </c>
      <c r="H76" s="404">
        <f>IFERROR('調查資料(OUT)'!M$1*'調查資料(OUT)'!M82,0)+IFERROR('調查資料(OUT)'!P$1*'調查資料(OUT)'!P82,0)+IFERROR('調查資料(OUT)'!T$1*'調查資料(OUT)'!T82,0)</f>
        <v>0</v>
      </c>
      <c r="I76" s="417">
        <f>IFERROR('調查資料(OUT)'!N$1*'調查資料(OUT)'!N82,0)+IFERROR('調查資料(OUT)'!Q$1*'調查資料(OUT)'!Q82,0)+IFERROR('調查資料(OUT)'!U$1*'調查資料(OUT)'!U82,0)</f>
        <v>0</v>
      </c>
      <c r="J76" s="473">
        <f t="shared" si="146"/>
        <v>0</v>
      </c>
      <c r="K76" s="404">
        <f>IFERROR('調查資料(OUT)'!V$1*'調查資料(OUT)'!V82,0)+IFERROR('調查資料(OUT)'!Y$1*'調查資料(OUT)'!Y82,0)+IFERROR('調查資料(OUT)'!AB$1*'調查資料(OUT)'!AB82,0)+IFERROR('調查資料(OUT)'!AC$1*'調查資料(OUT)'!AC82,0)</f>
        <v>0</v>
      </c>
      <c r="L76" s="404">
        <f>IFERROR('調查資料(OUT)'!W$1*'調查資料(OUT)'!W82,0)+IFERROR('調查資料(OUT)'!Z$1*'調查資料(OUT)'!Z82,0)+IFERROR('調查資料(OUT)'!AD$1*'調查資料(OUT)'!AD82,0)</f>
        <v>0</v>
      </c>
      <c r="M76" s="417">
        <f>IFERROR('調查資料(OUT)'!X$1*'調查資料(OUT)'!X82,0)+IFERROR('調查資料(OUT)'!AA$1*'調查資料(OUT)'!AA82,0)+IFERROR('調查資料(OUT)'!AE$1*'調查資料(OUT)'!AE82,0)</f>
        <v>0</v>
      </c>
      <c r="N76" s="473">
        <f t="shared" si="147"/>
        <v>0</v>
      </c>
      <c r="O76" s="404">
        <f>IFERROR('調查資料(OUT)'!AF$1*'調查資料(OUT)'!AF82,0)+IFERROR('調查資料(OUT)'!AI$1*'調查資料(OUT)'!AI82,0)+IFERROR('調查資料(OUT)'!AL$1*'調查資料(OUT)'!AL82,0)+IFERROR('調查資料(OUT)'!AM$1*'調查資料(OUT)'!AM82,0)</f>
        <v>0</v>
      </c>
      <c r="P76" s="404">
        <f>IFERROR('調查資料(OUT)'!AG$1*'調查資料(OUT)'!AG82,0)+IFERROR('調查資料(OUT)'!AJ$1*'調查資料(OUT)'!AJ82,0)+IFERROR('調查資料(OUT)'!AN$1*'調查資料(OUT)'!AN82,0)</f>
        <v>0</v>
      </c>
      <c r="Q76" s="417">
        <f>IFERROR('調查資料(OUT)'!AH$1*'調查資料(OUT)'!AH82,0)+IFERROR('調查資料(OUT)'!AK$1*'調查資料(OUT)'!AK82,0)+IFERROR('調查資料(OUT)'!AO$1*'調查資料(OUT)'!AO82,0)</f>
        <v>0</v>
      </c>
      <c r="R76" s="474">
        <f t="shared" si="148"/>
        <v>0</v>
      </c>
      <c r="T76" s="402">
        <f>'調查資料(OUT)'!A82</f>
        <v>1745</v>
      </c>
      <c r="U76" s="403">
        <f t="shared" si="149"/>
        <v>1845</v>
      </c>
      <c r="V76" s="404">
        <f t="shared" si="133"/>
        <v>0</v>
      </c>
      <c r="W76" s="405"/>
      <c r="X76" s="404">
        <f t="shared" si="150"/>
        <v>0</v>
      </c>
      <c r="Y76" s="415" t="e">
        <f t="shared" si="203"/>
        <v>#DIV/0!</v>
      </c>
      <c r="Z76" s="415" t="e">
        <f t="shared" si="204"/>
        <v>#DIV/0!</v>
      </c>
      <c r="AA76" s="415" t="e">
        <f t="shared" si="205"/>
        <v>#DIV/0!</v>
      </c>
      <c r="AB76" s="415" t="e">
        <f t="shared" si="206"/>
        <v>#DIV/0!</v>
      </c>
      <c r="AC76" s="418"/>
      <c r="AD76" s="404">
        <f t="shared" si="207"/>
        <v>1745</v>
      </c>
      <c r="AE76" s="417">
        <f t="shared" si="208"/>
        <v>1845</v>
      </c>
      <c r="AF76" s="309">
        <f t="shared" si="202"/>
        <v>0</v>
      </c>
      <c r="AG76" s="66">
        <f>IF($AD76="N","N",SUM('調查資料(OUT)'!B82:B85))</f>
        <v>0</v>
      </c>
      <c r="AH76" s="66">
        <f>IF($AD76="N","N",SUM('調查資料(OUT)'!E82:E85))</f>
        <v>0</v>
      </c>
      <c r="AI76" s="66">
        <f>IF($AD76="N","N",SUM('調查資料(OUT)'!I82:I85))</f>
        <v>0</v>
      </c>
      <c r="AJ76" s="66">
        <f>IF($AD76="N","N",SUM('調查資料(OUT)'!H82:H85))</f>
        <v>0</v>
      </c>
      <c r="AK76" s="383" t="e">
        <f t="shared" si="151"/>
        <v>#DIV/0!</v>
      </c>
      <c r="AL76" s="66">
        <f t="shared" si="152"/>
        <v>0</v>
      </c>
      <c r="AM76" s="66">
        <f>IF($AD76="N","N",SUM('調查資料(OUT)'!C82:C85))</f>
        <v>0</v>
      </c>
      <c r="AN76" s="66">
        <f>IF($AD76="N","N",SUM('調查資料(OUT)'!F82:F85))</f>
        <v>0</v>
      </c>
      <c r="AO76" s="66">
        <f>IF($AD76="N","N",SUM('調查資料(OUT)'!J82:J85))</f>
        <v>0</v>
      </c>
      <c r="AP76" s="383" t="e">
        <f t="shared" si="153"/>
        <v>#DIV/0!</v>
      </c>
      <c r="AQ76" s="66">
        <f t="shared" si="154"/>
        <v>0</v>
      </c>
      <c r="AR76" s="66">
        <f>IF($AD76="N","N",SUM('調查資料(OUT)'!D82:D85))</f>
        <v>0</v>
      </c>
      <c r="AS76" s="66">
        <f>IF($AD76="N","N",SUM('調查資料(OUT)'!G82:G85))</f>
        <v>0</v>
      </c>
      <c r="AT76" s="66">
        <f>IF($AD76="N","N",SUM('調查資料(OUT)'!K82:K85))</f>
        <v>0</v>
      </c>
      <c r="AU76" s="383" t="e">
        <f t="shared" si="155"/>
        <v>#DIV/0!</v>
      </c>
      <c r="AV76" s="66">
        <f t="shared" si="156"/>
        <v>0</v>
      </c>
      <c r="AW76" s="383" t="e">
        <f t="shared" si="157"/>
        <v>#DIV/0!</v>
      </c>
      <c r="AX76" s="66">
        <f t="shared" si="158"/>
        <v>0</v>
      </c>
      <c r="AY76" s="383" t="e">
        <f t="shared" si="159"/>
        <v>#DIV/0!</v>
      </c>
      <c r="AZ76" s="66">
        <f t="shared" si="160"/>
        <v>0</v>
      </c>
      <c r="BA76" s="383" t="e">
        <f t="shared" si="161"/>
        <v>#DIV/0!</v>
      </c>
      <c r="BB76" s="316">
        <f t="shared" si="162"/>
        <v>0</v>
      </c>
      <c r="BC76" s="309">
        <f t="shared" si="163"/>
        <v>0</v>
      </c>
      <c r="BD76" s="66">
        <f>IF($AD76="N","N",SUM('調查資料(OUT)'!L82:L85))</f>
        <v>0</v>
      </c>
      <c r="BE76" s="66">
        <f>IF($AD76="N","N",SUM('調查資料(OUT)'!O82:O85))</f>
        <v>0</v>
      </c>
      <c r="BF76" s="66">
        <f>IF($AD76="N","N",SUM('調查資料(OUT)'!S82:S85))</f>
        <v>0</v>
      </c>
      <c r="BG76" s="66">
        <f>IF($AD76="N","N",SUM('調查資料(OUT)'!R82:R85))</f>
        <v>0</v>
      </c>
      <c r="BH76" s="383" t="e">
        <f t="shared" si="164"/>
        <v>#DIV/0!</v>
      </c>
      <c r="BI76" s="66">
        <f t="shared" si="165"/>
        <v>0</v>
      </c>
      <c r="BJ76" s="66">
        <f>IF($AD76="N","N",SUM('調查資料(OUT)'!M82:M85))</f>
        <v>0</v>
      </c>
      <c r="BK76" s="66">
        <f>IF($AD76="N","N",SUM('調查資料(OUT)'!P82:P85))</f>
        <v>0</v>
      </c>
      <c r="BL76" s="66">
        <f>IF($AD76="N","N",SUM('調查資料(OUT)'!T82:T85))</f>
        <v>0</v>
      </c>
      <c r="BM76" s="383" t="e">
        <f t="shared" si="166"/>
        <v>#DIV/0!</v>
      </c>
      <c r="BN76" s="66">
        <f t="shared" si="167"/>
        <v>0</v>
      </c>
      <c r="BO76" s="66">
        <f>IF($AD76="N","N",SUM('調查資料(OUT)'!N82:N85))</f>
        <v>0</v>
      </c>
      <c r="BP76" s="66">
        <f>IF($AD76="N","N",SUM('調查資料(OUT)'!Q82:Q85))</f>
        <v>0</v>
      </c>
      <c r="BQ76" s="66">
        <f>IF($AD76="N","N",SUM('調查資料(OUT)'!U82:U85))</f>
        <v>0</v>
      </c>
      <c r="BR76" s="383" t="e">
        <f t="shared" si="168"/>
        <v>#DIV/0!</v>
      </c>
      <c r="BS76" s="66">
        <f t="shared" si="169"/>
        <v>0</v>
      </c>
      <c r="BT76" s="383" t="e">
        <f t="shared" si="170"/>
        <v>#DIV/0!</v>
      </c>
      <c r="BU76" s="66">
        <f t="shared" si="171"/>
        <v>0</v>
      </c>
      <c r="BV76" s="383" t="e">
        <f t="shared" si="172"/>
        <v>#DIV/0!</v>
      </c>
      <c r="BW76" s="66">
        <f t="shared" si="173"/>
        <v>0</v>
      </c>
      <c r="BX76" s="383" t="e">
        <f t="shared" si="174"/>
        <v>#DIV/0!</v>
      </c>
      <c r="BY76" s="316">
        <f t="shared" si="175"/>
        <v>0</v>
      </c>
      <c r="BZ76" s="309">
        <f t="shared" si="176"/>
        <v>0</v>
      </c>
      <c r="CA76" s="66">
        <f>IF($AD76="N","N",SUM('調查資料(OUT)'!V82:V85))</f>
        <v>0</v>
      </c>
      <c r="CB76" s="66">
        <f>IF($AD76="N","N",SUM('調查資料(OUT)'!Y82:Y85))</f>
        <v>0</v>
      </c>
      <c r="CC76" s="66">
        <f>IF($AD76="N","N",SUM('調查資料(OUT)'!AC82:AC85))</f>
        <v>0</v>
      </c>
      <c r="CD76" s="66">
        <f>IF($AD76="N","N",SUM('調查資料(OUT)'!AB82:AB85))</f>
        <v>0</v>
      </c>
      <c r="CE76" s="383" t="e">
        <f t="shared" si="177"/>
        <v>#DIV/0!</v>
      </c>
      <c r="CF76" s="66">
        <f t="shared" si="178"/>
        <v>0</v>
      </c>
      <c r="CG76" s="66">
        <f>IF($AD76="N","N",SUM('調查資料(OUT)'!W82:W85))</f>
        <v>0</v>
      </c>
      <c r="CH76" s="66">
        <f>IF($AD76="N","N",SUM('調查資料(OUT)'!Z82:Z85))</f>
        <v>0</v>
      </c>
      <c r="CI76" s="66">
        <f>IF($AD76="N","N",SUM('調查資料(OUT)'!AD82:AD85))</f>
        <v>0</v>
      </c>
      <c r="CJ76" s="383" t="e">
        <f t="shared" si="179"/>
        <v>#DIV/0!</v>
      </c>
      <c r="CK76" s="66">
        <f t="shared" si="180"/>
        <v>0</v>
      </c>
      <c r="CL76" s="66">
        <f>IF($AD76="N","N",SUM('調查資料(OUT)'!X82:X85))</f>
        <v>0</v>
      </c>
      <c r="CM76" s="66">
        <f>IF($AD76="N","N",SUM('調查資料(OUT)'!AA82:AA85))</f>
        <v>0</v>
      </c>
      <c r="CN76" s="66">
        <f>IF($AD76="N","N",SUM('調查資料(OUT)'!AE82:AE85))</f>
        <v>0</v>
      </c>
      <c r="CO76" s="383" t="e">
        <f t="shared" si="181"/>
        <v>#DIV/0!</v>
      </c>
      <c r="CP76" s="66">
        <f t="shared" si="182"/>
        <v>0</v>
      </c>
      <c r="CQ76" s="383" t="e">
        <f t="shared" si="183"/>
        <v>#DIV/0!</v>
      </c>
      <c r="CR76" s="66">
        <f t="shared" si="184"/>
        <v>0</v>
      </c>
      <c r="CS76" s="383" t="e">
        <f t="shared" si="185"/>
        <v>#DIV/0!</v>
      </c>
      <c r="CT76" s="66">
        <f t="shared" si="186"/>
        <v>0</v>
      </c>
      <c r="CU76" s="383" t="e">
        <f t="shared" si="187"/>
        <v>#DIV/0!</v>
      </c>
      <c r="CV76" s="316">
        <f t="shared" si="188"/>
        <v>0</v>
      </c>
      <c r="CW76" s="309">
        <f t="shared" si="189"/>
        <v>0</v>
      </c>
      <c r="CX76" s="66">
        <f>IF($AD76="N","N",SUM('調查資料(OUT)'!AF82:AF85))</f>
        <v>0</v>
      </c>
      <c r="CY76" s="66">
        <f>IF($AD76="N","N",SUM('調查資料(OUT)'!AI82:AI85))</f>
        <v>0</v>
      </c>
      <c r="CZ76" s="66">
        <f>IF($AD76="N","N",SUM('調查資料(OUT)'!AM82:AM85))</f>
        <v>0</v>
      </c>
      <c r="DA76" s="66">
        <f>IF($AD76="N","N",SUM('調查資料(OUT)'!AL82:AL85))</f>
        <v>0</v>
      </c>
      <c r="DB76" s="383" t="e">
        <f t="shared" si="190"/>
        <v>#DIV/0!</v>
      </c>
      <c r="DC76" s="66">
        <f t="shared" si="191"/>
        <v>0</v>
      </c>
      <c r="DD76" s="66">
        <f>IF($AD76="N","N",SUM('調查資料(OUT)'!AG82:AG85))</f>
        <v>0</v>
      </c>
      <c r="DE76" s="66">
        <f>IF($AD76="N","N",SUM('調查資料(OUT)'!AJ82:AJ85))</f>
        <v>0</v>
      </c>
      <c r="DF76" s="66">
        <f>IF($AD76="N","N",SUM('調查資料(OUT)'!AN82:AN85))</f>
        <v>0</v>
      </c>
      <c r="DG76" s="383" t="e">
        <f t="shared" si="192"/>
        <v>#DIV/0!</v>
      </c>
      <c r="DH76" s="66">
        <f t="shared" si="193"/>
        <v>0</v>
      </c>
      <c r="DI76" s="66">
        <f>IF($AD76="N","N",SUM('調查資料(OUT)'!AH82:AH85))</f>
        <v>0</v>
      </c>
      <c r="DJ76" s="66">
        <f>IF($AD76="N","N",SUM('調查資料(OUT)'!AK82:AK85))</f>
        <v>0</v>
      </c>
      <c r="DK76" s="66">
        <f>IF($AD76="N","N",SUM('調查資料(OUT)'!AO82:AO85))</f>
        <v>0</v>
      </c>
      <c r="DL76" s="383" t="e">
        <f t="shared" si="194"/>
        <v>#DIV/0!</v>
      </c>
      <c r="DM76" s="66">
        <f t="shared" si="195"/>
        <v>0</v>
      </c>
      <c r="DN76" s="383" t="e">
        <f t="shared" si="196"/>
        <v>#DIV/0!</v>
      </c>
      <c r="DO76" s="66">
        <f t="shared" si="197"/>
        <v>0</v>
      </c>
      <c r="DP76" s="383" t="e">
        <f t="shared" si="198"/>
        <v>#DIV/0!</v>
      </c>
      <c r="DQ76" s="66">
        <f t="shared" si="199"/>
        <v>0</v>
      </c>
      <c r="DR76" s="383" t="e">
        <f t="shared" si="200"/>
        <v>#DIV/0!</v>
      </c>
      <c r="DS76" s="316">
        <f t="shared" si="201"/>
        <v>0</v>
      </c>
    </row>
    <row r="77" spans="1:170">
      <c r="A77" s="472">
        <f>'調查資料(OUT)'!A83</f>
        <v>1800</v>
      </c>
      <c r="B77" s="473">
        <f t="shared" si="144"/>
        <v>0</v>
      </c>
      <c r="C77" s="404">
        <f>IFERROR('調查資料(OUT)'!B$1*'調查資料(OUT)'!B83,0)+IFERROR('調查資料(OUT)'!E$1*'調查資料(OUT)'!E83,0)+IFERROR('調查資料(OUT)'!H$1*'調查資料(OUT)'!H83,0)+IFERROR('調查資料(OUT)'!I$1*'調查資料(OUT)'!I83,0)</f>
        <v>0</v>
      </c>
      <c r="D77" s="404">
        <f>IFERROR('調查資料(OUT)'!C$1*'調查資料(OUT)'!C83,0)+IFERROR('調查資料(OUT)'!F$1*'調查資料(OUT)'!F83,0)+IFERROR('調查資料(OUT)'!J$1*'調查資料(OUT)'!J83,0)</f>
        <v>0</v>
      </c>
      <c r="E77" s="417">
        <f>IFERROR('調查資料(OUT)'!D$1*'調查資料(OUT)'!D83,0)+IFERROR('調查資料(OUT)'!G$1*'調查資料(OUT)'!G83,0)+IFERROR('調查資料(OUT)'!K$1*'調查資料(OUT)'!K83,0)</f>
        <v>0</v>
      </c>
      <c r="F77" s="473">
        <f t="shared" si="145"/>
        <v>0</v>
      </c>
      <c r="G77" s="404">
        <f>IFERROR('調查資料(OUT)'!L$1*'調查資料(OUT)'!L83,0)+IFERROR('調查資料(OUT)'!O$1*'調查資料(OUT)'!O83,0)+IFERROR('調查資料(OUT)'!R$1*'調查資料(OUT)'!R83,0)+IFERROR('調查資料(OUT)'!S$1*'調查資料(OUT)'!S83,0)</f>
        <v>0</v>
      </c>
      <c r="H77" s="404">
        <f>IFERROR('調查資料(OUT)'!M$1*'調查資料(OUT)'!M83,0)+IFERROR('調查資料(OUT)'!P$1*'調查資料(OUT)'!P83,0)+IFERROR('調查資料(OUT)'!T$1*'調查資料(OUT)'!T83,0)</f>
        <v>0</v>
      </c>
      <c r="I77" s="417">
        <f>IFERROR('調查資料(OUT)'!N$1*'調查資料(OUT)'!N83,0)+IFERROR('調查資料(OUT)'!Q$1*'調查資料(OUT)'!Q83,0)+IFERROR('調查資料(OUT)'!U$1*'調查資料(OUT)'!U83,0)</f>
        <v>0</v>
      </c>
      <c r="J77" s="473">
        <f t="shared" si="146"/>
        <v>0</v>
      </c>
      <c r="K77" s="404">
        <f>IFERROR('調查資料(OUT)'!V$1*'調查資料(OUT)'!V83,0)+IFERROR('調查資料(OUT)'!Y$1*'調查資料(OUT)'!Y83,0)+IFERROR('調查資料(OUT)'!AB$1*'調查資料(OUT)'!AB83,0)+IFERROR('調查資料(OUT)'!AC$1*'調查資料(OUT)'!AC83,0)</f>
        <v>0</v>
      </c>
      <c r="L77" s="404">
        <f>IFERROR('調查資料(OUT)'!W$1*'調查資料(OUT)'!W83,0)+IFERROR('調查資料(OUT)'!Z$1*'調查資料(OUT)'!Z83,0)+IFERROR('調查資料(OUT)'!AD$1*'調查資料(OUT)'!AD83,0)</f>
        <v>0</v>
      </c>
      <c r="M77" s="417">
        <f>IFERROR('調查資料(OUT)'!X$1*'調查資料(OUT)'!X83,0)+IFERROR('調查資料(OUT)'!AA$1*'調查資料(OUT)'!AA83,0)+IFERROR('調查資料(OUT)'!AE$1*'調查資料(OUT)'!AE83,0)</f>
        <v>0</v>
      </c>
      <c r="N77" s="473">
        <f t="shared" si="147"/>
        <v>0</v>
      </c>
      <c r="O77" s="404">
        <f>IFERROR('調查資料(OUT)'!AF$1*'調查資料(OUT)'!AF83,0)+IFERROR('調查資料(OUT)'!AI$1*'調查資料(OUT)'!AI83,0)+IFERROR('調查資料(OUT)'!AL$1*'調查資料(OUT)'!AL83,0)+IFERROR('調查資料(OUT)'!AM$1*'調查資料(OUT)'!AM83,0)</f>
        <v>0</v>
      </c>
      <c r="P77" s="404">
        <f>IFERROR('調查資料(OUT)'!AG$1*'調查資料(OUT)'!AG83,0)+IFERROR('調查資料(OUT)'!AJ$1*'調查資料(OUT)'!AJ83,0)+IFERROR('調查資料(OUT)'!AN$1*'調查資料(OUT)'!AN83,0)</f>
        <v>0</v>
      </c>
      <c r="Q77" s="417">
        <f>IFERROR('調查資料(OUT)'!AH$1*'調查資料(OUT)'!AH83,0)+IFERROR('調查資料(OUT)'!AK$1*'調查資料(OUT)'!AK83,0)+IFERROR('調查資料(OUT)'!AO$1*'調查資料(OUT)'!AO83,0)</f>
        <v>0</v>
      </c>
      <c r="R77" s="474">
        <f t="shared" si="148"/>
        <v>0</v>
      </c>
      <c r="T77" s="402">
        <f>'調查資料(OUT)'!A83</f>
        <v>1800</v>
      </c>
      <c r="U77" s="403">
        <f t="shared" si="149"/>
        <v>1900</v>
      </c>
      <c r="V77" s="404">
        <f t="shared" si="133"/>
        <v>0</v>
      </c>
      <c r="W77" s="405"/>
      <c r="X77" s="404">
        <f t="shared" si="150"/>
        <v>0</v>
      </c>
      <c r="Y77" s="415" t="e">
        <f t="shared" si="203"/>
        <v>#DIV/0!</v>
      </c>
      <c r="Z77" s="415" t="e">
        <f t="shared" si="204"/>
        <v>#DIV/0!</v>
      </c>
      <c r="AA77" s="415" t="e">
        <f t="shared" si="205"/>
        <v>#DIV/0!</v>
      </c>
      <c r="AB77" s="415" t="e">
        <f t="shared" si="206"/>
        <v>#DIV/0!</v>
      </c>
      <c r="AC77" s="418"/>
      <c r="AD77" s="404">
        <f t="shared" si="207"/>
        <v>1800</v>
      </c>
      <c r="AE77" s="417">
        <f t="shared" si="208"/>
        <v>1900</v>
      </c>
      <c r="AF77" s="309">
        <f t="shared" si="202"/>
        <v>0</v>
      </c>
      <c r="AG77" s="66">
        <f>IF($AD77="N","N",SUM('調查資料(OUT)'!B83:B86))</f>
        <v>0</v>
      </c>
      <c r="AH77" s="66">
        <f>IF($AD77="N","N",SUM('調查資料(OUT)'!E83:E86))</f>
        <v>0</v>
      </c>
      <c r="AI77" s="66">
        <f>IF($AD77="N","N",SUM('調查資料(OUT)'!I83:I86))</f>
        <v>0</v>
      </c>
      <c r="AJ77" s="66">
        <f>IF($AD77="N","N",SUM('調查資料(OUT)'!H83:H86))</f>
        <v>0</v>
      </c>
      <c r="AK77" s="383" t="e">
        <f t="shared" si="151"/>
        <v>#DIV/0!</v>
      </c>
      <c r="AL77" s="66">
        <f t="shared" si="152"/>
        <v>0</v>
      </c>
      <c r="AM77" s="66">
        <f>IF($AD77="N","N",SUM('調查資料(OUT)'!C83:C86))</f>
        <v>0</v>
      </c>
      <c r="AN77" s="66">
        <f>IF($AD77="N","N",SUM('調查資料(OUT)'!F83:F86))</f>
        <v>0</v>
      </c>
      <c r="AO77" s="66">
        <f>IF($AD77="N","N",SUM('調查資料(OUT)'!J83:J86))</f>
        <v>0</v>
      </c>
      <c r="AP77" s="383" t="e">
        <f t="shared" si="153"/>
        <v>#DIV/0!</v>
      </c>
      <c r="AQ77" s="66">
        <f t="shared" si="154"/>
        <v>0</v>
      </c>
      <c r="AR77" s="66">
        <f>IF($AD77="N","N",SUM('調查資料(OUT)'!D83:D86))</f>
        <v>0</v>
      </c>
      <c r="AS77" s="66">
        <f>IF($AD77="N","N",SUM('調查資料(OUT)'!G83:G86))</f>
        <v>0</v>
      </c>
      <c r="AT77" s="66">
        <f>IF($AD77="N","N",SUM('調查資料(OUT)'!K83:K86))</f>
        <v>0</v>
      </c>
      <c r="AU77" s="383" t="e">
        <f t="shared" si="155"/>
        <v>#DIV/0!</v>
      </c>
      <c r="AV77" s="66">
        <f t="shared" si="156"/>
        <v>0</v>
      </c>
      <c r="AW77" s="383" t="e">
        <f t="shared" si="157"/>
        <v>#DIV/0!</v>
      </c>
      <c r="AX77" s="66">
        <f t="shared" si="158"/>
        <v>0</v>
      </c>
      <c r="AY77" s="383" t="e">
        <f t="shared" si="159"/>
        <v>#DIV/0!</v>
      </c>
      <c r="AZ77" s="66">
        <f t="shared" si="160"/>
        <v>0</v>
      </c>
      <c r="BA77" s="383" t="e">
        <f t="shared" si="161"/>
        <v>#DIV/0!</v>
      </c>
      <c r="BB77" s="316">
        <f t="shared" si="162"/>
        <v>0</v>
      </c>
      <c r="BC77" s="309">
        <f t="shared" si="163"/>
        <v>0</v>
      </c>
      <c r="BD77" s="66">
        <f>IF($AD77="N","N",SUM('調查資料(OUT)'!L83:L86))</f>
        <v>0</v>
      </c>
      <c r="BE77" s="66">
        <f>IF($AD77="N","N",SUM('調查資料(OUT)'!O83:O86))</f>
        <v>0</v>
      </c>
      <c r="BF77" s="66">
        <f>IF($AD77="N","N",SUM('調查資料(OUT)'!S83:S86))</f>
        <v>0</v>
      </c>
      <c r="BG77" s="66">
        <f>IF($AD77="N","N",SUM('調查資料(OUT)'!R83:R86))</f>
        <v>0</v>
      </c>
      <c r="BH77" s="383" t="e">
        <f t="shared" si="164"/>
        <v>#DIV/0!</v>
      </c>
      <c r="BI77" s="66">
        <f t="shared" si="165"/>
        <v>0</v>
      </c>
      <c r="BJ77" s="66">
        <f>IF($AD77="N","N",SUM('調查資料(OUT)'!M83:M86))</f>
        <v>0</v>
      </c>
      <c r="BK77" s="66">
        <f>IF($AD77="N","N",SUM('調查資料(OUT)'!P83:P86))</f>
        <v>0</v>
      </c>
      <c r="BL77" s="66">
        <f>IF($AD77="N","N",SUM('調查資料(OUT)'!T83:T86))</f>
        <v>0</v>
      </c>
      <c r="BM77" s="383" t="e">
        <f t="shared" si="166"/>
        <v>#DIV/0!</v>
      </c>
      <c r="BN77" s="66">
        <f t="shared" si="167"/>
        <v>0</v>
      </c>
      <c r="BO77" s="66">
        <f>IF($AD77="N","N",SUM('調查資料(OUT)'!N83:N86))</f>
        <v>0</v>
      </c>
      <c r="BP77" s="66">
        <f>IF($AD77="N","N",SUM('調查資料(OUT)'!Q83:Q86))</f>
        <v>0</v>
      </c>
      <c r="BQ77" s="66">
        <f>IF($AD77="N","N",SUM('調查資料(OUT)'!U83:U86))</f>
        <v>0</v>
      </c>
      <c r="BR77" s="383" t="e">
        <f t="shared" si="168"/>
        <v>#DIV/0!</v>
      </c>
      <c r="BS77" s="66">
        <f t="shared" si="169"/>
        <v>0</v>
      </c>
      <c r="BT77" s="383" t="e">
        <f t="shared" si="170"/>
        <v>#DIV/0!</v>
      </c>
      <c r="BU77" s="66">
        <f t="shared" si="171"/>
        <v>0</v>
      </c>
      <c r="BV77" s="383" t="e">
        <f t="shared" si="172"/>
        <v>#DIV/0!</v>
      </c>
      <c r="BW77" s="66">
        <f t="shared" si="173"/>
        <v>0</v>
      </c>
      <c r="BX77" s="383" t="e">
        <f t="shared" si="174"/>
        <v>#DIV/0!</v>
      </c>
      <c r="BY77" s="316">
        <f t="shared" si="175"/>
        <v>0</v>
      </c>
      <c r="BZ77" s="309">
        <f t="shared" si="176"/>
        <v>0</v>
      </c>
      <c r="CA77" s="66">
        <f>IF($AD77="N","N",SUM('調查資料(OUT)'!V83:V86))</f>
        <v>0</v>
      </c>
      <c r="CB77" s="66">
        <f>IF($AD77="N","N",SUM('調查資料(OUT)'!Y83:Y86))</f>
        <v>0</v>
      </c>
      <c r="CC77" s="66">
        <f>IF($AD77="N","N",SUM('調查資料(OUT)'!AC83:AC86))</f>
        <v>0</v>
      </c>
      <c r="CD77" s="66">
        <f>IF($AD77="N","N",SUM('調查資料(OUT)'!AB83:AB86))</f>
        <v>0</v>
      </c>
      <c r="CE77" s="383" t="e">
        <f t="shared" si="177"/>
        <v>#DIV/0!</v>
      </c>
      <c r="CF77" s="66">
        <f t="shared" si="178"/>
        <v>0</v>
      </c>
      <c r="CG77" s="66">
        <f>IF($AD77="N","N",SUM('調查資料(OUT)'!W83:W86))</f>
        <v>0</v>
      </c>
      <c r="CH77" s="66">
        <f>IF($AD77="N","N",SUM('調查資料(OUT)'!Z83:Z86))</f>
        <v>0</v>
      </c>
      <c r="CI77" s="66">
        <f>IF($AD77="N","N",SUM('調查資料(OUT)'!AD83:AD86))</f>
        <v>0</v>
      </c>
      <c r="CJ77" s="383" t="e">
        <f t="shared" si="179"/>
        <v>#DIV/0!</v>
      </c>
      <c r="CK77" s="66">
        <f t="shared" si="180"/>
        <v>0</v>
      </c>
      <c r="CL77" s="66">
        <f>IF($AD77="N","N",SUM('調查資料(OUT)'!X83:X86))</f>
        <v>0</v>
      </c>
      <c r="CM77" s="66">
        <f>IF($AD77="N","N",SUM('調查資料(OUT)'!AA83:AA86))</f>
        <v>0</v>
      </c>
      <c r="CN77" s="66">
        <f>IF($AD77="N","N",SUM('調查資料(OUT)'!AE83:AE86))</f>
        <v>0</v>
      </c>
      <c r="CO77" s="383" t="e">
        <f t="shared" si="181"/>
        <v>#DIV/0!</v>
      </c>
      <c r="CP77" s="66">
        <f t="shared" si="182"/>
        <v>0</v>
      </c>
      <c r="CQ77" s="383" t="e">
        <f t="shared" si="183"/>
        <v>#DIV/0!</v>
      </c>
      <c r="CR77" s="66">
        <f t="shared" si="184"/>
        <v>0</v>
      </c>
      <c r="CS77" s="383" t="e">
        <f t="shared" si="185"/>
        <v>#DIV/0!</v>
      </c>
      <c r="CT77" s="66">
        <f t="shared" si="186"/>
        <v>0</v>
      </c>
      <c r="CU77" s="383" t="e">
        <f t="shared" si="187"/>
        <v>#DIV/0!</v>
      </c>
      <c r="CV77" s="316">
        <f t="shared" si="188"/>
        <v>0</v>
      </c>
      <c r="CW77" s="309">
        <f t="shared" si="189"/>
        <v>0</v>
      </c>
      <c r="CX77" s="66">
        <f>IF($AD77="N","N",SUM('調查資料(OUT)'!AF83:AF86))</f>
        <v>0</v>
      </c>
      <c r="CY77" s="66">
        <f>IF($AD77="N","N",SUM('調查資料(OUT)'!AI83:AI86))</f>
        <v>0</v>
      </c>
      <c r="CZ77" s="66">
        <f>IF($AD77="N","N",SUM('調查資料(OUT)'!AM83:AM86))</f>
        <v>0</v>
      </c>
      <c r="DA77" s="66">
        <f>IF($AD77="N","N",SUM('調查資料(OUT)'!AL83:AL86))</f>
        <v>0</v>
      </c>
      <c r="DB77" s="383" t="e">
        <f t="shared" si="190"/>
        <v>#DIV/0!</v>
      </c>
      <c r="DC77" s="66">
        <f t="shared" si="191"/>
        <v>0</v>
      </c>
      <c r="DD77" s="66">
        <f>IF($AD77="N","N",SUM('調查資料(OUT)'!AG83:AG86))</f>
        <v>0</v>
      </c>
      <c r="DE77" s="66">
        <f>IF($AD77="N","N",SUM('調查資料(OUT)'!AJ83:AJ86))</f>
        <v>0</v>
      </c>
      <c r="DF77" s="66">
        <f>IF($AD77="N","N",SUM('調查資料(OUT)'!AN83:AN86))</f>
        <v>0</v>
      </c>
      <c r="DG77" s="383" t="e">
        <f t="shared" si="192"/>
        <v>#DIV/0!</v>
      </c>
      <c r="DH77" s="66">
        <f t="shared" si="193"/>
        <v>0</v>
      </c>
      <c r="DI77" s="66">
        <f>IF($AD77="N","N",SUM('調查資料(OUT)'!AH83:AH86))</f>
        <v>0</v>
      </c>
      <c r="DJ77" s="66">
        <f>IF($AD77="N","N",SUM('調查資料(OUT)'!AK83:AK86))</f>
        <v>0</v>
      </c>
      <c r="DK77" s="66">
        <f>IF($AD77="N","N",SUM('調查資料(OUT)'!AO83:AO86))</f>
        <v>0</v>
      </c>
      <c r="DL77" s="383" t="e">
        <f t="shared" si="194"/>
        <v>#DIV/0!</v>
      </c>
      <c r="DM77" s="66">
        <f t="shared" si="195"/>
        <v>0</v>
      </c>
      <c r="DN77" s="383" t="e">
        <f t="shared" si="196"/>
        <v>#DIV/0!</v>
      </c>
      <c r="DO77" s="66">
        <f t="shared" si="197"/>
        <v>0</v>
      </c>
      <c r="DP77" s="383" t="e">
        <f t="shared" si="198"/>
        <v>#DIV/0!</v>
      </c>
      <c r="DQ77" s="66">
        <f t="shared" si="199"/>
        <v>0</v>
      </c>
      <c r="DR77" s="383" t="e">
        <f t="shared" si="200"/>
        <v>#DIV/0!</v>
      </c>
      <c r="DS77" s="316">
        <f t="shared" si="201"/>
        <v>0</v>
      </c>
    </row>
    <row r="78" spans="1:170">
      <c r="A78" s="472">
        <f>'調查資料(OUT)'!A84</f>
        <v>1815</v>
      </c>
      <c r="B78" s="473">
        <f t="shared" si="144"/>
        <v>0</v>
      </c>
      <c r="C78" s="404">
        <f>IFERROR('調查資料(OUT)'!B$1*'調查資料(OUT)'!B84,0)+IFERROR('調查資料(OUT)'!E$1*'調查資料(OUT)'!E84,0)+IFERROR('調查資料(OUT)'!H$1*'調查資料(OUT)'!H84,0)+IFERROR('調查資料(OUT)'!I$1*'調查資料(OUT)'!I84,0)</f>
        <v>0</v>
      </c>
      <c r="D78" s="404">
        <f>IFERROR('調查資料(OUT)'!C$1*'調查資料(OUT)'!C84,0)+IFERROR('調查資料(OUT)'!F$1*'調查資料(OUT)'!F84,0)+IFERROR('調查資料(OUT)'!J$1*'調查資料(OUT)'!J84,0)</f>
        <v>0</v>
      </c>
      <c r="E78" s="417">
        <f>IFERROR('調查資料(OUT)'!D$1*'調查資料(OUT)'!D84,0)+IFERROR('調查資料(OUT)'!G$1*'調查資料(OUT)'!G84,0)+IFERROR('調查資料(OUT)'!K$1*'調查資料(OUT)'!K84,0)</f>
        <v>0</v>
      </c>
      <c r="F78" s="473">
        <f t="shared" si="145"/>
        <v>0</v>
      </c>
      <c r="G78" s="404">
        <f>IFERROR('調查資料(OUT)'!L$1*'調查資料(OUT)'!L84,0)+IFERROR('調查資料(OUT)'!O$1*'調查資料(OUT)'!O84,0)+IFERROR('調查資料(OUT)'!R$1*'調查資料(OUT)'!R84,0)+IFERROR('調查資料(OUT)'!S$1*'調查資料(OUT)'!S84,0)</f>
        <v>0</v>
      </c>
      <c r="H78" s="404">
        <f>IFERROR('調查資料(OUT)'!M$1*'調查資料(OUT)'!M84,0)+IFERROR('調查資料(OUT)'!P$1*'調查資料(OUT)'!P84,0)+IFERROR('調查資料(OUT)'!T$1*'調查資料(OUT)'!T84,0)</f>
        <v>0</v>
      </c>
      <c r="I78" s="417">
        <f>IFERROR('調查資料(OUT)'!N$1*'調查資料(OUT)'!N84,0)+IFERROR('調查資料(OUT)'!Q$1*'調查資料(OUT)'!Q84,0)+IFERROR('調查資料(OUT)'!U$1*'調查資料(OUT)'!U84,0)</f>
        <v>0</v>
      </c>
      <c r="J78" s="473">
        <f t="shared" si="146"/>
        <v>0</v>
      </c>
      <c r="K78" s="404">
        <f>IFERROR('調查資料(OUT)'!V$1*'調查資料(OUT)'!V84,0)+IFERROR('調查資料(OUT)'!Y$1*'調查資料(OUT)'!Y84,0)+IFERROR('調查資料(OUT)'!AB$1*'調查資料(OUT)'!AB84,0)+IFERROR('調查資料(OUT)'!AC$1*'調查資料(OUT)'!AC84,0)</f>
        <v>0</v>
      </c>
      <c r="L78" s="404">
        <f>IFERROR('調查資料(OUT)'!W$1*'調查資料(OUT)'!W84,0)+IFERROR('調查資料(OUT)'!Z$1*'調查資料(OUT)'!Z84,0)+IFERROR('調查資料(OUT)'!AD$1*'調查資料(OUT)'!AD84,0)</f>
        <v>0</v>
      </c>
      <c r="M78" s="417">
        <f>IFERROR('調查資料(OUT)'!X$1*'調查資料(OUT)'!X84,0)+IFERROR('調查資料(OUT)'!AA$1*'調查資料(OUT)'!AA84,0)+IFERROR('調查資料(OUT)'!AE$1*'調查資料(OUT)'!AE84,0)</f>
        <v>0</v>
      </c>
      <c r="N78" s="473">
        <f t="shared" si="147"/>
        <v>0</v>
      </c>
      <c r="O78" s="404">
        <f>IFERROR('調查資料(OUT)'!AF$1*'調查資料(OUT)'!AF84,0)+IFERROR('調查資料(OUT)'!AI$1*'調查資料(OUT)'!AI84,0)+IFERROR('調查資料(OUT)'!AL$1*'調查資料(OUT)'!AL84,0)+IFERROR('調查資料(OUT)'!AM$1*'調查資料(OUT)'!AM84,0)</f>
        <v>0</v>
      </c>
      <c r="P78" s="404">
        <f>IFERROR('調查資料(OUT)'!AG$1*'調查資料(OUT)'!AG84,0)+IFERROR('調查資料(OUT)'!AJ$1*'調查資料(OUT)'!AJ84,0)+IFERROR('調查資料(OUT)'!AN$1*'調查資料(OUT)'!AN84,0)</f>
        <v>0</v>
      </c>
      <c r="Q78" s="417">
        <f>IFERROR('調查資料(OUT)'!AH$1*'調查資料(OUT)'!AH84,0)+IFERROR('調查資料(OUT)'!AK$1*'調查資料(OUT)'!AK84,0)+IFERROR('調查資料(OUT)'!AO$1*'調查資料(OUT)'!AO84,0)</f>
        <v>0</v>
      </c>
      <c r="R78" s="474">
        <f t="shared" si="148"/>
        <v>0</v>
      </c>
      <c r="T78" s="402">
        <f>'調查資料(OUT)'!A84</f>
        <v>1815</v>
      </c>
      <c r="U78" s="403">
        <f t="shared" si="149"/>
        <v>1915</v>
      </c>
      <c r="V78" s="404">
        <f t="shared" si="133"/>
        <v>0</v>
      </c>
      <c r="W78" s="405"/>
      <c r="X78" s="404">
        <f t="shared" si="150"/>
        <v>0</v>
      </c>
      <c r="Y78" s="415" t="e">
        <f t="shared" si="203"/>
        <v>#DIV/0!</v>
      </c>
      <c r="Z78" s="415" t="e">
        <f t="shared" si="204"/>
        <v>#DIV/0!</v>
      </c>
      <c r="AA78" s="415" t="e">
        <f t="shared" si="205"/>
        <v>#DIV/0!</v>
      </c>
      <c r="AB78" s="415" t="e">
        <f t="shared" si="206"/>
        <v>#DIV/0!</v>
      </c>
      <c r="AC78" s="418"/>
      <c r="AD78" s="404">
        <f t="shared" si="207"/>
        <v>1815</v>
      </c>
      <c r="AE78" s="417">
        <f t="shared" si="208"/>
        <v>1915</v>
      </c>
      <c r="AF78" s="309">
        <f t="shared" si="202"/>
        <v>0</v>
      </c>
      <c r="AG78" s="66">
        <f>IF($AD78="N","N",SUM('調查資料(OUT)'!B84:B87))</f>
        <v>0</v>
      </c>
      <c r="AH78" s="66">
        <f>IF($AD78="N","N",SUM('調查資料(OUT)'!E84:E87))</f>
        <v>0</v>
      </c>
      <c r="AI78" s="66">
        <f>IF($AD78="N","N",SUM('調查資料(OUT)'!I84:I87))</f>
        <v>0</v>
      </c>
      <c r="AJ78" s="66">
        <f>IF($AD78="N","N",SUM('調查資料(OUT)'!H84:H87))</f>
        <v>0</v>
      </c>
      <c r="AK78" s="383" t="e">
        <f t="shared" si="151"/>
        <v>#DIV/0!</v>
      </c>
      <c r="AL78" s="66">
        <f t="shared" si="152"/>
        <v>0</v>
      </c>
      <c r="AM78" s="66">
        <f>IF($AD78="N","N",SUM('調查資料(OUT)'!C84:C87))</f>
        <v>0</v>
      </c>
      <c r="AN78" s="66">
        <f>IF($AD78="N","N",SUM('調查資料(OUT)'!F84:F87))</f>
        <v>0</v>
      </c>
      <c r="AO78" s="66">
        <f>IF($AD78="N","N",SUM('調查資料(OUT)'!J84:J87))</f>
        <v>0</v>
      </c>
      <c r="AP78" s="383" t="e">
        <f t="shared" si="153"/>
        <v>#DIV/0!</v>
      </c>
      <c r="AQ78" s="66">
        <f t="shared" si="154"/>
        <v>0</v>
      </c>
      <c r="AR78" s="66">
        <f>IF($AD78="N","N",SUM('調查資料(OUT)'!D84:D87))</f>
        <v>0</v>
      </c>
      <c r="AS78" s="66">
        <f>IF($AD78="N","N",SUM('調查資料(OUT)'!G84:G87))</f>
        <v>0</v>
      </c>
      <c r="AT78" s="66">
        <f>IF($AD78="N","N",SUM('調查資料(OUT)'!K84:K87))</f>
        <v>0</v>
      </c>
      <c r="AU78" s="383" t="e">
        <f t="shared" si="155"/>
        <v>#DIV/0!</v>
      </c>
      <c r="AV78" s="66">
        <f t="shared" si="156"/>
        <v>0</v>
      </c>
      <c r="AW78" s="383" t="e">
        <f t="shared" si="157"/>
        <v>#DIV/0!</v>
      </c>
      <c r="AX78" s="66">
        <f t="shared" si="158"/>
        <v>0</v>
      </c>
      <c r="AY78" s="383" t="e">
        <f t="shared" si="159"/>
        <v>#DIV/0!</v>
      </c>
      <c r="AZ78" s="66">
        <f t="shared" si="160"/>
        <v>0</v>
      </c>
      <c r="BA78" s="383" t="e">
        <f t="shared" si="161"/>
        <v>#DIV/0!</v>
      </c>
      <c r="BB78" s="316">
        <f t="shared" si="162"/>
        <v>0</v>
      </c>
      <c r="BC78" s="309">
        <f t="shared" si="163"/>
        <v>0</v>
      </c>
      <c r="BD78" s="66">
        <f>IF($AD78="N","N",SUM('調查資料(OUT)'!L84:L87))</f>
        <v>0</v>
      </c>
      <c r="BE78" s="66">
        <f>IF($AD78="N","N",SUM('調查資料(OUT)'!O84:O87))</f>
        <v>0</v>
      </c>
      <c r="BF78" s="66">
        <f>IF($AD78="N","N",SUM('調查資料(OUT)'!S84:S87))</f>
        <v>0</v>
      </c>
      <c r="BG78" s="66">
        <f>IF($AD78="N","N",SUM('調查資料(OUT)'!R84:R87))</f>
        <v>0</v>
      </c>
      <c r="BH78" s="383" t="e">
        <f t="shared" si="164"/>
        <v>#DIV/0!</v>
      </c>
      <c r="BI78" s="66">
        <f t="shared" si="165"/>
        <v>0</v>
      </c>
      <c r="BJ78" s="66">
        <f>IF($AD78="N","N",SUM('調查資料(OUT)'!M84:M87))</f>
        <v>0</v>
      </c>
      <c r="BK78" s="66">
        <f>IF($AD78="N","N",SUM('調查資料(OUT)'!P84:P87))</f>
        <v>0</v>
      </c>
      <c r="BL78" s="66">
        <f>IF($AD78="N","N",SUM('調查資料(OUT)'!T84:T87))</f>
        <v>0</v>
      </c>
      <c r="BM78" s="383" t="e">
        <f t="shared" si="166"/>
        <v>#DIV/0!</v>
      </c>
      <c r="BN78" s="66">
        <f t="shared" si="167"/>
        <v>0</v>
      </c>
      <c r="BO78" s="66">
        <f>IF($AD78="N","N",SUM('調查資料(OUT)'!N84:N87))</f>
        <v>0</v>
      </c>
      <c r="BP78" s="66">
        <f>IF($AD78="N","N",SUM('調查資料(OUT)'!Q84:Q87))</f>
        <v>0</v>
      </c>
      <c r="BQ78" s="66">
        <f>IF($AD78="N","N",SUM('調查資料(OUT)'!U84:U87))</f>
        <v>0</v>
      </c>
      <c r="BR78" s="383" t="e">
        <f t="shared" si="168"/>
        <v>#DIV/0!</v>
      </c>
      <c r="BS78" s="66">
        <f t="shared" si="169"/>
        <v>0</v>
      </c>
      <c r="BT78" s="383" t="e">
        <f t="shared" si="170"/>
        <v>#DIV/0!</v>
      </c>
      <c r="BU78" s="66">
        <f t="shared" si="171"/>
        <v>0</v>
      </c>
      <c r="BV78" s="383" t="e">
        <f t="shared" si="172"/>
        <v>#DIV/0!</v>
      </c>
      <c r="BW78" s="66">
        <f t="shared" si="173"/>
        <v>0</v>
      </c>
      <c r="BX78" s="383" t="e">
        <f t="shared" si="174"/>
        <v>#DIV/0!</v>
      </c>
      <c r="BY78" s="316">
        <f t="shared" si="175"/>
        <v>0</v>
      </c>
      <c r="BZ78" s="309">
        <f t="shared" si="176"/>
        <v>0</v>
      </c>
      <c r="CA78" s="66">
        <f>IF($AD78="N","N",SUM('調查資料(OUT)'!V84:V87))</f>
        <v>0</v>
      </c>
      <c r="CB78" s="66">
        <f>IF($AD78="N","N",SUM('調查資料(OUT)'!Y84:Y87))</f>
        <v>0</v>
      </c>
      <c r="CC78" s="66">
        <f>IF($AD78="N","N",SUM('調查資料(OUT)'!AC84:AC87))</f>
        <v>0</v>
      </c>
      <c r="CD78" s="66">
        <f>IF($AD78="N","N",SUM('調查資料(OUT)'!AB84:AB87))</f>
        <v>0</v>
      </c>
      <c r="CE78" s="383" t="e">
        <f t="shared" si="177"/>
        <v>#DIV/0!</v>
      </c>
      <c r="CF78" s="66">
        <f t="shared" si="178"/>
        <v>0</v>
      </c>
      <c r="CG78" s="66">
        <f>IF($AD78="N","N",SUM('調查資料(OUT)'!W84:W87))</f>
        <v>0</v>
      </c>
      <c r="CH78" s="66">
        <f>IF($AD78="N","N",SUM('調查資料(OUT)'!Z84:Z87))</f>
        <v>0</v>
      </c>
      <c r="CI78" s="66">
        <f>IF($AD78="N","N",SUM('調查資料(OUT)'!AD84:AD87))</f>
        <v>0</v>
      </c>
      <c r="CJ78" s="383" t="e">
        <f t="shared" si="179"/>
        <v>#DIV/0!</v>
      </c>
      <c r="CK78" s="66">
        <f t="shared" si="180"/>
        <v>0</v>
      </c>
      <c r="CL78" s="66">
        <f>IF($AD78="N","N",SUM('調查資料(OUT)'!X84:X87))</f>
        <v>0</v>
      </c>
      <c r="CM78" s="66">
        <f>IF($AD78="N","N",SUM('調查資料(OUT)'!AA84:AA87))</f>
        <v>0</v>
      </c>
      <c r="CN78" s="66">
        <f>IF($AD78="N","N",SUM('調查資料(OUT)'!AE84:AE87))</f>
        <v>0</v>
      </c>
      <c r="CO78" s="383" t="e">
        <f t="shared" si="181"/>
        <v>#DIV/0!</v>
      </c>
      <c r="CP78" s="66">
        <f t="shared" si="182"/>
        <v>0</v>
      </c>
      <c r="CQ78" s="383" t="e">
        <f t="shared" si="183"/>
        <v>#DIV/0!</v>
      </c>
      <c r="CR78" s="66">
        <f t="shared" si="184"/>
        <v>0</v>
      </c>
      <c r="CS78" s="383" t="e">
        <f t="shared" si="185"/>
        <v>#DIV/0!</v>
      </c>
      <c r="CT78" s="66">
        <f t="shared" si="186"/>
        <v>0</v>
      </c>
      <c r="CU78" s="383" t="e">
        <f t="shared" si="187"/>
        <v>#DIV/0!</v>
      </c>
      <c r="CV78" s="316">
        <f t="shared" si="188"/>
        <v>0</v>
      </c>
      <c r="CW78" s="309">
        <f t="shared" si="189"/>
        <v>0</v>
      </c>
      <c r="CX78" s="66">
        <f>IF($AD78="N","N",SUM('調查資料(OUT)'!AF84:AF87))</f>
        <v>0</v>
      </c>
      <c r="CY78" s="66">
        <f>IF($AD78="N","N",SUM('調查資料(OUT)'!AI84:AI87))</f>
        <v>0</v>
      </c>
      <c r="CZ78" s="66">
        <f>IF($AD78="N","N",SUM('調查資料(OUT)'!AM84:AM87))</f>
        <v>0</v>
      </c>
      <c r="DA78" s="66">
        <f>IF($AD78="N","N",SUM('調查資料(OUT)'!AL84:AL87))</f>
        <v>0</v>
      </c>
      <c r="DB78" s="383" t="e">
        <f t="shared" si="190"/>
        <v>#DIV/0!</v>
      </c>
      <c r="DC78" s="66">
        <f t="shared" si="191"/>
        <v>0</v>
      </c>
      <c r="DD78" s="66">
        <f>IF($AD78="N","N",SUM('調查資料(OUT)'!AG84:AG87))</f>
        <v>0</v>
      </c>
      <c r="DE78" s="66">
        <f>IF($AD78="N","N",SUM('調查資料(OUT)'!AJ84:AJ87))</f>
        <v>0</v>
      </c>
      <c r="DF78" s="66">
        <f>IF($AD78="N","N",SUM('調查資料(OUT)'!AN84:AN87))</f>
        <v>0</v>
      </c>
      <c r="DG78" s="383" t="e">
        <f t="shared" si="192"/>
        <v>#DIV/0!</v>
      </c>
      <c r="DH78" s="66">
        <f t="shared" si="193"/>
        <v>0</v>
      </c>
      <c r="DI78" s="66">
        <f>IF($AD78="N","N",SUM('調查資料(OUT)'!AH84:AH87))</f>
        <v>0</v>
      </c>
      <c r="DJ78" s="66">
        <f>IF($AD78="N","N",SUM('調查資料(OUT)'!AK84:AK87))</f>
        <v>0</v>
      </c>
      <c r="DK78" s="66">
        <f>IF($AD78="N","N",SUM('調查資料(OUT)'!AO84:AO87))</f>
        <v>0</v>
      </c>
      <c r="DL78" s="383" t="e">
        <f t="shared" si="194"/>
        <v>#DIV/0!</v>
      </c>
      <c r="DM78" s="66">
        <f t="shared" si="195"/>
        <v>0</v>
      </c>
      <c r="DN78" s="383" t="e">
        <f t="shared" si="196"/>
        <v>#DIV/0!</v>
      </c>
      <c r="DO78" s="66">
        <f t="shared" si="197"/>
        <v>0</v>
      </c>
      <c r="DP78" s="383" t="e">
        <f t="shared" si="198"/>
        <v>#DIV/0!</v>
      </c>
      <c r="DQ78" s="66">
        <f t="shared" si="199"/>
        <v>0</v>
      </c>
      <c r="DR78" s="383" t="e">
        <f t="shared" si="200"/>
        <v>#DIV/0!</v>
      </c>
      <c r="DS78" s="316">
        <f t="shared" si="201"/>
        <v>0</v>
      </c>
    </row>
    <row r="79" spans="1:170">
      <c r="A79" s="472">
        <f>'調查資料(OUT)'!A85</f>
        <v>1830</v>
      </c>
      <c r="B79" s="473">
        <f t="shared" si="144"/>
        <v>0</v>
      </c>
      <c r="C79" s="404">
        <f>IFERROR('調查資料(OUT)'!B$1*'調查資料(OUT)'!B85,0)+IFERROR('調查資料(OUT)'!E$1*'調查資料(OUT)'!E85,0)+IFERROR('調查資料(OUT)'!H$1*'調查資料(OUT)'!H85,0)+IFERROR('調查資料(OUT)'!I$1*'調查資料(OUT)'!I85,0)</f>
        <v>0</v>
      </c>
      <c r="D79" s="404">
        <f>IFERROR('調查資料(OUT)'!C$1*'調查資料(OUT)'!C85,0)+IFERROR('調查資料(OUT)'!F$1*'調查資料(OUT)'!F85,0)+IFERROR('調查資料(OUT)'!J$1*'調查資料(OUT)'!J85,0)</f>
        <v>0</v>
      </c>
      <c r="E79" s="417">
        <f>IFERROR('調查資料(OUT)'!D$1*'調查資料(OUT)'!D85,0)+IFERROR('調查資料(OUT)'!G$1*'調查資料(OUT)'!G85,0)+IFERROR('調查資料(OUT)'!K$1*'調查資料(OUT)'!K85,0)</f>
        <v>0</v>
      </c>
      <c r="F79" s="473">
        <f t="shared" si="145"/>
        <v>0</v>
      </c>
      <c r="G79" s="404">
        <f>IFERROR('調查資料(OUT)'!L$1*'調查資料(OUT)'!L85,0)+IFERROR('調查資料(OUT)'!O$1*'調查資料(OUT)'!O85,0)+IFERROR('調查資料(OUT)'!R$1*'調查資料(OUT)'!R85,0)+IFERROR('調查資料(OUT)'!S$1*'調查資料(OUT)'!S85,0)</f>
        <v>0</v>
      </c>
      <c r="H79" s="404">
        <f>IFERROR('調查資料(OUT)'!M$1*'調查資料(OUT)'!M85,0)+IFERROR('調查資料(OUT)'!P$1*'調查資料(OUT)'!P85,0)+IFERROR('調查資料(OUT)'!T$1*'調查資料(OUT)'!T85,0)</f>
        <v>0</v>
      </c>
      <c r="I79" s="417">
        <f>IFERROR('調查資料(OUT)'!N$1*'調查資料(OUT)'!N85,0)+IFERROR('調查資料(OUT)'!Q$1*'調查資料(OUT)'!Q85,0)+IFERROR('調查資料(OUT)'!U$1*'調查資料(OUT)'!U85,0)</f>
        <v>0</v>
      </c>
      <c r="J79" s="473">
        <f t="shared" si="146"/>
        <v>0</v>
      </c>
      <c r="K79" s="404">
        <f>IFERROR('調查資料(OUT)'!V$1*'調查資料(OUT)'!V85,0)+IFERROR('調查資料(OUT)'!Y$1*'調查資料(OUT)'!Y85,0)+IFERROR('調查資料(OUT)'!AB$1*'調查資料(OUT)'!AB85,0)+IFERROR('調查資料(OUT)'!AC$1*'調查資料(OUT)'!AC85,0)</f>
        <v>0</v>
      </c>
      <c r="L79" s="404">
        <f>IFERROR('調查資料(OUT)'!W$1*'調查資料(OUT)'!W85,0)+IFERROR('調查資料(OUT)'!Z$1*'調查資料(OUT)'!Z85,0)+IFERROR('調查資料(OUT)'!AD$1*'調查資料(OUT)'!AD85,0)</f>
        <v>0</v>
      </c>
      <c r="M79" s="417">
        <f>IFERROR('調查資料(OUT)'!X$1*'調查資料(OUT)'!X85,0)+IFERROR('調查資料(OUT)'!AA$1*'調查資料(OUT)'!AA85,0)+IFERROR('調查資料(OUT)'!AE$1*'調查資料(OUT)'!AE85,0)</f>
        <v>0</v>
      </c>
      <c r="N79" s="473">
        <f t="shared" si="147"/>
        <v>0</v>
      </c>
      <c r="O79" s="404">
        <f>IFERROR('調查資料(OUT)'!AF$1*'調查資料(OUT)'!AF85,0)+IFERROR('調查資料(OUT)'!AI$1*'調查資料(OUT)'!AI85,0)+IFERROR('調查資料(OUT)'!AL$1*'調查資料(OUT)'!AL85,0)+IFERROR('調查資料(OUT)'!AM$1*'調查資料(OUT)'!AM85,0)</f>
        <v>0</v>
      </c>
      <c r="P79" s="404">
        <f>IFERROR('調查資料(OUT)'!AG$1*'調查資料(OUT)'!AG85,0)+IFERROR('調查資料(OUT)'!AJ$1*'調查資料(OUT)'!AJ85,0)+IFERROR('調查資料(OUT)'!AN$1*'調查資料(OUT)'!AN85,0)</f>
        <v>0</v>
      </c>
      <c r="Q79" s="417">
        <f>IFERROR('調查資料(OUT)'!AH$1*'調查資料(OUT)'!AH85,0)+IFERROR('調查資料(OUT)'!AK$1*'調查資料(OUT)'!AK85,0)+IFERROR('調查資料(OUT)'!AO$1*'調查資料(OUT)'!AO85,0)</f>
        <v>0</v>
      </c>
      <c r="R79" s="474">
        <f t="shared" si="148"/>
        <v>0</v>
      </c>
      <c r="T79" s="402">
        <f>'調查資料(OUT)'!A85</f>
        <v>1830</v>
      </c>
      <c r="U79" s="403">
        <f t="shared" si="149"/>
        <v>1930</v>
      </c>
      <c r="V79" s="404">
        <f t="shared" si="133"/>
        <v>0</v>
      </c>
      <c r="W79" s="405"/>
      <c r="X79" s="404">
        <f t="shared" si="150"/>
        <v>0</v>
      </c>
      <c r="Y79" s="415" t="e">
        <f t="shared" si="203"/>
        <v>#DIV/0!</v>
      </c>
      <c r="Z79" s="415" t="e">
        <f t="shared" si="204"/>
        <v>#DIV/0!</v>
      </c>
      <c r="AA79" s="415" t="e">
        <f t="shared" si="205"/>
        <v>#DIV/0!</v>
      </c>
      <c r="AB79" s="415" t="e">
        <f t="shared" si="206"/>
        <v>#DIV/0!</v>
      </c>
      <c r="AC79" s="418"/>
      <c r="AD79" s="404">
        <f t="shared" si="207"/>
        <v>1830</v>
      </c>
      <c r="AE79" s="417">
        <f t="shared" si="208"/>
        <v>1930</v>
      </c>
      <c r="AF79" s="309">
        <f t="shared" si="202"/>
        <v>0</v>
      </c>
      <c r="AG79" s="66">
        <f>IF($AD79="N","N",SUM('調查資料(OUT)'!B85:B88))</f>
        <v>0</v>
      </c>
      <c r="AH79" s="66">
        <f>IF($AD79="N","N",SUM('調查資料(OUT)'!E85:E88))</f>
        <v>0</v>
      </c>
      <c r="AI79" s="66">
        <f>IF($AD79="N","N",SUM('調查資料(OUT)'!I85:I88))</f>
        <v>0</v>
      </c>
      <c r="AJ79" s="66">
        <f>IF($AD79="N","N",SUM('調查資料(OUT)'!H85:H88))</f>
        <v>0</v>
      </c>
      <c r="AK79" s="383" t="e">
        <f t="shared" si="151"/>
        <v>#DIV/0!</v>
      </c>
      <c r="AL79" s="66">
        <f t="shared" si="152"/>
        <v>0</v>
      </c>
      <c r="AM79" s="66">
        <f>IF($AD79="N","N",SUM('調查資料(OUT)'!C85:C88))</f>
        <v>0</v>
      </c>
      <c r="AN79" s="66">
        <f>IF($AD79="N","N",SUM('調查資料(OUT)'!F85:F88))</f>
        <v>0</v>
      </c>
      <c r="AO79" s="66">
        <f>IF($AD79="N","N",SUM('調查資料(OUT)'!J85:J88))</f>
        <v>0</v>
      </c>
      <c r="AP79" s="383" t="e">
        <f t="shared" si="153"/>
        <v>#DIV/0!</v>
      </c>
      <c r="AQ79" s="66">
        <f t="shared" si="154"/>
        <v>0</v>
      </c>
      <c r="AR79" s="66">
        <f>IF($AD79="N","N",SUM('調查資料(OUT)'!D85:D88))</f>
        <v>0</v>
      </c>
      <c r="AS79" s="66">
        <f>IF($AD79="N","N",SUM('調查資料(OUT)'!G85:G88))</f>
        <v>0</v>
      </c>
      <c r="AT79" s="66">
        <f>IF($AD79="N","N",SUM('調查資料(OUT)'!K85:K88))</f>
        <v>0</v>
      </c>
      <c r="AU79" s="383" t="e">
        <f t="shared" si="155"/>
        <v>#DIV/0!</v>
      </c>
      <c r="AV79" s="66">
        <f t="shared" si="156"/>
        <v>0</v>
      </c>
      <c r="AW79" s="383" t="e">
        <f t="shared" si="157"/>
        <v>#DIV/0!</v>
      </c>
      <c r="AX79" s="66">
        <f t="shared" si="158"/>
        <v>0</v>
      </c>
      <c r="AY79" s="383" t="e">
        <f t="shared" si="159"/>
        <v>#DIV/0!</v>
      </c>
      <c r="AZ79" s="66">
        <f t="shared" si="160"/>
        <v>0</v>
      </c>
      <c r="BA79" s="383" t="e">
        <f t="shared" si="161"/>
        <v>#DIV/0!</v>
      </c>
      <c r="BB79" s="316">
        <f t="shared" si="162"/>
        <v>0</v>
      </c>
      <c r="BC79" s="309">
        <f t="shared" si="163"/>
        <v>0</v>
      </c>
      <c r="BD79" s="66">
        <f>IF($AD79="N","N",SUM('調查資料(OUT)'!L85:L88))</f>
        <v>0</v>
      </c>
      <c r="BE79" s="66">
        <f>IF($AD79="N","N",SUM('調查資料(OUT)'!O85:O88))</f>
        <v>0</v>
      </c>
      <c r="BF79" s="66">
        <f>IF($AD79="N","N",SUM('調查資料(OUT)'!S85:S88))</f>
        <v>0</v>
      </c>
      <c r="BG79" s="66">
        <f>IF($AD79="N","N",SUM('調查資料(OUT)'!R85:R88))</f>
        <v>0</v>
      </c>
      <c r="BH79" s="383" t="e">
        <f t="shared" si="164"/>
        <v>#DIV/0!</v>
      </c>
      <c r="BI79" s="66">
        <f t="shared" si="165"/>
        <v>0</v>
      </c>
      <c r="BJ79" s="66">
        <f>IF($AD79="N","N",SUM('調查資料(OUT)'!M85:M88))</f>
        <v>0</v>
      </c>
      <c r="BK79" s="66">
        <f>IF($AD79="N","N",SUM('調查資料(OUT)'!P85:P88))</f>
        <v>0</v>
      </c>
      <c r="BL79" s="66">
        <f>IF($AD79="N","N",SUM('調查資料(OUT)'!T85:T88))</f>
        <v>0</v>
      </c>
      <c r="BM79" s="383" t="e">
        <f t="shared" si="166"/>
        <v>#DIV/0!</v>
      </c>
      <c r="BN79" s="66">
        <f t="shared" si="167"/>
        <v>0</v>
      </c>
      <c r="BO79" s="66">
        <f>IF($AD79="N","N",SUM('調查資料(OUT)'!N85:N88))</f>
        <v>0</v>
      </c>
      <c r="BP79" s="66">
        <f>IF($AD79="N","N",SUM('調查資料(OUT)'!Q85:Q88))</f>
        <v>0</v>
      </c>
      <c r="BQ79" s="66">
        <f>IF($AD79="N","N",SUM('調查資料(OUT)'!U85:U88))</f>
        <v>0</v>
      </c>
      <c r="BR79" s="383" t="e">
        <f t="shared" si="168"/>
        <v>#DIV/0!</v>
      </c>
      <c r="BS79" s="66">
        <f t="shared" si="169"/>
        <v>0</v>
      </c>
      <c r="BT79" s="383" t="e">
        <f t="shared" si="170"/>
        <v>#DIV/0!</v>
      </c>
      <c r="BU79" s="66">
        <f t="shared" si="171"/>
        <v>0</v>
      </c>
      <c r="BV79" s="383" t="e">
        <f t="shared" si="172"/>
        <v>#DIV/0!</v>
      </c>
      <c r="BW79" s="66">
        <f t="shared" si="173"/>
        <v>0</v>
      </c>
      <c r="BX79" s="383" t="e">
        <f t="shared" si="174"/>
        <v>#DIV/0!</v>
      </c>
      <c r="BY79" s="316">
        <f t="shared" si="175"/>
        <v>0</v>
      </c>
      <c r="BZ79" s="309">
        <f t="shared" si="176"/>
        <v>0</v>
      </c>
      <c r="CA79" s="66">
        <f>IF($AD79="N","N",SUM('調查資料(OUT)'!V85:V88))</f>
        <v>0</v>
      </c>
      <c r="CB79" s="66">
        <f>IF($AD79="N","N",SUM('調查資料(OUT)'!Y85:Y88))</f>
        <v>0</v>
      </c>
      <c r="CC79" s="66">
        <f>IF($AD79="N","N",SUM('調查資料(OUT)'!AC85:AC88))</f>
        <v>0</v>
      </c>
      <c r="CD79" s="66">
        <f>IF($AD79="N","N",SUM('調查資料(OUT)'!AB85:AB88))</f>
        <v>0</v>
      </c>
      <c r="CE79" s="383" t="e">
        <f t="shared" si="177"/>
        <v>#DIV/0!</v>
      </c>
      <c r="CF79" s="66">
        <f t="shared" si="178"/>
        <v>0</v>
      </c>
      <c r="CG79" s="66">
        <f>IF($AD79="N","N",SUM('調查資料(OUT)'!W85:W88))</f>
        <v>0</v>
      </c>
      <c r="CH79" s="66">
        <f>IF($AD79="N","N",SUM('調查資料(OUT)'!Z85:Z88))</f>
        <v>0</v>
      </c>
      <c r="CI79" s="66">
        <f>IF($AD79="N","N",SUM('調查資料(OUT)'!AD85:AD88))</f>
        <v>0</v>
      </c>
      <c r="CJ79" s="383" t="e">
        <f t="shared" si="179"/>
        <v>#DIV/0!</v>
      </c>
      <c r="CK79" s="66">
        <f t="shared" si="180"/>
        <v>0</v>
      </c>
      <c r="CL79" s="66">
        <f>IF($AD79="N","N",SUM('調查資料(OUT)'!X85:X88))</f>
        <v>0</v>
      </c>
      <c r="CM79" s="66">
        <f>IF($AD79="N","N",SUM('調查資料(OUT)'!AA85:AA88))</f>
        <v>0</v>
      </c>
      <c r="CN79" s="66">
        <f>IF($AD79="N","N",SUM('調查資料(OUT)'!AE85:AE88))</f>
        <v>0</v>
      </c>
      <c r="CO79" s="383" t="e">
        <f t="shared" si="181"/>
        <v>#DIV/0!</v>
      </c>
      <c r="CP79" s="66">
        <f t="shared" si="182"/>
        <v>0</v>
      </c>
      <c r="CQ79" s="383" t="e">
        <f t="shared" si="183"/>
        <v>#DIV/0!</v>
      </c>
      <c r="CR79" s="66">
        <f t="shared" si="184"/>
        <v>0</v>
      </c>
      <c r="CS79" s="383" t="e">
        <f t="shared" si="185"/>
        <v>#DIV/0!</v>
      </c>
      <c r="CT79" s="66">
        <f t="shared" si="186"/>
        <v>0</v>
      </c>
      <c r="CU79" s="383" t="e">
        <f t="shared" si="187"/>
        <v>#DIV/0!</v>
      </c>
      <c r="CV79" s="316">
        <f t="shared" si="188"/>
        <v>0</v>
      </c>
      <c r="CW79" s="309">
        <f t="shared" si="189"/>
        <v>0</v>
      </c>
      <c r="CX79" s="66">
        <f>IF($AD79="N","N",SUM('調查資料(OUT)'!AF85:AF88))</f>
        <v>0</v>
      </c>
      <c r="CY79" s="66">
        <f>IF($AD79="N","N",SUM('調查資料(OUT)'!AI85:AI88))</f>
        <v>0</v>
      </c>
      <c r="CZ79" s="66">
        <f>IF($AD79="N","N",SUM('調查資料(OUT)'!AM85:AM88))</f>
        <v>0</v>
      </c>
      <c r="DA79" s="66">
        <f>IF($AD79="N","N",SUM('調查資料(OUT)'!AL85:AL88))</f>
        <v>0</v>
      </c>
      <c r="DB79" s="383" t="e">
        <f t="shared" si="190"/>
        <v>#DIV/0!</v>
      </c>
      <c r="DC79" s="66">
        <f t="shared" si="191"/>
        <v>0</v>
      </c>
      <c r="DD79" s="66">
        <f>IF($AD79="N","N",SUM('調查資料(OUT)'!AG85:AG88))</f>
        <v>0</v>
      </c>
      <c r="DE79" s="66">
        <f>IF($AD79="N","N",SUM('調查資料(OUT)'!AJ85:AJ88))</f>
        <v>0</v>
      </c>
      <c r="DF79" s="66">
        <f>IF($AD79="N","N",SUM('調查資料(OUT)'!AN85:AN88))</f>
        <v>0</v>
      </c>
      <c r="DG79" s="383" t="e">
        <f t="shared" si="192"/>
        <v>#DIV/0!</v>
      </c>
      <c r="DH79" s="66">
        <f t="shared" si="193"/>
        <v>0</v>
      </c>
      <c r="DI79" s="66">
        <f>IF($AD79="N","N",SUM('調查資料(OUT)'!AH85:AH88))</f>
        <v>0</v>
      </c>
      <c r="DJ79" s="66">
        <f>IF($AD79="N","N",SUM('調查資料(OUT)'!AK85:AK88))</f>
        <v>0</v>
      </c>
      <c r="DK79" s="66">
        <f>IF($AD79="N","N",SUM('調查資料(OUT)'!AO85:AO88))</f>
        <v>0</v>
      </c>
      <c r="DL79" s="383" t="e">
        <f t="shared" si="194"/>
        <v>#DIV/0!</v>
      </c>
      <c r="DM79" s="66">
        <f t="shared" si="195"/>
        <v>0</v>
      </c>
      <c r="DN79" s="383" t="e">
        <f t="shared" si="196"/>
        <v>#DIV/0!</v>
      </c>
      <c r="DO79" s="66">
        <f t="shared" si="197"/>
        <v>0</v>
      </c>
      <c r="DP79" s="383" t="e">
        <f t="shared" si="198"/>
        <v>#DIV/0!</v>
      </c>
      <c r="DQ79" s="66">
        <f t="shared" si="199"/>
        <v>0</v>
      </c>
      <c r="DR79" s="383" t="e">
        <f t="shared" si="200"/>
        <v>#DIV/0!</v>
      </c>
      <c r="DS79" s="316">
        <f t="shared" si="201"/>
        <v>0</v>
      </c>
    </row>
    <row r="80" spans="1:170">
      <c r="A80" s="472">
        <f>'調查資料(OUT)'!A86</f>
        <v>1845</v>
      </c>
      <c r="B80" s="473">
        <f t="shared" si="144"/>
        <v>0</v>
      </c>
      <c r="C80" s="404">
        <f>IFERROR('調查資料(OUT)'!B$1*'調查資料(OUT)'!B86,0)+IFERROR('調查資料(OUT)'!E$1*'調查資料(OUT)'!E86,0)+IFERROR('調查資料(OUT)'!H$1*'調查資料(OUT)'!H86,0)+IFERROR('調查資料(OUT)'!I$1*'調查資料(OUT)'!I86,0)</f>
        <v>0</v>
      </c>
      <c r="D80" s="404">
        <f>IFERROR('調查資料(OUT)'!C$1*'調查資料(OUT)'!C86,0)+IFERROR('調查資料(OUT)'!F$1*'調查資料(OUT)'!F86,0)+IFERROR('調查資料(OUT)'!J$1*'調查資料(OUT)'!J86,0)</f>
        <v>0</v>
      </c>
      <c r="E80" s="417">
        <f>IFERROR('調查資料(OUT)'!D$1*'調查資料(OUT)'!D86,0)+IFERROR('調查資料(OUT)'!G$1*'調查資料(OUT)'!G86,0)+IFERROR('調查資料(OUT)'!K$1*'調查資料(OUT)'!K86,0)</f>
        <v>0</v>
      </c>
      <c r="F80" s="473">
        <f t="shared" si="145"/>
        <v>0</v>
      </c>
      <c r="G80" s="404">
        <f>IFERROR('調查資料(OUT)'!L$1*'調查資料(OUT)'!L86,0)+IFERROR('調查資料(OUT)'!O$1*'調查資料(OUT)'!O86,0)+IFERROR('調查資料(OUT)'!R$1*'調查資料(OUT)'!R86,0)+IFERROR('調查資料(OUT)'!S$1*'調查資料(OUT)'!S86,0)</f>
        <v>0</v>
      </c>
      <c r="H80" s="404">
        <f>IFERROR('調查資料(OUT)'!M$1*'調查資料(OUT)'!M86,0)+IFERROR('調查資料(OUT)'!P$1*'調查資料(OUT)'!P86,0)+IFERROR('調查資料(OUT)'!T$1*'調查資料(OUT)'!T86,0)</f>
        <v>0</v>
      </c>
      <c r="I80" s="417">
        <f>IFERROR('調查資料(OUT)'!N$1*'調查資料(OUT)'!N86,0)+IFERROR('調查資料(OUT)'!Q$1*'調查資料(OUT)'!Q86,0)+IFERROR('調查資料(OUT)'!U$1*'調查資料(OUT)'!U86,0)</f>
        <v>0</v>
      </c>
      <c r="J80" s="473">
        <f t="shared" si="146"/>
        <v>0</v>
      </c>
      <c r="K80" s="404">
        <f>IFERROR('調查資料(OUT)'!V$1*'調查資料(OUT)'!V86,0)+IFERROR('調查資料(OUT)'!Y$1*'調查資料(OUT)'!Y86,0)+IFERROR('調查資料(OUT)'!AB$1*'調查資料(OUT)'!AB86,0)+IFERROR('調查資料(OUT)'!AC$1*'調查資料(OUT)'!AC86,0)</f>
        <v>0</v>
      </c>
      <c r="L80" s="404">
        <f>IFERROR('調查資料(OUT)'!W$1*'調查資料(OUT)'!W86,0)+IFERROR('調查資料(OUT)'!Z$1*'調查資料(OUT)'!Z86,0)+IFERROR('調查資料(OUT)'!AD$1*'調查資料(OUT)'!AD86,0)</f>
        <v>0</v>
      </c>
      <c r="M80" s="417">
        <f>IFERROR('調查資料(OUT)'!X$1*'調查資料(OUT)'!X86,0)+IFERROR('調查資料(OUT)'!AA$1*'調查資料(OUT)'!AA86,0)+IFERROR('調查資料(OUT)'!AE$1*'調查資料(OUT)'!AE86,0)</f>
        <v>0</v>
      </c>
      <c r="N80" s="473">
        <f t="shared" si="147"/>
        <v>0</v>
      </c>
      <c r="O80" s="404">
        <f>IFERROR('調查資料(OUT)'!AF$1*'調查資料(OUT)'!AF86,0)+IFERROR('調查資料(OUT)'!AI$1*'調查資料(OUT)'!AI86,0)+IFERROR('調查資料(OUT)'!AL$1*'調查資料(OUT)'!AL86,0)+IFERROR('調查資料(OUT)'!AM$1*'調查資料(OUT)'!AM86,0)</f>
        <v>0</v>
      </c>
      <c r="P80" s="404">
        <f>IFERROR('調查資料(OUT)'!AG$1*'調查資料(OUT)'!AG86,0)+IFERROR('調查資料(OUT)'!AJ$1*'調查資料(OUT)'!AJ86,0)+IFERROR('調查資料(OUT)'!AN$1*'調查資料(OUT)'!AN86,0)</f>
        <v>0</v>
      </c>
      <c r="Q80" s="417">
        <f>IFERROR('調查資料(OUT)'!AH$1*'調查資料(OUT)'!AH86,0)+IFERROR('調查資料(OUT)'!AK$1*'調查資料(OUT)'!AK86,0)+IFERROR('調查資料(OUT)'!AO$1*'調查資料(OUT)'!AO86,0)</f>
        <v>0</v>
      </c>
      <c r="R80" s="474">
        <f t="shared" si="148"/>
        <v>0</v>
      </c>
      <c r="T80" s="402">
        <f>'調查資料(OUT)'!A86</f>
        <v>1845</v>
      </c>
      <c r="U80" s="403">
        <f t="shared" si="149"/>
        <v>1945</v>
      </c>
      <c r="V80" s="404">
        <f t="shared" si="133"/>
        <v>0</v>
      </c>
      <c r="W80" s="405"/>
      <c r="X80" s="404">
        <f t="shared" si="150"/>
        <v>0</v>
      </c>
      <c r="Y80" s="415" t="e">
        <f t="shared" si="203"/>
        <v>#DIV/0!</v>
      </c>
      <c r="Z80" s="415" t="e">
        <f t="shared" si="204"/>
        <v>#DIV/0!</v>
      </c>
      <c r="AA80" s="415" t="e">
        <f t="shared" si="205"/>
        <v>#DIV/0!</v>
      </c>
      <c r="AB80" s="415" t="e">
        <f t="shared" si="206"/>
        <v>#DIV/0!</v>
      </c>
      <c r="AC80" s="418"/>
      <c r="AD80" s="404">
        <f t="shared" si="207"/>
        <v>1845</v>
      </c>
      <c r="AE80" s="417">
        <f t="shared" si="208"/>
        <v>1945</v>
      </c>
      <c r="AF80" s="309">
        <f t="shared" si="202"/>
        <v>0</v>
      </c>
      <c r="AG80" s="66">
        <f>IF($AD80="N","N",SUM('調查資料(OUT)'!B86:B89))</f>
        <v>0</v>
      </c>
      <c r="AH80" s="66">
        <f>IF($AD80="N","N",SUM('調查資料(OUT)'!E86:E89))</f>
        <v>0</v>
      </c>
      <c r="AI80" s="66">
        <f>IF($AD80="N","N",SUM('調查資料(OUT)'!I86:I89))</f>
        <v>0</v>
      </c>
      <c r="AJ80" s="66">
        <f>IF($AD80="N","N",SUM('調查資料(OUT)'!H86:H89))</f>
        <v>0</v>
      </c>
      <c r="AK80" s="383" t="e">
        <f t="shared" si="151"/>
        <v>#DIV/0!</v>
      </c>
      <c r="AL80" s="66">
        <f t="shared" si="152"/>
        <v>0</v>
      </c>
      <c r="AM80" s="66">
        <f>IF($AD80="N","N",SUM('調查資料(OUT)'!C86:C89))</f>
        <v>0</v>
      </c>
      <c r="AN80" s="66">
        <f>IF($AD80="N","N",SUM('調查資料(OUT)'!F86:F89))</f>
        <v>0</v>
      </c>
      <c r="AO80" s="66">
        <f>IF($AD80="N","N",SUM('調查資料(OUT)'!J86:J89))</f>
        <v>0</v>
      </c>
      <c r="AP80" s="383" t="e">
        <f t="shared" si="153"/>
        <v>#DIV/0!</v>
      </c>
      <c r="AQ80" s="66">
        <f t="shared" si="154"/>
        <v>0</v>
      </c>
      <c r="AR80" s="66">
        <f>IF($AD80="N","N",SUM('調查資料(OUT)'!D86:D89))</f>
        <v>0</v>
      </c>
      <c r="AS80" s="66">
        <f>IF($AD80="N","N",SUM('調查資料(OUT)'!G86:G89))</f>
        <v>0</v>
      </c>
      <c r="AT80" s="66">
        <f>IF($AD80="N","N",SUM('調查資料(OUT)'!K86:K89))</f>
        <v>0</v>
      </c>
      <c r="AU80" s="383" t="e">
        <f t="shared" si="155"/>
        <v>#DIV/0!</v>
      </c>
      <c r="AV80" s="66">
        <f t="shared" si="156"/>
        <v>0</v>
      </c>
      <c r="AW80" s="383" t="e">
        <f t="shared" si="157"/>
        <v>#DIV/0!</v>
      </c>
      <c r="AX80" s="66">
        <f t="shared" si="158"/>
        <v>0</v>
      </c>
      <c r="AY80" s="383" t="e">
        <f t="shared" si="159"/>
        <v>#DIV/0!</v>
      </c>
      <c r="AZ80" s="66">
        <f t="shared" si="160"/>
        <v>0</v>
      </c>
      <c r="BA80" s="383" t="e">
        <f t="shared" si="161"/>
        <v>#DIV/0!</v>
      </c>
      <c r="BB80" s="316">
        <f t="shared" si="162"/>
        <v>0</v>
      </c>
      <c r="BC80" s="309">
        <f t="shared" si="163"/>
        <v>0</v>
      </c>
      <c r="BD80" s="66">
        <f>IF($AD80="N","N",SUM('調查資料(OUT)'!L86:L89))</f>
        <v>0</v>
      </c>
      <c r="BE80" s="66">
        <f>IF($AD80="N","N",SUM('調查資料(OUT)'!O86:O89))</f>
        <v>0</v>
      </c>
      <c r="BF80" s="66">
        <f>IF($AD80="N","N",SUM('調查資料(OUT)'!S86:S89))</f>
        <v>0</v>
      </c>
      <c r="BG80" s="66">
        <f>IF($AD80="N","N",SUM('調查資料(OUT)'!R86:R89))</f>
        <v>0</v>
      </c>
      <c r="BH80" s="383" t="e">
        <f t="shared" si="164"/>
        <v>#DIV/0!</v>
      </c>
      <c r="BI80" s="66">
        <f t="shared" si="165"/>
        <v>0</v>
      </c>
      <c r="BJ80" s="66">
        <f>IF($AD80="N","N",SUM('調查資料(OUT)'!M86:M89))</f>
        <v>0</v>
      </c>
      <c r="BK80" s="66">
        <f>IF($AD80="N","N",SUM('調查資料(OUT)'!P86:P89))</f>
        <v>0</v>
      </c>
      <c r="BL80" s="66">
        <f>IF($AD80="N","N",SUM('調查資料(OUT)'!T86:T89))</f>
        <v>0</v>
      </c>
      <c r="BM80" s="383" t="e">
        <f t="shared" si="166"/>
        <v>#DIV/0!</v>
      </c>
      <c r="BN80" s="66">
        <f t="shared" si="167"/>
        <v>0</v>
      </c>
      <c r="BO80" s="66">
        <f>IF($AD80="N","N",SUM('調查資料(OUT)'!N86:N89))</f>
        <v>0</v>
      </c>
      <c r="BP80" s="66">
        <f>IF($AD80="N","N",SUM('調查資料(OUT)'!Q86:Q89))</f>
        <v>0</v>
      </c>
      <c r="BQ80" s="66">
        <f>IF($AD80="N","N",SUM('調查資料(OUT)'!U86:U89))</f>
        <v>0</v>
      </c>
      <c r="BR80" s="383" t="e">
        <f t="shared" si="168"/>
        <v>#DIV/0!</v>
      </c>
      <c r="BS80" s="66">
        <f t="shared" si="169"/>
        <v>0</v>
      </c>
      <c r="BT80" s="383" t="e">
        <f t="shared" si="170"/>
        <v>#DIV/0!</v>
      </c>
      <c r="BU80" s="66">
        <f t="shared" si="171"/>
        <v>0</v>
      </c>
      <c r="BV80" s="383" t="e">
        <f t="shared" si="172"/>
        <v>#DIV/0!</v>
      </c>
      <c r="BW80" s="66">
        <f t="shared" si="173"/>
        <v>0</v>
      </c>
      <c r="BX80" s="383" t="e">
        <f t="shared" si="174"/>
        <v>#DIV/0!</v>
      </c>
      <c r="BY80" s="316">
        <f t="shared" si="175"/>
        <v>0</v>
      </c>
      <c r="BZ80" s="309">
        <f t="shared" si="176"/>
        <v>0</v>
      </c>
      <c r="CA80" s="66">
        <f>IF($AD80="N","N",SUM('調查資料(OUT)'!V86:V89))</f>
        <v>0</v>
      </c>
      <c r="CB80" s="66">
        <f>IF($AD80="N","N",SUM('調查資料(OUT)'!Y86:Y89))</f>
        <v>0</v>
      </c>
      <c r="CC80" s="66">
        <f>IF($AD80="N","N",SUM('調查資料(OUT)'!AC86:AC89))</f>
        <v>0</v>
      </c>
      <c r="CD80" s="66">
        <f>IF($AD80="N","N",SUM('調查資料(OUT)'!AB86:AB89))</f>
        <v>0</v>
      </c>
      <c r="CE80" s="383" t="e">
        <f t="shared" si="177"/>
        <v>#DIV/0!</v>
      </c>
      <c r="CF80" s="66">
        <f t="shared" si="178"/>
        <v>0</v>
      </c>
      <c r="CG80" s="66">
        <f>IF($AD80="N","N",SUM('調查資料(OUT)'!W86:W89))</f>
        <v>0</v>
      </c>
      <c r="CH80" s="66">
        <f>IF($AD80="N","N",SUM('調查資料(OUT)'!Z86:Z89))</f>
        <v>0</v>
      </c>
      <c r="CI80" s="66">
        <f>IF($AD80="N","N",SUM('調查資料(OUT)'!AD86:AD89))</f>
        <v>0</v>
      </c>
      <c r="CJ80" s="383" t="e">
        <f t="shared" si="179"/>
        <v>#DIV/0!</v>
      </c>
      <c r="CK80" s="66">
        <f t="shared" si="180"/>
        <v>0</v>
      </c>
      <c r="CL80" s="66">
        <f>IF($AD80="N","N",SUM('調查資料(OUT)'!X86:X89))</f>
        <v>0</v>
      </c>
      <c r="CM80" s="66">
        <f>IF($AD80="N","N",SUM('調查資料(OUT)'!AA86:AA89))</f>
        <v>0</v>
      </c>
      <c r="CN80" s="66">
        <f>IF($AD80="N","N",SUM('調查資料(OUT)'!AE86:AE89))</f>
        <v>0</v>
      </c>
      <c r="CO80" s="383" t="e">
        <f t="shared" si="181"/>
        <v>#DIV/0!</v>
      </c>
      <c r="CP80" s="66">
        <f t="shared" si="182"/>
        <v>0</v>
      </c>
      <c r="CQ80" s="383" t="e">
        <f t="shared" si="183"/>
        <v>#DIV/0!</v>
      </c>
      <c r="CR80" s="66">
        <f t="shared" si="184"/>
        <v>0</v>
      </c>
      <c r="CS80" s="383" t="e">
        <f t="shared" si="185"/>
        <v>#DIV/0!</v>
      </c>
      <c r="CT80" s="66">
        <f t="shared" si="186"/>
        <v>0</v>
      </c>
      <c r="CU80" s="383" t="e">
        <f t="shared" si="187"/>
        <v>#DIV/0!</v>
      </c>
      <c r="CV80" s="316">
        <f t="shared" si="188"/>
        <v>0</v>
      </c>
      <c r="CW80" s="309">
        <f t="shared" si="189"/>
        <v>0</v>
      </c>
      <c r="CX80" s="66">
        <f>IF($AD80="N","N",SUM('調查資料(OUT)'!AF86:AF89))</f>
        <v>0</v>
      </c>
      <c r="CY80" s="66">
        <f>IF($AD80="N","N",SUM('調查資料(OUT)'!AI86:AI89))</f>
        <v>0</v>
      </c>
      <c r="CZ80" s="66">
        <f>IF($AD80="N","N",SUM('調查資料(OUT)'!AM86:AM89))</f>
        <v>0</v>
      </c>
      <c r="DA80" s="66">
        <f>IF($AD80="N","N",SUM('調查資料(OUT)'!AL86:AL89))</f>
        <v>0</v>
      </c>
      <c r="DB80" s="383" t="e">
        <f t="shared" si="190"/>
        <v>#DIV/0!</v>
      </c>
      <c r="DC80" s="66">
        <f t="shared" si="191"/>
        <v>0</v>
      </c>
      <c r="DD80" s="66">
        <f>IF($AD80="N","N",SUM('調查資料(OUT)'!AG86:AG89))</f>
        <v>0</v>
      </c>
      <c r="DE80" s="66">
        <f>IF($AD80="N","N",SUM('調查資料(OUT)'!AJ86:AJ89))</f>
        <v>0</v>
      </c>
      <c r="DF80" s="66">
        <f>IF($AD80="N","N",SUM('調查資料(OUT)'!AN86:AN89))</f>
        <v>0</v>
      </c>
      <c r="DG80" s="383" t="e">
        <f t="shared" si="192"/>
        <v>#DIV/0!</v>
      </c>
      <c r="DH80" s="66">
        <f t="shared" si="193"/>
        <v>0</v>
      </c>
      <c r="DI80" s="66">
        <f>IF($AD80="N","N",SUM('調查資料(OUT)'!AH86:AH89))</f>
        <v>0</v>
      </c>
      <c r="DJ80" s="66">
        <f>IF($AD80="N","N",SUM('調查資料(OUT)'!AK86:AK89))</f>
        <v>0</v>
      </c>
      <c r="DK80" s="66">
        <f>IF($AD80="N","N",SUM('調查資料(OUT)'!AO86:AO89))</f>
        <v>0</v>
      </c>
      <c r="DL80" s="383" t="e">
        <f t="shared" si="194"/>
        <v>#DIV/0!</v>
      </c>
      <c r="DM80" s="66">
        <f t="shared" si="195"/>
        <v>0</v>
      </c>
      <c r="DN80" s="383" t="e">
        <f t="shared" si="196"/>
        <v>#DIV/0!</v>
      </c>
      <c r="DO80" s="66">
        <f t="shared" si="197"/>
        <v>0</v>
      </c>
      <c r="DP80" s="383" t="e">
        <f t="shared" si="198"/>
        <v>#DIV/0!</v>
      </c>
      <c r="DQ80" s="66">
        <f t="shared" si="199"/>
        <v>0</v>
      </c>
      <c r="DR80" s="383" t="e">
        <f t="shared" si="200"/>
        <v>#DIV/0!</v>
      </c>
      <c r="DS80" s="316">
        <f t="shared" si="201"/>
        <v>0</v>
      </c>
    </row>
    <row r="81" spans="1:123">
      <c r="A81" s="472">
        <f>'調查資料(OUT)'!A87</f>
        <v>1900</v>
      </c>
      <c r="B81" s="473">
        <f t="shared" si="144"/>
        <v>0</v>
      </c>
      <c r="C81" s="404">
        <f>IFERROR('調查資料(OUT)'!B$1*'調查資料(OUT)'!B87,0)+IFERROR('調查資料(OUT)'!E$1*'調查資料(OUT)'!E87,0)+IFERROR('調查資料(OUT)'!H$1*'調查資料(OUT)'!H87,0)+IFERROR('調查資料(OUT)'!I$1*'調查資料(OUT)'!I87,0)</f>
        <v>0</v>
      </c>
      <c r="D81" s="404">
        <f>IFERROR('調查資料(OUT)'!C$1*'調查資料(OUT)'!C87,0)+IFERROR('調查資料(OUT)'!F$1*'調查資料(OUT)'!F87,0)+IFERROR('調查資料(OUT)'!J$1*'調查資料(OUT)'!J87,0)</f>
        <v>0</v>
      </c>
      <c r="E81" s="417">
        <f>IFERROR('調查資料(OUT)'!D$1*'調查資料(OUT)'!D87,0)+IFERROR('調查資料(OUT)'!G$1*'調查資料(OUT)'!G87,0)+IFERROR('調查資料(OUT)'!K$1*'調查資料(OUT)'!K87,0)</f>
        <v>0</v>
      </c>
      <c r="F81" s="473">
        <f t="shared" si="145"/>
        <v>0</v>
      </c>
      <c r="G81" s="404">
        <f>IFERROR('調查資料(OUT)'!L$1*'調查資料(OUT)'!L87,0)+IFERROR('調查資料(OUT)'!O$1*'調查資料(OUT)'!O87,0)+IFERROR('調查資料(OUT)'!R$1*'調查資料(OUT)'!R87,0)+IFERROR('調查資料(OUT)'!S$1*'調查資料(OUT)'!S87,0)</f>
        <v>0</v>
      </c>
      <c r="H81" s="404">
        <f>IFERROR('調查資料(OUT)'!M$1*'調查資料(OUT)'!M87,0)+IFERROR('調查資料(OUT)'!P$1*'調查資料(OUT)'!P87,0)+IFERROR('調查資料(OUT)'!T$1*'調查資料(OUT)'!T87,0)</f>
        <v>0</v>
      </c>
      <c r="I81" s="417">
        <f>IFERROR('調查資料(OUT)'!N$1*'調查資料(OUT)'!N87,0)+IFERROR('調查資料(OUT)'!Q$1*'調查資料(OUT)'!Q87,0)+IFERROR('調查資料(OUT)'!U$1*'調查資料(OUT)'!U87,0)</f>
        <v>0</v>
      </c>
      <c r="J81" s="473">
        <f t="shared" si="146"/>
        <v>0</v>
      </c>
      <c r="K81" s="404">
        <f>IFERROR('調查資料(OUT)'!V$1*'調查資料(OUT)'!V87,0)+IFERROR('調查資料(OUT)'!Y$1*'調查資料(OUT)'!Y87,0)+IFERROR('調查資料(OUT)'!AB$1*'調查資料(OUT)'!AB87,0)+IFERROR('調查資料(OUT)'!AC$1*'調查資料(OUT)'!AC87,0)</f>
        <v>0</v>
      </c>
      <c r="L81" s="404">
        <f>IFERROR('調查資料(OUT)'!W$1*'調查資料(OUT)'!W87,0)+IFERROR('調查資料(OUT)'!Z$1*'調查資料(OUT)'!Z87,0)+IFERROR('調查資料(OUT)'!AD$1*'調查資料(OUT)'!AD87,0)</f>
        <v>0</v>
      </c>
      <c r="M81" s="417">
        <f>IFERROR('調查資料(OUT)'!X$1*'調查資料(OUT)'!X87,0)+IFERROR('調查資料(OUT)'!AA$1*'調查資料(OUT)'!AA87,0)+IFERROR('調查資料(OUT)'!AE$1*'調查資料(OUT)'!AE87,0)</f>
        <v>0</v>
      </c>
      <c r="N81" s="473">
        <f t="shared" si="147"/>
        <v>0</v>
      </c>
      <c r="O81" s="404">
        <f>IFERROR('調查資料(OUT)'!AF$1*'調查資料(OUT)'!AF87,0)+IFERROR('調查資料(OUT)'!AI$1*'調查資料(OUT)'!AI87,0)+IFERROR('調查資料(OUT)'!AL$1*'調查資料(OUT)'!AL87,0)+IFERROR('調查資料(OUT)'!AM$1*'調查資料(OUT)'!AM87,0)</f>
        <v>0</v>
      </c>
      <c r="P81" s="404">
        <f>IFERROR('調查資料(OUT)'!AG$1*'調查資料(OUT)'!AG87,0)+IFERROR('調查資料(OUT)'!AJ$1*'調查資料(OUT)'!AJ87,0)+IFERROR('調查資料(OUT)'!AN$1*'調查資料(OUT)'!AN87,0)</f>
        <v>0</v>
      </c>
      <c r="Q81" s="417">
        <f>IFERROR('調查資料(OUT)'!AH$1*'調查資料(OUT)'!AH87,0)+IFERROR('調查資料(OUT)'!AK$1*'調查資料(OUT)'!AK87,0)+IFERROR('調查資料(OUT)'!AO$1*'調查資料(OUT)'!AO87,0)</f>
        <v>0</v>
      </c>
      <c r="R81" s="474">
        <f t="shared" si="148"/>
        <v>0</v>
      </c>
      <c r="T81" s="402">
        <f>'調查資料(OUT)'!A87</f>
        <v>1900</v>
      </c>
      <c r="U81" s="403">
        <f t="shared" si="149"/>
        <v>2000</v>
      </c>
      <c r="V81" s="404">
        <f t="shared" si="133"/>
        <v>0</v>
      </c>
      <c r="W81" s="405"/>
      <c r="X81" s="404">
        <f t="shared" si="150"/>
        <v>0</v>
      </c>
      <c r="Y81" s="415" t="e">
        <f t="shared" si="203"/>
        <v>#DIV/0!</v>
      </c>
      <c r="Z81" s="415" t="e">
        <f t="shared" si="204"/>
        <v>#DIV/0!</v>
      </c>
      <c r="AA81" s="415" t="e">
        <f t="shared" si="205"/>
        <v>#DIV/0!</v>
      </c>
      <c r="AB81" s="415" t="e">
        <f t="shared" si="206"/>
        <v>#DIV/0!</v>
      </c>
      <c r="AC81" s="418"/>
      <c r="AD81" s="404">
        <f>IF(V81=W$69,$T81,"N")</f>
        <v>1900</v>
      </c>
      <c r="AE81" s="417">
        <f>IF(V81=W$69,$U81,"N")</f>
        <v>2000</v>
      </c>
      <c r="AF81" s="309">
        <f t="shared" si="202"/>
        <v>0</v>
      </c>
      <c r="AG81" s="66">
        <f>IF($AD81="N","N",SUM('調查資料(OUT)'!B87:B90))</f>
        <v>0</v>
      </c>
      <c r="AH81" s="66">
        <f>IF($AD81="N","N",SUM('調查資料(OUT)'!E87:E90))</f>
        <v>0</v>
      </c>
      <c r="AI81" s="66">
        <f>IF($AD81="N","N",SUM('調查資料(OUT)'!I87:I90))</f>
        <v>0</v>
      </c>
      <c r="AJ81" s="66">
        <f>IF($AD81="N","N",SUM('調查資料(OUT)'!H87:H90))</f>
        <v>0</v>
      </c>
      <c r="AK81" s="383" t="e">
        <f t="shared" si="151"/>
        <v>#DIV/0!</v>
      </c>
      <c r="AL81" s="66">
        <f t="shared" si="152"/>
        <v>0</v>
      </c>
      <c r="AM81" s="66">
        <f>IF($AD81="N","N",SUM('調查資料(OUT)'!C87:C90))</f>
        <v>0</v>
      </c>
      <c r="AN81" s="66">
        <f>IF($AD81="N","N",SUM('調查資料(OUT)'!F87:F90))</f>
        <v>0</v>
      </c>
      <c r="AO81" s="66">
        <f>IF($AD81="N","N",SUM('調查資料(OUT)'!J87:J90))</f>
        <v>0</v>
      </c>
      <c r="AP81" s="383" t="e">
        <f t="shared" si="153"/>
        <v>#DIV/0!</v>
      </c>
      <c r="AQ81" s="66">
        <f t="shared" si="154"/>
        <v>0</v>
      </c>
      <c r="AR81" s="66">
        <f>IF($AD81="N","N",SUM('調查資料(OUT)'!D87:D90))</f>
        <v>0</v>
      </c>
      <c r="AS81" s="66">
        <f>IF($AD81="N","N",SUM('調查資料(OUT)'!G87:G90))</f>
        <v>0</v>
      </c>
      <c r="AT81" s="66">
        <f>IF($AD81="N","N",SUM('調查資料(OUT)'!K87:K90))</f>
        <v>0</v>
      </c>
      <c r="AU81" s="383" t="e">
        <f t="shared" si="155"/>
        <v>#DIV/0!</v>
      </c>
      <c r="AV81" s="66">
        <f t="shared" si="156"/>
        <v>0</v>
      </c>
      <c r="AW81" s="383" t="e">
        <f t="shared" si="157"/>
        <v>#DIV/0!</v>
      </c>
      <c r="AX81" s="66">
        <f t="shared" si="158"/>
        <v>0</v>
      </c>
      <c r="AY81" s="383" t="e">
        <f t="shared" si="159"/>
        <v>#DIV/0!</v>
      </c>
      <c r="AZ81" s="66">
        <f t="shared" si="160"/>
        <v>0</v>
      </c>
      <c r="BA81" s="383" t="e">
        <f t="shared" si="161"/>
        <v>#DIV/0!</v>
      </c>
      <c r="BB81" s="316">
        <f t="shared" si="162"/>
        <v>0</v>
      </c>
      <c r="BC81" s="309">
        <f t="shared" si="163"/>
        <v>0</v>
      </c>
      <c r="BD81" s="66">
        <f>IF($AD81="N","N",SUM('調查資料(OUT)'!L87:L90))</f>
        <v>0</v>
      </c>
      <c r="BE81" s="66">
        <f>IF($AD81="N","N",SUM('調查資料(OUT)'!O87:O90))</f>
        <v>0</v>
      </c>
      <c r="BF81" s="66">
        <f>IF($AD81="N","N",SUM('調查資料(OUT)'!S87:S90))</f>
        <v>0</v>
      </c>
      <c r="BG81" s="66">
        <f>IF($AD81="N","N",SUM('調查資料(OUT)'!R87:R90))</f>
        <v>0</v>
      </c>
      <c r="BH81" s="383" t="e">
        <f t="shared" si="164"/>
        <v>#DIV/0!</v>
      </c>
      <c r="BI81" s="66">
        <f t="shared" si="165"/>
        <v>0</v>
      </c>
      <c r="BJ81" s="66">
        <f>IF($AD81="N","N",SUM('調查資料(OUT)'!M87:M90))</f>
        <v>0</v>
      </c>
      <c r="BK81" s="66">
        <f>IF($AD81="N","N",SUM('調查資料(OUT)'!P87:P90))</f>
        <v>0</v>
      </c>
      <c r="BL81" s="66">
        <f>IF($AD81="N","N",SUM('調查資料(OUT)'!T87:T90))</f>
        <v>0</v>
      </c>
      <c r="BM81" s="383" t="e">
        <f t="shared" si="166"/>
        <v>#DIV/0!</v>
      </c>
      <c r="BN81" s="66">
        <f t="shared" si="167"/>
        <v>0</v>
      </c>
      <c r="BO81" s="66">
        <f>IF($AD81="N","N",SUM('調查資料(OUT)'!N87:N90))</f>
        <v>0</v>
      </c>
      <c r="BP81" s="66">
        <f>IF($AD81="N","N",SUM('調查資料(OUT)'!Q87:Q90))</f>
        <v>0</v>
      </c>
      <c r="BQ81" s="66">
        <f>IF($AD81="N","N",SUM('調查資料(OUT)'!U87:U90))</f>
        <v>0</v>
      </c>
      <c r="BR81" s="383" t="e">
        <f t="shared" si="168"/>
        <v>#DIV/0!</v>
      </c>
      <c r="BS81" s="66">
        <f t="shared" si="169"/>
        <v>0</v>
      </c>
      <c r="BT81" s="383" t="e">
        <f t="shared" si="170"/>
        <v>#DIV/0!</v>
      </c>
      <c r="BU81" s="66">
        <f t="shared" si="171"/>
        <v>0</v>
      </c>
      <c r="BV81" s="383" t="e">
        <f t="shared" si="172"/>
        <v>#DIV/0!</v>
      </c>
      <c r="BW81" s="66">
        <f t="shared" si="173"/>
        <v>0</v>
      </c>
      <c r="BX81" s="383" t="e">
        <f t="shared" si="174"/>
        <v>#DIV/0!</v>
      </c>
      <c r="BY81" s="316">
        <f t="shared" si="175"/>
        <v>0</v>
      </c>
      <c r="BZ81" s="309">
        <f t="shared" si="176"/>
        <v>0</v>
      </c>
      <c r="CA81" s="66">
        <f>IF($AD81="N","N",SUM('調查資料(OUT)'!V87:V90))</f>
        <v>0</v>
      </c>
      <c r="CB81" s="66">
        <f>IF($AD81="N","N",SUM('調查資料(OUT)'!Y87:Y90))</f>
        <v>0</v>
      </c>
      <c r="CC81" s="66">
        <f>IF($AD81="N","N",SUM('調查資料(OUT)'!AC87:AC90))</f>
        <v>0</v>
      </c>
      <c r="CD81" s="66">
        <f>IF($AD81="N","N",SUM('調查資料(OUT)'!AB87:AB90))</f>
        <v>0</v>
      </c>
      <c r="CE81" s="383" t="e">
        <f t="shared" si="177"/>
        <v>#DIV/0!</v>
      </c>
      <c r="CF81" s="66">
        <f t="shared" si="178"/>
        <v>0</v>
      </c>
      <c r="CG81" s="66">
        <f>IF($AD81="N","N",SUM('調查資料(OUT)'!W87:W90))</f>
        <v>0</v>
      </c>
      <c r="CH81" s="66">
        <f>IF($AD81="N","N",SUM('調查資料(OUT)'!Z87:Z90))</f>
        <v>0</v>
      </c>
      <c r="CI81" s="66">
        <f>IF($AD81="N","N",SUM('調查資料(OUT)'!AD87:AD90))</f>
        <v>0</v>
      </c>
      <c r="CJ81" s="383" t="e">
        <f t="shared" si="179"/>
        <v>#DIV/0!</v>
      </c>
      <c r="CK81" s="66">
        <f t="shared" si="180"/>
        <v>0</v>
      </c>
      <c r="CL81" s="66">
        <f>IF($AD81="N","N",SUM('調查資料(OUT)'!X87:X90))</f>
        <v>0</v>
      </c>
      <c r="CM81" s="66">
        <f>IF($AD81="N","N",SUM('調查資料(OUT)'!AA87:AA90))</f>
        <v>0</v>
      </c>
      <c r="CN81" s="66">
        <f>IF($AD81="N","N",SUM('調查資料(OUT)'!AE87:AE90))</f>
        <v>0</v>
      </c>
      <c r="CO81" s="383" t="e">
        <f t="shared" si="181"/>
        <v>#DIV/0!</v>
      </c>
      <c r="CP81" s="66">
        <f t="shared" si="182"/>
        <v>0</v>
      </c>
      <c r="CQ81" s="383" t="e">
        <f t="shared" si="183"/>
        <v>#DIV/0!</v>
      </c>
      <c r="CR81" s="66">
        <f t="shared" si="184"/>
        <v>0</v>
      </c>
      <c r="CS81" s="383" t="e">
        <f t="shared" si="185"/>
        <v>#DIV/0!</v>
      </c>
      <c r="CT81" s="66">
        <f t="shared" si="186"/>
        <v>0</v>
      </c>
      <c r="CU81" s="383" t="e">
        <f t="shared" si="187"/>
        <v>#DIV/0!</v>
      </c>
      <c r="CV81" s="316">
        <f t="shared" si="188"/>
        <v>0</v>
      </c>
      <c r="CW81" s="309">
        <f t="shared" si="189"/>
        <v>0</v>
      </c>
      <c r="CX81" s="66">
        <f>IF($AD81="N","N",SUM('調查資料(OUT)'!AF87:AF90))</f>
        <v>0</v>
      </c>
      <c r="CY81" s="66">
        <f>IF($AD81="N","N",SUM('調查資料(OUT)'!AI87:AI90))</f>
        <v>0</v>
      </c>
      <c r="CZ81" s="66">
        <f>IF($AD81="N","N",SUM('調查資料(OUT)'!AM87:AM90))</f>
        <v>0</v>
      </c>
      <c r="DA81" s="66">
        <f>IF($AD81="N","N",SUM('調查資料(OUT)'!AL87:AL90))</f>
        <v>0</v>
      </c>
      <c r="DB81" s="383" t="e">
        <f t="shared" si="190"/>
        <v>#DIV/0!</v>
      </c>
      <c r="DC81" s="66">
        <f t="shared" si="191"/>
        <v>0</v>
      </c>
      <c r="DD81" s="66">
        <f>IF($AD81="N","N",SUM('調查資料(OUT)'!AG87:AG90))</f>
        <v>0</v>
      </c>
      <c r="DE81" s="66">
        <f>IF($AD81="N","N",SUM('調查資料(OUT)'!AJ87:AJ90))</f>
        <v>0</v>
      </c>
      <c r="DF81" s="66">
        <f>IF($AD81="N","N",SUM('調查資料(OUT)'!AN87:AN90))</f>
        <v>0</v>
      </c>
      <c r="DG81" s="383" t="e">
        <f t="shared" si="192"/>
        <v>#DIV/0!</v>
      </c>
      <c r="DH81" s="66">
        <f t="shared" si="193"/>
        <v>0</v>
      </c>
      <c r="DI81" s="66">
        <f>IF($AD81="N","N",SUM('調查資料(OUT)'!AH87:AH90))</f>
        <v>0</v>
      </c>
      <c r="DJ81" s="66">
        <f>IF($AD81="N","N",SUM('調查資料(OUT)'!AK87:AK90))</f>
        <v>0</v>
      </c>
      <c r="DK81" s="66">
        <f>IF($AD81="N","N",SUM('調查資料(OUT)'!AO87:AO90))</f>
        <v>0</v>
      </c>
      <c r="DL81" s="383" t="e">
        <f t="shared" si="194"/>
        <v>#DIV/0!</v>
      </c>
      <c r="DM81" s="66">
        <f t="shared" si="195"/>
        <v>0</v>
      </c>
      <c r="DN81" s="383" t="e">
        <f t="shared" si="196"/>
        <v>#DIV/0!</v>
      </c>
      <c r="DO81" s="66">
        <f t="shared" si="197"/>
        <v>0</v>
      </c>
      <c r="DP81" s="383" t="e">
        <f t="shared" si="198"/>
        <v>#DIV/0!</v>
      </c>
      <c r="DQ81" s="66">
        <f t="shared" si="199"/>
        <v>0</v>
      </c>
      <c r="DR81" s="383" t="e">
        <f t="shared" si="200"/>
        <v>#DIV/0!</v>
      </c>
      <c r="DS81" s="316">
        <f t="shared" si="201"/>
        <v>0</v>
      </c>
    </row>
    <row r="82" spans="1:123">
      <c r="A82" s="118">
        <f>'調查資料(OUT)'!A88</f>
        <v>1915</v>
      </c>
      <c r="B82" s="309">
        <f t="shared" si="144"/>
        <v>0</v>
      </c>
      <c r="C82" s="66">
        <f>IFERROR('調查資料(OUT)'!B$1*'調查資料(OUT)'!B88,0)+IFERROR('調查資料(OUT)'!E$1*'調查資料(OUT)'!E88,0)+IFERROR('調查資料(OUT)'!H$1*'調查資料(OUT)'!H88,0)+IFERROR('調查資料(OUT)'!I$1*'調查資料(OUT)'!I88,0)</f>
        <v>0</v>
      </c>
      <c r="D82" s="66">
        <f>IFERROR('調查資料(OUT)'!C$1*'調查資料(OUT)'!C88,0)+IFERROR('調查資料(OUT)'!F$1*'調查資料(OUT)'!F88,0)+IFERROR('調查資料(OUT)'!J$1*'調查資料(OUT)'!J88,0)</f>
        <v>0</v>
      </c>
      <c r="E82" s="316">
        <f>IFERROR('調查資料(OUT)'!D$1*'調查資料(OUT)'!D88,0)+IFERROR('調查資料(OUT)'!G$1*'調查資料(OUT)'!G88,0)+IFERROR('調查資料(OUT)'!K$1*'調查資料(OUT)'!K88,0)</f>
        <v>0</v>
      </c>
      <c r="F82" s="309">
        <f t="shared" si="145"/>
        <v>0</v>
      </c>
      <c r="G82" s="66">
        <f>IFERROR('調查資料(OUT)'!L$1*'調查資料(OUT)'!L88,0)+IFERROR('調查資料(OUT)'!O$1*'調查資料(OUT)'!O88,0)+IFERROR('調查資料(OUT)'!R$1*'調查資料(OUT)'!R88,0)+IFERROR('調查資料(OUT)'!S$1*'調查資料(OUT)'!S88,0)</f>
        <v>0</v>
      </c>
      <c r="H82" s="66">
        <f>IFERROR('調查資料(OUT)'!M$1*'調查資料(OUT)'!M88,0)+IFERROR('調查資料(OUT)'!P$1*'調查資料(OUT)'!P88,0)+IFERROR('調查資料(OUT)'!T$1*'調查資料(OUT)'!T88,0)</f>
        <v>0</v>
      </c>
      <c r="I82" s="316">
        <f>IFERROR('調查資料(OUT)'!N$1*'調查資料(OUT)'!N88,0)+IFERROR('調查資料(OUT)'!Q$1*'調查資料(OUT)'!Q88,0)+IFERROR('調查資料(OUT)'!U$1*'調查資料(OUT)'!U88,0)</f>
        <v>0</v>
      </c>
      <c r="J82" s="309">
        <f t="shared" si="146"/>
        <v>0</v>
      </c>
      <c r="K82" s="66">
        <f>IFERROR('調查資料(OUT)'!V$1*'調查資料(OUT)'!V88,0)+IFERROR('調查資料(OUT)'!Y$1*'調查資料(OUT)'!Y88,0)+IFERROR('調查資料(OUT)'!AB$1*'調查資料(OUT)'!AB88,0)+IFERROR('調查資料(OUT)'!AC$1*'調查資料(OUT)'!AC88,0)</f>
        <v>0</v>
      </c>
      <c r="L82" s="66">
        <f>IFERROR('調查資料(OUT)'!W$1*'調查資料(OUT)'!W88,0)+IFERROR('調查資料(OUT)'!Z$1*'調查資料(OUT)'!Z88,0)+IFERROR('調查資料(OUT)'!AD$1*'調查資料(OUT)'!AD88,0)</f>
        <v>0</v>
      </c>
      <c r="M82" s="316">
        <f>IFERROR('調查資料(OUT)'!X$1*'調查資料(OUT)'!X88,0)+IFERROR('調查資料(OUT)'!AA$1*'調查資料(OUT)'!AA88,0)+IFERROR('調查資料(OUT)'!AE$1*'調查資料(OUT)'!AE88,0)</f>
        <v>0</v>
      </c>
      <c r="N82" s="309">
        <f t="shared" si="147"/>
        <v>0</v>
      </c>
      <c r="O82" s="66">
        <f>IFERROR('調查資料(OUT)'!AF$1*'調查資料(OUT)'!AF88,0)+IFERROR('調查資料(OUT)'!AI$1*'調查資料(OUT)'!AI88,0)+IFERROR('調查資料(OUT)'!AL$1*'調查資料(OUT)'!AL88,0)+IFERROR('調查資料(OUT)'!AM$1*'調查資料(OUT)'!AM88,0)</f>
        <v>0</v>
      </c>
      <c r="P82" s="66">
        <f>IFERROR('調查資料(OUT)'!AG$1*'調查資料(OUT)'!AG88,0)+IFERROR('調查資料(OUT)'!AJ$1*'調查資料(OUT)'!AJ88,0)+IFERROR('調查資料(OUT)'!AN$1*'調查資料(OUT)'!AN88,0)</f>
        <v>0</v>
      </c>
      <c r="Q82" s="316">
        <f>IFERROR('調查資料(OUT)'!AH$1*'調查資料(OUT)'!AH88,0)+IFERROR('調查資料(OUT)'!AK$1*'調查資料(OUT)'!AK88,0)+IFERROR('調查資料(OUT)'!AO$1*'調查資料(OUT)'!AO88,0)</f>
        <v>0</v>
      </c>
      <c r="R82" s="133">
        <f t="shared" si="148"/>
        <v>0</v>
      </c>
      <c r="T82" s="366">
        <f>'調查資料(OUT)'!A88</f>
        <v>1915</v>
      </c>
      <c r="U82" s="101">
        <f t="shared" ref="U82:U84" si="209">T82+100</f>
        <v>2015</v>
      </c>
      <c r="V82" s="66">
        <f t="shared" ref="V82:V84" si="210">SUM(R82:R85)</f>
        <v>0</v>
      </c>
      <c r="X82" s="66">
        <f t="shared" si="150"/>
        <v>0</v>
      </c>
      <c r="Y82" s="379" t="e">
        <f>IF($V82=W$69,SUM(B82:B85)/(4*(MAX(B82:B85))),0)</f>
        <v>#DIV/0!</v>
      </c>
      <c r="Z82" s="379" t="e">
        <f>IF($V82=W$69,SUM(F82:F85)/(4*(MAX(F82:F85))),0)</f>
        <v>#DIV/0!</v>
      </c>
      <c r="AA82" s="379" t="e">
        <f t="shared" ref="AA82:AA97" si="211">IF($V82=W$69,SUM(J82:J85)/(4*(MAX(J82:J85))),0)</f>
        <v>#DIV/0!</v>
      </c>
      <c r="AB82" s="379" t="e">
        <f>IF($V82=W$69,SUM(N82:N85)/(4*(MAX(N82:N85))),0)</f>
        <v>#DIV/0!</v>
      </c>
      <c r="AD82" s="66">
        <f>IF(V82=W$69,$T82,"N")</f>
        <v>1915</v>
      </c>
      <c r="AE82" s="316">
        <f>IF(V82=W$69,$U82,"N")</f>
        <v>2015</v>
      </c>
      <c r="AF82" s="309">
        <f t="shared" ref="AF82" si="212">IF($AD82="N","N",SUM(C82:C85))</f>
        <v>0</v>
      </c>
      <c r="AG82" s="66">
        <f>IF($AD82="N","N",SUM('調查資料(OUT)'!B88:B91))</f>
        <v>0</v>
      </c>
      <c r="AH82" s="66">
        <f>IF($AD82="N","N",SUM('調查資料(OUT)'!E88:E91))</f>
        <v>0</v>
      </c>
      <c r="AI82" s="66">
        <f>IF($AD82="N","N",SUM('調查資料(OUT)'!I88:I91))</f>
        <v>0</v>
      </c>
      <c r="AJ82" s="66">
        <f>IF($AD82="N","N",SUM('調查資料(OUT)'!H88:H91))</f>
        <v>0</v>
      </c>
      <c r="AK82" s="383" t="e">
        <f t="shared" ref="AK82" si="213">IF($AD82="N","N",(AF82/$BB82)*100)</f>
        <v>#DIV/0!</v>
      </c>
      <c r="AL82" s="66">
        <f t="shared" ref="AL82" si="214">IF($AD82="N","N",SUM(D82:D85))</f>
        <v>0</v>
      </c>
      <c r="AM82" s="66">
        <f>IF($AD82="N","N",SUM('調查資料(OUT)'!C88:C91))</f>
        <v>0</v>
      </c>
      <c r="AN82" s="66">
        <f>IF($AD82="N","N",SUM('調查資料(OUT)'!F88:F91))</f>
        <v>0</v>
      </c>
      <c r="AO82" s="66">
        <f>IF($AD82="N","N",SUM('調查資料(OUT)'!J88:J91))</f>
        <v>0</v>
      </c>
      <c r="AP82" s="383" t="e">
        <f t="shared" ref="AP82" si="215">IF($AD82="N","N",(AL82/$BB82)*100)</f>
        <v>#DIV/0!</v>
      </c>
      <c r="AQ82" s="66">
        <f t="shared" ref="AQ82" si="216">IF($AD82="N","N",SUM(E82:E85))</f>
        <v>0</v>
      </c>
      <c r="AR82" s="66">
        <f>IF($AD82="N","N",SUM('調查資料(OUT)'!D88:D91))</f>
        <v>0</v>
      </c>
      <c r="AS82" s="66">
        <f>IF($AD82="N","N",SUM('調查資料(OUT)'!G88:G91))</f>
        <v>0</v>
      </c>
      <c r="AT82" s="66">
        <f>IF($AD82="N","N",SUM('調查資料(OUT)'!K88:K91))</f>
        <v>0</v>
      </c>
      <c r="AU82" s="383" t="e">
        <f t="shared" ref="AU82" si="217">IF($AD82="N","N",(AQ82/$BB82)*100)</f>
        <v>#DIV/0!</v>
      </c>
      <c r="AV82" s="66">
        <f t="shared" ref="AV82" si="218">IF($AD82="N","N",AG82+AM82+AR82)</f>
        <v>0</v>
      </c>
      <c r="AW82" s="383" t="e">
        <f t="shared" ref="AW82" si="219">IF($AD82="N","N",(AV82/($AV82+$AX82+$AZ82))*100)</f>
        <v>#DIV/0!</v>
      </c>
      <c r="AX82" s="66">
        <f t="shared" ref="AX82" si="220">IF($AD82="N","N",AH82+AN82+AS82)</f>
        <v>0</v>
      </c>
      <c r="AY82" s="383" t="e">
        <f t="shared" ref="AY82" si="221">IF($AD82="N","N",(AX82/($AV82+$AX82+$AZ82))*100)</f>
        <v>#DIV/0!</v>
      </c>
      <c r="AZ82" s="66">
        <f t="shared" ref="AZ82" si="222">IF($AD82="N","N",AI82+AJ82+AO82+AT82)</f>
        <v>0</v>
      </c>
      <c r="BA82" s="383" t="e">
        <f t="shared" ref="BA82" si="223">IF($AD82="N","N",(AZ82/($AV82+$AX82+$AZ82))*100)</f>
        <v>#DIV/0!</v>
      </c>
      <c r="BB82" s="316">
        <f t="shared" ref="BB82" si="224">IF($AD82="N","N",AF82+AL82+AQ82)</f>
        <v>0</v>
      </c>
      <c r="BC82" s="309">
        <f t="shared" ref="BC82" si="225">IF($AD82="N","N",SUM(G82:G85))</f>
        <v>0</v>
      </c>
      <c r="BD82" s="66">
        <f>IF($AD82="N","N",SUM('調查資料(OUT)'!L88:L91))</f>
        <v>0</v>
      </c>
      <c r="BE82" s="66">
        <f>IF($AD82="N","N",SUM('調查資料(OUT)'!O88:O91))</f>
        <v>0</v>
      </c>
      <c r="BF82" s="66">
        <f>IF($AD82="N","N",SUM('調查資料(OUT)'!S88:S91))</f>
        <v>0</v>
      </c>
      <c r="BG82" s="66">
        <f>IF($AD82="N","N",SUM('調查資料(OUT)'!R88:R91))</f>
        <v>0</v>
      </c>
      <c r="BH82" s="383" t="e">
        <f t="shared" ref="BH82" si="226">IF($AD82="N","N",(BC82/BY82)*100)</f>
        <v>#DIV/0!</v>
      </c>
      <c r="BI82" s="66">
        <f t="shared" ref="BI82" si="227">IF($AD82="N","N",SUM(H82:H85))</f>
        <v>0</v>
      </c>
      <c r="BJ82" s="66">
        <f>IF($AD82="N","N",SUM('調查資料(OUT)'!M88:M91))</f>
        <v>0</v>
      </c>
      <c r="BK82" s="66">
        <f>IF($AD82="N","N",SUM('調查資料(OUT)'!P88:P91))</f>
        <v>0</v>
      </c>
      <c r="BL82" s="66">
        <f>IF($AD82="N","N",SUM('調查資料(OUT)'!T88:T91))</f>
        <v>0</v>
      </c>
      <c r="BM82" s="383" t="e">
        <f t="shared" ref="BM82" si="228">IF($AD82="N","N",(BI82/BY82)*100)</f>
        <v>#DIV/0!</v>
      </c>
      <c r="BN82" s="66">
        <f t="shared" ref="BN82" si="229">IF($AD82="N","N",SUM(I82:I85))</f>
        <v>0</v>
      </c>
      <c r="BO82" s="66">
        <f>IF($AD82="N","N",SUM('調查資料(OUT)'!N88:N91))</f>
        <v>0</v>
      </c>
      <c r="BP82" s="66">
        <f>IF($AD82="N","N",SUM('調查資料(OUT)'!Q88:Q91))</f>
        <v>0</v>
      </c>
      <c r="BQ82" s="66">
        <f>IF($AD82="N","N",SUM('調查資料(OUT)'!U88:U91))</f>
        <v>0</v>
      </c>
      <c r="BR82" s="383" t="e">
        <f t="shared" ref="BR82" si="230">IF($AD82="N","N",(BN82/BY82)*100)</f>
        <v>#DIV/0!</v>
      </c>
      <c r="BS82" s="66">
        <f t="shared" ref="BS82" si="231">IF($AD82="N","N",BD82+BJ82+BO82)</f>
        <v>0</v>
      </c>
      <c r="BT82" s="383" t="e">
        <f t="shared" ref="BT82" si="232">IF($AD82="N","N",(BS82/($BS82+$BU82+$BW82))*100)</f>
        <v>#DIV/0!</v>
      </c>
      <c r="BU82" s="66">
        <f t="shared" ref="BU82" si="233">IF($AD82="N","N",BE82+BK82+BP82)</f>
        <v>0</v>
      </c>
      <c r="BV82" s="383" t="e">
        <f t="shared" ref="BV82" si="234">IF($AD82="N","N",(BU82/($BS82+$BU82+$BW82))*100)</f>
        <v>#DIV/0!</v>
      </c>
      <c r="BW82" s="66">
        <f t="shared" ref="BW82" si="235">IF($AD82="N","N",BF82+BG82+BL82+BQ82)</f>
        <v>0</v>
      </c>
      <c r="BX82" s="383" t="e">
        <f t="shared" ref="BX82" si="236">IF($AD82="N","N",(BW82/($BS82+$BU82+$BW82))*100)</f>
        <v>#DIV/0!</v>
      </c>
      <c r="BY82" s="316">
        <f t="shared" ref="BY82" si="237">IF($AD82="N","N",BC82+BI82+BN82)</f>
        <v>0</v>
      </c>
      <c r="BZ82" s="309">
        <f t="shared" ref="BZ82" si="238">IF($AD82="N","N",SUM(K82:K85))</f>
        <v>0</v>
      </c>
      <c r="CA82" s="66">
        <f>IF($AD82="N","N",SUM('調查資料(OUT)'!V88:V91))</f>
        <v>0</v>
      </c>
      <c r="CB82" s="66">
        <f>IF($AD82="N","N",SUM('調查資料(OUT)'!Y88:Y91))</f>
        <v>0</v>
      </c>
      <c r="CC82" s="66">
        <f>IF($AD82="N","N",SUM('調查資料(OUT)'!AC88:AC91))</f>
        <v>0</v>
      </c>
      <c r="CD82" s="66">
        <f>IF($AD82="N","N",SUM('調查資料(OUT)'!AB88:AB91))</f>
        <v>0</v>
      </c>
      <c r="CE82" s="383" t="e">
        <f t="shared" ref="CE82" si="239">IF($AD82="N","N",(BZ82/CV82)*100)</f>
        <v>#DIV/0!</v>
      </c>
      <c r="CF82" s="66">
        <f t="shared" ref="CF82" si="240">IF($AD82="N","N",SUM(L82:L85))</f>
        <v>0</v>
      </c>
      <c r="CG82" s="66">
        <f>IF($AD82="N","N",SUM('調查資料(OUT)'!W88:W91))</f>
        <v>0</v>
      </c>
      <c r="CH82" s="66">
        <f>IF($AD82="N","N",SUM('調查資料(OUT)'!Z88:Z91))</f>
        <v>0</v>
      </c>
      <c r="CI82" s="66">
        <f>IF($AD82="N","N",SUM('調查資料(OUT)'!AD88:AD91))</f>
        <v>0</v>
      </c>
      <c r="CJ82" s="383" t="e">
        <f t="shared" ref="CJ82" si="241">IF($AD82="N","N",(CF82/CV82)*100)</f>
        <v>#DIV/0!</v>
      </c>
      <c r="CK82" s="66">
        <f t="shared" ref="CK82" si="242">IF($AD82="N","N",SUM(M82:M85))</f>
        <v>0</v>
      </c>
      <c r="CL82" s="66">
        <f>IF($AD82="N","N",SUM('調查資料(OUT)'!X88:X91))</f>
        <v>0</v>
      </c>
      <c r="CM82" s="66">
        <f>IF($AD82="N","N",SUM('調查資料(OUT)'!AA88:AA91))</f>
        <v>0</v>
      </c>
      <c r="CN82" s="66">
        <f>IF($AD82="N","N",SUM('調查資料(OUT)'!AE88:AE91))</f>
        <v>0</v>
      </c>
      <c r="CO82" s="383" t="e">
        <f t="shared" ref="CO82" si="243">IF($AD82="N","N",(CK82/CV82)*100)</f>
        <v>#DIV/0!</v>
      </c>
      <c r="CP82" s="66">
        <f t="shared" ref="CP82" si="244">IF($AD82="N","N",CA82+CG82+CL82)</f>
        <v>0</v>
      </c>
      <c r="CQ82" s="383" t="e">
        <f t="shared" ref="CQ82" si="245">IF($AD82="N","N",(CP82/($CP82+$CR82+$CT82))*100)</f>
        <v>#DIV/0!</v>
      </c>
      <c r="CR82" s="66">
        <f t="shared" ref="CR82" si="246">IF($AD82="N","N",CB82+CH82+CM82)</f>
        <v>0</v>
      </c>
      <c r="CS82" s="383" t="e">
        <f t="shared" ref="CS82" si="247">IF($AD82="N","N",(CR82/($CP82+$CR82+$CT82))*100)</f>
        <v>#DIV/0!</v>
      </c>
      <c r="CT82" s="66">
        <f t="shared" ref="CT82" si="248">IF($AD82="N","N",CC82+CD82+CI82+CN82)</f>
        <v>0</v>
      </c>
      <c r="CU82" s="383" t="e">
        <f t="shared" ref="CU82" si="249">IF($AD82="N","N",(CT82/($CP82+$CR82+$CT82))*100)</f>
        <v>#DIV/0!</v>
      </c>
      <c r="CV82" s="316">
        <f t="shared" ref="CV82" si="250">IF($AD82="N","N",BZ82+CF82+CK82)</f>
        <v>0</v>
      </c>
      <c r="CW82" s="309">
        <f t="shared" ref="CW82" si="251">IF($AD82="N","N",SUM(O82:O85))</f>
        <v>0</v>
      </c>
      <c r="CX82" s="66">
        <f>IF($AD82="N","N",SUM('調查資料(OUT)'!AF88:AF91))</f>
        <v>0</v>
      </c>
      <c r="CY82" s="66">
        <f>IF($AD82="N","N",SUM('調查資料(OUT)'!AI88:AI91))</f>
        <v>0</v>
      </c>
      <c r="CZ82" s="66">
        <f>IF($AD82="N","N",SUM('調查資料(OUT)'!AM88:AM91))</f>
        <v>0</v>
      </c>
      <c r="DA82" s="66">
        <f>IF($AD82="N","N",SUM('調查資料(OUT)'!AL88:AL91))</f>
        <v>0</v>
      </c>
      <c r="DB82" s="383" t="e">
        <f t="shared" ref="DB82" si="252">IF($AD82="N","N",(CW82/DS82)*100)</f>
        <v>#DIV/0!</v>
      </c>
      <c r="DC82" s="66">
        <f t="shared" ref="DC82" si="253">IF($AD82="N","N",SUM(P82:P85))</f>
        <v>0</v>
      </c>
      <c r="DD82" s="66">
        <f>IF($AD82="N","N",SUM('調查資料(OUT)'!AG88:AG91))</f>
        <v>0</v>
      </c>
      <c r="DE82" s="66">
        <f>IF($AD82="N","N",SUM('調查資料(OUT)'!AJ88:AJ91))</f>
        <v>0</v>
      </c>
      <c r="DF82" s="66">
        <f>IF($AD82="N","N",SUM('調查資料(OUT)'!AN88:AN91))</f>
        <v>0</v>
      </c>
      <c r="DG82" s="383" t="e">
        <f t="shared" ref="DG82" si="254">IF($AD82="N","N",(DC82/DS82)*100)</f>
        <v>#DIV/0!</v>
      </c>
      <c r="DH82" s="66">
        <f t="shared" ref="DH82" si="255">IF($AD82="N","N",SUM(Q82:Q85))</f>
        <v>0</v>
      </c>
      <c r="DI82" s="66">
        <f>IF($AD82="N","N",SUM('調查資料(OUT)'!AH88:AH91))</f>
        <v>0</v>
      </c>
      <c r="DJ82" s="66">
        <f>IF($AD82="N","N",SUM('調查資料(OUT)'!AK88:AK91))</f>
        <v>0</v>
      </c>
      <c r="DK82" s="66">
        <f>IF($AD82="N","N",SUM('調查資料(OUT)'!AO88:AO91))</f>
        <v>0</v>
      </c>
      <c r="DL82" s="383" t="e">
        <f t="shared" ref="DL82" si="256">IF($AD82="N","N",(DH82/DS82)*100)</f>
        <v>#DIV/0!</v>
      </c>
      <c r="DM82" s="66">
        <f t="shared" ref="DM82" si="257">IF($AD82="N","N",CX82+DD82+DI82)</f>
        <v>0</v>
      </c>
      <c r="DN82" s="383" t="e">
        <f t="shared" ref="DN82" si="258">IF($AD82="N","N",(DM82/($DM82+$DO82+$DQ82))*100)</f>
        <v>#DIV/0!</v>
      </c>
      <c r="DO82" s="66">
        <f t="shared" ref="DO82" si="259">IF($AD82="N","N",CY82+DE82+DJ82)</f>
        <v>0</v>
      </c>
      <c r="DP82" s="383" t="e">
        <f t="shared" ref="DP82" si="260">IF($AD82="N","N",(DO82/($DM82+$DO82+$DQ82))*100)</f>
        <v>#DIV/0!</v>
      </c>
      <c r="DQ82" s="66">
        <f t="shared" ref="DQ82" si="261">IF($AD82="N","N",CZ82+DA82+DF82+DK82)</f>
        <v>0</v>
      </c>
      <c r="DR82" s="383" t="e">
        <f t="shared" ref="DR82" si="262">IF($AD82="N","N",(DQ82/($DM82+$DO82+$DQ82))*100)</f>
        <v>#DIV/0!</v>
      </c>
      <c r="DS82" s="316">
        <f t="shared" ref="DS82" si="263">IF($AD82="N","N",CW82+DC82+DH82)</f>
        <v>0</v>
      </c>
    </row>
    <row r="83" spans="1:123">
      <c r="A83" s="118">
        <f>'調查資料(OUT)'!A89</f>
        <v>1930</v>
      </c>
      <c r="B83" s="309">
        <f t="shared" si="144"/>
        <v>0</v>
      </c>
      <c r="C83" s="66">
        <f>IFERROR('調查資料(OUT)'!B$1*'調查資料(OUT)'!B89,0)+IFERROR('調查資料(OUT)'!E$1*'調查資料(OUT)'!E89,0)+IFERROR('調查資料(OUT)'!H$1*'調查資料(OUT)'!H89,0)+IFERROR('調查資料(OUT)'!I$1*'調查資料(OUT)'!I89,0)</f>
        <v>0</v>
      </c>
      <c r="D83" s="66">
        <f>IFERROR('調查資料(OUT)'!C$1*'調查資料(OUT)'!C89,0)+IFERROR('調查資料(OUT)'!F$1*'調查資料(OUT)'!F89,0)+IFERROR('調查資料(OUT)'!J$1*'調查資料(OUT)'!J89,0)</f>
        <v>0</v>
      </c>
      <c r="E83" s="316">
        <f>IFERROR('調查資料(OUT)'!D$1*'調查資料(OUT)'!D89,0)+IFERROR('調查資料(OUT)'!G$1*'調查資料(OUT)'!G89,0)+IFERROR('調查資料(OUT)'!K$1*'調查資料(OUT)'!K89,0)</f>
        <v>0</v>
      </c>
      <c r="F83" s="309">
        <f t="shared" si="145"/>
        <v>0</v>
      </c>
      <c r="G83" s="66">
        <f>IFERROR('調查資料(OUT)'!L$1*'調查資料(OUT)'!L89,0)+IFERROR('調查資料(OUT)'!O$1*'調查資料(OUT)'!O89,0)+IFERROR('調查資料(OUT)'!R$1*'調查資料(OUT)'!R89,0)+IFERROR('調查資料(OUT)'!S$1*'調查資料(OUT)'!S89,0)</f>
        <v>0</v>
      </c>
      <c r="H83" s="66">
        <f>IFERROR('調查資料(OUT)'!M$1*'調查資料(OUT)'!M89,0)+IFERROR('調查資料(OUT)'!P$1*'調查資料(OUT)'!P89,0)+IFERROR('調查資料(OUT)'!T$1*'調查資料(OUT)'!T89,0)</f>
        <v>0</v>
      </c>
      <c r="I83" s="316">
        <f>IFERROR('調查資料(OUT)'!N$1*'調查資料(OUT)'!N89,0)+IFERROR('調查資料(OUT)'!Q$1*'調查資料(OUT)'!Q89,0)+IFERROR('調查資料(OUT)'!U$1*'調查資料(OUT)'!U89,0)</f>
        <v>0</v>
      </c>
      <c r="J83" s="309">
        <f t="shared" si="146"/>
        <v>0</v>
      </c>
      <c r="K83" s="66">
        <f>IFERROR('調查資料(OUT)'!V$1*'調查資料(OUT)'!V89,0)+IFERROR('調查資料(OUT)'!Y$1*'調查資料(OUT)'!Y89,0)+IFERROR('調查資料(OUT)'!AB$1*'調查資料(OUT)'!AB89,0)+IFERROR('調查資料(OUT)'!AC$1*'調查資料(OUT)'!AC89,0)</f>
        <v>0</v>
      </c>
      <c r="L83" s="66">
        <f>IFERROR('調查資料(OUT)'!W$1*'調查資料(OUT)'!W89,0)+IFERROR('調查資料(OUT)'!Z$1*'調查資料(OUT)'!Z89,0)+IFERROR('調查資料(OUT)'!AD$1*'調查資料(OUT)'!AD89,0)</f>
        <v>0</v>
      </c>
      <c r="M83" s="316">
        <f>IFERROR('調查資料(OUT)'!X$1*'調查資料(OUT)'!X89,0)+IFERROR('調查資料(OUT)'!AA$1*'調查資料(OUT)'!AA89,0)+IFERROR('調查資料(OUT)'!AE$1*'調查資料(OUT)'!AE89,0)</f>
        <v>0</v>
      </c>
      <c r="N83" s="309">
        <f t="shared" si="147"/>
        <v>0</v>
      </c>
      <c r="O83" s="66">
        <f>IFERROR('調查資料(OUT)'!AF$1*'調查資料(OUT)'!AF89,0)+IFERROR('調查資料(OUT)'!AI$1*'調查資料(OUT)'!AI89,0)+IFERROR('調查資料(OUT)'!AL$1*'調查資料(OUT)'!AL89,0)+IFERROR('調查資料(OUT)'!AM$1*'調查資料(OUT)'!AM89,0)</f>
        <v>0</v>
      </c>
      <c r="P83" s="66">
        <f>IFERROR('調查資料(OUT)'!AG$1*'調查資料(OUT)'!AG89,0)+IFERROR('調查資料(OUT)'!AJ$1*'調查資料(OUT)'!AJ89,0)+IFERROR('調查資料(OUT)'!AN$1*'調查資料(OUT)'!AN89,0)</f>
        <v>0</v>
      </c>
      <c r="Q83" s="316">
        <f>IFERROR('調查資料(OUT)'!AH$1*'調查資料(OUT)'!AH89,0)+IFERROR('調查資料(OUT)'!AK$1*'調查資料(OUT)'!AK89,0)+IFERROR('調查資料(OUT)'!AO$1*'調查資料(OUT)'!AO89,0)</f>
        <v>0</v>
      </c>
      <c r="R83" s="133">
        <f t="shared" si="148"/>
        <v>0</v>
      </c>
      <c r="T83" s="366">
        <f>'調查資料(OUT)'!A89</f>
        <v>1930</v>
      </c>
      <c r="U83" s="101">
        <f t="shared" si="209"/>
        <v>2030</v>
      </c>
      <c r="V83" s="66">
        <f t="shared" si="210"/>
        <v>0</v>
      </c>
      <c r="X83" s="66">
        <f t="shared" ref="X83:X97" si="264">IF($V83=$W$57,MAX(R83:R86),0)</f>
        <v>0</v>
      </c>
      <c r="Y83" s="379" t="e">
        <f>IF($V83=W$69,SUM(B83:B86)/(4*(MAX(B83:B86))),0)</f>
        <v>#DIV/0!</v>
      </c>
      <c r="Z83" s="379" t="e">
        <f t="shared" ref="Z83:Z97" si="265">IF($V83=W$69,SUM(F83:F86)/(4*(MAX(F83:F86))),0)</f>
        <v>#DIV/0!</v>
      </c>
      <c r="AA83" s="379" t="e">
        <f t="shared" si="211"/>
        <v>#DIV/0!</v>
      </c>
      <c r="AB83" s="379" t="e">
        <f>IF($V83=W$69,SUM(N83:N86)/(4*(MAX(N83:N86))),0)</f>
        <v>#DIV/0!</v>
      </c>
      <c r="AD83" s="66">
        <f t="shared" ref="AD83:AD97" si="266">IF(V83=W$69,$T83,"N")</f>
        <v>1930</v>
      </c>
      <c r="AE83" s="316">
        <f>IF(V83=W$69,$U83,"N")</f>
        <v>2030</v>
      </c>
      <c r="AF83" s="309">
        <f t="shared" ref="AF83:AF94" si="267">IF($AD83="N","N",SUM(C83:C86))</f>
        <v>0</v>
      </c>
      <c r="AG83" s="66">
        <f>IF($AD83="N","N",SUM('調查資料(OUT)'!B89:B92))</f>
        <v>0</v>
      </c>
      <c r="AH83" s="66">
        <f>IF($AD83="N","N",SUM('調查資料(OUT)'!E89:E92))</f>
        <v>0</v>
      </c>
      <c r="AI83" s="66">
        <f>IF($AD83="N","N",SUM('調查資料(OUT)'!I89:I92))</f>
        <v>0</v>
      </c>
      <c r="AJ83" s="66">
        <f>IF($AD83="N","N",SUM('調查資料(OUT)'!H89:H92))</f>
        <v>0</v>
      </c>
      <c r="AK83" s="383" t="e">
        <f t="shared" si="151"/>
        <v>#DIV/0!</v>
      </c>
      <c r="AL83" s="66">
        <f t="shared" si="152"/>
        <v>0</v>
      </c>
      <c r="AM83" s="66">
        <f>IF($AD83="N","N",SUM('調查資料(OUT)'!C89:C92))</f>
        <v>0</v>
      </c>
      <c r="AN83" s="66">
        <f>IF($AD83="N","N",SUM('調查資料(OUT)'!F89:F92))</f>
        <v>0</v>
      </c>
      <c r="AO83" s="66">
        <f>IF($AD83="N","N",SUM('調查資料(OUT)'!J89:J92))</f>
        <v>0</v>
      </c>
      <c r="AP83" s="383" t="e">
        <f t="shared" si="153"/>
        <v>#DIV/0!</v>
      </c>
      <c r="AQ83" s="66">
        <f t="shared" si="154"/>
        <v>0</v>
      </c>
      <c r="AR83" s="66">
        <f>IF($AD83="N","N",SUM('調查資料(OUT)'!D89:D92))</f>
        <v>0</v>
      </c>
      <c r="AS83" s="66">
        <f>IF($AD83="N","N",SUM('調查資料(OUT)'!G89:G92))</f>
        <v>0</v>
      </c>
      <c r="AT83" s="66">
        <f>IF($AD83="N","N",SUM('調查資料(OUT)'!K89:K92))</f>
        <v>0</v>
      </c>
      <c r="AU83" s="383" t="e">
        <f t="shared" si="155"/>
        <v>#DIV/0!</v>
      </c>
      <c r="AV83" s="66">
        <f t="shared" si="156"/>
        <v>0</v>
      </c>
      <c r="AW83" s="383" t="e">
        <f t="shared" si="157"/>
        <v>#DIV/0!</v>
      </c>
      <c r="AX83" s="66">
        <f t="shared" si="158"/>
        <v>0</v>
      </c>
      <c r="AY83" s="383" t="e">
        <f t="shared" si="159"/>
        <v>#DIV/0!</v>
      </c>
      <c r="AZ83" s="66">
        <f t="shared" si="160"/>
        <v>0</v>
      </c>
      <c r="BA83" s="383" t="e">
        <f t="shared" si="161"/>
        <v>#DIV/0!</v>
      </c>
      <c r="BB83" s="316">
        <f t="shared" si="162"/>
        <v>0</v>
      </c>
      <c r="BC83" s="309">
        <f t="shared" si="163"/>
        <v>0</v>
      </c>
      <c r="BD83" s="66">
        <f>IF($AD83="N","N",SUM('調查資料(OUT)'!L89:L92))</f>
        <v>0</v>
      </c>
      <c r="BE83" s="66">
        <f>IF($AD83="N","N",SUM('調查資料(OUT)'!O89:O92))</f>
        <v>0</v>
      </c>
      <c r="BF83" s="66">
        <f>IF($AD83="N","N",SUM('調查資料(OUT)'!S89:S92))</f>
        <v>0</v>
      </c>
      <c r="BG83" s="66">
        <f>IF($AD83="N","N",SUM('調查資料(OUT)'!R89:R92))</f>
        <v>0</v>
      </c>
      <c r="BH83" s="383" t="e">
        <f t="shared" si="164"/>
        <v>#DIV/0!</v>
      </c>
      <c r="BI83" s="66">
        <f t="shared" si="165"/>
        <v>0</v>
      </c>
      <c r="BJ83" s="66">
        <f>IF($AD83="N","N",SUM('調查資料(OUT)'!M89:M92))</f>
        <v>0</v>
      </c>
      <c r="BK83" s="66">
        <f>IF($AD83="N","N",SUM('調查資料(OUT)'!P89:P92))</f>
        <v>0</v>
      </c>
      <c r="BL83" s="66">
        <f>IF($AD83="N","N",SUM('調查資料(OUT)'!T89:T92))</f>
        <v>0</v>
      </c>
      <c r="BM83" s="383" t="e">
        <f t="shared" si="166"/>
        <v>#DIV/0!</v>
      </c>
      <c r="BN83" s="66">
        <f t="shared" si="167"/>
        <v>0</v>
      </c>
      <c r="BO83" s="66">
        <f>IF($AD83="N","N",SUM('調查資料(OUT)'!N89:N92))</f>
        <v>0</v>
      </c>
      <c r="BP83" s="66">
        <f>IF($AD83="N","N",SUM('調查資料(OUT)'!Q89:Q92))</f>
        <v>0</v>
      </c>
      <c r="BQ83" s="66">
        <f>IF($AD83="N","N",SUM('調查資料(OUT)'!U89:U92))</f>
        <v>0</v>
      </c>
      <c r="BR83" s="383" t="e">
        <f t="shared" si="168"/>
        <v>#DIV/0!</v>
      </c>
      <c r="BS83" s="66">
        <f t="shared" si="169"/>
        <v>0</v>
      </c>
      <c r="BT83" s="383" t="e">
        <f t="shared" si="170"/>
        <v>#DIV/0!</v>
      </c>
      <c r="BU83" s="66">
        <f t="shared" si="171"/>
        <v>0</v>
      </c>
      <c r="BV83" s="383" t="e">
        <f t="shared" si="172"/>
        <v>#DIV/0!</v>
      </c>
      <c r="BW83" s="66">
        <f t="shared" si="173"/>
        <v>0</v>
      </c>
      <c r="BX83" s="383" t="e">
        <f t="shared" si="174"/>
        <v>#DIV/0!</v>
      </c>
      <c r="BY83" s="316">
        <f t="shared" si="175"/>
        <v>0</v>
      </c>
      <c r="BZ83" s="309">
        <f t="shared" si="176"/>
        <v>0</v>
      </c>
      <c r="CA83" s="66">
        <f>IF($AD83="N","N",SUM('調查資料(OUT)'!V89:V92))</f>
        <v>0</v>
      </c>
      <c r="CB83" s="66">
        <f>IF($AD83="N","N",SUM('調查資料(OUT)'!Y89:Y92))</f>
        <v>0</v>
      </c>
      <c r="CC83" s="66">
        <f>IF($AD83="N","N",SUM('調查資料(OUT)'!AC89:AC92))</f>
        <v>0</v>
      </c>
      <c r="CD83" s="66">
        <f>IF($AD83="N","N",SUM('調查資料(OUT)'!AB89:AB92))</f>
        <v>0</v>
      </c>
      <c r="CE83" s="383" t="e">
        <f t="shared" si="177"/>
        <v>#DIV/0!</v>
      </c>
      <c r="CF83" s="66">
        <f t="shared" si="178"/>
        <v>0</v>
      </c>
      <c r="CG83" s="66">
        <f>IF($AD83="N","N",SUM('調查資料(OUT)'!W89:W92))</f>
        <v>0</v>
      </c>
      <c r="CH83" s="66">
        <f>IF($AD83="N","N",SUM('調查資料(OUT)'!Z89:Z92))</f>
        <v>0</v>
      </c>
      <c r="CI83" s="66">
        <f>IF($AD83="N","N",SUM('調查資料(OUT)'!AD89:AD92))</f>
        <v>0</v>
      </c>
      <c r="CJ83" s="383" t="e">
        <f t="shared" si="179"/>
        <v>#DIV/0!</v>
      </c>
      <c r="CK83" s="66">
        <f t="shared" si="180"/>
        <v>0</v>
      </c>
      <c r="CL83" s="66">
        <f>IF($AD83="N","N",SUM('調查資料(OUT)'!X89:X92))</f>
        <v>0</v>
      </c>
      <c r="CM83" s="66">
        <f>IF($AD83="N","N",SUM('調查資料(OUT)'!AA89:AA92))</f>
        <v>0</v>
      </c>
      <c r="CN83" s="66">
        <f>IF($AD83="N","N",SUM('調查資料(OUT)'!AE89:AE92))</f>
        <v>0</v>
      </c>
      <c r="CO83" s="383" t="e">
        <f t="shared" si="181"/>
        <v>#DIV/0!</v>
      </c>
      <c r="CP83" s="66">
        <f t="shared" si="182"/>
        <v>0</v>
      </c>
      <c r="CQ83" s="383" t="e">
        <f t="shared" si="183"/>
        <v>#DIV/0!</v>
      </c>
      <c r="CR83" s="66">
        <f t="shared" si="184"/>
        <v>0</v>
      </c>
      <c r="CS83" s="383" t="e">
        <f t="shared" si="185"/>
        <v>#DIV/0!</v>
      </c>
      <c r="CT83" s="66">
        <f t="shared" si="186"/>
        <v>0</v>
      </c>
      <c r="CU83" s="383" t="e">
        <f t="shared" si="187"/>
        <v>#DIV/0!</v>
      </c>
      <c r="CV83" s="316">
        <f t="shared" si="188"/>
        <v>0</v>
      </c>
      <c r="CW83" s="309">
        <f t="shared" si="189"/>
        <v>0</v>
      </c>
      <c r="CX83" s="66">
        <f>IF($AD83="N","N",SUM('調查資料(OUT)'!AF89:AF92))</f>
        <v>0</v>
      </c>
      <c r="CY83" s="66">
        <f>IF($AD83="N","N",SUM('調查資料(OUT)'!AI89:AI92))</f>
        <v>0</v>
      </c>
      <c r="CZ83" s="66">
        <f>IF($AD83="N","N",SUM('調查資料(OUT)'!AM89:AM92))</f>
        <v>0</v>
      </c>
      <c r="DA83" s="66">
        <f>IF($AD83="N","N",SUM('調查資料(OUT)'!AL89:AL92))</f>
        <v>0</v>
      </c>
      <c r="DB83" s="383" t="e">
        <f t="shared" si="190"/>
        <v>#DIV/0!</v>
      </c>
      <c r="DC83" s="66">
        <f t="shared" si="191"/>
        <v>0</v>
      </c>
      <c r="DD83" s="66">
        <f>IF($AD83="N","N",SUM('調查資料(OUT)'!AG89:AG92))</f>
        <v>0</v>
      </c>
      <c r="DE83" s="66">
        <f>IF($AD83="N","N",SUM('調查資料(OUT)'!AJ89:AJ92))</f>
        <v>0</v>
      </c>
      <c r="DF83" s="66">
        <f>IF($AD83="N","N",SUM('調查資料(OUT)'!AN89:AN92))</f>
        <v>0</v>
      </c>
      <c r="DG83" s="383" t="e">
        <f t="shared" si="192"/>
        <v>#DIV/0!</v>
      </c>
      <c r="DH83" s="66">
        <f t="shared" si="193"/>
        <v>0</v>
      </c>
      <c r="DI83" s="66">
        <f>IF($AD83="N","N",SUM('調查資料(OUT)'!AH89:AH92))</f>
        <v>0</v>
      </c>
      <c r="DJ83" s="66">
        <f>IF($AD83="N","N",SUM('調查資料(OUT)'!AK89:AK92))</f>
        <v>0</v>
      </c>
      <c r="DK83" s="66">
        <f>IF($AD83="N","N",SUM('調查資料(OUT)'!AO89:AO92))</f>
        <v>0</v>
      </c>
      <c r="DL83" s="383" t="e">
        <f t="shared" si="194"/>
        <v>#DIV/0!</v>
      </c>
      <c r="DM83" s="66">
        <f t="shared" si="195"/>
        <v>0</v>
      </c>
      <c r="DN83" s="383" t="e">
        <f t="shared" si="196"/>
        <v>#DIV/0!</v>
      </c>
      <c r="DO83" s="66">
        <f t="shared" si="197"/>
        <v>0</v>
      </c>
      <c r="DP83" s="383" t="e">
        <f t="shared" si="198"/>
        <v>#DIV/0!</v>
      </c>
      <c r="DQ83" s="66">
        <f t="shared" si="199"/>
        <v>0</v>
      </c>
      <c r="DR83" s="383" t="e">
        <f t="shared" si="200"/>
        <v>#DIV/0!</v>
      </c>
      <c r="DS83" s="316">
        <f t="shared" si="201"/>
        <v>0</v>
      </c>
    </row>
    <row r="84" spans="1:123">
      <c r="A84" s="118">
        <f>'調查資料(OUT)'!A90</f>
        <v>1945</v>
      </c>
      <c r="B84" s="309">
        <f t="shared" si="144"/>
        <v>0</v>
      </c>
      <c r="C84" s="66">
        <f>IFERROR('調查資料(OUT)'!B$1*'調查資料(OUT)'!B90,0)+IFERROR('調查資料(OUT)'!E$1*'調查資料(OUT)'!E90,0)+IFERROR('調查資料(OUT)'!H$1*'調查資料(OUT)'!H90,0)+IFERROR('調查資料(OUT)'!I$1*'調查資料(OUT)'!I90,0)</f>
        <v>0</v>
      </c>
      <c r="D84" s="66">
        <f>IFERROR('調查資料(OUT)'!C$1*'調查資料(OUT)'!C90,0)+IFERROR('調查資料(OUT)'!F$1*'調查資料(OUT)'!F90,0)+IFERROR('調查資料(OUT)'!J$1*'調查資料(OUT)'!J90,0)</f>
        <v>0</v>
      </c>
      <c r="E84" s="316">
        <f>IFERROR('調查資料(OUT)'!D$1*'調查資料(OUT)'!D90,0)+IFERROR('調查資料(OUT)'!G$1*'調查資料(OUT)'!G90,0)+IFERROR('調查資料(OUT)'!K$1*'調查資料(OUT)'!K90,0)</f>
        <v>0</v>
      </c>
      <c r="F84" s="309">
        <f t="shared" si="145"/>
        <v>0</v>
      </c>
      <c r="G84" s="66">
        <f>IFERROR('調查資料(OUT)'!L$1*'調查資料(OUT)'!L90,0)+IFERROR('調查資料(OUT)'!O$1*'調查資料(OUT)'!O90,0)+IFERROR('調查資料(OUT)'!R$1*'調查資料(OUT)'!R90,0)+IFERROR('調查資料(OUT)'!S$1*'調查資料(OUT)'!S90,0)</f>
        <v>0</v>
      </c>
      <c r="H84" s="66">
        <f>IFERROR('調查資料(OUT)'!M$1*'調查資料(OUT)'!M90,0)+IFERROR('調查資料(OUT)'!P$1*'調查資料(OUT)'!P90,0)+IFERROR('調查資料(OUT)'!T$1*'調查資料(OUT)'!T90,0)</f>
        <v>0</v>
      </c>
      <c r="I84" s="316">
        <f>IFERROR('調查資料(OUT)'!N$1*'調查資料(OUT)'!N90,0)+IFERROR('調查資料(OUT)'!Q$1*'調查資料(OUT)'!Q90,0)+IFERROR('調查資料(OUT)'!U$1*'調查資料(OUT)'!U90,0)</f>
        <v>0</v>
      </c>
      <c r="J84" s="309">
        <f t="shared" si="146"/>
        <v>0</v>
      </c>
      <c r="K84" s="66">
        <f>IFERROR('調查資料(OUT)'!V$1*'調查資料(OUT)'!V90,0)+IFERROR('調查資料(OUT)'!Y$1*'調查資料(OUT)'!Y90,0)+IFERROR('調查資料(OUT)'!AB$1*'調查資料(OUT)'!AB90,0)+IFERROR('調查資料(OUT)'!AC$1*'調查資料(OUT)'!AC90,0)</f>
        <v>0</v>
      </c>
      <c r="L84" s="66">
        <f>IFERROR('調查資料(OUT)'!W$1*'調查資料(OUT)'!W90,0)+IFERROR('調查資料(OUT)'!Z$1*'調查資料(OUT)'!Z90,0)+IFERROR('調查資料(OUT)'!AD$1*'調查資料(OUT)'!AD90,0)</f>
        <v>0</v>
      </c>
      <c r="M84" s="316">
        <f>IFERROR('調查資料(OUT)'!X$1*'調查資料(OUT)'!X90,0)+IFERROR('調查資料(OUT)'!AA$1*'調查資料(OUT)'!AA90,0)+IFERROR('調查資料(OUT)'!AE$1*'調查資料(OUT)'!AE90,0)</f>
        <v>0</v>
      </c>
      <c r="N84" s="309">
        <f t="shared" si="147"/>
        <v>0</v>
      </c>
      <c r="O84" s="66">
        <f>IFERROR('調查資料(OUT)'!AF$1*'調查資料(OUT)'!AF90,0)+IFERROR('調查資料(OUT)'!AI$1*'調查資料(OUT)'!AI90,0)+IFERROR('調查資料(OUT)'!AL$1*'調查資料(OUT)'!AL90,0)+IFERROR('調查資料(OUT)'!AM$1*'調查資料(OUT)'!AM90,0)</f>
        <v>0</v>
      </c>
      <c r="P84" s="66">
        <f>IFERROR('調查資料(OUT)'!AG$1*'調查資料(OUT)'!AG90,0)+IFERROR('調查資料(OUT)'!AJ$1*'調查資料(OUT)'!AJ90,0)+IFERROR('調查資料(OUT)'!AN$1*'調查資料(OUT)'!AN90,0)</f>
        <v>0</v>
      </c>
      <c r="Q84" s="316">
        <f>IFERROR('調查資料(OUT)'!AH$1*'調查資料(OUT)'!AH90,0)+IFERROR('調查資料(OUT)'!AK$1*'調查資料(OUT)'!AK90,0)+IFERROR('調查資料(OUT)'!AO$1*'調查資料(OUT)'!AO90,0)</f>
        <v>0</v>
      </c>
      <c r="R84" s="133">
        <f t="shared" si="148"/>
        <v>0</v>
      </c>
      <c r="T84" s="366">
        <f>'調查資料(OUT)'!A90</f>
        <v>1945</v>
      </c>
      <c r="U84" s="101">
        <f t="shared" si="209"/>
        <v>2045</v>
      </c>
      <c r="V84" s="66">
        <f t="shared" si="210"/>
        <v>0</v>
      </c>
      <c r="X84" s="66">
        <f t="shared" si="264"/>
        <v>0</v>
      </c>
      <c r="Y84" s="379" t="e">
        <f t="shared" ref="Y84:Y97" si="268">IF($V84=W$69,SUM(B84:B87)/(4*(MAX(B84:B87))),0)</f>
        <v>#DIV/0!</v>
      </c>
      <c r="Z84" s="379" t="e">
        <f t="shared" si="265"/>
        <v>#DIV/0!</v>
      </c>
      <c r="AA84" s="379" t="e">
        <f t="shared" si="211"/>
        <v>#DIV/0!</v>
      </c>
      <c r="AB84" s="379" t="e">
        <f t="shared" ref="AB84:AB97" si="269">IF($V84=W$69,SUM(N84:N87)/(4*(MAX(N84:N87))),0)</f>
        <v>#DIV/0!</v>
      </c>
      <c r="AD84" s="66">
        <f t="shared" si="266"/>
        <v>1945</v>
      </c>
      <c r="AE84" s="316">
        <f t="shared" ref="AE84:AE97" si="270">IF(V84=W$69,$U84,"N")</f>
        <v>2045</v>
      </c>
      <c r="AF84" s="309">
        <f t="shared" si="267"/>
        <v>0</v>
      </c>
      <c r="AG84" s="66">
        <f>IF($AD84="N","N",SUM('調查資料(OUT)'!B90:B93))</f>
        <v>0</v>
      </c>
      <c r="AH84" s="66">
        <f>IF($AD84="N","N",SUM('調查資料(OUT)'!E90:E93))</f>
        <v>0</v>
      </c>
      <c r="AI84" s="66">
        <f>IF($AD84="N","N",SUM('調查資料(OUT)'!I90:I93))</f>
        <v>0</v>
      </c>
      <c r="AJ84" s="66">
        <f>IF($AD84="N","N",SUM('調查資料(OUT)'!H90:H93))</f>
        <v>0</v>
      </c>
      <c r="AK84" s="383" t="e">
        <f t="shared" si="151"/>
        <v>#DIV/0!</v>
      </c>
      <c r="AL84" s="66">
        <f t="shared" si="152"/>
        <v>0</v>
      </c>
      <c r="AM84" s="66">
        <f>IF($AD84="N","N",SUM('調查資料(OUT)'!C90:C93))</f>
        <v>0</v>
      </c>
      <c r="AN84" s="66">
        <f>IF($AD84="N","N",SUM('調查資料(OUT)'!F90:F93))</f>
        <v>0</v>
      </c>
      <c r="AO84" s="66">
        <f>IF($AD84="N","N",SUM('調查資料(OUT)'!J90:J93))</f>
        <v>0</v>
      </c>
      <c r="AP84" s="383" t="e">
        <f t="shared" si="153"/>
        <v>#DIV/0!</v>
      </c>
      <c r="AQ84" s="66">
        <f t="shared" si="154"/>
        <v>0</v>
      </c>
      <c r="AR84" s="66">
        <f>IF($AD84="N","N",SUM('調查資料(OUT)'!D90:D93))</f>
        <v>0</v>
      </c>
      <c r="AS84" s="66">
        <f>IF($AD84="N","N",SUM('調查資料(OUT)'!G90:G93))</f>
        <v>0</v>
      </c>
      <c r="AT84" s="66">
        <f>IF($AD84="N","N",SUM('調查資料(OUT)'!K90:K93))</f>
        <v>0</v>
      </c>
      <c r="AU84" s="383" t="e">
        <f t="shared" si="155"/>
        <v>#DIV/0!</v>
      </c>
      <c r="AV84" s="66">
        <f t="shared" si="156"/>
        <v>0</v>
      </c>
      <c r="AW84" s="383" t="e">
        <f t="shared" si="157"/>
        <v>#DIV/0!</v>
      </c>
      <c r="AX84" s="66">
        <f t="shared" si="158"/>
        <v>0</v>
      </c>
      <c r="AY84" s="383" t="e">
        <f t="shared" si="159"/>
        <v>#DIV/0!</v>
      </c>
      <c r="AZ84" s="66">
        <f t="shared" si="160"/>
        <v>0</v>
      </c>
      <c r="BA84" s="383" t="e">
        <f t="shared" si="161"/>
        <v>#DIV/0!</v>
      </c>
      <c r="BB84" s="316">
        <f t="shared" si="162"/>
        <v>0</v>
      </c>
      <c r="BC84" s="309">
        <f t="shared" si="163"/>
        <v>0</v>
      </c>
      <c r="BD84" s="66">
        <f>IF($AD84="N","N",SUM('調查資料(OUT)'!L90:L93))</f>
        <v>0</v>
      </c>
      <c r="BE84" s="66">
        <f>IF($AD84="N","N",SUM('調查資料(OUT)'!O90:O93))</f>
        <v>0</v>
      </c>
      <c r="BF84" s="66">
        <f>IF($AD84="N","N",SUM('調查資料(OUT)'!S90:S93))</f>
        <v>0</v>
      </c>
      <c r="BG84" s="66">
        <f>IF($AD84="N","N",SUM('調查資料(OUT)'!R90:R93))</f>
        <v>0</v>
      </c>
      <c r="BH84" s="383" t="e">
        <f t="shared" si="164"/>
        <v>#DIV/0!</v>
      </c>
      <c r="BI84" s="66">
        <f t="shared" si="165"/>
        <v>0</v>
      </c>
      <c r="BJ84" s="66">
        <f>IF($AD84="N","N",SUM('調查資料(OUT)'!M90:M93))</f>
        <v>0</v>
      </c>
      <c r="BK84" s="66">
        <f>IF($AD84="N","N",SUM('調查資料(OUT)'!P90:P93))</f>
        <v>0</v>
      </c>
      <c r="BL84" s="66">
        <f>IF($AD84="N","N",SUM('調查資料(OUT)'!T90:T93))</f>
        <v>0</v>
      </c>
      <c r="BM84" s="383" t="e">
        <f t="shared" si="166"/>
        <v>#DIV/0!</v>
      </c>
      <c r="BN84" s="66">
        <f t="shared" si="167"/>
        <v>0</v>
      </c>
      <c r="BO84" s="66">
        <f>IF($AD84="N","N",SUM('調查資料(OUT)'!N90:N93))</f>
        <v>0</v>
      </c>
      <c r="BP84" s="66">
        <f>IF($AD84="N","N",SUM('調查資料(OUT)'!Q90:Q93))</f>
        <v>0</v>
      </c>
      <c r="BQ84" s="66">
        <f>IF($AD84="N","N",SUM('調查資料(OUT)'!U90:U93))</f>
        <v>0</v>
      </c>
      <c r="BR84" s="383" t="e">
        <f t="shared" si="168"/>
        <v>#DIV/0!</v>
      </c>
      <c r="BS84" s="66">
        <f t="shared" si="169"/>
        <v>0</v>
      </c>
      <c r="BT84" s="383" t="e">
        <f t="shared" si="170"/>
        <v>#DIV/0!</v>
      </c>
      <c r="BU84" s="66">
        <f t="shared" si="171"/>
        <v>0</v>
      </c>
      <c r="BV84" s="383" t="e">
        <f t="shared" si="172"/>
        <v>#DIV/0!</v>
      </c>
      <c r="BW84" s="66">
        <f t="shared" si="173"/>
        <v>0</v>
      </c>
      <c r="BX84" s="383" t="e">
        <f t="shared" si="174"/>
        <v>#DIV/0!</v>
      </c>
      <c r="BY84" s="316">
        <f t="shared" si="175"/>
        <v>0</v>
      </c>
      <c r="BZ84" s="309">
        <f t="shared" si="176"/>
        <v>0</v>
      </c>
      <c r="CA84" s="66">
        <f>IF($AD84="N","N",SUM('調查資料(OUT)'!V90:V93))</f>
        <v>0</v>
      </c>
      <c r="CB84" s="66">
        <f>IF($AD84="N","N",SUM('調查資料(OUT)'!Y90:Y93))</f>
        <v>0</v>
      </c>
      <c r="CC84" s="66">
        <f>IF($AD84="N","N",SUM('調查資料(OUT)'!AC90:AC93))</f>
        <v>0</v>
      </c>
      <c r="CD84" s="66">
        <f>IF($AD84="N","N",SUM('調查資料(OUT)'!AB90:AB93))</f>
        <v>0</v>
      </c>
      <c r="CE84" s="383" t="e">
        <f t="shared" si="177"/>
        <v>#DIV/0!</v>
      </c>
      <c r="CF84" s="66">
        <f t="shared" si="178"/>
        <v>0</v>
      </c>
      <c r="CG84" s="66">
        <f>IF($AD84="N","N",SUM('調查資料(OUT)'!W90:W93))</f>
        <v>0</v>
      </c>
      <c r="CH84" s="66">
        <f>IF($AD84="N","N",SUM('調查資料(OUT)'!Z90:Z93))</f>
        <v>0</v>
      </c>
      <c r="CI84" s="66">
        <f>IF($AD84="N","N",SUM('調查資料(OUT)'!AD90:AD93))</f>
        <v>0</v>
      </c>
      <c r="CJ84" s="383" t="e">
        <f t="shared" si="179"/>
        <v>#DIV/0!</v>
      </c>
      <c r="CK84" s="66">
        <f t="shared" si="180"/>
        <v>0</v>
      </c>
      <c r="CL84" s="66">
        <f>IF($AD84="N","N",SUM('調查資料(OUT)'!X90:X93))</f>
        <v>0</v>
      </c>
      <c r="CM84" s="66">
        <f>IF($AD84="N","N",SUM('調查資料(OUT)'!AA90:AA93))</f>
        <v>0</v>
      </c>
      <c r="CN84" s="66">
        <f>IF($AD84="N","N",SUM('調查資料(OUT)'!AE90:AE93))</f>
        <v>0</v>
      </c>
      <c r="CO84" s="383" t="e">
        <f t="shared" si="181"/>
        <v>#DIV/0!</v>
      </c>
      <c r="CP84" s="66">
        <f t="shared" si="182"/>
        <v>0</v>
      </c>
      <c r="CQ84" s="383" t="e">
        <f t="shared" si="183"/>
        <v>#DIV/0!</v>
      </c>
      <c r="CR84" s="66">
        <f t="shared" si="184"/>
        <v>0</v>
      </c>
      <c r="CS84" s="383" t="e">
        <f t="shared" si="185"/>
        <v>#DIV/0!</v>
      </c>
      <c r="CT84" s="66">
        <f t="shared" si="186"/>
        <v>0</v>
      </c>
      <c r="CU84" s="383" t="e">
        <f t="shared" si="187"/>
        <v>#DIV/0!</v>
      </c>
      <c r="CV84" s="316">
        <f t="shared" si="188"/>
        <v>0</v>
      </c>
      <c r="CW84" s="309">
        <f t="shared" si="189"/>
        <v>0</v>
      </c>
      <c r="CX84" s="66">
        <f>IF($AD84="N","N",SUM('調查資料(OUT)'!AF90:AF93))</f>
        <v>0</v>
      </c>
      <c r="CY84" s="66">
        <f>IF($AD84="N","N",SUM('調查資料(OUT)'!AI90:AI93))</f>
        <v>0</v>
      </c>
      <c r="CZ84" s="66">
        <f>IF($AD84="N","N",SUM('調查資料(OUT)'!AM90:AM93))</f>
        <v>0</v>
      </c>
      <c r="DA84" s="66">
        <f>IF($AD84="N","N",SUM('調查資料(OUT)'!AL90:AL93))</f>
        <v>0</v>
      </c>
      <c r="DB84" s="383" t="e">
        <f t="shared" si="190"/>
        <v>#DIV/0!</v>
      </c>
      <c r="DC84" s="66">
        <f t="shared" si="191"/>
        <v>0</v>
      </c>
      <c r="DD84" s="66">
        <f>IF($AD84="N","N",SUM('調查資料(OUT)'!AG90:AG93))</f>
        <v>0</v>
      </c>
      <c r="DE84" s="66">
        <f>IF($AD84="N","N",SUM('調查資料(OUT)'!AJ90:AJ93))</f>
        <v>0</v>
      </c>
      <c r="DF84" s="66">
        <f>IF($AD84="N","N",SUM('調查資料(OUT)'!AN90:AN93))</f>
        <v>0</v>
      </c>
      <c r="DG84" s="383" t="e">
        <f t="shared" si="192"/>
        <v>#DIV/0!</v>
      </c>
      <c r="DH84" s="66">
        <f t="shared" si="193"/>
        <v>0</v>
      </c>
      <c r="DI84" s="66">
        <f>IF($AD84="N","N",SUM('調查資料(OUT)'!AH90:AH93))</f>
        <v>0</v>
      </c>
      <c r="DJ84" s="66">
        <f>IF($AD84="N","N",SUM('調查資料(OUT)'!AK90:AK93))</f>
        <v>0</v>
      </c>
      <c r="DK84" s="66">
        <f>IF($AD84="N","N",SUM('調查資料(OUT)'!AO90:AO93))</f>
        <v>0</v>
      </c>
      <c r="DL84" s="383" t="e">
        <f t="shared" si="194"/>
        <v>#DIV/0!</v>
      </c>
      <c r="DM84" s="66">
        <f t="shared" si="195"/>
        <v>0</v>
      </c>
      <c r="DN84" s="383" t="e">
        <f t="shared" si="196"/>
        <v>#DIV/0!</v>
      </c>
      <c r="DO84" s="66">
        <f t="shared" si="197"/>
        <v>0</v>
      </c>
      <c r="DP84" s="383" t="e">
        <f t="shared" si="198"/>
        <v>#DIV/0!</v>
      </c>
      <c r="DQ84" s="66">
        <f t="shared" si="199"/>
        <v>0</v>
      </c>
      <c r="DR84" s="383" t="e">
        <f t="shared" si="200"/>
        <v>#DIV/0!</v>
      </c>
      <c r="DS84" s="316">
        <f t="shared" si="201"/>
        <v>0</v>
      </c>
    </row>
    <row r="85" spans="1:123">
      <c r="A85" s="118">
        <f>'調查資料(OUT)'!A91</f>
        <v>2000</v>
      </c>
      <c r="B85" s="309">
        <f t="shared" si="144"/>
        <v>0</v>
      </c>
      <c r="C85" s="66">
        <f>IFERROR('調查資料(OUT)'!B$1*'調查資料(OUT)'!B91,0)+IFERROR('調查資料(OUT)'!E$1*'調查資料(OUT)'!E91,0)+IFERROR('調查資料(OUT)'!H$1*'調查資料(OUT)'!H91,0)+IFERROR('調查資料(OUT)'!I$1*'調查資料(OUT)'!I91,0)</f>
        <v>0</v>
      </c>
      <c r="D85" s="66">
        <f>IFERROR('調查資料(OUT)'!C$1*'調查資料(OUT)'!C91,0)+IFERROR('調查資料(OUT)'!F$1*'調查資料(OUT)'!F91,0)+IFERROR('調查資料(OUT)'!J$1*'調查資料(OUT)'!J91,0)</f>
        <v>0</v>
      </c>
      <c r="E85" s="316">
        <f>IFERROR('調查資料(OUT)'!D$1*'調查資料(OUT)'!D91,0)+IFERROR('調查資料(OUT)'!G$1*'調查資料(OUT)'!G91,0)+IFERROR('調查資料(OUT)'!K$1*'調查資料(OUT)'!K91,0)</f>
        <v>0</v>
      </c>
      <c r="F85" s="309">
        <f t="shared" si="145"/>
        <v>0</v>
      </c>
      <c r="G85" s="66">
        <f>IFERROR('調查資料(OUT)'!L$1*'調查資料(OUT)'!L91,0)+IFERROR('調查資料(OUT)'!O$1*'調查資料(OUT)'!O91,0)+IFERROR('調查資料(OUT)'!R$1*'調查資料(OUT)'!R91,0)+IFERROR('調查資料(OUT)'!S$1*'調查資料(OUT)'!S91,0)</f>
        <v>0</v>
      </c>
      <c r="H85" s="66">
        <f>IFERROR('調查資料(OUT)'!M$1*'調查資料(OUT)'!M91,0)+IFERROR('調查資料(OUT)'!P$1*'調查資料(OUT)'!P91,0)+IFERROR('調查資料(OUT)'!T$1*'調查資料(OUT)'!T91,0)</f>
        <v>0</v>
      </c>
      <c r="I85" s="316">
        <f>IFERROR('調查資料(OUT)'!N$1*'調查資料(OUT)'!N91,0)+IFERROR('調查資料(OUT)'!Q$1*'調查資料(OUT)'!Q91,0)+IFERROR('調查資料(OUT)'!U$1*'調查資料(OUT)'!U91,0)</f>
        <v>0</v>
      </c>
      <c r="J85" s="309">
        <f t="shared" si="146"/>
        <v>0</v>
      </c>
      <c r="K85" s="66">
        <f>IFERROR('調查資料(OUT)'!V$1*'調查資料(OUT)'!V91,0)+IFERROR('調查資料(OUT)'!Y$1*'調查資料(OUT)'!Y91,0)+IFERROR('調查資料(OUT)'!AB$1*'調查資料(OUT)'!AB91,0)+IFERROR('調查資料(OUT)'!AC$1*'調查資料(OUT)'!AC91,0)</f>
        <v>0</v>
      </c>
      <c r="L85" s="66">
        <f>IFERROR('調查資料(OUT)'!W$1*'調查資料(OUT)'!W91,0)+IFERROR('調查資料(OUT)'!Z$1*'調查資料(OUT)'!Z91,0)+IFERROR('調查資料(OUT)'!AD$1*'調查資料(OUT)'!AD91,0)</f>
        <v>0</v>
      </c>
      <c r="M85" s="316">
        <f>IFERROR('調查資料(OUT)'!X$1*'調查資料(OUT)'!X91,0)+IFERROR('調查資料(OUT)'!AA$1*'調查資料(OUT)'!AA91,0)+IFERROR('調查資料(OUT)'!AE$1*'調查資料(OUT)'!AE91,0)</f>
        <v>0</v>
      </c>
      <c r="N85" s="309">
        <f t="shared" si="147"/>
        <v>0</v>
      </c>
      <c r="O85" s="66">
        <f>IFERROR('調查資料(OUT)'!AF$1*'調查資料(OUT)'!AF91,0)+IFERROR('調查資料(OUT)'!AI$1*'調查資料(OUT)'!AI91,0)+IFERROR('調查資料(OUT)'!AL$1*'調查資料(OUT)'!AL91,0)+IFERROR('調查資料(OUT)'!AM$1*'調查資料(OUT)'!AM91,0)</f>
        <v>0</v>
      </c>
      <c r="P85" s="66">
        <f>IFERROR('調查資料(OUT)'!AG$1*'調查資料(OUT)'!AG91,0)+IFERROR('調查資料(OUT)'!AJ$1*'調查資料(OUT)'!AJ91,0)+IFERROR('調查資料(OUT)'!AN$1*'調查資料(OUT)'!AN91,0)</f>
        <v>0</v>
      </c>
      <c r="Q85" s="316">
        <f>IFERROR('調查資料(OUT)'!AH$1*'調查資料(OUT)'!AH91,0)+IFERROR('調查資料(OUT)'!AK$1*'調查資料(OUT)'!AK91,0)+IFERROR('調查資料(OUT)'!AO$1*'調查資料(OUT)'!AO91,0)</f>
        <v>0</v>
      </c>
      <c r="R85" s="133">
        <f t="shared" si="148"/>
        <v>0</v>
      </c>
      <c r="T85" s="366">
        <f>'調查資料(OUT)'!A91</f>
        <v>2000</v>
      </c>
      <c r="U85" s="101">
        <f t="shared" si="149"/>
        <v>2100</v>
      </c>
      <c r="V85" s="66">
        <f t="shared" si="133"/>
        <v>0</v>
      </c>
      <c r="X85" s="66">
        <f t="shared" si="264"/>
        <v>0</v>
      </c>
      <c r="Y85" s="379" t="e">
        <f t="shared" si="268"/>
        <v>#DIV/0!</v>
      </c>
      <c r="Z85" s="379" t="e">
        <f t="shared" si="265"/>
        <v>#DIV/0!</v>
      </c>
      <c r="AA85" s="379" t="e">
        <f t="shared" si="211"/>
        <v>#DIV/0!</v>
      </c>
      <c r="AB85" s="379" t="e">
        <f t="shared" si="269"/>
        <v>#DIV/0!</v>
      </c>
      <c r="AD85" s="66">
        <f t="shared" si="266"/>
        <v>2000</v>
      </c>
      <c r="AE85" s="316">
        <f t="shared" si="270"/>
        <v>2100</v>
      </c>
      <c r="AF85" s="309">
        <f t="shared" si="267"/>
        <v>0</v>
      </c>
      <c r="AG85" s="66">
        <f>IF($AD85="N","N",SUM('調查資料(OUT)'!B91:B94))</f>
        <v>0</v>
      </c>
      <c r="AH85" s="66">
        <f>IF($AD85="N","N",SUM('調查資料(OUT)'!E91:E94))</f>
        <v>0</v>
      </c>
      <c r="AI85" s="66">
        <f>IF($AD85="N","N",SUM('調查資料(OUT)'!I91:I94))</f>
        <v>0</v>
      </c>
      <c r="AJ85" s="66">
        <f>IF($AD85="N","N",SUM('調查資料(OUT)'!H91:H94))</f>
        <v>0</v>
      </c>
      <c r="AK85" s="383" t="e">
        <f t="shared" ref="AK85" si="271">IF($AD85="N","N",(AF85/$BB85)*100)</f>
        <v>#DIV/0!</v>
      </c>
      <c r="AL85" s="66">
        <f t="shared" ref="AL85" si="272">IF($AD85="N","N",SUM(D85:D88))</f>
        <v>0</v>
      </c>
      <c r="AM85" s="66">
        <f>IF($AD85="N","N",SUM('調查資料(OUT)'!C91:C94))</f>
        <v>0</v>
      </c>
      <c r="AN85" s="66">
        <f>IF($AD85="N","N",SUM('調查資料(OUT)'!F91:F94))</f>
        <v>0</v>
      </c>
      <c r="AO85" s="66">
        <f>IF($AD85="N","N",SUM('調查資料(OUT)'!J91:J94))</f>
        <v>0</v>
      </c>
      <c r="AP85" s="383" t="e">
        <f t="shared" ref="AP85" si="273">IF($AD85="N","N",(AL85/$BB85)*100)</f>
        <v>#DIV/0!</v>
      </c>
      <c r="AQ85" s="66">
        <f t="shared" ref="AQ85" si="274">IF($AD85="N","N",SUM(E85:E88))</f>
        <v>0</v>
      </c>
      <c r="AR85" s="66">
        <f>IF($AD85="N","N",SUM('調查資料(OUT)'!D91:D94))</f>
        <v>0</v>
      </c>
      <c r="AS85" s="66">
        <f>IF($AD85="N","N",SUM('調查資料(OUT)'!G91:G94))</f>
        <v>0</v>
      </c>
      <c r="AT85" s="66">
        <f>IF($AD85="N","N",SUM('調查資料(OUT)'!K91:K94))</f>
        <v>0</v>
      </c>
      <c r="AU85" s="383" t="e">
        <f t="shared" ref="AU85" si="275">IF($AD85="N","N",(AQ85/$BB85)*100)</f>
        <v>#DIV/0!</v>
      </c>
      <c r="AV85" s="66">
        <f t="shared" ref="AV85" si="276">IF($AD85="N","N",AG85+AM85+AR85)</f>
        <v>0</v>
      </c>
      <c r="AW85" s="383" t="e">
        <f t="shared" ref="AW85" si="277">IF($AD85="N","N",(AV85/($AV85+$AX85+$AZ85))*100)</f>
        <v>#DIV/0!</v>
      </c>
      <c r="AX85" s="66">
        <f t="shared" ref="AX85" si="278">IF($AD85="N","N",AH85+AN85+AS85)</f>
        <v>0</v>
      </c>
      <c r="AY85" s="383" t="e">
        <f t="shared" ref="AY85" si="279">IF($AD85="N","N",(AX85/($AV85+$AX85+$AZ85))*100)</f>
        <v>#DIV/0!</v>
      </c>
      <c r="AZ85" s="66">
        <f t="shared" ref="AZ85" si="280">IF($AD85="N","N",AI85+AJ85+AO85+AT85)</f>
        <v>0</v>
      </c>
      <c r="BA85" s="383" t="e">
        <f t="shared" ref="BA85" si="281">IF($AD85="N","N",(AZ85/($AV85+$AX85+$AZ85))*100)</f>
        <v>#DIV/0!</v>
      </c>
      <c r="BB85" s="316">
        <f t="shared" ref="BB85" si="282">IF($AD85="N","N",AF85+AL85+AQ85)</f>
        <v>0</v>
      </c>
      <c r="BC85" s="309">
        <f t="shared" ref="BC85" si="283">IF($AD85="N","N",SUM(G85:G88))</f>
        <v>0</v>
      </c>
      <c r="BD85" s="66">
        <f>IF($AD85="N","N",SUM('調查資料(OUT)'!L91:L94))</f>
        <v>0</v>
      </c>
      <c r="BE85" s="66">
        <f>IF($AD85="N","N",SUM('調查資料(OUT)'!O91:O94))</f>
        <v>0</v>
      </c>
      <c r="BF85" s="66">
        <f>IF($AD85="N","N",SUM('調查資料(OUT)'!S91:S94))</f>
        <v>0</v>
      </c>
      <c r="BG85" s="66">
        <f>IF($AD85="N","N",SUM('調查資料(OUT)'!R91:R94))</f>
        <v>0</v>
      </c>
      <c r="BH85" s="383" t="e">
        <f t="shared" ref="BH85" si="284">IF($AD85="N","N",(BC85/BY85)*100)</f>
        <v>#DIV/0!</v>
      </c>
      <c r="BI85" s="66">
        <f t="shared" ref="BI85" si="285">IF($AD85="N","N",SUM(H85:H88))</f>
        <v>0</v>
      </c>
      <c r="BJ85" s="66">
        <f>IF($AD85="N","N",SUM('調查資料(OUT)'!M91:M94))</f>
        <v>0</v>
      </c>
      <c r="BK85" s="66">
        <f>IF($AD85="N","N",SUM('調查資料(OUT)'!P91:P94))</f>
        <v>0</v>
      </c>
      <c r="BL85" s="66">
        <f>IF($AD85="N","N",SUM('調查資料(OUT)'!T91:T94))</f>
        <v>0</v>
      </c>
      <c r="BM85" s="383" t="e">
        <f t="shared" ref="BM85" si="286">IF($AD85="N","N",(BI85/BY85)*100)</f>
        <v>#DIV/0!</v>
      </c>
      <c r="BN85" s="66">
        <f t="shared" ref="BN85" si="287">IF($AD85="N","N",SUM(I85:I88))</f>
        <v>0</v>
      </c>
      <c r="BO85" s="66">
        <f>IF($AD85="N","N",SUM('調查資料(OUT)'!N91:N94))</f>
        <v>0</v>
      </c>
      <c r="BP85" s="66">
        <f>IF($AD85="N","N",SUM('調查資料(OUT)'!Q91:Q94))</f>
        <v>0</v>
      </c>
      <c r="BQ85" s="66">
        <f>IF($AD85="N","N",SUM('調查資料(OUT)'!U91:U94))</f>
        <v>0</v>
      </c>
      <c r="BR85" s="383" t="e">
        <f t="shared" ref="BR85" si="288">IF($AD85="N","N",(BN85/BY85)*100)</f>
        <v>#DIV/0!</v>
      </c>
      <c r="BS85" s="66">
        <f t="shared" ref="BS85" si="289">IF($AD85="N","N",BD85+BJ85+BO85)</f>
        <v>0</v>
      </c>
      <c r="BT85" s="383" t="e">
        <f t="shared" ref="BT85" si="290">IF($AD85="N","N",(BS85/($BS85+$BU85+$BW85))*100)</f>
        <v>#DIV/0!</v>
      </c>
      <c r="BU85" s="66">
        <f t="shared" ref="BU85" si="291">IF($AD85="N","N",BE85+BK85+BP85)</f>
        <v>0</v>
      </c>
      <c r="BV85" s="383" t="e">
        <f t="shared" ref="BV85" si="292">IF($AD85="N","N",(BU85/($BS85+$BU85+$BW85))*100)</f>
        <v>#DIV/0!</v>
      </c>
      <c r="BW85" s="66">
        <f t="shared" ref="BW85" si="293">IF($AD85="N","N",BF85+BG85+BL85+BQ85)</f>
        <v>0</v>
      </c>
      <c r="BX85" s="383" t="e">
        <f t="shared" ref="BX85" si="294">IF($AD85="N","N",(BW85/($BS85+$BU85+$BW85))*100)</f>
        <v>#DIV/0!</v>
      </c>
      <c r="BY85" s="316">
        <f t="shared" ref="BY85" si="295">IF($AD85="N","N",BC85+BI85+BN85)</f>
        <v>0</v>
      </c>
      <c r="BZ85" s="309">
        <f t="shared" ref="BZ85" si="296">IF($AD85="N","N",SUM(K85:K88))</f>
        <v>0</v>
      </c>
      <c r="CA85" s="66">
        <f>IF($AD85="N","N",SUM('調查資料(OUT)'!V91:V94))</f>
        <v>0</v>
      </c>
      <c r="CB85" s="66">
        <f>IF($AD85="N","N",SUM('調查資料(OUT)'!Y91:Y94))</f>
        <v>0</v>
      </c>
      <c r="CC85" s="66">
        <f>IF($AD85="N","N",SUM('調查資料(OUT)'!AC91:AC94))</f>
        <v>0</v>
      </c>
      <c r="CD85" s="66">
        <f>IF($AD85="N","N",SUM('調查資料(OUT)'!AB91:AB94))</f>
        <v>0</v>
      </c>
      <c r="CE85" s="383" t="e">
        <f t="shared" ref="CE85" si="297">IF($AD85="N","N",(BZ85/CV85)*100)</f>
        <v>#DIV/0!</v>
      </c>
      <c r="CF85" s="66">
        <f t="shared" ref="CF85" si="298">IF($AD85="N","N",SUM(L85:L88))</f>
        <v>0</v>
      </c>
      <c r="CG85" s="66">
        <f>IF($AD85="N","N",SUM('調查資料(OUT)'!W91:W94))</f>
        <v>0</v>
      </c>
      <c r="CH85" s="66">
        <f>IF($AD85="N","N",SUM('調查資料(OUT)'!Z91:Z94))</f>
        <v>0</v>
      </c>
      <c r="CI85" s="66">
        <f>IF($AD85="N","N",SUM('調查資料(OUT)'!AD91:AD94))</f>
        <v>0</v>
      </c>
      <c r="CJ85" s="383" t="e">
        <f t="shared" ref="CJ85" si="299">IF($AD85="N","N",(CF85/CV85)*100)</f>
        <v>#DIV/0!</v>
      </c>
      <c r="CK85" s="66">
        <f t="shared" ref="CK85" si="300">IF($AD85="N","N",SUM(M85:M88))</f>
        <v>0</v>
      </c>
      <c r="CL85" s="66">
        <f>IF($AD85="N","N",SUM('調查資料(OUT)'!X91:X94))</f>
        <v>0</v>
      </c>
      <c r="CM85" s="66">
        <f>IF($AD85="N","N",SUM('調查資料(OUT)'!AA91:AA94))</f>
        <v>0</v>
      </c>
      <c r="CN85" s="66">
        <f>IF($AD85="N","N",SUM('調查資料(OUT)'!AE91:AE94))</f>
        <v>0</v>
      </c>
      <c r="CO85" s="383" t="e">
        <f t="shared" ref="CO85" si="301">IF($AD85="N","N",(CK85/CV85)*100)</f>
        <v>#DIV/0!</v>
      </c>
      <c r="CP85" s="66">
        <f t="shared" ref="CP85" si="302">IF($AD85="N","N",CA85+CG85+CL85)</f>
        <v>0</v>
      </c>
      <c r="CQ85" s="383" t="e">
        <f t="shared" ref="CQ85" si="303">IF($AD85="N","N",(CP85/($CP85+$CR85+$CT85))*100)</f>
        <v>#DIV/0!</v>
      </c>
      <c r="CR85" s="66">
        <f t="shared" ref="CR85" si="304">IF($AD85="N","N",CB85+CH85+CM85)</f>
        <v>0</v>
      </c>
      <c r="CS85" s="383" t="e">
        <f t="shared" ref="CS85" si="305">IF($AD85="N","N",(CR85/($CP85+$CR85+$CT85))*100)</f>
        <v>#DIV/0!</v>
      </c>
      <c r="CT85" s="66">
        <f t="shared" ref="CT85" si="306">IF($AD85="N","N",CC85+CD85+CI85+CN85)</f>
        <v>0</v>
      </c>
      <c r="CU85" s="383" t="e">
        <f t="shared" ref="CU85" si="307">IF($AD85="N","N",(CT85/($CP85+$CR85+$CT85))*100)</f>
        <v>#DIV/0!</v>
      </c>
      <c r="CV85" s="316">
        <f t="shared" ref="CV85" si="308">IF($AD85="N","N",BZ85+CF85+CK85)</f>
        <v>0</v>
      </c>
      <c r="CW85" s="309">
        <f t="shared" ref="CW85" si="309">IF($AD85="N","N",SUM(O85:O88))</f>
        <v>0</v>
      </c>
      <c r="CX85" s="66">
        <f>IF($AD85="N","N",SUM('調查資料(OUT)'!AF91:AF94))</f>
        <v>0</v>
      </c>
      <c r="CY85" s="66">
        <f>IF($AD85="N","N",SUM('調查資料(OUT)'!AI91:AI94))</f>
        <v>0</v>
      </c>
      <c r="CZ85" s="66">
        <f>IF($AD85="N","N",SUM('調查資料(OUT)'!AM91:AM94))</f>
        <v>0</v>
      </c>
      <c r="DA85" s="66">
        <f>IF($AD85="N","N",SUM('調查資料(OUT)'!AL91:AL94))</f>
        <v>0</v>
      </c>
      <c r="DB85" s="383" t="e">
        <f t="shared" ref="DB85" si="310">IF($AD85="N","N",(CW85/DS85)*100)</f>
        <v>#DIV/0!</v>
      </c>
      <c r="DC85" s="66">
        <f t="shared" ref="DC85" si="311">IF($AD85="N","N",SUM(P85:P88))</f>
        <v>0</v>
      </c>
      <c r="DD85" s="66">
        <f>IF($AD85="N","N",SUM('調查資料(OUT)'!AG91:AG94))</f>
        <v>0</v>
      </c>
      <c r="DE85" s="66">
        <f>IF($AD85="N","N",SUM('調查資料(OUT)'!AJ91:AJ94))</f>
        <v>0</v>
      </c>
      <c r="DF85" s="66">
        <f>IF($AD85="N","N",SUM('調查資料(OUT)'!AN91:AN94))</f>
        <v>0</v>
      </c>
      <c r="DG85" s="383" t="e">
        <f t="shared" ref="DG85" si="312">IF($AD85="N","N",(DC85/DS85)*100)</f>
        <v>#DIV/0!</v>
      </c>
      <c r="DH85" s="66">
        <f t="shared" ref="DH85" si="313">IF($AD85="N","N",SUM(Q85:Q88))</f>
        <v>0</v>
      </c>
      <c r="DI85" s="66">
        <f>IF($AD85="N","N",SUM('調查資料(OUT)'!AH91:AH94))</f>
        <v>0</v>
      </c>
      <c r="DJ85" s="66">
        <f>IF($AD85="N","N",SUM('調查資料(OUT)'!AK91:AK94))</f>
        <v>0</v>
      </c>
      <c r="DK85" s="66">
        <f>IF($AD85="N","N",SUM('調查資料(OUT)'!AO91:AO94))</f>
        <v>0</v>
      </c>
      <c r="DL85" s="383" t="e">
        <f t="shared" ref="DL85" si="314">IF($AD85="N","N",(DH85/DS85)*100)</f>
        <v>#DIV/0!</v>
      </c>
      <c r="DM85" s="66">
        <f t="shared" ref="DM85" si="315">IF($AD85="N","N",CX85+DD85+DI85)</f>
        <v>0</v>
      </c>
      <c r="DN85" s="383" t="e">
        <f t="shared" ref="DN85" si="316">IF($AD85="N","N",(DM85/($DM85+$DO85+$DQ85))*100)</f>
        <v>#DIV/0!</v>
      </c>
      <c r="DO85" s="66">
        <f t="shared" ref="DO85" si="317">IF($AD85="N","N",CY85+DE85+DJ85)</f>
        <v>0</v>
      </c>
      <c r="DP85" s="383" t="e">
        <f t="shared" ref="DP85" si="318">IF($AD85="N","N",(DO85/($DM85+$DO85+$DQ85))*100)</f>
        <v>#DIV/0!</v>
      </c>
      <c r="DQ85" s="66">
        <f t="shared" ref="DQ85" si="319">IF($AD85="N","N",CZ85+DA85+DF85+DK85)</f>
        <v>0</v>
      </c>
      <c r="DR85" s="383" t="e">
        <f t="shared" ref="DR85" si="320">IF($AD85="N","N",(DQ85/($DM85+$DO85+$DQ85))*100)</f>
        <v>#DIV/0!</v>
      </c>
      <c r="DS85" s="316">
        <f t="shared" ref="DS85" si="321">IF($AD85="N","N",CW85+DC85+DH85)</f>
        <v>0</v>
      </c>
    </row>
    <row r="86" spans="1:123">
      <c r="A86" s="118">
        <f>'調查資料(OUT)'!A92</f>
        <v>2015</v>
      </c>
      <c r="B86" s="309">
        <f t="shared" si="144"/>
        <v>0</v>
      </c>
      <c r="C86" s="66">
        <f>IFERROR('調查資料(OUT)'!B$1*'調查資料(OUT)'!B92,0)+IFERROR('調查資料(OUT)'!E$1*'調查資料(OUT)'!E92,0)+IFERROR('調查資料(OUT)'!H$1*'調查資料(OUT)'!H92,0)+IFERROR('調查資料(OUT)'!I$1*'調查資料(OUT)'!I92,0)</f>
        <v>0</v>
      </c>
      <c r="D86" s="66">
        <f>IFERROR('調查資料(OUT)'!C$1*'調查資料(OUT)'!C92,0)+IFERROR('調查資料(OUT)'!F$1*'調查資料(OUT)'!F92,0)+IFERROR('調查資料(OUT)'!J$1*'調查資料(OUT)'!J92,0)</f>
        <v>0</v>
      </c>
      <c r="E86" s="316">
        <f>IFERROR('調查資料(OUT)'!D$1*'調查資料(OUT)'!D92,0)+IFERROR('調查資料(OUT)'!G$1*'調查資料(OUT)'!G92,0)+IFERROR('調查資料(OUT)'!K$1*'調查資料(OUT)'!K92,0)</f>
        <v>0</v>
      </c>
      <c r="F86" s="309">
        <f t="shared" si="145"/>
        <v>0</v>
      </c>
      <c r="G86" s="66">
        <f>IFERROR('調查資料(OUT)'!L$1*'調查資料(OUT)'!L92,0)+IFERROR('調查資料(OUT)'!O$1*'調查資料(OUT)'!O92,0)+IFERROR('調查資料(OUT)'!R$1*'調查資料(OUT)'!R92,0)+IFERROR('調查資料(OUT)'!S$1*'調查資料(OUT)'!S92,0)</f>
        <v>0</v>
      </c>
      <c r="H86" s="66">
        <f>IFERROR('調查資料(OUT)'!M$1*'調查資料(OUT)'!M92,0)+IFERROR('調查資料(OUT)'!P$1*'調查資料(OUT)'!P92,0)+IFERROR('調查資料(OUT)'!T$1*'調查資料(OUT)'!T92,0)</f>
        <v>0</v>
      </c>
      <c r="I86" s="316">
        <f>IFERROR('調查資料(OUT)'!N$1*'調查資料(OUT)'!N92,0)+IFERROR('調查資料(OUT)'!Q$1*'調查資料(OUT)'!Q92,0)+IFERROR('調查資料(OUT)'!U$1*'調查資料(OUT)'!U92,0)</f>
        <v>0</v>
      </c>
      <c r="J86" s="309">
        <f t="shared" si="146"/>
        <v>0</v>
      </c>
      <c r="K86" s="66">
        <f>IFERROR('調查資料(OUT)'!V$1*'調查資料(OUT)'!V92,0)+IFERROR('調查資料(OUT)'!Y$1*'調查資料(OUT)'!Y92,0)+IFERROR('調查資料(OUT)'!AB$1*'調查資料(OUT)'!AB92,0)+IFERROR('調查資料(OUT)'!AC$1*'調查資料(OUT)'!AC92,0)</f>
        <v>0</v>
      </c>
      <c r="L86" s="66">
        <f>IFERROR('調查資料(OUT)'!W$1*'調查資料(OUT)'!W92,0)+IFERROR('調查資料(OUT)'!Z$1*'調查資料(OUT)'!Z92,0)+IFERROR('調查資料(OUT)'!AD$1*'調查資料(OUT)'!AD92,0)</f>
        <v>0</v>
      </c>
      <c r="M86" s="316">
        <f>IFERROR('調查資料(OUT)'!X$1*'調查資料(OUT)'!X92,0)+IFERROR('調查資料(OUT)'!AA$1*'調查資料(OUT)'!AA92,0)+IFERROR('調查資料(OUT)'!AE$1*'調查資料(OUT)'!AE92,0)</f>
        <v>0</v>
      </c>
      <c r="N86" s="309">
        <f t="shared" si="147"/>
        <v>0</v>
      </c>
      <c r="O86" s="66">
        <f>IFERROR('調查資料(OUT)'!AF$1*'調查資料(OUT)'!AF92,0)+IFERROR('調查資料(OUT)'!AI$1*'調查資料(OUT)'!AI92,0)+IFERROR('調查資料(OUT)'!AL$1*'調查資料(OUT)'!AL92,0)+IFERROR('調查資料(OUT)'!AM$1*'調查資料(OUT)'!AM92,0)</f>
        <v>0</v>
      </c>
      <c r="P86" s="66">
        <f>IFERROR('調查資料(OUT)'!AG$1*'調查資料(OUT)'!AG92,0)+IFERROR('調查資料(OUT)'!AJ$1*'調查資料(OUT)'!AJ92,0)+IFERROR('調查資料(OUT)'!AN$1*'調查資料(OUT)'!AN92,0)</f>
        <v>0</v>
      </c>
      <c r="Q86" s="316">
        <f>IFERROR('調查資料(OUT)'!AH$1*'調查資料(OUT)'!AH92,0)+IFERROR('調查資料(OUT)'!AK$1*'調查資料(OUT)'!AK92,0)+IFERROR('調查資料(OUT)'!AO$1*'調查資料(OUT)'!AO92,0)</f>
        <v>0</v>
      </c>
      <c r="R86" s="133">
        <f t="shared" si="148"/>
        <v>0</v>
      </c>
      <c r="T86" s="366">
        <f>'調查資料(OUT)'!A92</f>
        <v>2015</v>
      </c>
      <c r="U86" s="101">
        <f t="shared" si="149"/>
        <v>2115</v>
      </c>
      <c r="V86" s="66">
        <f t="shared" si="133"/>
        <v>0</v>
      </c>
      <c r="X86" s="66">
        <f t="shared" si="264"/>
        <v>0</v>
      </c>
      <c r="Y86" s="379" t="e">
        <f t="shared" si="268"/>
        <v>#DIV/0!</v>
      </c>
      <c r="Z86" s="379" t="e">
        <f t="shared" si="265"/>
        <v>#DIV/0!</v>
      </c>
      <c r="AA86" s="379" t="e">
        <f t="shared" si="211"/>
        <v>#DIV/0!</v>
      </c>
      <c r="AB86" s="379" t="e">
        <f t="shared" si="269"/>
        <v>#DIV/0!</v>
      </c>
      <c r="AD86" s="66">
        <f t="shared" si="266"/>
        <v>2015</v>
      </c>
      <c r="AE86" s="316">
        <f t="shared" si="270"/>
        <v>2115</v>
      </c>
      <c r="AF86" s="309">
        <f t="shared" si="267"/>
        <v>0</v>
      </c>
      <c r="AG86" s="66">
        <f>IF($AD86="N","N",SUM('調查資料(OUT)'!B92:B95))</f>
        <v>0</v>
      </c>
      <c r="AH86" s="66">
        <f>IF($AD86="N","N",SUM('調查資料(OUT)'!E92:E95))</f>
        <v>0</v>
      </c>
      <c r="AI86" s="66">
        <f>IF($AD86="N","N",SUM('調查資料(OUT)'!I92:I95))</f>
        <v>0</v>
      </c>
      <c r="AJ86" s="66">
        <f>IF($AD86="N","N",SUM('調查資料(OUT)'!H92:H95))</f>
        <v>0</v>
      </c>
      <c r="AK86" s="383" t="e">
        <f t="shared" si="151"/>
        <v>#DIV/0!</v>
      </c>
      <c r="AL86" s="66">
        <f t="shared" si="152"/>
        <v>0</v>
      </c>
      <c r="AM86" s="66">
        <f>IF($AD86="N","N",SUM('調查資料(OUT)'!C92:C95))</f>
        <v>0</v>
      </c>
      <c r="AN86" s="66">
        <f>IF($AD86="N","N",SUM('調查資料(OUT)'!F92:F95))</f>
        <v>0</v>
      </c>
      <c r="AO86" s="66">
        <f>IF($AD86="N","N",SUM('調查資料(OUT)'!J92:J95))</f>
        <v>0</v>
      </c>
      <c r="AP86" s="383" t="e">
        <f t="shared" si="153"/>
        <v>#DIV/0!</v>
      </c>
      <c r="AQ86" s="66">
        <f t="shared" si="154"/>
        <v>0</v>
      </c>
      <c r="AR86" s="66">
        <f>IF($AD86="N","N",SUM('調查資料(OUT)'!D92:D95))</f>
        <v>0</v>
      </c>
      <c r="AS86" s="66">
        <f>IF($AD86="N","N",SUM('調查資料(OUT)'!G92:G95))</f>
        <v>0</v>
      </c>
      <c r="AT86" s="66">
        <f>IF($AD86="N","N",SUM('調查資料(OUT)'!K92:K95))</f>
        <v>0</v>
      </c>
      <c r="AU86" s="383" t="e">
        <f t="shared" si="155"/>
        <v>#DIV/0!</v>
      </c>
      <c r="AV86" s="66">
        <f t="shared" si="156"/>
        <v>0</v>
      </c>
      <c r="AW86" s="383" t="e">
        <f t="shared" si="157"/>
        <v>#DIV/0!</v>
      </c>
      <c r="AX86" s="66">
        <f t="shared" si="158"/>
        <v>0</v>
      </c>
      <c r="AY86" s="383" t="e">
        <f t="shared" si="159"/>
        <v>#DIV/0!</v>
      </c>
      <c r="AZ86" s="66">
        <f t="shared" si="160"/>
        <v>0</v>
      </c>
      <c r="BA86" s="383" t="e">
        <f t="shared" si="161"/>
        <v>#DIV/0!</v>
      </c>
      <c r="BB86" s="316">
        <f t="shared" si="162"/>
        <v>0</v>
      </c>
      <c r="BC86" s="309">
        <f t="shared" si="163"/>
        <v>0</v>
      </c>
      <c r="BD86" s="66">
        <f>IF($AD86="N","N",SUM('調查資料(OUT)'!L92:L95))</f>
        <v>0</v>
      </c>
      <c r="BE86" s="66">
        <f>IF($AD86="N","N",SUM('調查資料(OUT)'!O92:O95))</f>
        <v>0</v>
      </c>
      <c r="BF86" s="66">
        <f>IF($AD86="N","N",SUM('調查資料(OUT)'!S92:S95))</f>
        <v>0</v>
      </c>
      <c r="BG86" s="66">
        <f>IF($AD86="N","N",SUM('調查資料(OUT)'!R92:R95))</f>
        <v>0</v>
      </c>
      <c r="BH86" s="383" t="e">
        <f t="shared" si="164"/>
        <v>#DIV/0!</v>
      </c>
      <c r="BI86" s="66">
        <f t="shared" si="165"/>
        <v>0</v>
      </c>
      <c r="BJ86" s="66">
        <f>IF($AD86="N","N",SUM('調查資料(OUT)'!M92:M95))</f>
        <v>0</v>
      </c>
      <c r="BK86" s="66">
        <f>IF($AD86="N","N",SUM('調查資料(OUT)'!P92:P95))</f>
        <v>0</v>
      </c>
      <c r="BL86" s="66">
        <f>IF($AD86="N","N",SUM('調查資料(OUT)'!T92:T95))</f>
        <v>0</v>
      </c>
      <c r="BM86" s="383" t="e">
        <f t="shared" si="166"/>
        <v>#DIV/0!</v>
      </c>
      <c r="BN86" s="66">
        <f t="shared" si="167"/>
        <v>0</v>
      </c>
      <c r="BO86" s="66">
        <f>IF($AD86="N","N",SUM('調查資料(OUT)'!N92:N95))</f>
        <v>0</v>
      </c>
      <c r="BP86" s="66">
        <f>IF($AD86="N","N",SUM('調查資料(OUT)'!Q92:Q95))</f>
        <v>0</v>
      </c>
      <c r="BQ86" s="66">
        <f>IF($AD86="N","N",SUM('調查資料(OUT)'!U92:U95))</f>
        <v>0</v>
      </c>
      <c r="BR86" s="383" t="e">
        <f t="shared" si="168"/>
        <v>#DIV/0!</v>
      </c>
      <c r="BS86" s="66">
        <f t="shared" si="169"/>
        <v>0</v>
      </c>
      <c r="BT86" s="383" t="e">
        <f t="shared" si="170"/>
        <v>#DIV/0!</v>
      </c>
      <c r="BU86" s="66">
        <f t="shared" si="171"/>
        <v>0</v>
      </c>
      <c r="BV86" s="383" t="e">
        <f t="shared" si="172"/>
        <v>#DIV/0!</v>
      </c>
      <c r="BW86" s="66">
        <f t="shared" si="173"/>
        <v>0</v>
      </c>
      <c r="BX86" s="383" t="e">
        <f t="shared" si="174"/>
        <v>#DIV/0!</v>
      </c>
      <c r="BY86" s="316">
        <f t="shared" si="175"/>
        <v>0</v>
      </c>
      <c r="BZ86" s="309">
        <f t="shared" si="176"/>
        <v>0</v>
      </c>
      <c r="CA86" s="66">
        <f>IF($AD86="N","N",SUM('調查資料(OUT)'!V92:V95))</f>
        <v>0</v>
      </c>
      <c r="CB86" s="66">
        <f>IF($AD86="N","N",SUM('調查資料(OUT)'!Y92:Y95))</f>
        <v>0</v>
      </c>
      <c r="CC86" s="66">
        <f>IF($AD86="N","N",SUM('調查資料(OUT)'!AC92:AC95))</f>
        <v>0</v>
      </c>
      <c r="CD86" s="66">
        <f>IF($AD86="N","N",SUM('調查資料(OUT)'!AB92:AB95))</f>
        <v>0</v>
      </c>
      <c r="CE86" s="383" t="e">
        <f t="shared" si="177"/>
        <v>#DIV/0!</v>
      </c>
      <c r="CF86" s="66">
        <f t="shared" si="178"/>
        <v>0</v>
      </c>
      <c r="CG86" s="66">
        <f>IF($AD86="N","N",SUM('調查資料(OUT)'!W92:W95))</f>
        <v>0</v>
      </c>
      <c r="CH86" s="66">
        <f>IF($AD86="N","N",SUM('調查資料(OUT)'!Z92:Z95))</f>
        <v>0</v>
      </c>
      <c r="CI86" s="66">
        <f>IF($AD86="N","N",SUM('調查資料(OUT)'!AD92:AD95))</f>
        <v>0</v>
      </c>
      <c r="CJ86" s="383" t="e">
        <f t="shared" si="179"/>
        <v>#DIV/0!</v>
      </c>
      <c r="CK86" s="66">
        <f t="shared" si="180"/>
        <v>0</v>
      </c>
      <c r="CL86" s="66">
        <f>IF($AD86="N","N",SUM('調查資料(OUT)'!X92:X95))</f>
        <v>0</v>
      </c>
      <c r="CM86" s="66">
        <f>IF($AD86="N","N",SUM('調查資料(OUT)'!AA92:AA95))</f>
        <v>0</v>
      </c>
      <c r="CN86" s="66">
        <f>IF($AD86="N","N",SUM('調查資料(OUT)'!AE92:AE95))</f>
        <v>0</v>
      </c>
      <c r="CO86" s="383" t="e">
        <f t="shared" si="181"/>
        <v>#DIV/0!</v>
      </c>
      <c r="CP86" s="66">
        <f t="shared" si="182"/>
        <v>0</v>
      </c>
      <c r="CQ86" s="383" t="e">
        <f t="shared" si="183"/>
        <v>#DIV/0!</v>
      </c>
      <c r="CR86" s="66">
        <f t="shared" si="184"/>
        <v>0</v>
      </c>
      <c r="CS86" s="383" t="e">
        <f t="shared" si="185"/>
        <v>#DIV/0!</v>
      </c>
      <c r="CT86" s="66">
        <f t="shared" si="186"/>
        <v>0</v>
      </c>
      <c r="CU86" s="383" t="e">
        <f t="shared" si="187"/>
        <v>#DIV/0!</v>
      </c>
      <c r="CV86" s="316">
        <f t="shared" si="188"/>
        <v>0</v>
      </c>
      <c r="CW86" s="309">
        <f t="shared" si="189"/>
        <v>0</v>
      </c>
      <c r="CX86" s="66">
        <f>IF($AD86="N","N",SUM('調查資料(OUT)'!AF92:AF95))</f>
        <v>0</v>
      </c>
      <c r="CY86" s="66">
        <f>IF($AD86="N","N",SUM('調查資料(OUT)'!AI92:AI95))</f>
        <v>0</v>
      </c>
      <c r="CZ86" s="66">
        <f>IF($AD86="N","N",SUM('調查資料(OUT)'!AM92:AM95))</f>
        <v>0</v>
      </c>
      <c r="DA86" s="66">
        <f>IF($AD86="N","N",SUM('調查資料(OUT)'!AL92:AL95))</f>
        <v>0</v>
      </c>
      <c r="DB86" s="383" t="e">
        <f t="shared" si="190"/>
        <v>#DIV/0!</v>
      </c>
      <c r="DC86" s="66">
        <f t="shared" si="191"/>
        <v>0</v>
      </c>
      <c r="DD86" s="66">
        <f>IF($AD86="N","N",SUM('調查資料(OUT)'!AG92:AG95))</f>
        <v>0</v>
      </c>
      <c r="DE86" s="66">
        <f>IF($AD86="N","N",SUM('調查資料(OUT)'!AJ92:AJ95))</f>
        <v>0</v>
      </c>
      <c r="DF86" s="66">
        <f>IF($AD86="N","N",SUM('調查資料(OUT)'!AN92:AN95))</f>
        <v>0</v>
      </c>
      <c r="DG86" s="383" t="e">
        <f t="shared" si="192"/>
        <v>#DIV/0!</v>
      </c>
      <c r="DH86" s="66">
        <f t="shared" si="193"/>
        <v>0</v>
      </c>
      <c r="DI86" s="66">
        <f>IF($AD86="N","N",SUM('調查資料(OUT)'!AH92:AH95))</f>
        <v>0</v>
      </c>
      <c r="DJ86" s="66">
        <f>IF($AD86="N","N",SUM('調查資料(OUT)'!AK92:AK95))</f>
        <v>0</v>
      </c>
      <c r="DK86" s="66">
        <f>IF($AD86="N","N",SUM('調查資料(OUT)'!AO92:AO95))</f>
        <v>0</v>
      </c>
      <c r="DL86" s="383" t="e">
        <f t="shared" si="194"/>
        <v>#DIV/0!</v>
      </c>
      <c r="DM86" s="66">
        <f t="shared" si="195"/>
        <v>0</v>
      </c>
      <c r="DN86" s="383" t="e">
        <f t="shared" si="196"/>
        <v>#DIV/0!</v>
      </c>
      <c r="DO86" s="66">
        <f t="shared" si="197"/>
        <v>0</v>
      </c>
      <c r="DP86" s="383" t="e">
        <f t="shared" si="198"/>
        <v>#DIV/0!</v>
      </c>
      <c r="DQ86" s="66">
        <f t="shared" si="199"/>
        <v>0</v>
      </c>
      <c r="DR86" s="383" t="e">
        <f t="shared" si="200"/>
        <v>#DIV/0!</v>
      </c>
      <c r="DS86" s="316">
        <f t="shared" si="201"/>
        <v>0</v>
      </c>
    </row>
    <row r="87" spans="1:123">
      <c r="A87" s="118">
        <f>'調查資料(OUT)'!A93</f>
        <v>2030</v>
      </c>
      <c r="B87" s="309">
        <f t="shared" ref="B87:B100" si="322">SUM(C87:E87)</f>
        <v>0</v>
      </c>
      <c r="C87" s="66">
        <f>IFERROR('調查資料(OUT)'!B$1*'調查資料(OUT)'!B93,0)+IFERROR('調查資料(OUT)'!E$1*'調查資料(OUT)'!E93,0)+IFERROR('調查資料(OUT)'!H$1*'調查資料(OUT)'!H93,0)+IFERROR('調查資料(OUT)'!I$1*'調查資料(OUT)'!I93,0)</f>
        <v>0</v>
      </c>
      <c r="D87" s="66">
        <f>IFERROR('調查資料(OUT)'!C$1*'調查資料(OUT)'!C93,0)+IFERROR('調查資料(OUT)'!F$1*'調查資料(OUT)'!F93,0)+IFERROR('調查資料(OUT)'!J$1*'調查資料(OUT)'!J93,0)</f>
        <v>0</v>
      </c>
      <c r="E87" s="316">
        <f>IFERROR('調查資料(OUT)'!D$1*'調查資料(OUT)'!D93,0)+IFERROR('調查資料(OUT)'!G$1*'調查資料(OUT)'!G93,0)+IFERROR('調查資料(OUT)'!K$1*'調查資料(OUT)'!K93,0)</f>
        <v>0</v>
      </c>
      <c r="F87" s="309">
        <f t="shared" ref="F87:F100" si="323">SUM(G87:I87)</f>
        <v>0</v>
      </c>
      <c r="G87" s="66">
        <f>IFERROR('調查資料(OUT)'!L$1*'調查資料(OUT)'!L93,0)+IFERROR('調查資料(OUT)'!O$1*'調查資料(OUT)'!O93,0)+IFERROR('調查資料(OUT)'!R$1*'調查資料(OUT)'!R93,0)+IFERROR('調查資料(OUT)'!S$1*'調查資料(OUT)'!S93,0)</f>
        <v>0</v>
      </c>
      <c r="H87" s="66">
        <f>IFERROR('調查資料(OUT)'!M$1*'調查資料(OUT)'!M93,0)+IFERROR('調查資料(OUT)'!P$1*'調查資料(OUT)'!P93,0)+IFERROR('調查資料(OUT)'!T$1*'調查資料(OUT)'!T93,0)</f>
        <v>0</v>
      </c>
      <c r="I87" s="316">
        <f>IFERROR('調查資料(OUT)'!N$1*'調查資料(OUT)'!N93,0)+IFERROR('調查資料(OUT)'!Q$1*'調查資料(OUT)'!Q93,0)+IFERROR('調查資料(OUT)'!U$1*'調查資料(OUT)'!U93,0)</f>
        <v>0</v>
      </c>
      <c r="J87" s="309">
        <f t="shared" ref="J87:J100" si="324">SUM(K87:M87)</f>
        <v>0</v>
      </c>
      <c r="K87" s="66">
        <f>IFERROR('調查資料(OUT)'!V$1*'調查資料(OUT)'!V93,0)+IFERROR('調查資料(OUT)'!Y$1*'調查資料(OUT)'!Y93,0)+IFERROR('調查資料(OUT)'!AB$1*'調查資料(OUT)'!AB93,0)+IFERROR('調查資料(OUT)'!AC$1*'調查資料(OUT)'!AC93,0)</f>
        <v>0</v>
      </c>
      <c r="L87" s="66">
        <f>IFERROR('調查資料(OUT)'!W$1*'調查資料(OUT)'!W93,0)+IFERROR('調查資料(OUT)'!Z$1*'調查資料(OUT)'!Z93,0)+IFERROR('調查資料(OUT)'!AD$1*'調查資料(OUT)'!AD93,0)</f>
        <v>0</v>
      </c>
      <c r="M87" s="316">
        <f>IFERROR('調查資料(OUT)'!X$1*'調查資料(OUT)'!X93,0)+IFERROR('調查資料(OUT)'!AA$1*'調查資料(OUT)'!AA93,0)+IFERROR('調查資料(OUT)'!AE$1*'調查資料(OUT)'!AE93,0)</f>
        <v>0</v>
      </c>
      <c r="N87" s="309">
        <f t="shared" ref="N87:N100" si="325">SUM(O87:Q87)</f>
        <v>0</v>
      </c>
      <c r="O87" s="66">
        <f>IFERROR('調查資料(OUT)'!AF$1*'調查資料(OUT)'!AF93,0)+IFERROR('調查資料(OUT)'!AI$1*'調查資料(OUT)'!AI93,0)+IFERROR('調查資料(OUT)'!AL$1*'調查資料(OUT)'!AL93,0)+IFERROR('調查資料(OUT)'!AM$1*'調查資料(OUT)'!AM93,0)</f>
        <v>0</v>
      </c>
      <c r="P87" s="66">
        <f>IFERROR('調查資料(OUT)'!AG$1*'調查資料(OUT)'!AG93,0)+IFERROR('調查資料(OUT)'!AJ$1*'調查資料(OUT)'!AJ93,0)+IFERROR('調查資料(OUT)'!AN$1*'調查資料(OUT)'!AN93,0)</f>
        <v>0</v>
      </c>
      <c r="Q87" s="316">
        <f>IFERROR('調查資料(OUT)'!AH$1*'調查資料(OUT)'!AH93,0)+IFERROR('調查資料(OUT)'!AK$1*'調查資料(OUT)'!AK93,0)+IFERROR('調查資料(OUT)'!AO$1*'調查資料(OUT)'!AO93,0)</f>
        <v>0</v>
      </c>
      <c r="R87" s="133">
        <f t="shared" ref="R87:R100" si="326">B87+F87+J87+N87</f>
        <v>0</v>
      </c>
      <c r="T87" s="366">
        <f>'調查資料(OUT)'!A93</f>
        <v>2030</v>
      </c>
      <c r="U87" s="101">
        <f t="shared" si="149"/>
        <v>2130</v>
      </c>
      <c r="V87" s="66">
        <f t="shared" si="133"/>
        <v>0</v>
      </c>
      <c r="X87" s="66">
        <f t="shared" si="264"/>
        <v>0</v>
      </c>
      <c r="Y87" s="379" t="e">
        <f t="shared" si="268"/>
        <v>#DIV/0!</v>
      </c>
      <c r="Z87" s="379" t="e">
        <f t="shared" si="265"/>
        <v>#DIV/0!</v>
      </c>
      <c r="AA87" s="379" t="e">
        <f t="shared" si="211"/>
        <v>#DIV/0!</v>
      </c>
      <c r="AB87" s="379" t="e">
        <f t="shared" si="269"/>
        <v>#DIV/0!</v>
      </c>
      <c r="AD87" s="66">
        <f t="shared" si="266"/>
        <v>2030</v>
      </c>
      <c r="AE87" s="316">
        <f t="shared" si="270"/>
        <v>2130</v>
      </c>
      <c r="AF87" s="309">
        <f t="shared" si="267"/>
        <v>0</v>
      </c>
      <c r="AG87" s="66">
        <f>IF($AD87="N","N",SUM('調查資料(OUT)'!B93:B96))</f>
        <v>0</v>
      </c>
      <c r="AH87" s="66">
        <f>IF($AD87="N","N",SUM('調查資料(OUT)'!E93:E96))</f>
        <v>0</v>
      </c>
      <c r="AI87" s="66">
        <f>IF($AD87="N","N",SUM('調查資料(OUT)'!I93:I96))</f>
        <v>0</v>
      </c>
      <c r="AJ87" s="66">
        <f>IF($AD87="N","N",SUM('調查資料(OUT)'!H93:H96))</f>
        <v>0</v>
      </c>
      <c r="AK87" s="383" t="e">
        <f t="shared" si="151"/>
        <v>#DIV/0!</v>
      </c>
      <c r="AL87" s="66">
        <f t="shared" si="152"/>
        <v>0</v>
      </c>
      <c r="AM87" s="66">
        <f>IF($AD87="N","N",SUM('調查資料(OUT)'!C93:C96))</f>
        <v>0</v>
      </c>
      <c r="AN87" s="66">
        <f>IF($AD87="N","N",SUM('調查資料(OUT)'!F93:F96))</f>
        <v>0</v>
      </c>
      <c r="AO87" s="66">
        <f>IF($AD87="N","N",SUM('調查資料(OUT)'!J93:J96))</f>
        <v>0</v>
      </c>
      <c r="AP87" s="383" t="e">
        <f t="shared" si="153"/>
        <v>#DIV/0!</v>
      </c>
      <c r="AQ87" s="66">
        <f t="shared" si="154"/>
        <v>0</v>
      </c>
      <c r="AR87" s="66">
        <f>IF($AD87="N","N",SUM('調查資料(OUT)'!D93:D96))</f>
        <v>0</v>
      </c>
      <c r="AS87" s="66">
        <f>IF($AD87="N","N",SUM('調查資料(OUT)'!G93:G96))</f>
        <v>0</v>
      </c>
      <c r="AT87" s="66">
        <f>IF($AD87="N","N",SUM('調查資料(OUT)'!K93:K96))</f>
        <v>0</v>
      </c>
      <c r="AU87" s="383" t="e">
        <f t="shared" si="155"/>
        <v>#DIV/0!</v>
      </c>
      <c r="AV87" s="66">
        <f t="shared" si="156"/>
        <v>0</v>
      </c>
      <c r="AW87" s="383" t="e">
        <f t="shared" si="157"/>
        <v>#DIV/0!</v>
      </c>
      <c r="AX87" s="66">
        <f t="shared" si="158"/>
        <v>0</v>
      </c>
      <c r="AY87" s="383" t="e">
        <f t="shared" si="159"/>
        <v>#DIV/0!</v>
      </c>
      <c r="AZ87" s="66">
        <f t="shared" si="160"/>
        <v>0</v>
      </c>
      <c r="BA87" s="383" t="e">
        <f t="shared" si="161"/>
        <v>#DIV/0!</v>
      </c>
      <c r="BB87" s="316">
        <f t="shared" si="162"/>
        <v>0</v>
      </c>
      <c r="BC87" s="309">
        <f t="shared" si="163"/>
        <v>0</v>
      </c>
      <c r="BD87" s="66">
        <f>IF($AD87="N","N",SUM('調查資料(OUT)'!L93:L96))</f>
        <v>0</v>
      </c>
      <c r="BE87" s="66">
        <f>IF($AD87="N","N",SUM('調查資料(OUT)'!O93:O96))</f>
        <v>0</v>
      </c>
      <c r="BF87" s="66">
        <f>IF($AD87="N","N",SUM('調查資料(OUT)'!S93:S96))</f>
        <v>0</v>
      </c>
      <c r="BG87" s="66">
        <f>IF($AD87="N","N",SUM('調查資料(OUT)'!R93:R96))</f>
        <v>0</v>
      </c>
      <c r="BH87" s="383" t="e">
        <f t="shared" si="164"/>
        <v>#DIV/0!</v>
      </c>
      <c r="BI87" s="66">
        <f t="shared" si="165"/>
        <v>0</v>
      </c>
      <c r="BJ87" s="66">
        <f>IF($AD87="N","N",SUM('調查資料(OUT)'!M93:M96))</f>
        <v>0</v>
      </c>
      <c r="BK87" s="66">
        <f>IF($AD87="N","N",SUM('調查資料(OUT)'!P93:P96))</f>
        <v>0</v>
      </c>
      <c r="BL87" s="66">
        <f>IF($AD87="N","N",SUM('調查資料(OUT)'!T93:T96))</f>
        <v>0</v>
      </c>
      <c r="BM87" s="383" t="e">
        <f t="shared" si="166"/>
        <v>#DIV/0!</v>
      </c>
      <c r="BN87" s="66">
        <f t="shared" si="167"/>
        <v>0</v>
      </c>
      <c r="BO87" s="66">
        <f>IF($AD87="N","N",SUM('調查資料(OUT)'!N93:N96))</f>
        <v>0</v>
      </c>
      <c r="BP87" s="66">
        <f>IF($AD87="N","N",SUM('調查資料(OUT)'!Q93:Q96))</f>
        <v>0</v>
      </c>
      <c r="BQ87" s="66">
        <f>IF($AD87="N","N",SUM('調查資料(OUT)'!U93:U96))</f>
        <v>0</v>
      </c>
      <c r="BR87" s="383" t="e">
        <f t="shared" si="168"/>
        <v>#DIV/0!</v>
      </c>
      <c r="BS87" s="66">
        <f t="shared" si="169"/>
        <v>0</v>
      </c>
      <c r="BT87" s="383" t="e">
        <f t="shared" si="170"/>
        <v>#DIV/0!</v>
      </c>
      <c r="BU87" s="66">
        <f t="shared" si="171"/>
        <v>0</v>
      </c>
      <c r="BV87" s="383" t="e">
        <f t="shared" si="172"/>
        <v>#DIV/0!</v>
      </c>
      <c r="BW87" s="66">
        <f t="shared" si="173"/>
        <v>0</v>
      </c>
      <c r="BX87" s="383" t="e">
        <f t="shared" si="174"/>
        <v>#DIV/0!</v>
      </c>
      <c r="BY87" s="316">
        <f t="shared" si="175"/>
        <v>0</v>
      </c>
      <c r="BZ87" s="309">
        <f t="shared" si="176"/>
        <v>0</v>
      </c>
      <c r="CA87" s="66">
        <f>IF($AD87="N","N",SUM('調查資料(OUT)'!V93:V96))</f>
        <v>0</v>
      </c>
      <c r="CB87" s="66">
        <f>IF($AD87="N","N",SUM('調查資料(OUT)'!Y93:Y96))</f>
        <v>0</v>
      </c>
      <c r="CC87" s="66">
        <f>IF($AD87="N","N",SUM('調查資料(OUT)'!AC93:AC96))</f>
        <v>0</v>
      </c>
      <c r="CD87" s="66">
        <f>IF($AD87="N","N",SUM('調查資料(OUT)'!AB93:AB96))</f>
        <v>0</v>
      </c>
      <c r="CE87" s="383" t="e">
        <f t="shared" si="177"/>
        <v>#DIV/0!</v>
      </c>
      <c r="CF87" s="66">
        <f t="shared" si="178"/>
        <v>0</v>
      </c>
      <c r="CG87" s="66">
        <f>IF($AD87="N","N",SUM('調查資料(OUT)'!W93:W96))</f>
        <v>0</v>
      </c>
      <c r="CH87" s="66">
        <f>IF($AD87="N","N",SUM('調查資料(OUT)'!Z93:Z96))</f>
        <v>0</v>
      </c>
      <c r="CI87" s="66">
        <f>IF($AD87="N","N",SUM('調查資料(OUT)'!AD93:AD96))</f>
        <v>0</v>
      </c>
      <c r="CJ87" s="383" t="e">
        <f t="shared" si="179"/>
        <v>#DIV/0!</v>
      </c>
      <c r="CK87" s="66">
        <f t="shared" si="180"/>
        <v>0</v>
      </c>
      <c r="CL87" s="66">
        <f>IF($AD87="N","N",SUM('調查資料(OUT)'!X93:X96))</f>
        <v>0</v>
      </c>
      <c r="CM87" s="66">
        <f>IF($AD87="N","N",SUM('調查資料(OUT)'!AA93:AA96))</f>
        <v>0</v>
      </c>
      <c r="CN87" s="66">
        <f>IF($AD87="N","N",SUM('調查資料(OUT)'!AE93:AE96))</f>
        <v>0</v>
      </c>
      <c r="CO87" s="383" t="e">
        <f t="shared" si="181"/>
        <v>#DIV/0!</v>
      </c>
      <c r="CP87" s="66">
        <f t="shared" si="182"/>
        <v>0</v>
      </c>
      <c r="CQ87" s="383" t="e">
        <f t="shared" si="183"/>
        <v>#DIV/0!</v>
      </c>
      <c r="CR87" s="66">
        <f t="shared" si="184"/>
        <v>0</v>
      </c>
      <c r="CS87" s="383" t="e">
        <f t="shared" si="185"/>
        <v>#DIV/0!</v>
      </c>
      <c r="CT87" s="66">
        <f t="shared" si="186"/>
        <v>0</v>
      </c>
      <c r="CU87" s="383" t="e">
        <f t="shared" si="187"/>
        <v>#DIV/0!</v>
      </c>
      <c r="CV87" s="316">
        <f t="shared" si="188"/>
        <v>0</v>
      </c>
      <c r="CW87" s="309">
        <f t="shared" si="189"/>
        <v>0</v>
      </c>
      <c r="CX87" s="66">
        <f>IF($AD87="N","N",SUM('調查資料(OUT)'!AF93:AF96))</f>
        <v>0</v>
      </c>
      <c r="CY87" s="66">
        <f>IF($AD87="N","N",SUM('調查資料(OUT)'!AI93:AI96))</f>
        <v>0</v>
      </c>
      <c r="CZ87" s="66">
        <f>IF($AD87="N","N",SUM('調查資料(OUT)'!AM93:AM96))</f>
        <v>0</v>
      </c>
      <c r="DA87" s="66">
        <f>IF($AD87="N","N",SUM('調查資料(OUT)'!AL93:AL96))</f>
        <v>0</v>
      </c>
      <c r="DB87" s="383" t="e">
        <f t="shared" si="190"/>
        <v>#DIV/0!</v>
      </c>
      <c r="DC87" s="66">
        <f t="shared" si="191"/>
        <v>0</v>
      </c>
      <c r="DD87" s="66">
        <f>IF($AD87="N","N",SUM('調查資料(OUT)'!AG93:AG96))</f>
        <v>0</v>
      </c>
      <c r="DE87" s="66">
        <f>IF($AD87="N","N",SUM('調查資料(OUT)'!AJ93:AJ96))</f>
        <v>0</v>
      </c>
      <c r="DF87" s="66">
        <f>IF($AD87="N","N",SUM('調查資料(OUT)'!AN93:AN96))</f>
        <v>0</v>
      </c>
      <c r="DG87" s="383" t="e">
        <f t="shared" si="192"/>
        <v>#DIV/0!</v>
      </c>
      <c r="DH87" s="66">
        <f t="shared" si="193"/>
        <v>0</v>
      </c>
      <c r="DI87" s="66">
        <f>IF($AD87="N","N",SUM('調查資料(OUT)'!AH93:AH96))</f>
        <v>0</v>
      </c>
      <c r="DJ87" s="66">
        <f>IF($AD87="N","N",SUM('調查資料(OUT)'!AK93:AK96))</f>
        <v>0</v>
      </c>
      <c r="DK87" s="66">
        <f>IF($AD87="N","N",SUM('調查資料(OUT)'!AO93:AO96))</f>
        <v>0</v>
      </c>
      <c r="DL87" s="383" t="e">
        <f t="shared" si="194"/>
        <v>#DIV/0!</v>
      </c>
      <c r="DM87" s="66">
        <f t="shared" si="195"/>
        <v>0</v>
      </c>
      <c r="DN87" s="383" t="e">
        <f t="shared" si="196"/>
        <v>#DIV/0!</v>
      </c>
      <c r="DO87" s="66">
        <f t="shared" si="197"/>
        <v>0</v>
      </c>
      <c r="DP87" s="383" t="e">
        <f t="shared" si="198"/>
        <v>#DIV/0!</v>
      </c>
      <c r="DQ87" s="66">
        <f t="shared" si="199"/>
        <v>0</v>
      </c>
      <c r="DR87" s="383" t="e">
        <f t="shared" si="200"/>
        <v>#DIV/0!</v>
      </c>
      <c r="DS87" s="316">
        <f t="shared" si="201"/>
        <v>0</v>
      </c>
    </row>
    <row r="88" spans="1:123">
      <c r="A88" s="118">
        <f>'調查資料(OUT)'!A94</f>
        <v>2045</v>
      </c>
      <c r="B88" s="309">
        <f t="shared" si="322"/>
        <v>0</v>
      </c>
      <c r="C88" s="66">
        <f>IFERROR('調查資料(OUT)'!B$1*'調查資料(OUT)'!B94,0)+IFERROR('調查資料(OUT)'!E$1*'調查資料(OUT)'!E94,0)+IFERROR('調查資料(OUT)'!H$1*'調查資料(OUT)'!H94,0)+IFERROR('調查資料(OUT)'!I$1*'調查資料(OUT)'!I94,0)</f>
        <v>0</v>
      </c>
      <c r="D88" s="66">
        <f>IFERROR('調查資料(OUT)'!C$1*'調查資料(OUT)'!C94,0)+IFERROR('調查資料(OUT)'!F$1*'調查資料(OUT)'!F94,0)+IFERROR('調查資料(OUT)'!J$1*'調查資料(OUT)'!J94,0)</f>
        <v>0</v>
      </c>
      <c r="E88" s="316">
        <f>IFERROR('調查資料(OUT)'!D$1*'調查資料(OUT)'!D94,0)+IFERROR('調查資料(OUT)'!G$1*'調查資料(OUT)'!G94,0)+IFERROR('調查資料(OUT)'!K$1*'調查資料(OUT)'!K94,0)</f>
        <v>0</v>
      </c>
      <c r="F88" s="309">
        <f t="shared" si="323"/>
        <v>0</v>
      </c>
      <c r="G88" s="66">
        <f>IFERROR('調查資料(OUT)'!L$1*'調查資料(OUT)'!L94,0)+IFERROR('調查資料(OUT)'!O$1*'調查資料(OUT)'!O94,0)+IFERROR('調查資料(OUT)'!R$1*'調查資料(OUT)'!R94,0)+IFERROR('調查資料(OUT)'!S$1*'調查資料(OUT)'!S94,0)</f>
        <v>0</v>
      </c>
      <c r="H88" s="66">
        <f>IFERROR('調查資料(OUT)'!M$1*'調查資料(OUT)'!M94,0)+IFERROR('調查資料(OUT)'!P$1*'調查資料(OUT)'!P94,0)+IFERROR('調查資料(OUT)'!T$1*'調查資料(OUT)'!T94,0)</f>
        <v>0</v>
      </c>
      <c r="I88" s="316">
        <f>IFERROR('調查資料(OUT)'!N$1*'調查資料(OUT)'!N94,0)+IFERROR('調查資料(OUT)'!Q$1*'調查資料(OUT)'!Q94,0)+IFERROR('調查資料(OUT)'!U$1*'調查資料(OUT)'!U94,0)</f>
        <v>0</v>
      </c>
      <c r="J88" s="309">
        <f t="shared" si="324"/>
        <v>0</v>
      </c>
      <c r="K88" s="66">
        <f>IFERROR('調查資料(OUT)'!V$1*'調查資料(OUT)'!V94,0)+IFERROR('調查資料(OUT)'!Y$1*'調查資料(OUT)'!Y94,0)+IFERROR('調查資料(OUT)'!AB$1*'調查資料(OUT)'!AB94,0)+IFERROR('調查資料(OUT)'!AC$1*'調查資料(OUT)'!AC94,0)</f>
        <v>0</v>
      </c>
      <c r="L88" s="66">
        <f>IFERROR('調查資料(OUT)'!W$1*'調查資料(OUT)'!W94,0)+IFERROR('調查資料(OUT)'!Z$1*'調查資料(OUT)'!Z94,0)+IFERROR('調查資料(OUT)'!AD$1*'調查資料(OUT)'!AD94,0)</f>
        <v>0</v>
      </c>
      <c r="M88" s="316">
        <f>IFERROR('調查資料(OUT)'!X$1*'調查資料(OUT)'!X94,0)+IFERROR('調查資料(OUT)'!AA$1*'調查資料(OUT)'!AA94,0)+IFERROR('調查資料(OUT)'!AE$1*'調查資料(OUT)'!AE94,0)</f>
        <v>0</v>
      </c>
      <c r="N88" s="309">
        <f t="shared" si="325"/>
        <v>0</v>
      </c>
      <c r="O88" s="66">
        <f>IFERROR('調查資料(OUT)'!AF$1*'調查資料(OUT)'!AF94,0)+IFERROR('調查資料(OUT)'!AI$1*'調查資料(OUT)'!AI94,0)+IFERROR('調查資料(OUT)'!AL$1*'調查資料(OUT)'!AL94,0)+IFERROR('調查資料(OUT)'!AM$1*'調查資料(OUT)'!AM94,0)</f>
        <v>0</v>
      </c>
      <c r="P88" s="66">
        <f>IFERROR('調查資料(OUT)'!AG$1*'調查資料(OUT)'!AG94,0)+IFERROR('調查資料(OUT)'!AJ$1*'調查資料(OUT)'!AJ94,0)+IFERROR('調查資料(OUT)'!AN$1*'調查資料(OUT)'!AN94,0)</f>
        <v>0</v>
      </c>
      <c r="Q88" s="316">
        <f>IFERROR('調查資料(OUT)'!AH$1*'調查資料(OUT)'!AH94,0)+IFERROR('調查資料(OUT)'!AK$1*'調查資料(OUT)'!AK94,0)+IFERROR('調查資料(OUT)'!AO$1*'調查資料(OUT)'!AO94,0)</f>
        <v>0</v>
      </c>
      <c r="R88" s="133">
        <f t="shared" si="326"/>
        <v>0</v>
      </c>
      <c r="T88" s="366">
        <f>'調查資料(OUT)'!A94</f>
        <v>2045</v>
      </c>
      <c r="U88" s="101">
        <f t="shared" si="149"/>
        <v>2145</v>
      </c>
      <c r="V88" s="66">
        <f t="shared" si="133"/>
        <v>0</v>
      </c>
      <c r="X88" s="66">
        <f t="shared" si="264"/>
        <v>0</v>
      </c>
      <c r="Y88" s="379" t="e">
        <f t="shared" si="268"/>
        <v>#DIV/0!</v>
      </c>
      <c r="Z88" s="379" t="e">
        <f t="shared" si="265"/>
        <v>#DIV/0!</v>
      </c>
      <c r="AA88" s="379" t="e">
        <f t="shared" si="211"/>
        <v>#DIV/0!</v>
      </c>
      <c r="AB88" s="379" t="e">
        <f t="shared" si="269"/>
        <v>#DIV/0!</v>
      </c>
      <c r="AD88" s="66">
        <f t="shared" si="266"/>
        <v>2045</v>
      </c>
      <c r="AE88" s="316">
        <f t="shared" si="270"/>
        <v>2145</v>
      </c>
      <c r="AF88" s="309">
        <f t="shared" si="267"/>
        <v>0</v>
      </c>
      <c r="AG88" s="66">
        <f>IF($AD88="N","N",SUM('調查資料(OUT)'!B94:B97))</f>
        <v>0</v>
      </c>
      <c r="AH88" s="66">
        <f>IF($AD88="N","N",SUM('調查資料(OUT)'!E94:E97))</f>
        <v>0</v>
      </c>
      <c r="AI88" s="66">
        <f>IF($AD88="N","N",SUM('調查資料(OUT)'!I94:I97))</f>
        <v>0</v>
      </c>
      <c r="AJ88" s="66">
        <f>IF($AD88="N","N",SUM('調查資料(OUT)'!H94:H97))</f>
        <v>0</v>
      </c>
      <c r="AK88" s="383" t="e">
        <f t="shared" si="151"/>
        <v>#DIV/0!</v>
      </c>
      <c r="AL88" s="66">
        <f t="shared" si="152"/>
        <v>0</v>
      </c>
      <c r="AM88" s="66">
        <f>IF($AD88="N","N",SUM('調查資料(OUT)'!C94:C97))</f>
        <v>0</v>
      </c>
      <c r="AN88" s="66">
        <f>IF($AD88="N","N",SUM('調查資料(OUT)'!F94:F97))</f>
        <v>0</v>
      </c>
      <c r="AO88" s="66">
        <f>IF($AD88="N","N",SUM('調查資料(OUT)'!J94:J97))</f>
        <v>0</v>
      </c>
      <c r="AP88" s="383" t="e">
        <f t="shared" si="153"/>
        <v>#DIV/0!</v>
      </c>
      <c r="AQ88" s="66">
        <f t="shared" si="154"/>
        <v>0</v>
      </c>
      <c r="AR88" s="66">
        <f>IF($AD88="N","N",SUM('調查資料(OUT)'!D94:D97))</f>
        <v>0</v>
      </c>
      <c r="AS88" s="66">
        <f>IF($AD88="N","N",SUM('調查資料(OUT)'!G94:G97))</f>
        <v>0</v>
      </c>
      <c r="AT88" s="66">
        <f>IF($AD88="N","N",SUM('調查資料(OUT)'!K94:K97))</f>
        <v>0</v>
      </c>
      <c r="AU88" s="383" t="e">
        <f t="shared" si="155"/>
        <v>#DIV/0!</v>
      </c>
      <c r="AV88" s="66">
        <f t="shared" si="156"/>
        <v>0</v>
      </c>
      <c r="AW88" s="383" t="e">
        <f t="shared" si="157"/>
        <v>#DIV/0!</v>
      </c>
      <c r="AX88" s="66">
        <f t="shared" si="158"/>
        <v>0</v>
      </c>
      <c r="AY88" s="383" t="e">
        <f t="shared" si="159"/>
        <v>#DIV/0!</v>
      </c>
      <c r="AZ88" s="66">
        <f t="shared" si="160"/>
        <v>0</v>
      </c>
      <c r="BA88" s="383" t="e">
        <f t="shared" si="161"/>
        <v>#DIV/0!</v>
      </c>
      <c r="BB88" s="316">
        <f t="shared" si="162"/>
        <v>0</v>
      </c>
      <c r="BC88" s="309">
        <f t="shared" si="163"/>
        <v>0</v>
      </c>
      <c r="BD88" s="66">
        <f>IF($AD88="N","N",SUM('調查資料(OUT)'!L94:L97))</f>
        <v>0</v>
      </c>
      <c r="BE88" s="66">
        <f>IF($AD88="N","N",SUM('調查資料(OUT)'!O94:O97))</f>
        <v>0</v>
      </c>
      <c r="BF88" s="66">
        <f>IF($AD88="N","N",SUM('調查資料(OUT)'!S94:S97))</f>
        <v>0</v>
      </c>
      <c r="BG88" s="66">
        <f>IF($AD88="N","N",SUM('調查資料(OUT)'!R94:R97))</f>
        <v>0</v>
      </c>
      <c r="BH88" s="383" t="e">
        <f t="shared" si="164"/>
        <v>#DIV/0!</v>
      </c>
      <c r="BI88" s="66">
        <f t="shared" si="165"/>
        <v>0</v>
      </c>
      <c r="BJ88" s="66">
        <f>IF($AD88="N","N",SUM('調查資料(OUT)'!M94:M97))</f>
        <v>0</v>
      </c>
      <c r="BK88" s="66">
        <f>IF($AD88="N","N",SUM('調查資料(OUT)'!P94:P97))</f>
        <v>0</v>
      </c>
      <c r="BL88" s="66">
        <f>IF($AD88="N","N",SUM('調查資料(OUT)'!T94:T97))</f>
        <v>0</v>
      </c>
      <c r="BM88" s="383" t="e">
        <f t="shared" si="166"/>
        <v>#DIV/0!</v>
      </c>
      <c r="BN88" s="66">
        <f t="shared" si="167"/>
        <v>0</v>
      </c>
      <c r="BO88" s="66">
        <f>IF($AD88="N","N",SUM('調查資料(OUT)'!N94:N97))</f>
        <v>0</v>
      </c>
      <c r="BP88" s="66">
        <f>IF($AD88="N","N",SUM('調查資料(OUT)'!Q94:Q97))</f>
        <v>0</v>
      </c>
      <c r="BQ88" s="66">
        <f>IF($AD88="N","N",SUM('調查資料(OUT)'!U94:U97))</f>
        <v>0</v>
      </c>
      <c r="BR88" s="383" t="e">
        <f t="shared" si="168"/>
        <v>#DIV/0!</v>
      </c>
      <c r="BS88" s="66">
        <f t="shared" si="169"/>
        <v>0</v>
      </c>
      <c r="BT88" s="383" t="e">
        <f t="shared" si="170"/>
        <v>#DIV/0!</v>
      </c>
      <c r="BU88" s="66">
        <f t="shared" si="171"/>
        <v>0</v>
      </c>
      <c r="BV88" s="383" t="e">
        <f t="shared" si="172"/>
        <v>#DIV/0!</v>
      </c>
      <c r="BW88" s="66">
        <f t="shared" si="173"/>
        <v>0</v>
      </c>
      <c r="BX88" s="383" t="e">
        <f t="shared" si="174"/>
        <v>#DIV/0!</v>
      </c>
      <c r="BY88" s="316">
        <f t="shared" si="175"/>
        <v>0</v>
      </c>
      <c r="BZ88" s="309">
        <f t="shared" si="176"/>
        <v>0</v>
      </c>
      <c r="CA88" s="66">
        <f>IF($AD88="N","N",SUM('調查資料(OUT)'!V94:V97))</f>
        <v>0</v>
      </c>
      <c r="CB88" s="66">
        <f>IF($AD88="N","N",SUM('調查資料(OUT)'!Y94:Y97))</f>
        <v>0</v>
      </c>
      <c r="CC88" s="66">
        <f>IF($AD88="N","N",SUM('調查資料(OUT)'!AC94:AC97))</f>
        <v>0</v>
      </c>
      <c r="CD88" s="66">
        <f>IF($AD88="N","N",SUM('調查資料(OUT)'!AB94:AB97))</f>
        <v>0</v>
      </c>
      <c r="CE88" s="383" t="e">
        <f t="shared" si="177"/>
        <v>#DIV/0!</v>
      </c>
      <c r="CF88" s="66">
        <f t="shared" si="178"/>
        <v>0</v>
      </c>
      <c r="CG88" s="66">
        <f>IF($AD88="N","N",SUM('調查資料(OUT)'!W94:W97))</f>
        <v>0</v>
      </c>
      <c r="CH88" s="66">
        <f>IF($AD88="N","N",SUM('調查資料(OUT)'!Z94:Z97))</f>
        <v>0</v>
      </c>
      <c r="CI88" s="66">
        <f>IF($AD88="N","N",SUM('調查資料(OUT)'!AD94:AD97))</f>
        <v>0</v>
      </c>
      <c r="CJ88" s="383" t="e">
        <f t="shared" si="179"/>
        <v>#DIV/0!</v>
      </c>
      <c r="CK88" s="66">
        <f t="shared" si="180"/>
        <v>0</v>
      </c>
      <c r="CL88" s="66">
        <f>IF($AD88="N","N",SUM('調查資料(OUT)'!X94:X97))</f>
        <v>0</v>
      </c>
      <c r="CM88" s="66">
        <f>IF($AD88="N","N",SUM('調查資料(OUT)'!AA94:AA97))</f>
        <v>0</v>
      </c>
      <c r="CN88" s="66">
        <f>IF($AD88="N","N",SUM('調查資料(OUT)'!AE94:AE97))</f>
        <v>0</v>
      </c>
      <c r="CO88" s="383" t="e">
        <f t="shared" si="181"/>
        <v>#DIV/0!</v>
      </c>
      <c r="CP88" s="66">
        <f t="shared" si="182"/>
        <v>0</v>
      </c>
      <c r="CQ88" s="383" t="e">
        <f t="shared" si="183"/>
        <v>#DIV/0!</v>
      </c>
      <c r="CR88" s="66">
        <f t="shared" si="184"/>
        <v>0</v>
      </c>
      <c r="CS88" s="383" t="e">
        <f t="shared" si="185"/>
        <v>#DIV/0!</v>
      </c>
      <c r="CT88" s="66">
        <f t="shared" si="186"/>
        <v>0</v>
      </c>
      <c r="CU88" s="383" t="e">
        <f t="shared" si="187"/>
        <v>#DIV/0!</v>
      </c>
      <c r="CV88" s="316">
        <f t="shared" si="188"/>
        <v>0</v>
      </c>
      <c r="CW88" s="309">
        <f t="shared" si="189"/>
        <v>0</v>
      </c>
      <c r="CX88" s="66">
        <f>IF($AD88="N","N",SUM('調查資料(OUT)'!AF94:AF97))</f>
        <v>0</v>
      </c>
      <c r="CY88" s="66">
        <f>IF($AD88="N","N",SUM('調查資料(OUT)'!AI94:AI97))</f>
        <v>0</v>
      </c>
      <c r="CZ88" s="66">
        <f>IF($AD88="N","N",SUM('調查資料(OUT)'!AM94:AM97))</f>
        <v>0</v>
      </c>
      <c r="DA88" s="66">
        <f>IF($AD88="N","N",SUM('調查資料(OUT)'!AL94:AL97))</f>
        <v>0</v>
      </c>
      <c r="DB88" s="383" t="e">
        <f t="shared" si="190"/>
        <v>#DIV/0!</v>
      </c>
      <c r="DC88" s="66">
        <f t="shared" si="191"/>
        <v>0</v>
      </c>
      <c r="DD88" s="66">
        <f>IF($AD88="N","N",SUM('調查資料(OUT)'!AG94:AG97))</f>
        <v>0</v>
      </c>
      <c r="DE88" s="66">
        <f>IF($AD88="N","N",SUM('調查資料(OUT)'!AJ94:AJ97))</f>
        <v>0</v>
      </c>
      <c r="DF88" s="66">
        <f>IF($AD88="N","N",SUM('調查資料(OUT)'!AN94:AN97))</f>
        <v>0</v>
      </c>
      <c r="DG88" s="383" t="e">
        <f t="shared" si="192"/>
        <v>#DIV/0!</v>
      </c>
      <c r="DH88" s="66">
        <f t="shared" si="193"/>
        <v>0</v>
      </c>
      <c r="DI88" s="66">
        <f>IF($AD88="N","N",SUM('調查資料(OUT)'!AH94:AH97))</f>
        <v>0</v>
      </c>
      <c r="DJ88" s="66">
        <f>IF($AD88="N","N",SUM('調查資料(OUT)'!AK94:AK97))</f>
        <v>0</v>
      </c>
      <c r="DK88" s="66">
        <f>IF($AD88="N","N",SUM('調查資料(OUT)'!AO94:AO97))</f>
        <v>0</v>
      </c>
      <c r="DL88" s="383" t="e">
        <f t="shared" si="194"/>
        <v>#DIV/0!</v>
      </c>
      <c r="DM88" s="66">
        <f t="shared" si="195"/>
        <v>0</v>
      </c>
      <c r="DN88" s="383" t="e">
        <f t="shared" si="196"/>
        <v>#DIV/0!</v>
      </c>
      <c r="DO88" s="66">
        <f t="shared" si="197"/>
        <v>0</v>
      </c>
      <c r="DP88" s="383" t="e">
        <f t="shared" si="198"/>
        <v>#DIV/0!</v>
      </c>
      <c r="DQ88" s="66">
        <f t="shared" si="199"/>
        <v>0</v>
      </c>
      <c r="DR88" s="383" t="e">
        <f t="shared" si="200"/>
        <v>#DIV/0!</v>
      </c>
      <c r="DS88" s="316">
        <f t="shared" si="201"/>
        <v>0</v>
      </c>
    </row>
    <row r="89" spans="1:123">
      <c r="A89" s="118">
        <f>'調查資料(OUT)'!A95</f>
        <v>2100</v>
      </c>
      <c r="B89" s="309">
        <f t="shared" si="322"/>
        <v>0</v>
      </c>
      <c r="C89" s="66">
        <f>IFERROR('調查資料(OUT)'!B$1*'調查資料(OUT)'!B95,0)+IFERROR('調查資料(OUT)'!E$1*'調查資料(OUT)'!E95,0)+IFERROR('調查資料(OUT)'!H$1*'調查資料(OUT)'!H95,0)+IFERROR('調查資料(OUT)'!I$1*'調查資料(OUT)'!I95,0)</f>
        <v>0</v>
      </c>
      <c r="D89" s="66">
        <f>IFERROR('調查資料(OUT)'!C$1*'調查資料(OUT)'!C95,0)+IFERROR('調查資料(OUT)'!F$1*'調查資料(OUT)'!F95,0)+IFERROR('調查資料(OUT)'!J$1*'調查資料(OUT)'!J95,0)</f>
        <v>0</v>
      </c>
      <c r="E89" s="316">
        <f>IFERROR('調查資料(OUT)'!D$1*'調查資料(OUT)'!D95,0)+IFERROR('調查資料(OUT)'!G$1*'調查資料(OUT)'!G95,0)+IFERROR('調查資料(OUT)'!K$1*'調查資料(OUT)'!K95,0)</f>
        <v>0</v>
      </c>
      <c r="F89" s="309">
        <f t="shared" si="323"/>
        <v>0</v>
      </c>
      <c r="G89" s="66">
        <f>IFERROR('調查資料(OUT)'!L$1*'調查資料(OUT)'!L95,0)+IFERROR('調查資料(OUT)'!O$1*'調查資料(OUT)'!O95,0)+IFERROR('調查資料(OUT)'!R$1*'調查資料(OUT)'!R95,0)+IFERROR('調查資料(OUT)'!S$1*'調查資料(OUT)'!S95,0)</f>
        <v>0</v>
      </c>
      <c r="H89" s="66">
        <f>IFERROR('調查資料(OUT)'!M$1*'調查資料(OUT)'!M95,0)+IFERROR('調查資料(OUT)'!P$1*'調查資料(OUT)'!P95,0)+IFERROR('調查資料(OUT)'!T$1*'調查資料(OUT)'!T95,0)</f>
        <v>0</v>
      </c>
      <c r="I89" s="316">
        <f>IFERROR('調查資料(OUT)'!N$1*'調查資料(OUT)'!N95,0)+IFERROR('調查資料(OUT)'!Q$1*'調查資料(OUT)'!Q95,0)+IFERROR('調查資料(OUT)'!U$1*'調查資料(OUT)'!U95,0)</f>
        <v>0</v>
      </c>
      <c r="J89" s="309">
        <f t="shared" si="324"/>
        <v>0</v>
      </c>
      <c r="K89" s="66">
        <f>IFERROR('調查資料(OUT)'!V$1*'調查資料(OUT)'!V95,0)+IFERROR('調查資料(OUT)'!Y$1*'調查資料(OUT)'!Y95,0)+IFERROR('調查資料(OUT)'!AB$1*'調查資料(OUT)'!AB95,0)+IFERROR('調查資料(OUT)'!AC$1*'調查資料(OUT)'!AC95,0)</f>
        <v>0</v>
      </c>
      <c r="L89" s="66">
        <f>IFERROR('調查資料(OUT)'!W$1*'調查資料(OUT)'!W95,0)+IFERROR('調查資料(OUT)'!Z$1*'調查資料(OUT)'!Z95,0)+IFERROR('調查資料(OUT)'!AD$1*'調查資料(OUT)'!AD95,0)</f>
        <v>0</v>
      </c>
      <c r="M89" s="316">
        <f>IFERROR('調查資料(OUT)'!X$1*'調查資料(OUT)'!X95,0)+IFERROR('調查資料(OUT)'!AA$1*'調查資料(OUT)'!AA95,0)+IFERROR('調查資料(OUT)'!AE$1*'調查資料(OUT)'!AE95,0)</f>
        <v>0</v>
      </c>
      <c r="N89" s="309">
        <f t="shared" si="325"/>
        <v>0</v>
      </c>
      <c r="O89" s="66">
        <f>IFERROR('調查資料(OUT)'!AF$1*'調查資料(OUT)'!AF95,0)+IFERROR('調查資料(OUT)'!AI$1*'調查資料(OUT)'!AI95,0)+IFERROR('調查資料(OUT)'!AL$1*'調查資料(OUT)'!AL95,0)+IFERROR('調查資料(OUT)'!AM$1*'調查資料(OUT)'!AM95,0)</f>
        <v>0</v>
      </c>
      <c r="P89" s="66">
        <f>IFERROR('調查資料(OUT)'!AG$1*'調查資料(OUT)'!AG95,0)+IFERROR('調查資料(OUT)'!AJ$1*'調查資料(OUT)'!AJ95,0)+IFERROR('調查資料(OUT)'!AN$1*'調查資料(OUT)'!AN95,0)</f>
        <v>0</v>
      </c>
      <c r="Q89" s="316">
        <f>IFERROR('調查資料(OUT)'!AH$1*'調查資料(OUT)'!AH95,0)+IFERROR('調查資料(OUT)'!AK$1*'調查資料(OUT)'!AK95,0)+IFERROR('調查資料(OUT)'!AO$1*'調查資料(OUT)'!AO95,0)</f>
        <v>0</v>
      </c>
      <c r="R89" s="133">
        <f t="shared" si="326"/>
        <v>0</v>
      </c>
      <c r="T89" s="366">
        <f>'調查資料(OUT)'!A95</f>
        <v>2100</v>
      </c>
      <c r="U89" s="101">
        <f t="shared" si="149"/>
        <v>2200</v>
      </c>
      <c r="V89" s="66">
        <f t="shared" si="133"/>
        <v>0</v>
      </c>
      <c r="X89" s="66">
        <f t="shared" si="264"/>
        <v>0</v>
      </c>
      <c r="Y89" s="379" t="e">
        <f t="shared" si="268"/>
        <v>#DIV/0!</v>
      </c>
      <c r="Z89" s="379" t="e">
        <f t="shared" si="265"/>
        <v>#DIV/0!</v>
      </c>
      <c r="AA89" s="379" t="e">
        <f t="shared" si="211"/>
        <v>#DIV/0!</v>
      </c>
      <c r="AB89" s="379" t="e">
        <f t="shared" si="269"/>
        <v>#DIV/0!</v>
      </c>
      <c r="AD89" s="66">
        <f t="shared" si="266"/>
        <v>2100</v>
      </c>
      <c r="AE89" s="316">
        <f t="shared" si="270"/>
        <v>2200</v>
      </c>
      <c r="AF89" s="309">
        <f t="shared" si="267"/>
        <v>0</v>
      </c>
      <c r="AG89" s="66">
        <f>IF($AD89="N","N",SUM('調查資料(OUT)'!B95:B98))</f>
        <v>0</v>
      </c>
      <c r="AH89" s="66">
        <f>IF($AD89="N","N",SUM('調查資料(OUT)'!E95:E98))</f>
        <v>0</v>
      </c>
      <c r="AI89" s="66">
        <f>IF($AD89="N","N",SUM('調查資料(OUT)'!I95:I98))</f>
        <v>0</v>
      </c>
      <c r="AJ89" s="66">
        <f>IF($AD89="N","N",SUM('調查資料(OUT)'!H95:H98))</f>
        <v>0</v>
      </c>
      <c r="AK89" s="383" t="e">
        <f t="shared" si="151"/>
        <v>#DIV/0!</v>
      </c>
      <c r="AL89" s="66">
        <f t="shared" si="152"/>
        <v>0</v>
      </c>
      <c r="AM89" s="66">
        <f>IF($AD89="N","N",SUM('調查資料(OUT)'!C95:C98))</f>
        <v>0</v>
      </c>
      <c r="AN89" s="66">
        <f>IF($AD89="N","N",SUM('調查資料(OUT)'!F95:F98))</f>
        <v>0</v>
      </c>
      <c r="AO89" s="66">
        <f>IF($AD89="N","N",SUM('調查資料(OUT)'!J95:J98))</f>
        <v>0</v>
      </c>
      <c r="AP89" s="383" t="e">
        <f t="shared" si="153"/>
        <v>#DIV/0!</v>
      </c>
      <c r="AQ89" s="66">
        <f t="shared" si="154"/>
        <v>0</v>
      </c>
      <c r="AR89" s="66">
        <f>IF($AD89="N","N",SUM('調查資料(OUT)'!D95:D98))</f>
        <v>0</v>
      </c>
      <c r="AS89" s="66">
        <f>IF($AD89="N","N",SUM('調查資料(OUT)'!G95:G98))</f>
        <v>0</v>
      </c>
      <c r="AT89" s="66">
        <f>IF($AD89="N","N",SUM('調查資料(OUT)'!K95:K98))</f>
        <v>0</v>
      </c>
      <c r="AU89" s="383" t="e">
        <f t="shared" si="155"/>
        <v>#DIV/0!</v>
      </c>
      <c r="AV89" s="66">
        <f t="shared" si="156"/>
        <v>0</v>
      </c>
      <c r="AW89" s="383" t="e">
        <f t="shared" si="157"/>
        <v>#DIV/0!</v>
      </c>
      <c r="AX89" s="66">
        <f t="shared" si="158"/>
        <v>0</v>
      </c>
      <c r="AY89" s="383" t="e">
        <f t="shared" si="159"/>
        <v>#DIV/0!</v>
      </c>
      <c r="AZ89" s="66">
        <f t="shared" si="160"/>
        <v>0</v>
      </c>
      <c r="BA89" s="383" t="e">
        <f t="shared" si="161"/>
        <v>#DIV/0!</v>
      </c>
      <c r="BB89" s="316">
        <f t="shared" si="162"/>
        <v>0</v>
      </c>
      <c r="BC89" s="309">
        <f t="shared" si="163"/>
        <v>0</v>
      </c>
      <c r="BD89" s="66">
        <f>IF($AD89="N","N",SUM('調查資料(OUT)'!L95:L98))</f>
        <v>0</v>
      </c>
      <c r="BE89" s="66">
        <f>IF($AD89="N","N",SUM('調查資料(OUT)'!O95:O98))</f>
        <v>0</v>
      </c>
      <c r="BF89" s="66">
        <f>IF($AD89="N","N",SUM('調查資料(OUT)'!S95:S98))</f>
        <v>0</v>
      </c>
      <c r="BG89" s="66">
        <f>IF($AD89="N","N",SUM('調查資料(OUT)'!R95:R98))</f>
        <v>0</v>
      </c>
      <c r="BH89" s="383" t="e">
        <f t="shared" si="164"/>
        <v>#DIV/0!</v>
      </c>
      <c r="BI89" s="66">
        <f t="shared" si="165"/>
        <v>0</v>
      </c>
      <c r="BJ89" s="66">
        <f>IF($AD89="N","N",SUM('調查資料(OUT)'!M95:M98))</f>
        <v>0</v>
      </c>
      <c r="BK89" s="66">
        <f>IF($AD89="N","N",SUM('調查資料(OUT)'!P95:P98))</f>
        <v>0</v>
      </c>
      <c r="BL89" s="66">
        <f>IF($AD89="N","N",SUM('調查資料(OUT)'!T95:T98))</f>
        <v>0</v>
      </c>
      <c r="BM89" s="383" t="e">
        <f t="shared" si="166"/>
        <v>#DIV/0!</v>
      </c>
      <c r="BN89" s="66">
        <f t="shared" si="167"/>
        <v>0</v>
      </c>
      <c r="BO89" s="66">
        <f>IF($AD89="N","N",SUM('調查資料(OUT)'!N95:N98))</f>
        <v>0</v>
      </c>
      <c r="BP89" s="66">
        <f>IF($AD89="N","N",SUM('調查資料(OUT)'!Q95:Q98))</f>
        <v>0</v>
      </c>
      <c r="BQ89" s="66">
        <f>IF($AD89="N","N",SUM('調查資料(OUT)'!U95:U98))</f>
        <v>0</v>
      </c>
      <c r="BR89" s="383" t="e">
        <f t="shared" si="168"/>
        <v>#DIV/0!</v>
      </c>
      <c r="BS89" s="66">
        <f t="shared" si="169"/>
        <v>0</v>
      </c>
      <c r="BT89" s="383" t="e">
        <f t="shared" si="170"/>
        <v>#DIV/0!</v>
      </c>
      <c r="BU89" s="66">
        <f t="shared" si="171"/>
        <v>0</v>
      </c>
      <c r="BV89" s="383" t="e">
        <f t="shared" si="172"/>
        <v>#DIV/0!</v>
      </c>
      <c r="BW89" s="66">
        <f t="shared" si="173"/>
        <v>0</v>
      </c>
      <c r="BX89" s="383" t="e">
        <f t="shared" si="174"/>
        <v>#DIV/0!</v>
      </c>
      <c r="BY89" s="316">
        <f t="shared" si="175"/>
        <v>0</v>
      </c>
      <c r="BZ89" s="309">
        <f t="shared" si="176"/>
        <v>0</v>
      </c>
      <c r="CA89" s="66">
        <f>IF($AD89="N","N",SUM('調查資料(OUT)'!V95:V98))</f>
        <v>0</v>
      </c>
      <c r="CB89" s="66">
        <f>IF($AD89="N","N",SUM('調查資料(OUT)'!Y95:Y98))</f>
        <v>0</v>
      </c>
      <c r="CC89" s="66">
        <f>IF($AD89="N","N",SUM('調查資料(OUT)'!AC95:AC98))</f>
        <v>0</v>
      </c>
      <c r="CD89" s="66">
        <f>IF($AD89="N","N",SUM('調查資料(OUT)'!AB95:AB98))</f>
        <v>0</v>
      </c>
      <c r="CE89" s="383" t="e">
        <f t="shared" si="177"/>
        <v>#DIV/0!</v>
      </c>
      <c r="CF89" s="66">
        <f t="shared" si="178"/>
        <v>0</v>
      </c>
      <c r="CG89" s="66">
        <f>IF($AD89="N","N",SUM('調查資料(OUT)'!W95:W98))</f>
        <v>0</v>
      </c>
      <c r="CH89" s="66">
        <f>IF($AD89="N","N",SUM('調查資料(OUT)'!Z95:Z98))</f>
        <v>0</v>
      </c>
      <c r="CI89" s="66">
        <f>IF($AD89="N","N",SUM('調查資料(OUT)'!AD95:AD98))</f>
        <v>0</v>
      </c>
      <c r="CJ89" s="383" t="e">
        <f t="shared" si="179"/>
        <v>#DIV/0!</v>
      </c>
      <c r="CK89" s="66">
        <f t="shared" si="180"/>
        <v>0</v>
      </c>
      <c r="CL89" s="66">
        <f>IF($AD89="N","N",SUM('調查資料(OUT)'!X95:X98))</f>
        <v>0</v>
      </c>
      <c r="CM89" s="66">
        <f>IF($AD89="N","N",SUM('調查資料(OUT)'!AA95:AA98))</f>
        <v>0</v>
      </c>
      <c r="CN89" s="66">
        <f>IF($AD89="N","N",SUM('調查資料(OUT)'!AE95:AE98))</f>
        <v>0</v>
      </c>
      <c r="CO89" s="383" t="e">
        <f t="shared" si="181"/>
        <v>#DIV/0!</v>
      </c>
      <c r="CP89" s="66">
        <f t="shared" si="182"/>
        <v>0</v>
      </c>
      <c r="CQ89" s="383" t="e">
        <f t="shared" si="183"/>
        <v>#DIV/0!</v>
      </c>
      <c r="CR89" s="66">
        <f t="shared" si="184"/>
        <v>0</v>
      </c>
      <c r="CS89" s="383" t="e">
        <f t="shared" si="185"/>
        <v>#DIV/0!</v>
      </c>
      <c r="CT89" s="66">
        <f t="shared" si="186"/>
        <v>0</v>
      </c>
      <c r="CU89" s="383" t="e">
        <f t="shared" si="187"/>
        <v>#DIV/0!</v>
      </c>
      <c r="CV89" s="316">
        <f t="shared" si="188"/>
        <v>0</v>
      </c>
      <c r="CW89" s="309">
        <f t="shared" si="189"/>
        <v>0</v>
      </c>
      <c r="CX89" s="66">
        <f>IF($AD89="N","N",SUM('調查資料(OUT)'!AF95:AF98))</f>
        <v>0</v>
      </c>
      <c r="CY89" s="66">
        <f>IF($AD89="N","N",SUM('調查資料(OUT)'!AI95:AI98))</f>
        <v>0</v>
      </c>
      <c r="CZ89" s="66">
        <f>IF($AD89="N","N",SUM('調查資料(OUT)'!AM95:AM98))</f>
        <v>0</v>
      </c>
      <c r="DA89" s="66">
        <f>IF($AD89="N","N",SUM('調查資料(OUT)'!AL95:AL98))</f>
        <v>0</v>
      </c>
      <c r="DB89" s="383" t="e">
        <f t="shared" si="190"/>
        <v>#DIV/0!</v>
      </c>
      <c r="DC89" s="66">
        <f t="shared" si="191"/>
        <v>0</v>
      </c>
      <c r="DD89" s="66">
        <f>IF($AD89="N","N",SUM('調查資料(OUT)'!AG95:AG98))</f>
        <v>0</v>
      </c>
      <c r="DE89" s="66">
        <f>IF($AD89="N","N",SUM('調查資料(OUT)'!AJ95:AJ98))</f>
        <v>0</v>
      </c>
      <c r="DF89" s="66">
        <f>IF($AD89="N","N",SUM('調查資料(OUT)'!AN95:AN98))</f>
        <v>0</v>
      </c>
      <c r="DG89" s="383" t="e">
        <f t="shared" si="192"/>
        <v>#DIV/0!</v>
      </c>
      <c r="DH89" s="66">
        <f t="shared" si="193"/>
        <v>0</v>
      </c>
      <c r="DI89" s="66">
        <f>IF($AD89="N","N",SUM('調查資料(OUT)'!AH95:AH98))</f>
        <v>0</v>
      </c>
      <c r="DJ89" s="66">
        <f>IF($AD89="N","N",SUM('調查資料(OUT)'!AK95:AK98))</f>
        <v>0</v>
      </c>
      <c r="DK89" s="66">
        <f>IF($AD89="N","N",SUM('調查資料(OUT)'!AO95:AO98))</f>
        <v>0</v>
      </c>
      <c r="DL89" s="383" t="e">
        <f t="shared" si="194"/>
        <v>#DIV/0!</v>
      </c>
      <c r="DM89" s="66">
        <f t="shared" si="195"/>
        <v>0</v>
      </c>
      <c r="DN89" s="383" t="e">
        <f t="shared" si="196"/>
        <v>#DIV/0!</v>
      </c>
      <c r="DO89" s="66">
        <f t="shared" si="197"/>
        <v>0</v>
      </c>
      <c r="DP89" s="383" t="e">
        <f t="shared" si="198"/>
        <v>#DIV/0!</v>
      </c>
      <c r="DQ89" s="66">
        <f t="shared" si="199"/>
        <v>0</v>
      </c>
      <c r="DR89" s="383" t="e">
        <f t="shared" si="200"/>
        <v>#DIV/0!</v>
      </c>
      <c r="DS89" s="316">
        <f t="shared" si="201"/>
        <v>0</v>
      </c>
    </row>
    <row r="90" spans="1:123">
      <c r="A90" s="118">
        <f>'調查資料(OUT)'!A96</f>
        <v>2115</v>
      </c>
      <c r="B90" s="309">
        <f t="shared" si="322"/>
        <v>0</v>
      </c>
      <c r="C90" s="66">
        <f>IFERROR('調查資料(OUT)'!B$1*'調查資料(OUT)'!B96,0)+IFERROR('調查資料(OUT)'!E$1*'調查資料(OUT)'!E96,0)+IFERROR('調查資料(OUT)'!H$1*'調查資料(OUT)'!H96,0)+IFERROR('調查資料(OUT)'!I$1*'調查資料(OUT)'!I96,0)</f>
        <v>0</v>
      </c>
      <c r="D90" s="66">
        <f>IFERROR('調查資料(OUT)'!C$1*'調查資料(OUT)'!C96,0)+IFERROR('調查資料(OUT)'!F$1*'調查資料(OUT)'!F96,0)+IFERROR('調查資料(OUT)'!J$1*'調查資料(OUT)'!J96,0)</f>
        <v>0</v>
      </c>
      <c r="E90" s="316">
        <f>IFERROR('調查資料(OUT)'!D$1*'調查資料(OUT)'!D96,0)+IFERROR('調查資料(OUT)'!G$1*'調查資料(OUT)'!G96,0)+IFERROR('調查資料(OUT)'!K$1*'調查資料(OUT)'!K96,0)</f>
        <v>0</v>
      </c>
      <c r="F90" s="309">
        <f t="shared" si="323"/>
        <v>0</v>
      </c>
      <c r="G90" s="66">
        <f>IFERROR('調查資料(OUT)'!L$1*'調查資料(OUT)'!L96,0)+IFERROR('調查資料(OUT)'!O$1*'調查資料(OUT)'!O96,0)+IFERROR('調查資料(OUT)'!R$1*'調查資料(OUT)'!R96,0)+IFERROR('調查資料(OUT)'!S$1*'調查資料(OUT)'!S96,0)</f>
        <v>0</v>
      </c>
      <c r="H90" s="66">
        <f>IFERROR('調查資料(OUT)'!M$1*'調查資料(OUT)'!M96,0)+IFERROR('調查資料(OUT)'!P$1*'調查資料(OUT)'!P96,0)+IFERROR('調查資料(OUT)'!T$1*'調查資料(OUT)'!T96,0)</f>
        <v>0</v>
      </c>
      <c r="I90" s="316">
        <f>IFERROR('調查資料(OUT)'!N$1*'調查資料(OUT)'!N96,0)+IFERROR('調查資料(OUT)'!Q$1*'調查資料(OUT)'!Q96,0)+IFERROR('調查資料(OUT)'!U$1*'調查資料(OUT)'!U96,0)</f>
        <v>0</v>
      </c>
      <c r="J90" s="309">
        <f t="shared" si="324"/>
        <v>0</v>
      </c>
      <c r="K90" s="66">
        <f>IFERROR('調查資料(OUT)'!V$1*'調查資料(OUT)'!V96,0)+IFERROR('調查資料(OUT)'!Y$1*'調查資料(OUT)'!Y96,0)+IFERROR('調查資料(OUT)'!AB$1*'調查資料(OUT)'!AB96,0)+IFERROR('調查資料(OUT)'!AC$1*'調查資料(OUT)'!AC96,0)</f>
        <v>0</v>
      </c>
      <c r="L90" s="66">
        <f>IFERROR('調查資料(OUT)'!W$1*'調查資料(OUT)'!W96,0)+IFERROR('調查資料(OUT)'!Z$1*'調查資料(OUT)'!Z96,0)+IFERROR('調查資料(OUT)'!AD$1*'調查資料(OUT)'!AD96,0)</f>
        <v>0</v>
      </c>
      <c r="M90" s="316">
        <f>IFERROR('調查資料(OUT)'!X$1*'調查資料(OUT)'!X96,0)+IFERROR('調查資料(OUT)'!AA$1*'調查資料(OUT)'!AA96,0)+IFERROR('調查資料(OUT)'!AE$1*'調查資料(OUT)'!AE96,0)</f>
        <v>0</v>
      </c>
      <c r="N90" s="309">
        <f t="shared" si="325"/>
        <v>0</v>
      </c>
      <c r="O90" s="66">
        <f>IFERROR('調查資料(OUT)'!AF$1*'調查資料(OUT)'!AF96,0)+IFERROR('調查資料(OUT)'!AI$1*'調查資料(OUT)'!AI96,0)+IFERROR('調查資料(OUT)'!AL$1*'調查資料(OUT)'!AL96,0)+IFERROR('調查資料(OUT)'!AM$1*'調查資料(OUT)'!AM96,0)</f>
        <v>0</v>
      </c>
      <c r="P90" s="66">
        <f>IFERROR('調查資料(OUT)'!AG$1*'調查資料(OUT)'!AG96,0)+IFERROR('調查資料(OUT)'!AJ$1*'調查資料(OUT)'!AJ96,0)+IFERROR('調查資料(OUT)'!AN$1*'調查資料(OUT)'!AN96,0)</f>
        <v>0</v>
      </c>
      <c r="Q90" s="316">
        <f>IFERROR('調查資料(OUT)'!AH$1*'調查資料(OUT)'!AH96,0)+IFERROR('調查資料(OUT)'!AK$1*'調查資料(OUT)'!AK96,0)+IFERROR('調查資料(OUT)'!AO$1*'調查資料(OUT)'!AO96,0)</f>
        <v>0</v>
      </c>
      <c r="R90" s="133">
        <f t="shared" si="326"/>
        <v>0</v>
      </c>
      <c r="T90" s="366">
        <f>'調查資料(OUT)'!A96</f>
        <v>2115</v>
      </c>
      <c r="U90" s="101">
        <f t="shared" si="149"/>
        <v>2215</v>
      </c>
      <c r="V90" s="66">
        <f t="shared" si="133"/>
        <v>0</v>
      </c>
      <c r="X90" s="66">
        <f t="shared" si="264"/>
        <v>0</v>
      </c>
      <c r="Y90" s="379" t="e">
        <f t="shared" si="268"/>
        <v>#DIV/0!</v>
      </c>
      <c r="Z90" s="379" t="e">
        <f t="shared" si="265"/>
        <v>#DIV/0!</v>
      </c>
      <c r="AA90" s="379" t="e">
        <f t="shared" si="211"/>
        <v>#DIV/0!</v>
      </c>
      <c r="AB90" s="379" t="e">
        <f t="shared" si="269"/>
        <v>#DIV/0!</v>
      </c>
      <c r="AD90" s="66">
        <f t="shared" si="266"/>
        <v>2115</v>
      </c>
      <c r="AE90" s="316">
        <f t="shared" si="270"/>
        <v>2215</v>
      </c>
      <c r="AF90" s="309">
        <f t="shared" si="267"/>
        <v>0</v>
      </c>
      <c r="AG90" s="66">
        <f>IF($AD90="N","N",SUM('調查資料(OUT)'!B96:B99))</f>
        <v>0</v>
      </c>
      <c r="AH90" s="66">
        <f>IF($AD90="N","N",SUM('調查資料(OUT)'!E96:E99))</f>
        <v>0</v>
      </c>
      <c r="AI90" s="66">
        <f>IF($AD90="N","N",SUM('調查資料(OUT)'!I96:I99))</f>
        <v>0</v>
      </c>
      <c r="AJ90" s="66">
        <f>IF($AD90="N","N",SUM('調查資料(OUT)'!H96:H99))</f>
        <v>0</v>
      </c>
      <c r="AK90" s="383" t="e">
        <f t="shared" si="151"/>
        <v>#DIV/0!</v>
      </c>
      <c r="AL90" s="66">
        <f t="shared" si="152"/>
        <v>0</v>
      </c>
      <c r="AM90" s="66">
        <f>IF($AD90="N","N",SUM('調查資料(OUT)'!C96:C99))</f>
        <v>0</v>
      </c>
      <c r="AN90" s="66">
        <f>IF($AD90="N","N",SUM('調查資料(OUT)'!F96:F99))</f>
        <v>0</v>
      </c>
      <c r="AO90" s="66">
        <f>IF($AD90="N","N",SUM('調查資料(OUT)'!J96:J99))</f>
        <v>0</v>
      </c>
      <c r="AP90" s="383" t="e">
        <f t="shared" si="153"/>
        <v>#DIV/0!</v>
      </c>
      <c r="AQ90" s="66">
        <f t="shared" si="154"/>
        <v>0</v>
      </c>
      <c r="AR90" s="66">
        <f>IF($AD90="N","N",SUM('調查資料(OUT)'!D96:D99))</f>
        <v>0</v>
      </c>
      <c r="AS90" s="66">
        <f>IF($AD90="N","N",SUM('調查資料(OUT)'!G96:G99))</f>
        <v>0</v>
      </c>
      <c r="AT90" s="66">
        <f>IF($AD90="N","N",SUM('調查資料(OUT)'!K96:K99))</f>
        <v>0</v>
      </c>
      <c r="AU90" s="383" t="e">
        <f t="shared" si="155"/>
        <v>#DIV/0!</v>
      </c>
      <c r="AV90" s="66">
        <f t="shared" si="156"/>
        <v>0</v>
      </c>
      <c r="AW90" s="383" t="e">
        <f t="shared" si="157"/>
        <v>#DIV/0!</v>
      </c>
      <c r="AX90" s="66">
        <f t="shared" si="158"/>
        <v>0</v>
      </c>
      <c r="AY90" s="383" t="e">
        <f t="shared" si="159"/>
        <v>#DIV/0!</v>
      </c>
      <c r="AZ90" s="66">
        <f t="shared" si="160"/>
        <v>0</v>
      </c>
      <c r="BA90" s="383" t="e">
        <f t="shared" si="161"/>
        <v>#DIV/0!</v>
      </c>
      <c r="BB90" s="316">
        <f t="shared" si="162"/>
        <v>0</v>
      </c>
      <c r="BC90" s="309">
        <f t="shared" si="163"/>
        <v>0</v>
      </c>
      <c r="BD90" s="66">
        <f>IF($AD90="N","N",SUM('調查資料(OUT)'!L96:L99))</f>
        <v>0</v>
      </c>
      <c r="BE90" s="66">
        <f>IF($AD90="N","N",SUM('調查資料(OUT)'!O96:O99))</f>
        <v>0</v>
      </c>
      <c r="BF90" s="66">
        <f>IF($AD90="N","N",SUM('調查資料(OUT)'!S96:S99))</f>
        <v>0</v>
      </c>
      <c r="BG90" s="66">
        <f>IF($AD90="N","N",SUM('調查資料(OUT)'!R96:R99))</f>
        <v>0</v>
      </c>
      <c r="BH90" s="383" t="e">
        <f t="shared" si="164"/>
        <v>#DIV/0!</v>
      </c>
      <c r="BI90" s="66">
        <f t="shared" si="165"/>
        <v>0</v>
      </c>
      <c r="BJ90" s="66">
        <f>IF($AD90="N","N",SUM('調查資料(OUT)'!M96:M99))</f>
        <v>0</v>
      </c>
      <c r="BK90" s="66">
        <f>IF($AD90="N","N",SUM('調查資料(OUT)'!P96:P99))</f>
        <v>0</v>
      </c>
      <c r="BL90" s="66">
        <f>IF($AD90="N","N",SUM('調查資料(OUT)'!T96:T99))</f>
        <v>0</v>
      </c>
      <c r="BM90" s="383" t="e">
        <f t="shared" si="166"/>
        <v>#DIV/0!</v>
      </c>
      <c r="BN90" s="66">
        <f t="shared" si="167"/>
        <v>0</v>
      </c>
      <c r="BO90" s="66">
        <f>IF($AD90="N","N",SUM('調查資料(OUT)'!N96:N99))</f>
        <v>0</v>
      </c>
      <c r="BP90" s="66">
        <f>IF($AD90="N","N",SUM('調查資料(OUT)'!Q96:Q99))</f>
        <v>0</v>
      </c>
      <c r="BQ90" s="66">
        <f>IF($AD90="N","N",SUM('調查資料(OUT)'!U96:U99))</f>
        <v>0</v>
      </c>
      <c r="BR90" s="383" t="e">
        <f t="shared" si="168"/>
        <v>#DIV/0!</v>
      </c>
      <c r="BS90" s="66">
        <f t="shared" si="169"/>
        <v>0</v>
      </c>
      <c r="BT90" s="383" t="e">
        <f t="shared" si="170"/>
        <v>#DIV/0!</v>
      </c>
      <c r="BU90" s="66">
        <f t="shared" si="171"/>
        <v>0</v>
      </c>
      <c r="BV90" s="383" t="e">
        <f t="shared" si="172"/>
        <v>#DIV/0!</v>
      </c>
      <c r="BW90" s="66">
        <f t="shared" si="173"/>
        <v>0</v>
      </c>
      <c r="BX90" s="383" t="e">
        <f t="shared" si="174"/>
        <v>#DIV/0!</v>
      </c>
      <c r="BY90" s="316">
        <f t="shared" si="175"/>
        <v>0</v>
      </c>
      <c r="BZ90" s="309">
        <f t="shared" si="176"/>
        <v>0</v>
      </c>
      <c r="CA90" s="66">
        <f>IF($AD90="N","N",SUM('調查資料(OUT)'!V96:V99))</f>
        <v>0</v>
      </c>
      <c r="CB90" s="66">
        <f>IF($AD90="N","N",SUM('調查資料(OUT)'!Y96:Y99))</f>
        <v>0</v>
      </c>
      <c r="CC90" s="66">
        <f>IF($AD90="N","N",SUM('調查資料(OUT)'!AC96:AC99))</f>
        <v>0</v>
      </c>
      <c r="CD90" s="66">
        <f>IF($AD90="N","N",SUM('調查資料(OUT)'!AB96:AB99))</f>
        <v>0</v>
      </c>
      <c r="CE90" s="383" t="e">
        <f t="shared" si="177"/>
        <v>#DIV/0!</v>
      </c>
      <c r="CF90" s="66">
        <f t="shared" si="178"/>
        <v>0</v>
      </c>
      <c r="CG90" s="66">
        <f>IF($AD90="N","N",SUM('調查資料(OUT)'!W96:W99))</f>
        <v>0</v>
      </c>
      <c r="CH90" s="66">
        <f>IF($AD90="N","N",SUM('調查資料(OUT)'!Z96:Z99))</f>
        <v>0</v>
      </c>
      <c r="CI90" s="66">
        <f>IF($AD90="N","N",SUM('調查資料(OUT)'!AD96:AD99))</f>
        <v>0</v>
      </c>
      <c r="CJ90" s="383" t="e">
        <f t="shared" si="179"/>
        <v>#DIV/0!</v>
      </c>
      <c r="CK90" s="66">
        <f t="shared" si="180"/>
        <v>0</v>
      </c>
      <c r="CL90" s="66">
        <f>IF($AD90="N","N",SUM('調查資料(OUT)'!X96:X99))</f>
        <v>0</v>
      </c>
      <c r="CM90" s="66">
        <f>IF($AD90="N","N",SUM('調查資料(OUT)'!AA96:AA99))</f>
        <v>0</v>
      </c>
      <c r="CN90" s="66">
        <f>IF($AD90="N","N",SUM('調查資料(OUT)'!AE96:AE99))</f>
        <v>0</v>
      </c>
      <c r="CO90" s="383" t="e">
        <f t="shared" si="181"/>
        <v>#DIV/0!</v>
      </c>
      <c r="CP90" s="66">
        <f t="shared" si="182"/>
        <v>0</v>
      </c>
      <c r="CQ90" s="383" t="e">
        <f t="shared" si="183"/>
        <v>#DIV/0!</v>
      </c>
      <c r="CR90" s="66">
        <f t="shared" si="184"/>
        <v>0</v>
      </c>
      <c r="CS90" s="383" t="e">
        <f t="shared" si="185"/>
        <v>#DIV/0!</v>
      </c>
      <c r="CT90" s="66">
        <f t="shared" si="186"/>
        <v>0</v>
      </c>
      <c r="CU90" s="383" t="e">
        <f t="shared" si="187"/>
        <v>#DIV/0!</v>
      </c>
      <c r="CV90" s="316">
        <f t="shared" si="188"/>
        <v>0</v>
      </c>
      <c r="CW90" s="309">
        <f t="shared" si="189"/>
        <v>0</v>
      </c>
      <c r="CX90" s="66">
        <f>IF($AD90="N","N",SUM('調查資料(OUT)'!AF96:AF99))</f>
        <v>0</v>
      </c>
      <c r="CY90" s="66">
        <f>IF($AD90="N","N",SUM('調查資料(OUT)'!AI96:AI99))</f>
        <v>0</v>
      </c>
      <c r="CZ90" s="66">
        <f>IF($AD90="N","N",SUM('調查資料(OUT)'!AM96:AM99))</f>
        <v>0</v>
      </c>
      <c r="DA90" s="66">
        <f>IF($AD90="N","N",SUM('調查資料(OUT)'!AL96:AL99))</f>
        <v>0</v>
      </c>
      <c r="DB90" s="383" t="e">
        <f t="shared" si="190"/>
        <v>#DIV/0!</v>
      </c>
      <c r="DC90" s="66">
        <f t="shared" si="191"/>
        <v>0</v>
      </c>
      <c r="DD90" s="66">
        <f>IF($AD90="N","N",SUM('調查資料(OUT)'!AG96:AG99))</f>
        <v>0</v>
      </c>
      <c r="DE90" s="66">
        <f>IF($AD90="N","N",SUM('調查資料(OUT)'!AJ96:AJ99))</f>
        <v>0</v>
      </c>
      <c r="DF90" s="66">
        <f>IF($AD90="N","N",SUM('調查資料(OUT)'!AN96:AN99))</f>
        <v>0</v>
      </c>
      <c r="DG90" s="383" t="e">
        <f t="shared" si="192"/>
        <v>#DIV/0!</v>
      </c>
      <c r="DH90" s="66">
        <f t="shared" si="193"/>
        <v>0</v>
      </c>
      <c r="DI90" s="66">
        <f>IF($AD90="N","N",SUM('調查資料(OUT)'!AH96:AH99))</f>
        <v>0</v>
      </c>
      <c r="DJ90" s="66">
        <f>IF($AD90="N","N",SUM('調查資料(OUT)'!AK96:AK99))</f>
        <v>0</v>
      </c>
      <c r="DK90" s="66">
        <f>IF($AD90="N","N",SUM('調查資料(OUT)'!AO96:AO99))</f>
        <v>0</v>
      </c>
      <c r="DL90" s="383" t="e">
        <f t="shared" si="194"/>
        <v>#DIV/0!</v>
      </c>
      <c r="DM90" s="66">
        <f t="shared" si="195"/>
        <v>0</v>
      </c>
      <c r="DN90" s="383" t="e">
        <f t="shared" si="196"/>
        <v>#DIV/0!</v>
      </c>
      <c r="DO90" s="66">
        <f t="shared" si="197"/>
        <v>0</v>
      </c>
      <c r="DP90" s="383" t="e">
        <f t="shared" si="198"/>
        <v>#DIV/0!</v>
      </c>
      <c r="DQ90" s="66">
        <f t="shared" si="199"/>
        <v>0</v>
      </c>
      <c r="DR90" s="383" t="e">
        <f t="shared" si="200"/>
        <v>#DIV/0!</v>
      </c>
      <c r="DS90" s="316">
        <f t="shared" si="201"/>
        <v>0</v>
      </c>
    </row>
    <row r="91" spans="1:123">
      <c r="A91" s="118">
        <f>'調查資料(OUT)'!A97</f>
        <v>2130</v>
      </c>
      <c r="B91" s="309">
        <f t="shared" si="322"/>
        <v>0</v>
      </c>
      <c r="C91" s="66">
        <f>IFERROR('調查資料(OUT)'!B$1*'調查資料(OUT)'!B97,0)+IFERROR('調查資料(OUT)'!E$1*'調查資料(OUT)'!E97,0)+IFERROR('調查資料(OUT)'!H$1*'調查資料(OUT)'!H97,0)+IFERROR('調查資料(OUT)'!I$1*'調查資料(OUT)'!I97,0)</f>
        <v>0</v>
      </c>
      <c r="D91" s="66">
        <f>IFERROR('調查資料(OUT)'!C$1*'調查資料(OUT)'!C97,0)+IFERROR('調查資料(OUT)'!F$1*'調查資料(OUT)'!F97,0)+IFERROR('調查資料(OUT)'!J$1*'調查資料(OUT)'!J97,0)</f>
        <v>0</v>
      </c>
      <c r="E91" s="316">
        <f>IFERROR('調查資料(OUT)'!D$1*'調查資料(OUT)'!D97,0)+IFERROR('調查資料(OUT)'!G$1*'調查資料(OUT)'!G97,0)+IFERROR('調查資料(OUT)'!K$1*'調查資料(OUT)'!K97,0)</f>
        <v>0</v>
      </c>
      <c r="F91" s="309">
        <f t="shared" si="323"/>
        <v>0</v>
      </c>
      <c r="G91" s="66">
        <f>IFERROR('調查資料(OUT)'!L$1*'調查資料(OUT)'!L97,0)+IFERROR('調查資料(OUT)'!O$1*'調查資料(OUT)'!O97,0)+IFERROR('調查資料(OUT)'!R$1*'調查資料(OUT)'!R97,0)+IFERROR('調查資料(OUT)'!S$1*'調查資料(OUT)'!S97,0)</f>
        <v>0</v>
      </c>
      <c r="H91" s="66">
        <f>IFERROR('調查資料(OUT)'!M$1*'調查資料(OUT)'!M97,0)+IFERROR('調查資料(OUT)'!P$1*'調查資料(OUT)'!P97,0)+IFERROR('調查資料(OUT)'!T$1*'調查資料(OUT)'!T97,0)</f>
        <v>0</v>
      </c>
      <c r="I91" s="316">
        <f>IFERROR('調查資料(OUT)'!N$1*'調查資料(OUT)'!N97,0)+IFERROR('調查資料(OUT)'!Q$1*'調查資料(OUT)'!Q97,0)+IFERROR('調查資料(OUT)'!U$1*'調查資料(OUT)'!U97,0)</f>
        <v>0</v>
      </c>
      <c r="J91" s="309">
        <f t="shared" si="324"/>
        <v>0</v>
      </c>
      <c r="K91" s="66">
        <f>IFERROR('調查資料(OUT)'!V$1*'調查資料(OUT)'!V97,0)+IFERROR('調查資料(OUT)'!Y$1*'調查資料(OUT)'!Y97,0)+IFERROR('調查資料(OUT)'!AB$1*'調查資料(OUT)'!AB97,0)+IFERROR('調查資料(OUT)'!AC$1*'調查資料(OUT)'!AC97,0)</f>
        <v>0</v>
      </c>
      <c r="L91" s="66">
        <f>IFERROR('調查資料(OUT)'!W$1*'調查資料(OUT)'!W97,0)+IFERROR('調查資料(OUT)'!Z$1*'調查資料(OUT)'!Z97,0)+IFERROR('調查資料(OUT)'!AD$1*'調查資料(OUT)'!AD97,0)</f>
        <v>0</v>
      </c>
      <c r="M91" s="316">
        <f>IFERROR('調查資料(OUT)'!X$1*'調查資料(OUT)'!X97,0)+IFERROR('調查資料(OUT)'!AA$1*'調查資料(OUT)'!AA97,0)+IFERROR('調查資料(OUT)'!AE$1*'調查資料(OUT)'!AE97,0)</f>
        <v>0</v>
      </c>
      <c r="N91" s="309">
        <f t="shared" si="325"/>
        <v>0</v>
      </c>
      <c r="O91" s="66">
        <f>IFERROR('調查資料(OUT)'!AF$1*'調查資料(OUT)'!AF97,0)+IFERROR('調查資料(OUT)'!AI$1*'調查資料(OUT)'!AI97,0)+IFERROR('調查資料(OUT)'!AL$1*'調查資料(OUT)'!AL97,0)+IFERROR('調查資料(OUT)'!AM$1*'調查資料(OUT)'!AM97,0)</f>
        <v>0</v>
      </c>
      <c r="P91" s="66">
        <f>IFERROR('調查資料(OUT)'!AG$1*'調查資料(OUT)'!AG97,0)+IFERROR('調查資料(OUT)'!AJ$1*'調查資料(OUT)'!AJ97,0)+IFERROR('調查資料(OUT)'!AN$1*'調查資料(OUT)'!AN97,0)</f>
        <v>0</v>
      </c>
      <c r="Q91" s="316">
        <f>IFERROR('調查資料(OUT)'!AH$1*'調查資料(OUT)'!AH97,0)+IFERROR('調查資料(OUT)'!AK$1*'調查資料(OUT)'!AK97,0)+IFERROR('調查資料(OUT)'!AO$1*'調查資料(OUT)'!AO97,0)</f>
        <v>0</v>
      </c>
      <c r="R91" s="133">
        <f t="shared" si="326"/>
        <v>0</v>
      </c>
      <c r="T91" s="366">
        <f>'調查資料(OUT)'!A97</f>
        <v>2130</v>
      </c>
      <c r="U91" s="101">
        <f t="shared" si="149"/>
        <v>2230</v>
      </c>
      <c r="V91" s="66">
        <f t="shared" si="133"/>
        <v>0</v>
      </c>
      <c r="X91" s="66">
        <f t="shared" si="264"/>
        <v>0</v>
      </c>
      <c r="Y91" s="379" t="e">
        <f t="shared" si="268"/>
        <v>#DIV/0!</v>
      </c>
      <c r="Z91" s="379" t="e">
        <f t="shared" si="265"/>
        <v>#DIV/0!</v>
      </c>
      <c r="AA91" s="379" t="e">
        <f t="shared" si="211"/>
        <v>#DIV/0!</v>
      </c>
      <c r="AB91" s="379" t="e">
        <f t="shared" si="269"/>
        <v>#DIV/0!</v>
      </c>
      <c r="AD91" s="66">
        <f t="shared" si="266"/>
        <v>2130</v>
      </c>
      <c r="AE91" s="316">
        <f t="shared" si="270"/>
        <v>2230</v>
      </c>
      <c r="AF91" s="309">
        <f t="shared" si="267"/>
        <v>0</v>
      </c>
      <c r="AG91" s="66">
        <f>IF($AD91="N","N",SUM('調查資料(OUT)'!B97:B100))</f>
        <v>0</v>
      </c>
      <c r="AH91" s="66">
        <f>IF($AD91="N","N",SUM('調查資料(OUT)'!E97:E100))</f>
        <v>0</v>
      </c>
      <c r="AI91" s="66">
        <f>IF($AD91="N","N",SUM('調查資料(OUT)'!I97:I100))</f>
        <v>0</v>
      </c>
      <c r="AJ91" s="66">
        <f>IF($AD91="N","N",SUM('調查資料(OUT)'!H97:H100))</f>
        <v>0</v>
      </c>
      <c r="AK91" s="383" t="e">
        <f t="shared" si="151"/>
        <v>#DIV/0!</v>
      </c>
      <c r="AL91" s="66">
        <f t="shared" si="152"/>
        <v>0</v>
      </c>
      <c r="AM91" s="66">
        <f>IF($AD91="N","N",SUM('調查資料(OUT)'!C97:C100))</f>
        <v>0</v>
      </c>
      <c r="AN91" s="66">
        <f>IF($AD91="N","N",SUM('調查資料(OUT)'!F97:F100))</f>
        <v>0</v>
      </c>
      <c r="AO91" s="66">
        <f>IF($AD91="N","N",SUM('調查資料(OUT)'!J97:J100))</f>
        <v>0</v>
      </c>
      <c r="AP91" s="383" t="e">
        <f t="shared" si="153"/>
        <v>#DIV/0!</v>
      </c>
      <c r="AQ91" s="66">
        <f t="shared" si="154"/>
        <v>0</v>
      </c>
      <c r="AR91" s="66">
        <f>IF($AD91="N","N",SUM('調查資料(OUT)'!D97:D100))</f>
        <v>0</v>
      </c>
      <c r="AS91" s="66">
        <f>IF($AD91="N","N",SUM('調查資料(OUT)'!G97:G100))</f>
        <v>0</v>
      </c>
      <c r="AT91" s="66">
        <f>IF($AD91="N","N",SUM('調查資料(OUT)'!K97:K100))</f>
        <v>0</v>
      </c>
      <c r="AU91" s="383" t="e">
        <f t="shared" si="155"/>
        <v>#DIV/0!</v>
      </c>
      <c r="AV91" s="66">
        <f t="shared" si="156"/>
        <v>0</v>
      </c>
      <c r="AW91" s="383" t="e">
        <f t="shared" si="157"/>
        <v>#DIV/0!</v>
      </c>
      <c r="AX91" s="66">
        <f t="shared" si="158"/>
        <v>0</v>
      </c>
      <c r="AY91" s="383" t="e">
        <f t="shared" si="159"/>
        <v>#DIV/0!</v>
      </c>
      <c r="AZ91" s="66">
        <f t="shared" si="160"/>
        <v>0</v>
      </c>
      <c r="BA91" s="383" t="e">
        <f t="shared" si="161"/>
        <v>#DIV/0!</v>
      </c>
      <c r="BB91" s="316">
        <f t="shared" si="162"/>
        <v>0</v>
      </c>
      <c r="BC91" s="309">
        <f t="shared" si="163"/>
        <v>0</v>
      </c>
      <c r="BD91" s="66">
        <f>IF($AD91="N","N",SUM('調查資料(OUT)'!L97:L100))</f>
        <v>0</v>
      </c>
      <c r="BE91" s="66">
        <f>IF($AD91="N","N",SUM('調查資料(OUT)'!O97:O100))</f>
        <v>0</v>
      </c>
      <c r="BF91" s="66">
        <f>IF($AD91="N","N",SUM('調查資料(OUT)'!S97:S100))</f>
        <v>0</v>
      </c>
      <c r="BG91" s="66">
        <f>IF($AD91="N","N",SUM('調查資料(OUT)'!R97:R100))</f>
        <v>0</v>
      </c>
      <c r="BH91" s="383" t="e">
        <f t="shared" si="164"/>
        <v>#DIV/0!</v>
      </c>
      <c r="BI91" s="66">
        <f t="shared" si="165"/>
        <v>0</v>
      </c>
      <c r="BJ91" s="66">
        <f>IF($AD91="N","N",SUM('調查資料(OUT)'!M97:M100))</f>
        <v>0</v>
      </c>
      <c r="BK91" s="66">
        <f>IF($AD91="N","N",SUM('調查資料(OUT)'!P97:P100))</f>
        <v>0</v>
      </c>
      <c r="BL91" s="66">
        <f>IF($AD91="N","N",SUM('調查資料(OUT)'!T97:T100))</f>
        <v>0</v>
      </c>
      <c r="BM91" s="383" t="e">
        <f t="shared" si="166"/>
        <v>#DIV/0!</v>
      </c>
      <c r="BN91" s="66">
        <f t="shared" si="167"/>
        <v>0</v>
      </c>
      <c r="BO91" s="66">
        <f>IF($AD91="N","N",SUM('調查資料(OUT)'!N97:N100))</f>
        <v>0</v>
      </c>
      <c r="BP91" s="66">
        <f>IF($AD91="N","N",SUM('調查資料(OUT)'!Q97:Q100))</f>
        <v>0</v>
      </c>
      <c r="BQ91" s="66">
        <f>IF($AD91="N","N",SUM('調查資料(OUT)'!U97:U100))</f>
        <v>0</v>
      </c>
      <c r="BR91" s="383" t="e">
        <f t="shared" si="168"/>
        <v>#DIV/0!</v>
      </c>
      <c r="BS91" s="66">
        <f t="shared" si="169"/>
        <v>0</v>
      </c>
      <c r="BT91" s="383" t="e">
        <f t="shared" si="170"/>
        <v>#DIV/0!</v>
      </c>
      <c r="BU91" s="66">
        <f t="shared" si="171"/>
        <v>0</v>
      </c>
      <c r="BV91" s="383" t="e">
        <f t="shared" si="172"/>
        <v>#DIV/0!</v>
      </c>
      <c r="BW91" s="66">
        <f t="shared" si="173"/>
        <v>0</v>
      </c>
      <c r="BX91" s="383" t="e">
        <f t="shared" si="174"/>
        <v>#DIV/0!</v>
      </c>
      <c r="BY91" s="316">
        <f t="shared" si="175"/>
        <v>0</v>
      </c>
      <c r="BZ91" s="309">
        <f t="shared" si="176"/>
        <v>0</v>
      </c>
      <c r="CA91" s="66">
        <f>IF($AD91="N","N",SUM('調查資料(OUT)'!V97:V100))</f>
        <v>0</v>
      </c>
      <c r="CB91" s="66">
        <f>IF($AD91="N","N",SUM('調查資料(OUT)'!Y97:Y100))</f>
        <v>0</v>
      </c>
      <c r="CC91" s="66">
        <f>IF($AD91="N","N",SUM('調查資料(OUT)'!AC97:AC100))</f>
        <v>0</v>
      </c>
      <c r="CD91" s="66">
        <f>IF($AD91="N","N",SUM('調查資料(OUT)'!AB97:AB100))</f>
        <v>0</v>
      </c>
      <c r="CE91" s="383" t="e">
        <f t="shared" si="177"/>
        <v>#DIV/0!</v>
      </c>
      <c r="CF91" s="66">
        <f t="shared" si="178"/>
        <v>0</v>
      </c>
      <c r="CG91" s="66">
        <f>IF($AD91="N","N",SUM('調查資料(OUT)'!W97:W100))</f>
        <v>0</v>
      </c>
      <c r="CH91" s="66">
        <f>IF($AD91="N","N",SUM('調查資料(OUT)'!Z97:Z100))</f>
        <v>0</v>
      </c>
      <c r="CI91" s="66">
        <f>IF($AD91="N","N",SUM('調查資料(OUT)'!AD97:AD100))</f>
        <v>0</v>
      </c>
      <c r="CJ91" s="383" t="e">
        <f t="shared" si="179"/>
        <v>#DIV/0!</v>
      </c>
      <c r="CK91" s="66">
        <f t="shared" si="180"/>
        <v>0</v>
      </c>
      <c r="CL91" s="66">
        <f>IF($AD91="N","N",SUM('調查資料(OUT)'!X97:X100))</f>
        <v>0</v>
      </c>
      <c r="CM91" s="66">
        <f>IF($AD91="N","N",SUM('調查資料(OUT)'!AA97:AA100))</f>
        <v>0</v>
      </c>
      <c r="CN91" s="66">
        <f>IF($AD91="N","N",SUM('調查資料(OUT)'!AE97:AE100))</f>
        <v>0</v>
      </c>
      <c r="CO91" s="383" t="e">
        <f t="shared" si="181"/>
        <v>#DIV/0!</v>
      </c>
      <c r="CP91" s="66">
        <f t="shared" si="182"/>
        <v>0</v>
      </c>
      <c r="CQ91" s="383" t="e">
        <f t="shared" si="183"/>
        <v>#DIV/0!</v>
      </c>
      <c r="CR91" s="66">
        <f t="shared" si="184"/>
        <v>0</v>
      </c>
      <c r="CS91" s="383" t="e">
        <f t="shared" si="185"/>
        <v>#DIV/0!</v>
      </c>
      <c r="CT91" s="66">
        <f t="shared" si="186"/>
        <v>0</v>
      </c>
      <c r="CU91" s="383" t="e">
        <f t="shared" si="187"/>
        <v>#DIV/0!</v>
      </c>
      <c r="CV91" s="316">
        <f t="shared" si="188"/>
        <v>0</v>
      </c>
      <c r="CW91" s="309">
        <f t="shared" si="189"/>
        <v>0</v>
      </c>
      <c r="CX91" s="66">
        <f>IF($AD91="N","N",SUM('調查資料(OUT)'!AF97:AF100))</f>
        <v>0</v>
      </c>
      <c r="CY91" s="66">
        <f>IF($AD91="N","N",SUM('調查資料(OUT)'!AI97:AI100))</f>
        <v>0</v>
      </c>
      <c r="CZ91" s="66">
        <f>IF($AD91="N","N",SUM('調查資料(OUT)'!AM97:AM100))</f>
        <v>0</v>
      </c>
      <c r="DA91" s="66">
        <f>IF($AD91="N","N",SUM('調查資料(OUT)'!AL97:AL100))</f>
        <v>0</v>
      </c>
      <c r="DB91" s="383" t="e">
        <f t="shared" si="190"/>
        <v>#DIV/0!</v>
      </c>
      <c r="DC91" s="66">
        <f t="shared" si="191"/>
        <v>0</v>
      </c>
      <c r="DD91" s="66">
        <f>IF($AD91="N","N",SUM('調查資料(OUT)'!AG97:AG100))</f>
        <v>0</v>
      </c>
      <c r="DE91" s="66">
        <f>IF($AD91="N","N",SUM('調查資料(OUT)'!AJ97:AJ100))</f>
        <v>0</v>
      </c>
      <c r="DF91" s="66">
        <f>IF($AD91="N","N",SUM('調查資料(OUT)'!AN97:AN100))</f>
        <v>0</v>
      </c>
      <c r="DG91" s="383" t="e">
        <f t="shared" si="192"/>
        <v>#DIV/0!</v>
      </c>
      <c r="DH91" s="66">
        <f t="shared" si="193"/>
        <v>0</v>
      </c>
      <c r="DI91" s="66">
        <f>IF($AD91="N","N",SUM('調查資料(OUT)'!AH97:AH100))</f>
        <v>0</v>
      </c>
      <c r="DJ91" s="66">
        <f>IF($AD91="N","N",SUM('調查資料(OUT)'!AK97:AK100))</f>
        <v>0</v>
      </c>
      <c r="DK91" s="66">
        <f>IF($AD91="N","N",SUM('調查資料(OUT)'!AO97:AO100))</f>
        <v>0</v>
      </c>
      <c r="DL91" s="383" t="e">
        <f t="shared" si="194"/>
        <v>#DIV/0!</v>
      </c>
      <c r="DM91" s="66">
        <f t="shared" si="195"/>
        <v>0</v>
      </c>
      <c r="DN91" s="383" t="e">
        <f t="shared" si="196"/>
        <v>#DIV/0!</v>
      </c>
      <c r="DO91" s="66">
        <f t="shared" si="197"/>
        <v>0</v>
      </c>
      <c r="DP91" s="383" t="e">
        <f t="shared" si="198"/>
        <v>#DIV/0!</v>
      </c>
      <c r="DQ91" s="66">
        <f t="shared" si="199"/>
        <v>0</v>
      </c>
      <c r="DR91" s="383" t="e">
        <f t="shared" si="200"/>
        <v>#DIV/0!</v>
      </c>
      <c r="DS91" s="316">
        <f t="shared" si="201"/>
        <v>0</v>
      </c>
    </row>
    <row r="92" spans="1:123">
      <c r="A92" s="118">
        <f>'調查資料(OUT)'!A98</f>
        <v>2145</v>
      </c>
      <c r="B92" s="309">
        <f t="shared" si="322"/>
        <v>0</v>
      </c>
      <c r="C92" s="66">
        <f>IFERROR('調查資料(OUT)'!B$1*'調查資料(OUT)'!B98,0)+IFERROR('調查資料(OUT)'!E$1*'調查資料(OUT)'!E98,0)+IFERROR('調查資料(OUT)'!H$1*'調查資料(OUT)'!H98,0)+IFERROR('調查資料(OUT)'!I$1*'調查資料(OUT)'!I98,0)</f>
        <v>0</v>
      </c>
      <c r="D92" s="66">
        <f>IFERROR('調查資料(OUT)'!C$1*'調查資料(OUT)'!C98,0)+IFERROR('調查資料(OUT)'!F$1*'調查資料(OUT)'!F98,0)+IFERROR('調查資料(OUT)'!J$1*'調查資料(OUT)'!J98,0)</f>
        <v>0</v>
      </c>
      <c r="E92" s="316">
        <f>IFERROR('調查資料(OUT)'!D$1*'調查資料(OUT)'!D98,0)+IFERROR('調查資料(OUT)'!G$1*'調查資料(OUT)'!G98,0)+IFERROR('調查資料(OUT)'!K$1*'調查資料(OUT)'!K98,0)</f>
        <v>0</v>
      </c>
      <c r="F92" s="309">
        <f t="shared" si="323"/>
        <v>0</v>
      </c>
      <c r="G92" s="66">
        <f>IFERROR('調查資料(OUT)'!L$1*'調查資料(OUT)'!L98,0)+IFERROR('調查資料(OUT)'!O$1*'調查資料(OUT)'!O98,0)+IFERROR('調查資料(OUT)'!R$1*'調查資料(OUT)'!R98,0)+IFERROR('調查資料(OUT)'!S$1*'調查資料(OUT)'!S98,0)</f>
        <v>0</v>
      </c>
      <c r="H92" s="66">
        <f>IFERROR('調查資料(OUT)'!M$1*'調查資料(OUT)'!M98,0)+IFERROR('調查資料(OUT)'!P$1*'調查資料(OUT)'!P98,0)+IFERROR('調查資料(OUT)'!T$1*'調查資料(OUT)'!T98,0)</f>
        <v>0</v>
      </c>
      <c r="I92" s="316">
        <f>IFERROR('調查資料(OUT)'!N$1*'調查資料(OUT)'!N98,0)+IFERROR('調查資料(OUT)'!Q$1*'調查資料(OUT)'!Q98,0)+IFERROR('調查資料(OUT)'!U$1*'調查資料(OUT)'!U98,0)</f>
        <v>0</v>
      </c>
      <c r="J92" s="309">
        <f t="shared" si="324"/>
        <v>0</v>
      </c>
      <c r="K92" s="66">
        <f>IFERROR('調查資料(OUT)'!V$1*'調查資料(OUT)'!V98,0)+IFERROR('調查資料(OUT)'!Y$1*'調查資料(OUT)'!Y98,0)+IFERROR('調查資料(OUT)'!AB$1*'調查資料(OUT)'!AB98,0)+IFERROR('調查資料(OUT)'!AC$1*'調查資料(OUT)'!AC98,0)</f>
        <v>0</v>
      </c>
      <c r="L92" s="66">
        <f>IFERROR('調查資料(OUT)'!W$1*'調查資料(OUT)'!W98,0)+IFERROR('調查資料(OUT)'!Z$1*'調查資料(OUT)'!Z98,0)+IFERROR('調查資料(OUT)'!AD$1*'調查資料(OUT)'!AD98,0)</f>
        <v>0</v>
      </c>
      <c r="M92" s="316">
        <f>IFERROR('調查資料(OUT)'!X$1*'調查資料(OUT)'!X98,0)+IFERROR('調查資料(OUT)'!AA$1*'調查資料(OUT)'!AA98,0)+IFERROR('調查資料(OUT)'!AE$1*'調查資料(OUT)'!AE98,0)</f>
        <v>0</v>
      </c>
      <c r="N92" s="309">
        <f t="shared" si="325"/>
        <v>0</v>
      </c>
      <c r="O92" s="66">
        <f>IFERROR('調查資料(OUT)'!AF$1*'調查資料(OUT)'!AF98,0)+IFERROR('調查資料(OUT)'!AI$1*'調查資料(OUT)'!AI98,0)+IFERROR('調查資料(OUT)'!AL$1*'調查資料(OUT)'!AL98,0)+IFERROR('調查資料(OUT)'!AM$1*'調查資料(OUT)'!AM98,0)</f>
        <v>0</v>
      </c>
      <c r="P92" s="66">
        <f>IFERROR('調查資料(OUT)'!AG$1*'調查資料(OUT)'!AG98,0)+IFERROR('調查資料(OUT)'!AJ$1*'調查資料(OUT)'!AJ98,0)+IFERROR('調查資料(OUT)'!AN$1*'調查資料(OUT)'!AN98,0)</f>
        <v>0</v>
      </c>
      <c r="Q92" s="316">
        <f>IFERROR('調查資料(OUT)'!AH$1*'調查資料(OUT)'!AH98,0)+IFERROR('調查資料(OUT)'!AK$1*'調查資料(OUT)'!AK98,0)+IFERROR('調查資料(OUT)'!AO$1*'調查資料(OUT)'!AO98,0)</f>
        <v>0</v>
      </c>
      <c r="R92" s="133">
        <f t="shared" si="326"/>
        <v>0</v>
      </c>
      <c r="T92" s="366">
        <f>'調查資料(OUT)'!A98</f>
        <v>2145</v>
      </c>
      <c r="U92" s="101">
        <f t="shared" si="149"/>
        <v>2245</v>
      </c>
      <c r="V92" s="66">
        <f t="shared" si="133"/>
        <v>0</v>
      </c>
      <c r="X92" s="66">
        <f t="shared" si="264"/>
        <v>0</v>
      </c>
      <c r="Y92" s="379" t="e">
        <f t="shared" si="268"/>
        <v>#DIV/0!</v>
      </c>
      <c r="Z92" s="379" t="e">
        <f t="shared" si="265"/>
        <v>#DIV/0!</v>
      </c>
      <c r="AA92" s="379" t="e">
        <f t="shared" si="211"/>
        <v>#DIV/0!</v>
      </c>
      <c r="AB92" s="379" t="e">
        <f t="shared" si="269"/>
        <v>#DIV/0!</v>
      </c>
      <c r="AD92" s="66">
        <f t="shared" si="266"/>
        <v>2145</v>
      </c>
      <c r="AE92" s="316">
        <f t="shared" si="270"/>
        <v>2245</v>
      </c>
      <c r="AF92" s="309">
        <f t="shared" si="267"/>
        <v>0</v>
      </c>
      <c r="AG92" s="66">
        <f>IF($AD92="N","N",SUM('調查資料(OUT)'!B98:B101))</f>
        <v>0</v>
      </c>
      <c r="AH92" s="66">
        <f>IF($AD92="N","N",SUM('調查資料(OUT)'!E98:E101))</f>
        <v>0</v>
      </c>
      <c r="AI92" s="66">
        <f>IF($AD92="N","N",SUM('調查資料(OUT)'!I98:I101))</f>
        <v>0</v>
      </c>
      <c r="AJ92" s="66">
        <f>IF($AD92="N","N",SUM('調查資料(OUT)'!H98:H101))</f>
        <v>0</v>
      </c>
      <c r="AK92" s="383" t="e">
        <f t="shared" si="151"/>
        <v>#DIV/0!</v>
      </c>
      <c r="AL92" s="66">
        <f t="shared" si="152"/>
        <v>0</v>
      </c>
      <c r="AM92" s="66">
        <f>IF($AD92="N","N",SUM('調查資料(OUT)'!C98:C101))</f>
        <v>0</v>
      </c>
      <c r="AN92" s="66">
        <f>IF($AD92="N","N",SUM('調查資料(OUT)'!F98:F101))</f>
        <v>0</v>
      </c>
      <c r="AO92" s="66">
        <f>IF($AD92="N","N",SUM('調查資料(OUT)'!J98:J101))</f>
        <v>0</v>
      </c>
      <c r="AP92" s="383" t="e">
        <f t="shared" si="153"/>
        <v>#DIV/0!</v>
      </c>
      <c r="AQ92" s="66">
        <f t="shared" si="154"/>
        <v>0</v>
      </c>
      <c r="AR92" s="66">
        <f>IF($AD92="N","N",SUM('調查資料(OUT)'!D98:D101))</f>
        <v>0</v>
      </c>
      <c r="AS92" s="66">
        <f>IF($AD92="N","N",SUM('調查資料(OUT)'!G98:G101))</f>
        <v>0</v>
      </c>
      <c r="AT92" s="66">
        <f>IF($AD92="N","N",SUM('調查資料(OUT)'!K98:K101))</f>
        <v>0</v>
      </c>
      <c r="AU92" s="383" t="e">
        <f t="shared" si="155"/>
        <v>#DIV/0!</v>
      </c>
      <c r="AV92" s="66">
        <f t="shared" si="156"/>
        <v>0</v>
      </c>
      <c r="AW92" s="383" t="e">
        <f t="shared" si="157"/>
        <v>#DIV/0!</v>
      </c>
      <c r="AX92" s="66">
        <f t="shared" si="158"/>
        <v>0</v>
      </c>
      <c r="AY92" s="383" t="e">
        <f t="shared" si="159"/>
        <v>#DIV/0!</v>
      </c>
      <c r="AZ92" s="66">
        <f t="shared" si="160"/>
        <v>0</v>
      </c>
      <c r="BA92" s="383" t="e">
        <f t="shared" si="161"/>
        <v>#DIV/0!</v>
      </c>
      <c r="BB92" s="316">
        <f t="shared" si="162"/>
        <v>0</v>
      </c>
      <c r="BC92" s="309">
        <f t="shared" si="163"/>
        <v>0</v>
      </c>
      <c r="BD92" s="66">
        <f>IF($AD92="N","N",SUM('調查資料(OUT)'!L98:L101))</f>
        <v>0</v>
      </c>
      <c r="BE92" s="66">
        <f>IF($AD92="N","N",SUM('調查資料(OUT)'!O98:O101))</f>
        <v>0</v>
      </c>
      <c r="BF92" s="66">
        <f>IF($AD92="N","N",SUM('調查資料(OUT)'!S98:S101))</f>
        <v>0</v>
      </c>
      <c r="BG92" s="66">
        <f>IF($AD92="N","N",SUM('調查資料(OUT)'!R98:R101))</f>
        <v>0</v>
      </c>
      <c r="BH92" s="383" t="e">
        <f t="shared" si="164"/>
        <v>#DIV/0!</v>
      </c>
      <c r="BI92" s="66">
        <f t="shared" si="165"/>
        <v>0</v>
      </c>
      <c r="BJ92" s="66">
        <f>IF($AD92="N","N",SUM('調查資料(OUT)'!M98:M101))</f>
        <v>0</v>
      </c>
      <c r="BK92" s="66">
        <f>IF($AD92="N","N",SUM('調查資料(OUT)'!P98:P101))</f>
        <v>0</v>
      </c>
      <c r="BL92" s="66">
        <f>IF($AD92="N","N",SUM('調查資料(OUT)'!T98:T101))</f>
        <v>0</v>
      </c>
      <c r="BM92" s="383" t="e">
        <f t="shared" si="166"/>
        <v>#DIV/0!</v>
      </c>
      <c r="BN92" s="66">
        <f t="shared" si="167"/>
        <v>0</v>
      </c>
      <c r="BO92" s="66">
        <f>IF($AD92="N","N",SUM('調查資料(OUT)'!N98:N101))</f>
        <v>0</v>
      </c>
      <c r="BP92" s="66">
        <f>IF($AD92="N","N",SUM('調查資料(OUT)'!Q98:Q101))</f>
        <v>0</v>
      </c>
      <c r="BQ92" s="66">
        <f>IF($AD92="N","N",SUM('調查資料(OUT)'!U98:U101))</f>
        <v>0</v>
      </c>
      <c r="BR92" s="383" t="e">
        <f t="shared" si="168"/>
        <v>#DIV/0!</v>
      </c>
      <c r="BS92" s="66">
        <f t="shared" si="169"/>
        <v>0</v>
      </c>
      <c r="BT92" s="383" t="e">
        <f t="shared" si="170"/>
        <v>#DIV/0!</v>
      </c>
      <c r="BU92" s="66">
        <f t="shared" si="171"/>
        <v>0</v>
      </c>
      <c r="BV92" s="383" t="e">
        <f t="shared" si="172"/>
        <v>#DIV/0!</v>
      </c>
      <c r="BW92" s="66">
        <f t="shared" si="173"/>
        <v>0</v>
      </c>
      <c r="BX92" s="383" t="e">
        <f t="shared" si="174"/>
        <v>#DIV/0!</v>
      </c>
      <c r="BY92" s="316">
        <f t="shared" si="175"/>
        <v>0</v>
      </c>
      <c r="BZ92" s="309">
        <f t="shared" si="176"/>
        <v>0</v>
      </c>
      <c r="CA92" s="66">
        <f>IF($AD92="N","N",SUM('調查資料(OUT)'!V98:V101))</f>
        <v>0</v>
      </c>
      <c r="CB92" s="66">
        <f>IF($AD92="N","N",SUM('調查資料(OUT)'!Y98:Y101))</f>
        <v>0</v>
      </c>
      <c r="CC92" s="66">
        <f>IF($AD92="N","N",SUM('調查資料(OUT)'!AC98:AC101))</f>
        <v>0</v>
      </c>
      <c r="CD92" s="66">
        <f>IF($AD92="N","N",SUM('調查資料(OUT)'!AB98:AB101))</f>
        <v>0</v>
      </c>
      <c r="CE92" s="383" t="e">
        <f t="shared" si="177"/>
        <v>#DIV/0!</v>
      </c>
      <c r="CF92" s="66">
        <f t="shared" si="178"/>
        <v>0</v>
      </c>
      <c r="CG92" s="66">
        <f>IF($AD92="N","N",SUM('調查資料(OUT)'!W98:W101))</f>
        <v>0</v>
      </c>
      <c r="CH92" s="66">
        <f>IF($AD92="N","N",SUM('調查資料(OUT)'!Z98:Z101))</f>
        <v>0</v>
      </c>
      <c r="CI92" s="66">
        <f>IF($AD92="N","N",SUM('調查資料(OUT)'!AD98:AD101))</f>
        <v>0</v>
      </c>
      <c r="CJ92" s="383" t="e">
        <f t="shared" si="179"/>
        <v>#DIV/0!</v>
      </c>
      <c r="CK92" s="66">
        <f t="shared" si="180"/>
        <v>0</v>
      </c>
      <c r="CL92" s="66">
        <f>IF($AD92="N","N",SUM('調查資料(OUT)'!X98:X101))</f>
        <v>0</v>
      </c>
      <c r="CM92" s="66">
        <f>IF($AD92="N","N",SUM('調查資料(OUT)'!AA98:AA101))</f>
        <v>0</v>
      </c>
      <c r="CN92" s="66">
        <f>IF($AD92="N","N",SUM('調查資料(OUT)'!AE98:AE101))</f>
        <v>0</v>
      </c>
      <c r="CO92" s="383" t="e">
        <f t="shared" si="181"/>
        <v>#DIV/0!</v>
      </c>
      <c r="CP92" s="66">
        <f t="shared" si="182"/>
        <v>0</v>
      </c>
      <c r="CQ92" s="383" t="e">
        <f t="shared" si="183"/>
        <v>#DIV/0!</v>
      </c>
      <c r="CR92" s="66">
        <f t="shared" si="184"/>
        <v>0</v>
      </c>
      <c r="CS92" s="383" t="e">
        <f t="shared" si="185"/>
        <v>#DIV/0!</v>
      </c>
      <c r="CT92" s="66">
        <f t="shared" si="186"/>
        <v>0</v>
      </c>
      <c r="CU92" s="383" t="e">
        <f t="shared" si="187"/>
        <v>#DIV/0!</v>
      </c>
      <c r="CV92" s="316">
        <f t="shared" si="188"/>
        <v>0</v>
      </c>
      <c r="CW92" s="309">
        <f t="shared" si="189"/>
        <v>0</v>
      </c>
      <c r="CX92" s="66">
        <f>IF($AD92="N","N",SUM('調查資料(OUT)'!AF98:AF101))</f>
        <v>0</v>
      </c>
      <c r="CY92" s="66">
        <f>IF($AD92="N","N",SUM('調查資料(OUT)'!AI98:AI101))</f>
        <v>0</v>
      </c>
      <c r="CZ92" s="66">
        <f>IF($AD92="N","N",SUM('調查資料(OUT)'!AM98:AM101))</f>
        <v>0</v>
      </c>
      <c r="DA92" s="66">
        <f>IF($AD92="N","N",SUM('調查資料(OUT)'!AL98:AL101))</f>
        <v>0</v>
      </c>
      <c r="DB92" s="383" t="e">
        <f t="shared" si="190"/>
        <v>#DIV/0!</v>
      </c>
      <c r="DC92" s="66">
        <f t="shared" si="191"/>
        <v>0</v>
      </c>
      <c r="DD92" s="66">
        <f>IF($AD92="N","N",SUM('調查資料(OUT)'!AG98:AG101))</f>
        <v>0</v>
      </c>
      <c r="DE92" s="66">
        <f>IF($AD92="N","N",SUM('調查資料(OUT)'!AJ98:AJ101))</f>
        <v>0</v>
      </c>
      <c r="DF92" s="66">
        <f>IF($AD92="N","N",SUM('調查資料(OUT)'!AN98:AN101))</f>
        <v>0</v>
      </c>
      <c r="DG92" s="383" t="e">
        <f t="shared" si="192"/>
        <v>#DIV/0!</v>
      </c>
      <c r="DH92" s="66">
        <f t="shared" si="193"/>
        <v>0</v>
      </c>
      <c r="DI92" s="66">
        <f>IF($AD92="N","N",SUM('調查資料(OUT)'!AH98:AH101))</f>
        <v>0</v>
      </c>
      <c r="DJ92" s="66">
        <f>IF($AD92="N","N",SUM('調查資料(OUT)'!AK98:AK101))</f>
        <v>0</v>
      </c>
      <c r="DK92" s="66">
        <f>IF($AD92="N","N",SUM('調查資料(OUT)'!AO98:AO101))</f>
        <v>0</v>
      </c>
      <c r="DL92" s="383" t="e">
        <f t="shared" si="194"/>
        <v>#DIV/0!</v>
      </c>
      <c r="DM92" s="66">
        <f t="shared" si="195"/>
        <v>0</v>
      </c>
      <c r="DN92" s="383" t="e">
        <f t="shared" si="196"/>
        <v>#DIV/0!</v>
      </c>
      <c r="DO92" s="66">
        <f t="shared" si="197"/>
        <v>0</v>
      </c>
      <c r="DP92" s="383" t="e">
        <f t="shared" si="198"/>
        <v>#DIV/0!</v>
      </c>
      <c r="DQ92" s="66">
        <f t="shared" si="199"/>
        <v>0</v>
      </c>
      <c r="DR92" s="383" t="e">
        <f t="shared" si="200"/>
        <v>#DIV/0!</v>
      </c>
      <c r="DS92" s="316">
        <f t="shared" si="201"/>
        <v>0</v>
      </c>
    </row>
    <row r="93" spans="1:123">
      <c r="A93" s="118">
        <f>'調查資料(OUT)'!A99</f>
        <v>2200</v>
      </c>
      <c r="B93" s="309">
        <f t="shared" si="322"/>
        <v>0</v>
      </c>
      <c r="C93" s="66">
        <f>IFERROR('調查資料(OUT)'!B$1*'調查資料(OUT)'!B99,0)+IFERROR('調查資料(OUT)'!E$1*'調查資料(OUT)'!E99,0)+IFERROR('調查資料(OUT)'!H$1*'調查資料(OUT)'!H99,0)+IFERROR('調查資料(OUT)'!I$1*'調查資料(OUT)'!I99,0)</f>
        <v>0</v>
      </c>
      <c r="D93" s="66">
        <f>IFERROR('調查資料(OUT)'!C$1*'調查資料(OUT)'!C99,0)+IFERROR('調查資料(OUT)'!F$1*'調查資料(OUT)'!F99,0)+IFERROR('調查資料(OUT)'!J$1*'調查資料(OUT)'!J99,0)</f>
        <v>0</v>
      </c>
      <c r="E93" s="316">
        <f>IFERROR('調查資料(OUT)'!D$1*'調查資料(OUT)'!D99,0)+IFERROR('調查資料(OUT)'!G$1*'調查資料(OUT)'!G99,0)+IFERROR('調查資料(OUT)'!K$1*'調查資料(OUT)'!K99,0)</f>
        <v>0</v>
      </c>
      <c r="F93" s="309">
        <f t="shared" si="323"/>
        <v>0</v>
      </c>
      <c r="G93" s="66">
        <f>IFERROR('調查資料(OUT)'!L$1*'調查資料(OUT)'!L99,0)+IFERROR('調查資料(OUT)'!O$1*'調查資料(OUT)'!O99,0)+IFERROR('調查資料(OUT)'!R$1*'調查資料(OUT)'!R99,0)+IFERROR('調查資料(OUT)'!S$1*'調查資料(OUT)'!S99,0)</f>
        <v>0</v>
      </c>
      <c r="H93" s="66">
        <f>IFERROR('調查資料(OUT)'!M$1*'調查資料(OUT)'!M99,0)+IFERROR('調查資料(OUT)'!P$1*'調查資料(OUT)'!P99,0)+IFERROR('調查資料(OUT)'!T$1*'調查資料(OUT)'!T99,0)</f>
        <v>0</v>
      </c>
      <c r="I93" s="316">
        <f>IFERROR('調查資料(OUT)'!N$1*'調查資料(OUT)'!N99,0)+IFERROR('調查資料(OUT)'!Q$1*'調查資料(OUT)'!Q99,0)+IFERROR('調查資料(OUT)'!U$1*'調查資料(OUT)'!U99,0)</f>
        <v>0</v>
      </c>
      <c r="J93" s="309">
        <f t="shared" si="324"/>
        <v>0</v>
      </c>
      <c r="K93" s="66">
        <f>IFERROR('調查資料(OUT)'!V$1*'調查資料(OUT)'!V99,0)+IFERROR('調查資料(OUT)'!Y$1*'調查資料(OUT)'!Y99,0)+IFERROR('調查資料(OUT)'!AB$1*'調查資料(OUT)'!AB99,0)+IFERROR('調查資料(OUT)'!AC$1*'調查資料(OUT)'!AC99,0)</f>
        <v>0</v>
      </c>
      <c r="L93" s="66">
        <f>IFERROR('調查資料(OUT)'!W$1*'調查資料(OUT)'!W99,0)+IFERROR('調查資料(OUT)'!Z$1*'調查資料(OUT)'!Z99,0)+IFERROR('調查資料(OUT)'!AD$1*'調查資料(OUT)'!AD99,0)</f>
        <v>0</v>
      </c>
      <c r="M93" s="316">
        <f>IFERROR('調查資料(OUT)'!X$1*'調查資料(OUT)'!X99,0)+IFERROR('調查資料(OUT)'!AA$1*'調查資料(OUT)'!AA99,0)+IFERROR('調查資料(OUT)'!AE$1*'調查資料(OUT)'!AE99,0)</f>
        <v>0</v>
      </c>
      <c r="N93" s="309">
        <f t="shared" si="325"/>
        <v>0</v>
      </c>
      <c r="O93" s="66">
        <f>IFERROR('調查資料(OUT)'!AF$1*'調查資料(OUT)'!AF99,0)+IFERROR('調查資料(OUT)'!AI$1*'調查資料(OUT)'!AI99,0)+IFERROR('調查資料(OUT)'!AL$1*'調查資料(OUT)'!AL99,0)+IFERROR('調查資料(OUT)'!AM$1*'調查資料(OUT)'!AM99,0)</f>
        <v>0</v>
      </c>
      <c r="P93" s="66">
        <f>IFERROR('調查資料(OUT)'!AG$1*'調查資料(OUT)'!AG99,0)+IFERROR('調查資料(OUT)'!AJ$1*'調查資料(OUT)'!AJ99,0)+IFERROR('調查資料(OUT)'!AN$1*'調查資料(OUT)'!AN99,0)</f>
        <v>0</v>
      </c>
      <c r="Q93" s="316">
        <f>IFERROR('調查資料(OUT)'!AH$1*'調查資料(OUT)'!AH99,0)+IFERROR('調查資料(OUT)'!AK$1*'調查資料(OUT)'!AK99,0)+IFERROR('調查資料(OUT)'!AO$1*'調查資料(OUT)'!AO99,0)</f>
        <v>0</v>
      </c>
      <c r="R93" s="133">
        <f t="shared" si="326"/>
        <v>0</v>
      </c>
      <c r="T93" s="366">
        <f>'調查資料(OUT)'!A99</f>
        <v>2200</v>
      </c>
      <c r="U93" s="101">
        <f t="shared" si="149"/>
        <v>2300</v>
      </c>
      <c r="V93" s="66">
        <f t="shared" si="133"/>
        <v>0</v>
      </c>
      <c r="X93" s="66">
        <f t="shared" si="264"/>
        <v>0</v>
      </c>
      <c r="Y93" s="379" t="e">
        <f t="shared" si="268"/>
        <v>#DIV/0!</v>
      </c>
      <c r="Z93" s="379" t="e">
        <f t="shared" si="265"/>
        <v>#DIV/0!</v>
      </c>
      <c r="AA93" s="379" t="e">
        <f t="shared" si="211"/>
        <v>#DIV/0!</v>
      </c>
      <c r="AB93" s="379" t="e">
        <f t="shared" si="269"/>
        <v>#DIV/0!</v>
      </c>
      <c r="AD93" s="66">
        <f t="shared" si="266"/>
        <v>2200</v>
      </c>
      <c r="AE93" s="316">
        <f t="shared" si="270"/>
        <v>2300</v>
      </c>
      <c r="AF93" s="309">
        <f t="shared" si="267"/>
        <v>0</v>
      </c>
      <c r="AG93" s="66">
        <f>IF($AD93="N","N",SUM('調查資料(OUT)'!B99:B102))</f>
        <v>0</v>
      </c>
      <c r="AH93" s="66">
        <f>IF($AD93="N","N",SUM('調查資料(OUT)'!E99:E102))</f>
        <v>0</v>
      </c>
      <c r="AI93" s="66">
        <f>IF($AD93="N","N",SUM('調查資料(OUT)'!I99:I102))</f>
        <v>0</v>
      </c>
      <c r="AJ93" s="66">
        <f>IF($AD93="N","N",SUM('調查資料(OUT)'!H99:H102))</f>
        <v>0</v>
      </c>
      <c r="AK93" s="383" t="e">
        <f t="shared" si="151"/>
        <v>#DIV/0!</v>
      </c>
      <c r="AL93" s="66">
        <f t="shared" si="152"/>
        <v>0</v>
      </c>
      <c r="AM93" s="66">
        <f>IF($AD93="N","N",SUM('調查資料(OUT)'!C99:C102))</f>
        <v>0</v>
      </c>
      <c r="AN93" s="66">
        <f>IF($AD93="N","N",SUM('調查資料(OUT)'!F99:F102))</f>
        <v>0</v>
      </c>
      <c r="AO93" s="66">
        <f>IF($AD93="N","N",SUM('調查資料(OUT)'!J99:J102))</f>
        <v>0</v>
      </c>
      <c r="AP93" s="383" t="e">
        <f t="shared" si="153"/>
        <v>#DIV/0!</v>
      </c>
      <c r="AQ93" s="66">
        <f t="shared" si="154"/>
        <v>0</v>
      </c>
      <c r="AR93" s="66">
        <f>IF($AD93="N","N",SUM('調查資料(OUT)'!D99:D102))</f>
        <v>0</v>
      </c>
      <c r="AS93" s="66">
        <f>IF($AD93="N","N",SUM('調查資料(OUT)'!G99:G102))</f>
        <v>0</v>
      </c>
      <c r="AT93" s="66">
        <f>IF($AD93="N","N",SUM('調查資料(OUT)'!K99:K102))</f>
        <v>0</v>
      </c>
      <c r="AU93" s="383" t="e">
        <f t="shared" si="155"/>
        <v>#DIV/0!</v>
      </c>
      <c r="AV93" s="66">
        <f t="shared" si="156"/>
        <v>0</v>
      </c>
      <c r="AW93" s="383" t="e">
        <f t="shared" si="157"/>
        <v>#DIV/0!</v>
      </c>
      <c r="AX93" s="66">
        <f t="shared" si="158"/>
        <v>0</v>
      </c>
      <c r="AY93" s="383" t="e">
        <f t="shared" si="159"/>
        <v>#DIV/0!</v>
      </c>
      <c r="AZ93" s="66">
        <f t="shared" si="160"/>
        <v>0</v>
      </c>
      <c r="BA93" s="383" t="e">
        <f t="shared" si="161"/>
        <v>#DIV/0!</v>
      </c>
      <c r="BB93" s="316">
        <f t="shared" si="162"/>
        <v>0</v>
      </c>
      <c r="BC93" s="309">
        <f t="shared" si="163"/>
        <v>0</v>
      </c>
      <c r="BD93" s="66">
        <f>IF($AD93="N","N",SUM('調查資料(OUT)'!L99:L102))</f>
        <v>0</v>
      </c>
      <c r="BE93" s="66">
        <f>IF($AD93="N","N",SUM('調查資料(OUT)'!O99:O102))</f>
        <v>0</v>
      </c>
      <c r="BF93" s="66">
        <f>IF($AD93="N","N",SUM('調查資料(OUT)'!S99:S102))</f>
        <v>0</v>
      </c>
      <c r="BG93" s="66">
        <f>IF($AD93="N","N",SUM('調查資料(OUT)'!R99:R102))</f>
        <v>0</v>
      </c>
      <c r="BH93" s="383" t="e">
        <f t="shared" si="164"/>
        <v>#DIV/0!</v>
      </c>
      <c r="BI93" s="66">
        <f t="shared" si="165"/>
        <v>0</v>
      </c>
      <c r="BJ93" s="66">
        <f>IF($AD93="N","N",SUM('調查資料(OUT)'!M99:M102))</f>
        <v>0</v>
      </c>
      <c r="BK93" s="66">
        <f>IF($AD93="N","N",SUM('調查資料(OUT)'!P99:P102))</f>
        <v>0</v>
      </c>
      <c r="BL93" s="66">
        <f>IF($AD93="N","N",SUM('調查資料(OUT)'!T99:T102))</f>
        <v>0</v>
      </c>
      <c r="BM93" s="383" t="e">
        <f t="shared" si="166"/>
        <v>#DIV/0!</v>
      </c>
      <c r="BN93" s="66">
        <f t="shared" si="167"/>
        <v>0</v>
      </c>
      <c r="BO93" s="66">
        <f>IF($AD93="N","N",SUM('調查資料(OUT)'!N99:N102))</f>
        <v>0</v>
      </c>
      <c r="BP93" s="66">
        <f>IF($AD93="N","N",SUM('調查資料(OUT)'!Q99:Q102))</f>
        <v>0</v>
      </c>
      <c r="BQ93" s="66">
        <f>IF($AD93="N","N",SUM('調查資料(OUT)'!U99:U102))</f>
        <v>0</v>
      </c>
      <c r="BR93" s="383" t="e">
        <f t="shared" si="168"/>
        <v>#DIV/0!</v>
      </c>
      <c r="BS93" s="66">
        <f t="shared" si="169"/>
        <v>0</v>
      </c>
      <c r="BT93" s="383" t="e">
        <f t="shared" si="170"/>
        <v>#DIV/0!</v>
      </c>
      <c r="BU93" s="66">
        <f t="shared" si="171"/>
        <v>0</v>
      </c>
      <c r="BV93" s="383" t="e">
        <f t="shared" si="172"/>
        <v>#DIV/0!</v>
      </c>
      <c r="BW93" s="66">
        <f t="shared" si="173"/>
        <v>0</v>
      </c>
      <c r="BX93" s="383" t="e">
        <f t="shared" si="174"/>
        <v>#DIV/0!</v>
      </c>
      <c r="BY93" s="316">
        <f t="shared" si="175"/>
        <v>0</v>
      </c>
      <c r="BZ93" s="309">
        <f t="shared" si="176"/>
        <v>0</v>
      </c>
      <c r="CA93" s="66">
        <f>IF($AD93="N","N",SUM('調查資料(OUT)'!V99:V102))</f>
        <v>0</v>
      </c>
      <c r="CB93" s="66">
        <f>IF($AD93="N","N",SUM('調查資料(OUT)'!Y99:Y102))</f>
        <v>0</v>
      </c>
      <c r="CC93" s="66">
        <f>IF($AD93="N","N",SUM('調查資料(OUT)'!AC99:AC102))</f>
        <v>0</v>
      </c>
      <c r="CD93" s="66">
        <f>IF($AD93="N","N",SUM('調查資料(OUT)'!AB99:AB102))</f>
        <v>0</v>
      </c>
      <c r="CE93" s="383" t="e">
        <f t="shared" si="177"/>
        <v>#DIV/0!</v>
      </c>
      <c r="CF93" s="66">
        <f t="shared" si="178"/>
        <v>0</v>
      </c>
      <c r="CG93" s="66">
        <f>IF($AD93="N","N",SUM('調查資料(OUT)'!W99:W102))</f>
        <v>0</v>
      </c>
      <c r="CH93" s="66">
        <f>IF($AD93="N","N",SUM('調查資料(OUT)'!Z99:Z102))</f>
        <v>0</v>
      </c>
      <c r="CI93" s="66">
        <f>IF($AD93="N","N",SUM('調查資料(OUT)'!AD99:AD102))</f>
        <v>0</v>
      </c>
      <c r="CJ93" s="383" t="e">
        <f t="shared" si="179"/>
        <v>#DIV/0!</v>
      </c>
      <c r="CK93" s="66">
        <f t="shared" si="180"/>
        <v>0</v>
      </c>
      <c r="CL93" s="66">
        <f>IF($AD93="N","N",SUM('調查資料(OUT)'!X99:X102))</f>
        <v>0</v>
      </c>
      <c r="CM93" s="66">
        <f>IF($AD93="N","N",SUM('調查資料(OUT)'!AA99:AA102))</f>
        <v>0</v>
      </c>
      <c r="CN93" s="66">
        <f>IF($AD93="N","N",SUM('調查資料(OUT)'!AE99:AE102))</f>
        <v>0</v>
      </c>
      <c r="CO93" s="383" t="e">
        <f t="shared" si="181"/>
        <v>#DIV/0!</v>
      </c>
      <c r="CP93" s="66">
        <f t="shared" si="182"/>
        <v>0</v>
      </c>
      <c r="CQ93" s="383" t="e">
        <f t="shared" si="183"/>
        <v>#DIV/0!</v>
      </c>
      <c r="CR93" s="66">
        <f t="shared" si="184"/>
        <v>0</v>
      </c>
      <c r="CS93" s="383" t="e">
        <f t="shared" si="185"/>
        <v>#DIV/0!</v>
      </c>
      <c r="CT93" s="66">
        <f t="shared" si="186"/>
        <v>0</v>
      </c>
      <c r="CU93" s="383" t="e">
        <f t="shared" si="187"/>
        <v>#DIV/0!</v>
      </c>
      <c r="CV93" s="316">
        <f t="shared" si="188"/>
        <v>0</v>
      </c>
      <c r="CW93" s="309">
        <f t="shared" si="189"/>
        <v>0</v>
      </c>
      <c r="CX93" s="66">
        <f>IF($AD93="N","N",SUM('調查資料(OUT)'!AF99:AF102))</f>
        <v>0</v>
      </c>
      <c r="CY93" s="66">
        <f>IF($AD93="N","N",SUM('調查資料(OUT)'!AI99:AI102))</f>
        <v>0</v>
      </c>
      <c r="CZ93" s="66">
        <f>IF($AD93="N","N",SUM('調查資料(OUT)'!AM99:AM102))</f>
        <v>0</v>
      </c>
      <c r="DA93" s="66">
        <f>IF($AD93="N","N",SUM('調查資料(OUT)'!AL99:AL102))</f>
        <v>0</v>
      </c>
      <c r="DB93" s="383" t="e">
        <f t="shared" si="190"/>
        <v>#DIV/0!</v>
      </c>
      <c r="DC93" s="66">
        <f t="shared" si="191"/>
        <v>0</v>
      </c>
      <c r="DD93" s="66">
        <f>IF($AD93="N","N",SUM('調查資料(OUT)'!AG99:AG102))</f>
        <v>0</v>
      </c>
      <c r="DE93" s="66">
        <f>IF($AD93="N","N",SUM('調查資料(OUT)'!AJ99:AJ102))</f>
        <v>0</v>
      </c>
      <c r="DF93" s="66">
        <f>IF($AD93="N","N",SUM('調查資料(OUT)'!AN99:AN102))</f>
        <v>0</v>
      </c>
      <c r="DG93" s="383" t="e">
        <f t="shared" si="192"/>
        <v>#DIV/0!</v>
      </c>
      <c r="DH93" s="66">
        <f t="shared" si="193"/>
        <v>0</v>
      </c>
      <c r="DI93" s="66">
        <f>IF($AD93="N","N",SUM('調查資料(OUT)'!AH99:AH102))</f>
        <v>0</v>
      </c>
      <c r="DJ93" s="66">
        <f>IF($AD93="N","N",SUM('調查資料(OUT)'!AK99:AK102))</f>
        <v>0</v>
      </c>
      <c r="DK93" s="66">
        <f>IF($AD93="N","N",SUM('調查資料(OUT)'!AO99:AO102))</f>
        <v>0</v>
      </c>
      <c r="DL93" s="383" t="e">
        <f t="shared" si="194"/>
        <v>#DIV/0!</v>
      </c>
      <c r="DM93" s="66">
        <f t="shared" si="195"/>
        <v>0</v>
      </c>
      <c r="DN93" s="383" t="e">
        <f t="shared" si="196"/>
        <v>#DIV/0!</v>
      </c>
      <c r="DO93" s="66">
        <f t="shared" si="197"/>
        <v>0</v>
      </c>
      <c r="DP93" s="383" t="e">
        <f t="shared" si="198"/>
        <v>#DIV/0!</v>
      </c>
      <c r="DQ93" s="66">
        <f t="shared" si="199"/>
        <v>0</v>
      </c>
      <c r="DR93" s="383" t="e">
        <f t="shared" si="200"/>
        <v>#DIV/0!</v>
      </c>
      <c r="DS93" s="316">
        <f t="shared" si="201"/>
        <v>0</v>
      </c>
    </row>
    <row r="94" spans="1:123">
      <c r="A94" s="118">
        <f>'調查資料(OUT)'!A100</f>
        <v>2215</v>
      </c>
      <c r="B94" s="309">
        <f t="shared" si="322"/>
        <v>0</v>
      </c>
      <c r="C94" s="66">
        <f>IFERROR('調查資料(OUT)'!B$1*'調查資料(OUT)'!B100,0)+IFERROR('調查資料(OUT)'!E$1*'調查資料(OUT)'!E100,0)+IFERROR('調查資料(OUT)'!H$1*'調查資料(OUT)'!H100,0)+IFERROR('調查資料(OUT)'!I$1*'調查資料(OUT)'!I100,0)</f>
        <v>0</v>
      </c>
      <c r="D94" s="66">
        <f>IFERROR('調查資料(OUT)'!C$1*'調查資料(OUT)'!C100,0)+IFERROR('調查資料(OUT)'!F$1*'調查資料(OUT)'!F100,0)+IFERROR('調查資料(OUT)'!J$1*'調查資料(OUT)'!J100,0)</f>
        <v>0</v>
      </c>
      <c r="E94" s="316">
        <f>IFERROR('調查資料(OUT)'!D$1*'調查資料(OUT)'!D100,0)+IFERROR('調查資料(OUT)'!G$1*'調查資料(OUT)'!G100,0)+IFERROR('調查資料(OUT)'!K$1*'調查資料(OUT)'!K100,0)</f>
        <v>0</v>
      </c>
      <c r="F94" s="309">
        <f t="shared" si="323"/>
        <v>0</v>
      </c>
      <c r="G94" s="66">
        <f>IFERROR('調查資料(OUT)'!L$1*'調查資料(OUT)'!L100,0)+IFERROR('調查資料(OUT)'!O$1*'調查資料(OUT)'!O100,0)+IFERROR('調查資料(OUT)'!R$1*'調查資料(OUT)'!R100,0)+IFERROR('調查資料(OUT)'!S$1*'調查資料(OUT)'!S100,0)</f>
        <v>0</v>
      </c>
      <c r="H94" s="66">
        <f>IFERROR('調查資料(OUT)'!M$1*'調查資料(OUT)'!M100,0)+IFERROR('調查資料(OUT)'!P$1*'調查資料(OUT)'!P100,0)+IFERROR('調查資料(OUT)'!T$1*'調查資料(OUT)'!T100,0)</f>
        <v>0</v>
      </c>
      <c r="I94" s="316">
        <f>IFERROR('調查資料(OUT)'!N$1*'調查資料(OUT)'!N100,0)+IFERROR('調查資料(OUT)'!Q$1*'調查資料(OUT)'!Q100,0)+IFERROR('調查資料(OUT)'!U$1*'調查資料(OUT)'!U100,0)</f>
        <v>0</v>
      </c>
      <c r="J94" s="309">
        <f t="shared" si="324"/>
        <v>0</v>
      </c>
      <c r="K94" s="66">
        <f>IFERROR('調查資料(OUT)'!V$1*'調查資料(OUT)'!V100,0)+IFERROR('調查資料(OUT)'!Y$1*'調查資料(OUT)'!Y100,0)+IFERROR('調查資料(OUT)'!AB$1*'調查資料(OUT)'!AB100,0)+IFERROR('調查資料(OUT)'!AC$1*'調查資料(OUT)'!AC100,0)</f>
        <v>0</v>
      </c>
      <c r="L94" s="66">
        <f>IFERROR('調查資料(OUT)'!W$1*'調查資料(OUT)'!W100,0)+IFERROR('調查資料(OUT)'!Z$1*'調查資料(OUT)'!Z100,0)+IFERROR('調查資料(OUT)'!AD$1*'調查資料(OUT)'!AD100,0)</f>
        <v>0</v>
      </c>
      <c r="M94" s="316">
        <f>IFERROR('調查資料(OUT)'!X$1*'調查資料(OUT)'!X100,0)+IFERROR('調查資料(OUT)'!AA$1*'調查資料(OUT)'!AA100,0)+IFERROR('調查資料(OUT)'!AE$1*'調查資料(OUT)'!AE100,0)</f>
        <v>0</v>
      </c>
      <c r="N94" s="309">
        <f t="shared" si="325"/>
        <v>0</v>
      </c>
      <c r="O94" s="66">
        <f>IFERROR('調查資料(OUT)'!AF$1*'調查資料(OUT)'!AF100,0)+IFERROR('調查資料(OUT)'!AI$1*'調查資料(OUT)'!AI100,0)+IFERROR('調查資料(OUT)'!AL$1*'調查資料(OUT)'!AL100,0)+IFERROR('調查資料(OUT)'!AM$1*'調查資料(OUT)'!AM100,0)</f>
        <v>0</v>
      </c>
      <c r="P94" s="66">
        <f>IFERROR('調查資料(OUT)'!AG$1*'調查資料(OUT)'!AG100,0)+IFERROR('調查資料(OUT)'!AJ$1*'調查資料(OUT)'!AJ100,0)+IFERROR('調查資料(OUT)'!AN$1*'調查資料(OUT)'!AN100,0)</f>
        <v>0</v>
      </c>
      <c r="Q94" s="316">
        <f>IFERROR('調查資料(OUT)'!AH$1*'調查資料(OUT)'!AH100,0)+IFERROR('調查資料(OUT)'!AK$1*'調查資料(OUT)'!AK100,0)+IFERROR('調查資料(OUT)'!AO$1*'調查資料(OUT)'!AO100,0)</f>
        <v>0</v>
      </c>
      <c r="R94" s="133">
        <f t="shared" si="326"/>
        <v>0</v>
      </c>
      <c r="T94" s="366">
        <f>'調查資料(OUT)'!A100</f>
        <v>2215</v>
      </c>
      <c r="U94" s="101">
        <f t="shared" si="149"/>
        <v>2315</v>
      </c>
      <c r="V94" s="66">
        <f t="shared" si="133"/>
        <v>0</v>
      </c>
      <c r="X94" s="66">
        <f t="shared" si="264"/>
        <v>0</v>
      </c>
      <c r="Y94" s="379" t="e">
        <f t="shared" si="268"/>
        <v>#DIV/0!</v>
      </c>
      <c r="Z94" s="379" t="e">
        <f t="shared" si="265"/>
        <v>#DIV/0!</v>
      </c>
      <c r="AA94" s="379" t="e">
        <f t="shared" si="211"/>
        <v>#DIV/0!</v>
      </c>
      <c r="AB94" s="379" t="e">
        <f t="shared" si="269"/>
        <v>#DIV/0!</v>
      </c>
      <c r="AD94" s="66">
        <f t="shared" si="266"/>
        <v>2215</v>
      </c>
      <c r="AE94" s="316">
        <f t="shared" si="270"/>
        <v>2315</v>
      </c>
      <c r="AF94" s="309">
        <f t="shared" si="267"/>
        <v>0</v>
      </c>
      <c r="AG94" s="66">
        <f>IF($AD94="N","N",SUM('調查資料(OUT)'!B100:B103))</f>
        <v>0</v>
      </c>
      <c r="AH94" s="66">
        <f>IF($AD94="N","N",SUM('調查資料(OUT)'!E100:E103))</f>
        <v>0</v>
      </c>
      <c r="AI94" s="66">
        <f>IF($AD94="N","N",SUM('調查資料(OUT)'!I100:I103))</f>
        <v>0</v>
      </c>
      <c r="AJ94" s="66">
        <f>IF($AD94="N","N",SUM('調查資料(OUT)'!H100:H103))</f>
        <v>0</v>
      </c>
      <c r="AK94" s="383" t="e">
        <f t="shared" si="151"/>
        <v>#DIV/0!</v>
      </c>
      <c r="AL94" s="66">
        <f t="shared" si="152"/>
        <v>0</v>
      </c>
      <c r="AM94" s="66">
        <f>IF($AD94="N","N",SUM('調查資料(OUT)'!C100:C103))</f>
        <v>0</v>
      </c>
      <c r="AN94" s="66">
        <f>IF($AD94="N","N",SUM('調查資料(OUT)'!F100:F103))</f>
        <v>0</v>
      </c>
      <c r="AO94" s="66">
        <f>IF($AD94="N","N",SUM('調查資料(OUT)'!J100:J103))</f>
        <v>0</v>
      </c>
      <c r="AP94" s="383" t="e">
        <f t="shared" si="153"/>
        <v>#DIV/0!</v>
      </c>
      <c r="AQ94" s="66">
        <f t="shared" si="154"/>
        <v>0</v>
      </c>
      <c r="AR94" s="66">
        <f>IF($AD94="N","N",SUM('調查資料(OUT)'!D100:D103))</f>
        <v>0</v>
      </c>
      <c r="AS94" s="66">
        <f>IF($AD94="N","N",SUM('調查資料(OUT)'!G100:G103))</f>
        <v>0</v>
      </c>
      <c r="AT94" s="66">
        <f>IF($AD94="N","N",SUM('調查資料(OUT)'!K100:K103))</f>
        <v>0</v>
      </c>
      <c r="AU94" s="383" t="e">
        <f t="shared" si="155"/>
        <v>#DIV/0!</v>
      </c>
      <c r="AV94" s="66">
        <f t="shared" si="156"/>
        <v>0</v>
      </c>
      <c r="AW94" s="383" t="e">
        <f t="shared" si="157"/>
        <v>#DIV/0!</v>
      </c>
      <c r="AX94" s="66">
        <f t="shared" si="158"/>
        <v>0</v>
      </c>
      <c r="AY94" s="383" t="e">
        <f t="shared" si="159"/>
        <v>#DIV/0!</v>
      </c>
      <c r="AZ94" s="66">
        <f t="shared" si="160"/>
        <v>0</v>
      </c>
      <c r="BA94" s="383" t="e">
        <f t="shared" si="161"/>
        <v>#DIV/0!</v>
      </c>
      <c r="BB94" s="316">
        <f t="shared" si="162"/>
        <v>0</v>
      </c>
      <c r="BC94" s="309">
        <f t="shared" si="163"/>
        <v>0</v>
      </c>
      <c r="BD94" s="66">
        <f>IF($AD94="N","N",SUM('調查資料(OUT)'!L100:L103))</f>
        <v>0</v>
      </c>
      <c r="BE94" s="66">
        <f>IF($AD94="N","N",SUM('調查資料(OUT)'!O100:O103))</f>
        <v>0</v>
      </c>
      <c r="BF94" s="66">
        <f>IF($AD94="N","N",SUM('調查資料(OUT)'!S100:S103))</f>
        <v>0</v>
      </c>
      <c r="BG94" s="66">
        <f>IF($AD94="N","N",SUM('調查資料(OUT)'!R100:R103))</f>
        <v>0</v>
      </c>
      <c r="BH94" s="383" t="e">
        <f t="shared" si="164"/>
        <v>#DIV/0!</v>
      </c>
      <c r="BI94" s="66">
        <f t="shared" si="165"/>
        <v>0</v>
      </c>
      <c r="BJ94" s="66">
        <f>IF($AD94="N","N",SUM('調查資料(OUT)'!M100:M103))</f>
        <v>0</v>
      </c>
      <c r="BK94" s="66">
        <f>IF($AD94="N","N",SUM('調查資料(OUT)'!P100:P103))</f>
        <v>0</v>
      </c>
      <c r="BL94" s="66">
        <f>IF($AD94="N","N",SUM('調查資料(OUT)'!T100:T103))</f>
        <v>0</v>
      </c>
      <c r="BM94" s="383" t="e">
        <f t="shared" si="166"/>
        <v>#DIV/0!</v>
      </c>
      <c r="BN94" s="66">
        <f t="shared" si="167"/>
        <v>0</v>
      </c>
      <c r="BO94" s="66">
        <f>IF($AD94="N","N",SUM('調查資料(OUT)'!N100:N103))</f>
        <v>0</v>
      </c>
      <c r="BP94" s="66">
        <f>IF($AD94="N","N",SUM('調查資料(OUT)'!Q100:Q103))</f>
        <v>0</v>
      </c>
      <c r="BQ94" s="66">
        <f>IF($AD94="N","N",SUM('調查資料(OUT)'!U100:U103))</f>
        <v>0</v>
      </c>
      <c r="BR94" s="383" t="e">
        <f t="shared" si="168"/>
        <v>#DIV/0!</v>
      </c>
      <c r="BS94" s="66">
        <f t="shared" si="169"/>
        <v>0</v>
      </c>
      <c r="BT94" s="383" t="e">
        <f t="shared" si="170"/>
        <v>#DIV/0!</v>
      </c>
      <c r="BU94" s="66">
        <f t="shared" si="171"/>
        <v>0</v>
      </c>
      <c r="BV94" s="383" t="e">
        <f t="shared" si="172"/>
        <v>#DIV/0!</v>
      </c>
      <c r="BW94" s="66">
        <f t="shared" si="173"/>
        <v>0</v>
      </c>
      <c r="BX94" s="383" t="e">
        <f t="shared" si="174"/>
        <v>#DIV/0!</v>
      </c>
      <c r="BY94" s="316">
        <f t="shared" si="175"/>
        <v>0</v>
      </c>
      <c r="BZ94" s="309">
        <f t="shared" si="176"/>
        <v>0</v>
      </c>
      <c r="CA94" s="66">
        <f>IF($AD94="N","N",SUM('調查資料(OUT)'!V100:V103))</f>
        <v>0</v>
      </c>
      <c r="CB94" s="66">
        <f>IF($AD94="N","N",SUM('調查資料(OUT)'!Y100:Y103))</f>
        <v>0</v>
      </c>
      <c r="CC94" s="66">
        <f>IF($AD94="N","N",SUM('調查資料(OUT)'!AC100:AC103))</f>
        <v>0</v>
      </c>
      <c r="CD94" s="66">
        <f>IF($AD94="N","N",SUM('調查資料(OUT)'!AB100:AB103))</f>
        <v>0</v>
      </c>
      <c r="CE94" s="383" t="e">
        <f t="shared" si="177"/>
        <v>#DIV/0!</v>
      </c>
      <c r="CF94" s="66">
        <f t="shared" si="178"/>
        <v>0</v>
      </c>
      <c r="CG94" s="66">
        <f>IF($AD94="N","N",SUM('調查資料(OUT)'!W100:W103))</f>
        <v>0</v>
      </c>
      <c r="CH94" s="66">
        <f>IF($AD94="N","N",SUM('調查資料(OUT)'!Z100:Z103))</f>
        <v>0</v>
      </c>
      <c r="CI94" s="66">
        <f>IF($AD94="N","N",SUM('調查資料(OUT)'!AD100:AD103))</f>
        <v>0</v>
      </c>
      <c r="CJ94" s="383" t="e">
        <f t="shared" si="179"/>
        <v>#DIV/0!</v>
      </c>
      <c r="CK94" s="66">
        <f t="shared" si="180"/>
        <v>0</v>
      </c>
      <c r="CL94" s="66">
        <f>IF($AD94="N","N",SUM('調查資料(OUT)'!X100:X103))</f>
        <v>0</v>
      </c>
      <c r="CM94" s="66">
        <f>IF($AD94="N","N",SUM('調查資料(OUT)'!AA100:AA103))</f>
        <v>0</v>
      </c>
      <c r="CN94" s="66">
        <f>IF($AD94="N","N",SUM('調查資料(OUT)'!AE100:AE103))</f>
        <v>0</v>
      </c>
      <c r="CO94" s="383" t="e">
        <f t="shared" si="181"/>
        <v>#DIV/0!</v>
      </c>
      <c r="CP94" s="66">
        <f t="shared" si="182"/>
        <v>0</v>
      </c>
      <c r="CQ94" s="383" t="e">
        <f t="shared" si="183"/>
        <v>#DIV/0!</v>
      </c>
      <c r="CR94" s="66">
        <f t="shared" si="184"/>
        <v>0</v>
      </c>
      <c r="CS94" s="383" t="e">
        <f t="shared" si="185"/>
        <v>#DIV/0!</v>
      </c>
      <c r="CT94" s="66">
        <f t="shared" si="186"/>
        <v>0</v>
      </c>
      <c r="CU94" s="383" t="e">
        <f t="shared" si="187"/>
        <v>#DIV/0!</v>
      </c>
      <c r="CV94" s="316">
        <f t="shared" si="188"/>
        <v>0</v>
      </c>
      <c r="CW94" s="309">
        <f t="shared" si="189"/>
        <v>0</v>
      </c>
      <c r="CX94" s="66">
        <f>IF($AD94="N","N",SUM('調查資料(OUT)'!AF100:AF103))</f>
        <v>0</v>
      </c>
      <c r="CY94" s="66">
        <f>IF($AD94="N","N",SUM('調查資料(OUT)'!AI100:AI103))</f>
        <v>0</v>
      </c>
      <c r="CZ94" s="66">
        <f>IF($AD94="N","N",SUM('調查資料(OUT)'!AM100:AM103))</f>
        <v>0</v>
      </c>
      <c r="DA94" s="66">
        <f>IF($AD94="N","N",SUM('調查資料(OUT)'!AL100:AL103))</f>
        <v>0</v>
      </c>
      <c r="DB94" s="383" t="e">
        <f t="shared" si="190"/>
        <v>#DIV/0!</v>
      </c>
      <c r="DC94" s="66">
        <f t="shared" si="191"/>
        <v>0</v>
      </c>
      <c r="DD94" s="66">
        <f>IF($AD94="N","N",SUM('調查資料(OUT)'!AG100:AG103))</f>
        <v>0</v>
      </c>
      <c r="DE94" s="66">
        <f>IF($AD94="N","N",SUM('調查資料(OUT)'!AJ100:AJ103))</f>
        <v>0</v>
      </c>
      <c r="DF94" s="66">
        <f>IF($AD94="N","N",SUM('調查資料(OUT)'!AN100:AN103))</f>
        <v>0</v>
      </c>
      <c r="DG94" s="383" t="e">
        <f t="shared" si="192"/>
        <v>#DIV/0!</v>
      </c>
      <c r="DH94" s="66">
        <f t="shared" si="193"/>
        <v>0</v>
      </c>
      <c r="DI94" s="66">
        <f>IF($AD94="N","N",SUM('調查資料(OUT)'!AH100:AH103))</f>
        <v>0</v>
      </c>
      <c r="DJ94" s="66">
        <f>IF($AD94="N","N",SUM('調查資料(OUT)'!AK100:AK103))</f>
        <v>0</v>
      </c>
      <c r="DK94" s="66">
        <f>IF($AD94="N","N",SUM('調查資料(OUT)'!AO100:AO103))</f>
        <v>0</v>
      </c>
      <c r="DL94" s="383" t="e">
        <f t="shared" si="194"/>
        <v>#DIV/0!</v>
      </c>
      <c r="DM94" s="66">
        <f t="shared" si="195"/>
        <v>0</v>
      </c>
      <c r="DN94" s="383" t="e">
        <f t="shared" si="196"/>
        <v>#DIV/0!</v>
      </c>
      <c r="DO94" s="66">
        <f t="shared" si="197"/>
        <v>0</v>
      </c>
      <c r="DP94" s="383" t="e">
        <f t="shared" si="198"/>
        <v>#DIV/0!</v>
      </c>
      <c r="DQ94" s="66">
        <f t="shared" si="199"/>
        <v>0</v>
      </c>
      <c r="DR94" s="383" t="e">
        <f t="shared" si="200"/>
        <v>#DIV/0!</v>
      </c>
      <c r="DS94" s="316">
        <f t="shared" si="201"/>
        <v>0</v>
      </c>
    </row>
    <row r="95" spans="1:123">
      <c r="A95" s="118">
        <f>'調查資料(OUT)'!A101</f>
        <v>2230</v>
      </c>
      <c r="B95" s="309">
        <f t="shared" si="322"/>
        <v>0</v>
      </c>
      <c r="C95" s="66">
        <f>IFERROR('調查資料(OUT)'!B$1*'調查資料(OUT)'!B101,0)+IFERROR('調查資料(OUT)'!E$1*'調查資料(OUT)'!E101,0)+IFERROR('調查資料(OUT)'!H$1*'調查資料(OUT)'!H101,0)+IFERROR('調查資料(OUT)'!I$1*'調查資料(OUT)'!I101,0)</f>
        <v>0</v>
      </c>
      <c r="D95" s="66">
        <f>IFERROR('調查資料(OUT)'!C$1*'調查資料(OUT)'!C101,0)+IFERROR('調查資料(OUT)'!F$1*'調查資料(OUT)'!F101,0)+IFERROR('調查資料(OUT)'!J$1*'調查資料(OUT)'!J101,0)</f>
        <v>0</v>
      </c>
      <c r="E95" s="316">
        <f>IFERROR('調查資料(OUT)'!D$1*'調查資料(OUT)'!D101,0)+IFERROR('調查資料(OUT)'!G$1*'調查資料(OUT)'!G101,0)+IFERROR('調查資料(OUT)'!K$1*'調查資料(OUT)'!K101,0)</f>
        <v>0</v>
      </c>
      <c r="F95" s="309">
        <f t="shared" si="323"/>
        <v>0</v>
      </c>
      <c r="G95" s="66">
        <f>IFERROR('調查資料(OUT)'!L$1*'調查資料(OUT)'!L101,0)+IFERROR('調查資料(OUT)'!O$1*'調查資料(OUT)'!O101,0)+IFERROR('調查資料(OUT)'!R$1*'調查資料(OUT)'!R101,0)+IFERROR('調查資料(OUT)'!S$1*'調查資料(OUT)'!S101,0)</f>
        <v>0</v>
      </c>
      <c r="H95" s="66">
        <f>IFERROR('調查資料(OUT)'!M$1*'調查資料(OUT)'!M101,0)+IFERROR('調查資料(OUT)'!P$1*'調查資料(OUT)'!P101,0)+IFERROR('調查資料(OUT)'!T$1*'調查資料(OUT)'!T101,0)</f>
        <v>0</v>
      </c>
      <c r="I95" s="316">
        <f>IFERROR('調查資料(OUT)'!N$1*'調查資料(OUT)'!N101,0)+IFERROR('調查資料(OUT)'!Q$1*'調查資料(OUT)'!Q101,0)+IFERROR('調查資料(OUT)'!U$1*'調查資料(OUT)'!U101,0)</f>
        <v>0</v>
      </c>
      <c r="J95" s="309">
        <f t="shared" si="324"/>
        <v>0</v>
      </c>
      <c r="K95" s="66">
        <f>IFERROR('調查資料(OUT)'!V$1*'調查資料(OUT)'!V101,0)+IFERROR('調查資料(OUT)'!Y$1*'調查資料(OUT)'!Y101,0)+IFERROR('調查資料(OUT)'!AB$1*'調查資料(OUT)'!AB101,0)+IFERROR('調查資料(OUT)'!AC$1*'調查資料(OUT)'!AC101,0)</f>
        <v>0</v>
      </c>
      <c r="L95" s="66">
        <f>IFERROR('調查資料(OUT)'!W$1*'調查資料(OUT)'!W101,0)+IFERROR('調查資料(OUT)'!Z$1*'調查資料(OUT)'!Z101,0)+IFERROR('調查資料(OUT)'!AD$1*'調查資料(OUT)'!AD101,0)</f>
        <v>0</v>
      </c>
      <c r="M95" s="316">
        <f>IFERROR('調查資料(OUT)'!X$1*'調查資料(OUT)'!X101,0)+IFERROR('調查資料(OUT)'!AA$1*'調查資料(OUT)'!AA101,0)+IFERROR('調查資料(OUT)'!AE$1*'調查資料(OUT)'!AE101,0)</f>
        <v>0</v>
      </c>
      <c r="N95" s="309">
        <f t="shared" si="325"/>
        <v>0</v>
      </c>
      <c r="O95" s="66">
        <f>IFERROR('調查資料(OUT)'!AF$1*'調查資料(OUT)'!AF101,0)+IFERROR('調查資料(OUT)'!AI$1*'調查資料(OUT)'!AI101,0)+IFERROR('調查資料(OUT)'!AL$1*'調查資料(OUT)'!AL101,0)+IFERROR('調查資料(OUT)'!AM$1*'調查資料(OUT)'!AM101,0)</f>
        <v>0</v>
      </c>
      <c r="P95" s="66">
        <f>IFERROR('調查資料(OUT)'!AG$1*'調查資料(OUT)'!AG101,0)+IFERROR('調查資料(OUT)'!AJ$1*'調查資料(OUT)'!AJ101,0)+IFERROR('調查資料(OUT)'!AN$1*'調查資料(OUT)'!AN101,0)</f>
        <v>0</v>
      </c>
      <c r="Q95" s="316">
        <f>IFERROR('調查資料(OUT)'!AH$1*'調查資料(OUT)'!AH101,0)+IFERROR('調查資料(OUT)'!AK$1*'調查資料(OUT)'!AK101,0)+IFERROR('調查資料(OUT)'!AO$1*'調查資料(OUT)'!AO101,0)</f>
        <v>0</v>
      </c>
      <c r="R95" s="133">
        <f t="shared" si="326"/>
        <v>0</v>
      </c>
      <c r="T95" s="366">
        <f>'調查資料(OUT)'!A101</f>
        <v>2230</v>
      </c>
      <c r="U95" s="101">
        <f t="shared" si="149"/>
        <v>2330</v>
      </c>
      <c r="V95" s="66">
        <f t="shared" si="133"/>
        <v>0</v>
      </c>
      <c r="X95" s="66">
        <f t="shared" si="264"/>
        <v>0</v>
      </c>
      <c r="Y95" s="379" t="e">
        <f t="shared" si="268"/>
        <v>#DIV/0!</v>
      </c>
      <c r="Z95" s="379" t="e">
        <f t="shared" si="265"/>
        <v>#DIV/0!</v>
      </c>
      <c r="AA95" s="379" t="e">
        <f t="shared" si="211"/>
        <v>#DIV/0!</v>
      </c>
      <c r="AB95" s="379" t="e">
        <f t="shared" si="269"/>
        <v>#DIV/0!</v>
      </c>
      <c r="AD95" s="66">
        <f t="shared" si="266"/>
        <v>2230</v>
      </c>
      <c r="AE95" s="316">
        <f t="shared" si="270"/>
        <v>2330</v>
      </c>
      <c r="AF95" s="309">
        <f t="shared" si="202"/>
        <v>0</v>
      </c>
      <c r="AG95" s="66">
        <f>IF($AD95="N","N",SUM('調查資料(OUT)'!B101:B104))</f>
        <v>0</v>
      </c>
      <c r="AH95" s="66">
        <f>IF($AD95="N","N",SUM('調查資料(OUT)'!E101:E104))</f>
        <v>0</v>
      </c>
      <c r="AI95" s="66">
        <f>IF($AD95="N","N",SUM('調查資料(OUT)'!I101:I104))</f>
        <v>0</v>
      </c>
      <c r="AJ95" s="66">
        <f>IF($AD95="N","N",SUM('調查資料(OUT)'!H101:H104))</f>
        <v>0</v>
      </c>
      <c r="AK95" s="383" t="e">
        <f t="shared" si="151"/>
        <v>#DIV/0!</v>
      </c>
      <c r="AL95" s="66">
        <f t="shared" si="152"/>
        <v>0</v>
      </c>
      <c r="AM95" s="66">
        <f>IF($AD95="N","N",SUM('調查資料(OUT)'!C101:C104))</f>
        <v>0</v>
      </c>
      <c r="AN95" s="66">
        <f>IF($AD95="N","N",SUM('調查資料(OUT)'!F101:F104))</f>
        <v>0</v>
      </c>
      <c r="AO95" s="66">
        <f>IF($AD95="N","N",SUM('調查資料(OUT)'!J101:J104))</f>
        <v>0</v>
      </c>
      <c r="AP95" s="383" t="e">
        <f t="shared" si="153"/>
        <v>#DIV/0!</v>
      </c>
      <c r="AQ95" s="66">
        <f t="shared" si="154"/>
        <v>0</v>
      </c>
      <c r="AR95" s="66">
        <f>IF($AD95="N","N",SUM('調查資料(OUT)'!D101:D104))</f>
        <v>0</v>
      </c>
      <c r="AS95" s="66">
        <f>IF($AD95="N","N",SUM('調查資料(OUT)'!G101:G104))</f>
        <v>0</v>
      </c>
      <c r="AT95" s="66">
        <f>IF($AD95="N","N",SUM('調查資料(OUT)'!K101:K104))</f>
        <v>0</v>
      </c>
      <c r="AU95" s="383" t="e">
        <f t="shared" si="155"/>
        <v>#DIV/0!</v>
      </c>
      <c r="AV95" s="66">
        <f t="shared" si="156"/>
        <v>0</v>
      </c>
      <c r="AW95" s="383" t="e">
        <f t="shared" si="157"/>
        <v>#DIV/0!</v>
      </c>
      <c r="AX95" s="66">
        <f t="shared" si="158"/>
        <v>0</v>
      </c>
      <c r="AY95" s="383" t="e">
        <f t="shared" si="159"/>
        <v>#DIV/0!</v>
      </c>
      <c r="AZ95" s="66">
        <f t="shared" si="160"/>
        <v>0</v>
      </c>
      <c r="BA95" s="383" t="e">
        <f t="shared" si="161"/>
        <v>#DIV/0!</v>
      </c>
      <c r="BB95" s="316">
        <f t="shared" si="162"/>
        <v>0</v>
      </c>
      <c r="BC95" s="309">
        <f t="shared" si="163"/>
        <v>0</v>
      </c>
      <c r="BD95" s="66">
        <f>IF($AD95="N","N",SUM('調查資料(OUT)'!L101:L104))</f>
        <v>0</v>
      </c>
      <c r="BE95" s="66">
        <f>IF($AD95="N","N",SUM('調查資料(OUT)'!O101:O104))</f>
        <v>0</v>
      </c>
      <c r="BF95" s="66">
        <f>IF($AD95="N","N",SUM('調查資料(OUT)'!S101:S104))</f>
        <v>0</v>
      </c>
      <c r="BG95" s="66">
        <f>IF($AD95="N","N",SUM('調查資料(OUT)'!R101:R104))</f>
        <v>0</v>
      </c>
      <c r="BH95" s="383" t="e">
        <f t="shared" si="164"/>
        <v>#DIV/0!</v>
      </c>
      <c r="BI95" s="66">
        <f t="shared" si="165"/>
        <v>0</v>
      </c>
      <c r="BJ95" s="66">
        <f>IF($AD95="N","N",SUM('調查資料(OUT)'!M101:M104))</f>
        <v>0</v>
      </c>
      <c r="BK95" s="66">
        <f>IF($AD95="N","N",SUM('調查資料(OUT)'!P101:P104))</f>
        <v>0</v>
      </c>
      <c r="BL95" s="66">
        <f>IF($AD95="N","N",SUM('調查資料(OUT)'!T101:T104))</f>
        <v>0</v>
      </c>
      <c r="BM95" s="383" t="e">
        <f t="shared" si="166"/>
        <v>#DIV/0!</v>
      </c>
      <c r="BN95" s="66">
        <f t="shared" si="167"/>
        <v>0</v>
      </c>
      <c r="BO95" s="66">
        <f>IF($AD95="N","N",SUM('調查資料(OUT)'!N101:N104))</f>
        <v>0</v>
      </c>
      <c r="BP95" s="66">
        <f>IF($AD95="N","N",SUM('調查資料(OUT)'!Q101:Q104))</f>
        <v>0</v>
      </c>
      <c r="BQ95" s="66">
        <f>IF($AD95="N","N",SUM('調查資料(OUT)'!U101:U104))</f>
        <v>0</v>
      </c>
      <c r="BR95" s="383" t="e">
        <f t="shared" si="168"/>
        <v>#DIV/0!</v>
      </c>
      <c r="BS95" s="66">
        <f t="shared" si="169"/>
        <v>0</v>
      </c>
      <c r="BT95" s="383" t="e">
        <f t="shared" si="170"/>
        <v>#DIV/0!</v>
      </c>
      <c r="BU95" s="66">
        <f t="shared" si="171"/>
        <v>0</v>
      </c>
      <c r="BV95" s="383" t="e">
        <f t="shared" si="172"/>
        <v>#DIV/0!</v>
      </c>
      <c r="BW95" s="66">
        <f t="shared" si="173"/>
        <v>0</v>
      </c>
      <c r="BX95" s="383" t="e">
        <f t="shared" si="174"/>
        <v>#DIV/0!</v>
      </c>
      <c r="BY95" s="316">
        <f t="shared" si="175"/>
        <v>0</v>
      </c>
      <c r="BZ95" s="309">
        <f t="shared" si="176"/>
        <v>0</v>
      </c>
      <c r="CA95" s="66">
        <f>IF($AD95="N","N",SUM('調查資料(OUT)'!V101:V104))</f>
        <v>0</v>
      </c>
      <c r="CB95" s="66">
        <f>IF($AD95="N","N",SUM('調查資料(OUT)'!Y101:Y104))</f>
        <v>0</v>
      </c>
      <c r="CC95" s="66">
        <f>IF($AD95="N","N",SUM('調查資料(OUT)'!AC101:AC104))</f>
        <v>0</v>
      </c>
      <c r="CD95" s="66">
        <f>IF($AD95="N","N",SUM('調查資料(OUT)'!AB101:AB104))</f>
        <v>0</v>
      </c>
      <c r="CE95" s="383" t="e">
        <f t="shared" si="177"/>
        <v>#DIV/0!</v>
      </c>
      <c r="CF95" s="66">
        <f t="shared" si="178"/>
        <v>0</v>
      </c>
      <c r="CG95" s="66">
        <f>IF($AD95="N","N",SUM('調查資料(OUT)'!W101:W104))</f>
        <v>0</v>
      </c>
      <c r="CH95" s="66">
        <f>IF($AD95="N","N",SUM('調查資料(OUT)'!Z101:Z104))</f>
        <v>0</v>
      </c>
      <c r="CI95" s="66">
        <f>IF($AD95="N","N",SUM('調查資料(OUT)'!AD101:AD104))</f>
        <v>0</v>
      </c>
      <c r="CJ95" s="383" t="e">
        <f t="shared" si="179"/>
        <v>#DIV/0!</v>
      </c>
      <c r="CK95" s="66">
        <f t="shared" si="180"/>
        <v>0</v>
      </c>
      <c r="CL95" s="66">
        <f>IF($AD95="N","N",SUM('調查資料(OUT)'!X101:X104))</f>
        <v>0</v>
      </c>
      <c r="CM95" s="66">
        <f>IF($AD95="N","N",SUM('調查資料(OUT)'!AA101:AA104))</f>
        <v>0</v>
      </c>
      <c r="CN95" s="66">
        <f>IF($AD95="N","N",SUM('調查資料(OUT)'!AE101:AE104))</f>
        <v>0</v>
      </c>
      <c r="CO95" s="383" t="e">
        <f t="shared" si="181"/>
        <v>#DIV/0!</v>
      </c>
      <c r="CP95" s="66">
        <f t="shared" si="182"/>
        <v>0</v>
      </c>
      <c r="CQ95" s="383" t="e">
        <f t="shared" si="183"/>
        <v>#DIV/0!</v>
      </c>
      <c r="CR95" s="66">
        <f t="shared" si="184"/>
        <v>0</v>
      </c>
      <c r="CS95" s="383" t="e">
        <f t="shared" si="185"/>
        <v>#DIV/0!</v>
      </c>
      <c r="CT95" s="66">
        <f t="shared" si="186"/>
        <v>0</v>
      </c>
      <c r="CU95" s="383" t="e">
        <f t="shared" si="187"/>
        <v>#DIV/0!</v>
      </c>
      <c r="CV95" s="316">
        <f t="shared" si="188"/>
        <v>0</v>
      </c>
      <c r="CW95" s="309">
        <f t="shared" si="189"/>
        <v>0</v>
      </c>
      <c r="CX95" s="66">
        <f>IF($AD95="N","N",SUM('調查資料(OUT)'!AF101:AF104))</f>
        <v>0</v>
      </c>
      <c r="CY95" s="66">
        <f>IF($AD95="N","N",SUM('調查資料(OUT)'!AI101:AI104))</f>
        <v>0</v>
      </c>
      <c r="CZ95" s="66">
        <f>IF($AD95="N","N",SUM('調查資料(OUT)'!AM101:AM104))</f>
        <v>0</v>
      </c>
      <c r="DA95" s="66">
        <f>IF($AD95="N","N",SUM('調查資料(OUT)'!AL101:AL104))</f>
        <v>0</v>
      </c>
      <c r="DB95" s="383" t="e">
        <f t="shared" si="190"/>
        <v>#DIV/0!</v>
      </c>
      <c r="DC95" s="66">
        <f t="shared" si="191"/>
        <v>0</v>
      </c>
      <c r="DD95" s="66">
        <f>IF($AD95="N","N",SUM('調查資料(OUT)'!AG101:AG104))</f>
        <v>0</v>
      </c>
      <c r="DE95" s="66">
        <f>IF($AD95="N","N",SUM('調查資料(OUT)'!AJ101:AJ104))</f>
        <v>0</v>
      </c>
      <c r="DF95" s="66">
        <f>IF($AD95="N","N",SUM('調查資料(OUT)'!AN101:AN104))</f>
        <v>0</v>
      </c>
      <c r="DG95" s="383" t="e">
        <f t="shared" si="192"/>
        <v>#DIV/0!</v>
      </c>
      <c r="DH95" s="66">
        <f t="shared" si="193"/>
        <v>0</v>
      </c>
      <c r="DI95" s="66">
        <f>IF($AD95="N","N",SUM('調查資料(OUT)'!AH101:AH104))</f>
        <v>0</v>
      </c>
      <c r="DJ95" s="66">
        <f>IF($AD95="N","N",SUM('調查資料(OUT)'!AK101:AK104))</f>
        <v>0</v>
      </c>
      <c r="DK95" s="66">
        <f>IF($AD95="N","N",SUM('調查資料(OUT)'!AO101:AO104))</f>
        <v>0</v>
      </c>
      <c r="DL95" s="383" t="e">
        <f t="shared" si="194"/>
        <v>#DIV/0!</v>
      </c>
      <c r="DM95" s="66">
        <f t="shared" si="195"/>
        <v>0</v>
      </c>
      <c r="DN95" s="383" t="e">
        <f t="shared" si="196"/>
        <v>#DIV/0!</v>
      </c>
      <c r="DO95" s="66">
        <f t="shared" si="197"/>
        <v>0</v>
      </c>
      <c r="DP95" s="383" t="e">
        <f t="shared" si="198"/>
        <v>#DIV/0!</v>
      </c>
      <c r="DQ95" s="66">
        <f t="shared" si="199"/>
        <v>0</v>
      </c>
      <c r="DR95" s="383" t="e">
        <f t="shared" si="200"/>
        <v>#DIV/0!</v>
      </c>
      <c r="DS95" s="316">
        <f t="shared" si="201"/>
        <v>0</v>
      </c>
    </row>
    <row r="96" spans="1:123">
      <c r="A96" s="118">
        <f>'調查資料(OUT)'!A102</f>
        <v>2245</v>
      </c>
      <c r="B96" s="309">
        <f t="shared" si="322"/>
        <v>0</v>
      </c>
      <c r="C96" s="66">
        <f>IFERROR('調查資料(OUT)'!B$1*'調查資料(OUT)'!B102,0)+IFERROR('調查資料(OUT)'!E$1*'調查資料(OUT)'!E102,0)+IFERROR('調查資料(OUT)'!H$1*'調查資料(OUT)'!H102,0)+IFERROR('調查資料(OUT)'!I$1*'調查資料(OUT)'!I102,0)</f>
        <v>0</v>
      </c>
      <c r="D96" s="66">
        <f>IFERROR('調查資料(OUT)'!C$1*'調查資料(OUT)'!C102,0)+IFERROR('調查資料(OUT)'!F$1*'調查資料(OUT)'!F102,0)+IFERROR('調查資料(OUT)'!J$1*'調查資料(OUT)'!J102,0)</f>
        <v>0</v>
      </c>
      <c r="E96" s="316">
        <f>IFERROR('調查資料(OUT)'!D$1*'調查資料(OUT)'!D102,0)+IFERROR('調查資料(OUT)'!G$1*'調查資料(OUT)'!G102,0)+IFERROR('調查資料(OUT)'!K$1*'調查資料(OUT)'!K102,0)</f>
        <v>0</v>
      </c>
      <c r="F96" s="309">
        <f t="shared" si="323"/>
        <v>0</v>
      </c>
      <c r="G96" s="66">
        <f>IFERROR('調查資料(OUT)'!L$1*'調查資料(OUT)'!L102,0)+IFERROR('調查資料(OUT)'!O$1*'調查資料(OUT)'!O102,0)+IFERROR('調查資料(OUT)'!R$1*'調查資料(OUT)'!R102,0)+IFERROR('調查資料(OUT)'!S$1*'調查資料(OUT)'!S102,0)</f>
        <v>0</v>
      </c>
      <c r="H96" s="66">
        <f>IFERROR('調查資料(OUT)'!M$1*'調查資料(OUT)'!M102,0)+IFERROR('調查資料(OUT)'!P$1*'調查資料(OUT)'!P102,0)+IFERROR('調查資料(OUT)'!T$1*'調查資料(OUT)'!T102,0)</f>
        <v>0</v>
      </c>
      <c r="I96" s="316">
        <f>IFERROR('調查資料(OUT)'!N$1*'調查資料(OUT)'!N102,0)+IFERROR('調查資料(OUT)'!Q$1*'調查資料(OUT)'!Q102,0)+IFERROR('調查資料(OUT)'!U$1*'調查資料(OUT)'!U102,0)</f>
        <v>0</v>
      </c>
      <c r="J96" s="309">
        <f t="shared" si="324"/>
        <v>0</v>
      </c>
      <c r="K96" s="66">
        <f>IFERROR('調查資料(OUT)'!V$1*'調查資料(OUT)'!V102,0)+IFERROR('調查資料(OUT)'!Y$1*'調查資料(OUT)'!Y102,0)+IFERROR('調查資料(OUT)'!AB$1*'調查資料(OUT)'!AB102,0)+IFERROR('調查資料(OUT)'!AC$1*'調查資料(OUT)'!AC102,0)</f>
        <v>0</v>
      </c>
      <c r="L96" s="66">
        <f>IFERROR('調查資料(OUT)'!W$1*'調查資料(OUT)'!W102,0)+IFERROR('調查資料(OUT)'!Z$1*'調查資料(OUT)'!Z102,0)+IFERROR('調查資料(OUT)'!AD$1*'調查資料(OUT)'!AD102,0)</f>
        <v>0</v>
      </c>
      <c r="M96" s="316">
        <f>IFERROR('調查資料(OUT)'!X$1*'調查資料(OUT)'!X102,0)+IFERROR('調查資料(OUT)'!AA$1*'調查資料(OUT)'!AA102,0)+IFERROR('調查資料(OUT)'!AE$1*'調查資料(OUT)'!AE102,0)</f>
        <v>0</v>
      </c>
      <c r="N96" s="309">
        <f t="shared" si="325"/>
        <v>0</v>
      </c>
      <c r="O96" s="66">
        <f>IFERROR('調查資料(OUT)'!AF$1*'調查資料(OUT)'!AF102,0)+IFERROR('調查資料(OUT)'!AI$1*'調查資料(OUT)'!AI102,0)+IFERROR('調查資料(OUT)'!AL$1*'調查資料(OUT)'!AL102,0)+IFERROR('調查資料(OUT)'!AM$1*'調查資料(OUT)'!AM102,0)</f>
        <v>0</v>
      </c>
      <c r="P96" s="66">
        <f>IFERROR('調查資料(OUT)'!AG$1*'調查資料(OUT)'!AG102,0)+IFERROR('調查資料(OUT)'!AJ$1*'調查資料(OUT)'!AJ102,0)+IFERROR('調查資料(OUT)'!AN$1*'調查資料(OUT)'!AN102,0)</f>
        <v>0</v>
      </c>
      <c r="Q96" s="316">
        <f>IFERROR('調查資料(OUT)'!AH$1*'調查資料(OUT)'!AH102,0)+IFERROR('調查資料(OUT)'!AK$1*'調查資料(OUT)'!AK102,0)+IFERROR('調查資料(OUT)'!AO$1*'調查資料(OUT)'!AO102,0)</f>
        <v>0</v>
      </c>
      <c r="R96" s="133">
        <f t="shared" si="326"/>
        <v>0</v>
      </c>
      <c r="T96" s="366">
        <f>'調查資料(OUT)'!A102</f>
        <v>2245</v>
      </c>
      <c r="U96" s="101">
        <f t="shared" si="149"/>
        <v>2345</v>
      </c>
      <c r="V96" s="66">
        <f t="shared" si="133"/>
        <v>0</v>
      </c>
      <c r="X96" s="66">
        <f t="shared" si="264"/>
        <v>0</v>
      </c>
      <c r="Y96" s="379" t="e">
        <f t="shared" si="268"/>
        <v>#DIV/0!</v>
      </c>
      <c r="Z96" s="379" t="e">
        <f t="shared" si="265"/>
        <v>#DIV/0!</v>
      </c>
      <c r="AA96" s="379" t="e">
        <f t="shared" si="211"/>
        <v>#DIV/0!</v>
      </c>
      <c r="AB96" s="379" t="e">
        <f t="shared" si="269"/>
        <v>#DIV/0!</v>
      </c>
      <c r="AD96" s="66">
        <f t="shared" si="266"/>
        <v>2245</v>
      </c>
      <c r="AE96" s="316">
        <f t="shared" si="270"/>
        <v>2345</v>
      </c>
      <c r="AF96" s="309">
        <f t="shared" si="202"/>
        <v>0</v>
      </c>
      <c r="AG96" s="66">
        <f>IF($AD96="N","N",SUM('調查資料(OUT)'!B102:B105))</f>
        <v>0</v>
      </c>
      <c r="AH96" s="66">
        <f>IF($AD96="N","N",SUM('調查資料(OUT)'!E102:E105))</f>
        <v>0</v>
      </c>
      <c r="AI96" s="66">
        <f>IF($AD96="N","N",SUM('調查資料(OUT)'!I102:I105))</f>
        <v>0</v>
      </c>
      <c r="AJ96" s="66">
        <f>IF($AD96="N","N",SUM('調查資料(OUT)'!H102:H105))</f>
        <v>0</v>
      </c>
      <c r="AK96" s="383" t="e">
        <f t="shared" si="151"/>
        <v>#DIV/0!</v>
      </c>
      <c r="AL96" s="66">
        <f t="shared" si="152"/>
        <v>0</v>
      </c>
      <c r="AM96" s="66">
        <f>IF($AD96="N","N",SUM('調查資料(OUT)'!C102:C105))</f>
        <v>0</v>
      </c>
      <c r="AN96" s="66">
        <f>IF($AD96="N","N",SUM('調查資料(OUT)'!F102:F105))</f>
        <v>0</v>
      </c>
      <c r="AO96" s="66">
        <f>IF($AD96="N","N",SUM('調查資料(OUT)'!J102:J105))</f>
        <v>0</v>
      </c>
      <c r="AP96" s="383" t="e">
        <f t="shared" si="153"/>
        <v>#DIV/0!</v>
      </c>
      <c r="AQ96" s="66">
        <f t="shared" si="154"/>
        <v>0</v>
      </c>
      <c r="AR96" s="66">
        <f>IF($AD96="N","N",SUM('調查資料(OUT)'!D102:D105))</f>
        <v>0</v>
      </c>
      <c r="AS96" s="66">
        <f>IF($AD96="N","N",SUM('調查資料(OUT)'!G102:G105))</f>
        <v>0</v>
      </c>
      <c r="AT96" s="66">
        <f>IF($AD96="N","N",SUM('調查資料(OUT)'!K102:K105))</f>
        <v>0</v>
      </c>
      <c r="AU96" s="383" t="e">
        <f t="shared" si="155"/>
        <v>#DIV/0!</v>
      </c>
      <c r="AV96" s="66">
        <f t="shared" si="156"/>
        <v>0</v>
      </c>
      <c r="AW96" s="383" t="e">
        <f t="shared" si="157"/>
        <v>#DIV/0!</v>
      </c>
      <c r="AX96" s="66">
        <f t="shared" si="158"/>
        <v>0</v>
      </c>
      <c r="AY96" s="383" t="e">
        <f t="shared" si="159"/>
        <v>#DIV/0!</v>
      </c>
      <c r="AZ96" s="66">
        <f t="shared" si="160"/>
        <v>0</v>
      </c>
      <c r="BA96" s="383" t="e">
        <f t="shared" si="161"/>
        <v>#DIV/0!</v>
      </c>
      <c r="BB96" s="316">
        <f t="shared" si="162"/>
        <v>0</v>
      </c>
      <c r="BC96" s="309">
        <f t="shared" si="163"/>
        <v>0</v>
      </c>
      <c r="BD96" s="66">
        <f>IF($AD96="N","N",SUM('調查資料(OUT)'!L102:L105))</f>
        <v>0</v>
      </c>
      <c r="BE96" s="66">
        <f>IF($AD96="N","N",SUM('調查資料(OUT)'!O102:O105))</f>
        <v>0</v>
      </c>
      <c r="BF96" s="66">
        <f>IF($AD96="N","N",SUM('調查資料(OUT)'!S102:S105))</f>
        <v>0</v>
      </c>
      <c r="BG96" s="66">
        <f>IF($AD96="N","N",SUM('調查資料(OUT)'!R102:R105))</f>
        <v>0</v>
      </c>
      <c r="BH96" s="383" t="e">
        <f t="shared" si="164"/>
        <v>#DIV/0!</v>
      </c>
      <c r="BI96" s="66">
        <f t="shared" si="165"/>
        <v>0</v>
      </c>
      <c r="BJ96" s="66">
        <f>IF($AD96="N","N",SUM('調查資料(OUT)'!M102:M105))</f>
        <v>0</v>
      </c>
      <c r="BK96" s="66">
        <f>IF($AD96="N","N",SUM('調查資料(OUT)'!P102:P105))</f>
        <v>0</v>
      </c>
      <c r="BL96" s="66">
        <f>IF($AD96="N","N",SUM('調查資料(OUT)'!T102:T105))</f>
        <v>0</v>
      </c>
      <c r="BM96" s="383" t="e">
        <f t="shared" si="166"/>
        <v>#DIV/0!</v>
      </c>
      <c r="BN96" s="66">
        <f t="shared" si="167"/>
        <v>0</v>
      </c>
      <c r="BO96" s="66">
        <f>IF($AD96="N","N",SUM('調查資料(OUT)'!N102:N105))</f>
        <v>0</v>
      </c>
      <c r="BP96" s="66">
        <f>IF($AD96="N","N",SUM('調查資料(OUT)'!Q102:Q105))</f>
        <v>0</v>
      </c>
      <c r="BQ96" s="66">
        <f>IF($AD96="N","N",SUM('調查資料(OUT)'!U102:U105))</f>
        <v>0</v>
      </c>
      <c r="BR96" s="383" t="e">
        <f t="shared" si="168"/>
        <v>#DIV/0!</v>
      </c>
      <c r="BS96" s="66">
        <f t="shared" si="169"/>
        <v>0</v>
      </c>
      <c r="BT96" s="383" t="e">
        <f t="shared" si="170"/>
        <v>#DIV/0!</v>
      </c>
      <c r="BU96" s="66">
        <f t="shared" si="171"/>
        <v>0</v>
      </c>
      <c r="BV96" s="383" t="e">
        <f t="shared" si="172"/>
        <v>#DIV/0!</v>
      </c>
      <c r="BW96" s="66">
        <f t="shared" si="173"/>
        <v>0</v>
      </c>
      <c r="BX96" s="383" t="e">
        <f t="shared" si="174"/>
        <v>#DIV/0!</v>
      </c>
      <c r="BY96" s="316">
        <f t="shared" si="175"/>
        <v>0</v>
      </c>
      <c r="BZ96" s="309">
        <f t="shared" si="176"/>
        <v>0</v>
      </c>
      <c r="CA96" s="66">
        <f>IF($AD96="N","N",SUM('調查資料(OUT)'!V102:V105))</f>
        <v>0</v>
      </c>
      <c r="CB96" s="66">
        <f>IF($AD96="N","N",SUM('調查資料(OUT)'!Y102:Y105))</f>
        <v>0</v>
      </c>
      <c r="CC96" s="66">
        <f>IF($AD96="N","N",SUM('調查資料(OUT)'!AC102:AC105))</f>
        <v>0</v>
      </c>
      <c r="CD96" s="66">
        <f>IF($AD96="N","N",SUM('調查資料(OUT)'!AB102:AB105))</f>
        <v>0</v>
      </c>
      <c r="CE96" s="383" t="e">
        <f t="shared" si="177"/>
        <v>#DIV/0!</v>
      </c>
      <c r="CF96" s="66">
        <f t="shared" si="178"/>
        <v>0</v>
      </c>
      <c r="CG96" s="66">
        <f>IF($AD96="N","N",SUM('調查資料(OUT)'!W102:W105))</f>
        <v>0</v>
      </c>
      <c r="CH96" s="66">
        <f>IF($AD96="N","N",SUM('調查資料(OUT)'!Z102:Z105))</f>
        <v>0</v>
      </c>
      <c r="CI96" s="66">
        <f>IF($AD96="N","N",SUM('調查資料(OUT)'!AD102:AD105))</f>
        <v>0</v>
      </c>
      <c r="CJ96" s="383" t="e">
        <f t="shared" si="179"/>
        <v>#DIV/0!</v>
      </c>
      <c r="CK96" s="66">
        <f t="shared" si="180"/>
        <v>0</v>
      </c>
      <c r="CL96" s="66">
        <f>IF($AD96="N","N",SUM('調查資料(OUT)'!X102:X105))</f>
        <v>0</v>
      </c>
      <c r="CM96" s="66">
        <f>IF($AD96="N","N",SUM('調查資料(OUT)'!AA102:AA105))</f>
        <v>0</v>
      </c>
      <c r="CN96" s="66">
        <f>IF($AD96="N","N",SUM('調查資料(OUT)'!AE102:AE105))</f>
        <v>0</v>
      </c>
      <c r="CO96" s="383" t="e">
        <f t="shared" si="181"/>
        <v>#DIV/0!</v>
      </c>
      <c r="CP96" s="66">
        <f t="shared" si="182"/>
        <v>0</v>
      </c>
      <c r="CQ96" s="383" t="e">
        <f t="shared" si="183"/>
        <v>#DIV/0!</v>
      </c>
      <c r="CR96" s="66">
        <f t="shared" si="184"/>
        <v>0</v>
      </c>
      <c r="CS96" s="383" t="e">
        <f t="shared" si="185"/>
        <v>#DIV/0!</v>
      </c>
      <c r="CT96" s="66">
        <f t="shared" si="186"/>
        <v>0</v>
      </c>
      <c r="CU96" s="383" t="e">
        <f t="shared" si="187"/>
        <v>#DIV/0!</v>
      </c>
      <c r="CV96" s="316">
        <f t="shared" si="188"/>
        <v>0</v>
      </c>
      <c r="CW96" s="309">
        <f t="shared" si="189"/>
        <v>0</v>
      </c>
      <c r="CX96" s="66">
        <f>IF($AD96="N","N",SUM('調查資料(OUT)'!AF102:AF105))</f>
        <v>0</v>
      </c>
      <c r="CY96" s="66">
        <f>IF($AD96="N","N",SUM('調查資料(OUT)'!AI102:AI105))</f>
        <v>0</v>
      </c>
      <c r="CZ96" s="66">
        <f>IF($AD96="N","N",SUM('調查資料(OUT)'!AM102:AM105))</f>
        <v>0</v>
      </c>
      <c r="DA96" s="66">
        <f>IF($AD96="N","N",SUM('調查資料(OUT)'!AL102:AL105))</f>
        <v>0</v>
      </c>
      <c r="DB96" s="383" t="e">
        <f t="shared" si="190"/>
        <v>#DIV/0!</v>
      </c>
      <c r="DC96" s="66">
        <f t="shared" si="191"/>
        <v>0</v>
      </c>
      <c r="DD96" s="66">
        <f>IF($AD96="N","N",SUM('調查資料(OUT)'!AG102:AG105))</f>
        <v>0</v>
      </c>
      <c r="DE96" s="66">
        <f>IF($AD96="N","N",SUM('調查資料(OUT)'!AJ102:AJ105))</f>
        <v>0</v>
      </c>
      <c r="DF96" s="66">
        <f>IF($AD96="N","N",SUM('調查資料(OUT)'!AN102:AN105))</f>
        <v>0</v>
      </c>
      <c r="DG96" s="383" t="e">
        <f t="shared" si="192"/>
        <v>#DIV/0!</v>
      </c>
      <c r="DH96" s="66">
        <f t="shared" si="193"/>
        <v>0</v>
      </c>
      <c r="DI96" s="66">
        <f>IF($AD96="N","N",SUM('調查資料(OUT)'!AH102:AH105))</f>
        <v>0</v>
      </c>
      <c r="DJ96" s="66">
        <f>IF($AD96="N","N",SUM('調查資料(OUT)'!AK102:AK105))</f>
        <v>0</v>
      </c>
      <c r="DK96" s="66">
        <f>IF($AD96="N","N",SUM('調查資料(OUT)'!AO102:AO105))</f>
        <v>0</v>
      </c>
      <c r="DL96" s="383" t="e">
        <f t="shared" si="194"/>
        <v>#DIV/0!</v>
      </c>
      <c r="DM96" s="66">
        <f t="shared" si="195"/>
        <v>0</v>
      </c>
      <c r="DN96" s="383" t="e">
        <f t="shared" si="196"/>
        <v>#DIV/0!</v>
      </c>
      <c r="DO96" s="66">
        <f t="shared" si="197"/>
        <v>0</v>
      </c>
      <c r="DP96" s="383" t="e">
        <f t="shared" si="198"/>
        <v>#DIV/0!</v>
      </c>
      <c r="DQ96" s="66">
        <f t="shared" si="199"/>
        <v>0</v>
      </c>
      <c r="DR96" s="383" t="e">
        <f t="shared" si="200"/>
        <v>#DIV/0!</v>
      </c>
      <c r="DS96" s="316">
        <f t="shared" si="201"/>
        <v>0</v>
      </c>
    </row>
    <row r="97" spans="1:124">
      <c r="A97" s="118">
        <f>'調查資料(OUT)'!A103</f>
        <v>2300</v>
      </c>
      <c r="B97" s="309">
        <f t="shared" si="322"/>
        <v>0</v>
      </c>
      <c r="C97" s="66">
        <f>IFERROR('調查資料(OUT)'!B$1*'調查資料(OUT)'!B103,0)+IFERROR('調查資料(OUT)'!E$1*'調查資料(OUT)'!E103,0)+IFERROR('調查資料(OUT)'!H$1*'調查資料(OUT)'!H103,0)+IFERROR('調查資料(OUT)'!I$1*'調查資料(OUT)'!I103,0)</f>
        <v>0</v>
      </c>
      <c r="D97" s="66">
        <f>IFERROR('調查資料(OUT)'!C$1*'調查資料(OUT)'!C103,0)+IFERROR('調查資料(OUT)'!F$1*'調查資料(OUT)'!F103,0)+IFERROR('調查資料(OUT)'!J$1*'調查資料(OUT)'!J103,0)</f>
        <v>0</v>
      </c>
      <c r="E97" s="316">
        <f>IFERROR('調查資料(OUT)'!D$1*'調查資料(OUT)'!D103,0)+IFERROR('調查資料(OUT)'!G$1*'調查資料(OUT)'!G103,0)+IFERROR('調查資料(OUT)'!K$1*'調查資料(OUT)'!K103,0)</f>
        <v>0</v>
      </c>
      <c r="F97" s="309">
        <f t="shared" si="323"/>
        <v>0</v>
      </c>
      <c r="G97" s="66">
        <f>IFERROR('調查資料(OUT)'!L$1*'調查資料(OUT)'!L103,0)+IFERROR('調查資料(OUT)'!O$1*'調查資料(OUT)'!O103,0)+IFERROR('調查資料(OUT)'!R$1*'調查資料(OUT)'!R103,0)+IFERROR('調查資料(OUT)'!S$1*'調查資料(OUT)'!S103,0)</f>
        <v>0</v>
      </c>
      <c r="H97" s="66">
        <f>IFERROR('調查資料(OUT)'!M$1*'調查資料(OUT)'!M103,0)+IFERROR('調查資料(OUT)'!P$1*'調查資料(OUT)'!P103,0)+IFERROR('調查資料(OUT)'!T$1*'調查資料(OUT)'!T103,0)</f>
        <v>0</v>
      </c>
      <c r="I97" s="316">
        <f>IFERROR('調查資料(OUT)'!N$1*'調查資料(OUT)'!N103,0)+IFERROR('調查資料(OUT)'!Q$1*'調查資料(OUT)'!Q103,0)+IFERROR('調查資料(OUT)'!U$1*'調查資料(OUT)'!U103,0)</f>
        <v>0</v>
      </c>
      <c r="J97" s="309">
        <f t="shared" si="324"/>
        <v>0</v>
      </c>
      <c r="K97" s="66">
        <f>IFERROR('調查資料(OUT)'!V$1*'調查資料(OUT)'!V103,0)+IFERROR('調查資料(OUT)'!Y$1*'調查資料(OUT)'!Y103,0)+IFERROR('調查資料(OUT)'!AB$1*'調查資料(OUT)'!AB103,0)+IFERROR('調查資料(OUT)'!AC$1*'調查資料(OUT)'!AC103,0)</f>
        <v>0</v>
      </c>
      <c r="L97" s="66">
        <f>IFERROR('調查資料(OUT)'!W$1*'調查資料(OUT)'!W103,0)+IFERROR('調查資料(OUT)'!Z$1*'調查資料(OUT)'!Z103,0)+IFERROR('調查資料(OUT)'!AD$1*'調查資料(OUT)'!AD103,0)</f>
        <v>0</v>
      </c>
      <c r="M97" s="316">
        <f>IFERROR('調查資料(OUT)'!X$1*'調查資料(OUT)'!X103,0)+IFERROR('調查資料(OUT)'!AA$1*'調查資料(OUT)'!AA103,0)+IFERROR('調查資料(OUT)'!AE$1*'調查資料(OUT)'!AE103,0)</f>
        <v>0</v>
      </c>
      <c r="N97" s="309">
        <f t="shared" si="325"/>
        <v>0</v>
      </c>
      <c r="O97" s="66">
        <f>IFERROR('調查資料(OUT)'!AF$1*'調查資料(OUT)'!AF103,0)+IFERROR('調查資料(OUT)'!AI$1*'調查資料(OUT)'!AI103,0)+IFERROR('調查資料(OUT)'!AL$1*'調查資料(OUT)'!AL103,0)+IFERROR('調查資料(OUT)'!AM$1*'調查資料(OUT)'!AM103,0)</f>
        <v>0</v>
      </c>
      <c r="P97" s="66">
        <f>IFERROR('調查資料(OUT)'!AG$1*'調查資料(OUT)'!AG103,0)+IFERROR('調查資料(OUT)'!AJ$1*'調查資料(OUT)'!AJ103,0)+IFERROR('調查資料(OUT)'!AN$1*'調查資料(OUT)'!AN103,0)</f>
        <v>0</v>
      </c>
      <c r="Q97" s="316">
        <f>IFERROR('調查資料(OUT)'!AH$1*'調查資料(OUT)'!AH103,0)+IFERROR('調查資料(OUT)'!AK$1*'調查資料(OUT)'!AK103,0)+IFERROR('調查資料(OUT)'!AO$1*'調查資料(OUT)'!AO103,0)</f>
        <v>0</v>
      </c>
      <c r="R97" s="133">
        <f t="shared" si="326"/>
        <v>0</v>
      </c>
      <c r="T97" s="388">
        <f>'調查資料(OUT)'!A103</f>
        <v>2300</v>
      </c>
      <c r="U97" s="389">
        <f t="shared" si="149"/>
        <v>2400</v>
      </c>
      <c r="V97" s="390">
        <f t="shared" si="133"/>
        <v>0</v>
      </c>
      <c r="W97" s="391"/>
      <c r="X97" s="390">
        <f t="shared" si="264"/>
        <v>0</v>
      </c>
      <c r="Y97" s="392" t="e">
        <f t="shared" si="268"/>
        <v>#DIV/0!</v>
      </c>
      <c r="Z97" s="392" t="e">
        <f t="shared" si="265"/>
        <v>#DIV/0!</v>
      </c>
      <c r="AA97" s="392" t="e">
        <f t="shared" si="211"/>
        <v>#DIV/0!</v>
      </c>
      <c r="AB97" s="392" t="e">
        <f t="shared" si="269"/>
        <v>#DIV/0!</v>
      </c>
      <c r="AC97" s="491"/>
      <c r="AD97" s="390">
        <f t="shared" si="266"/>
        <v>2300</v>
      </c>
      <c r="AE97" s="492">
        <f t="shared" si="270"/>
        <v>2400</v>
      </c>
      <c r="AF97" s="309">
        <f>IF($AD97="N","N",SUM(C97:C100))</f>
        <v>0</v>
      </c>
      <c r="AG97" s="66">
        <f>IF($AD97="N","N",SUM('調查資料(OUT)'!B103:B106))</f>
        <v>0</v>
      </c>
      <c r="AH97" s="66">
        <f>IF($AD97="N","N",SUM('調查資料(OUT)'!E103:E106))</f>
        <v>0</v>
      </c>
      <c r="AI97" s="66">
        <f>IF($AD97="N","N",SUM('調查資料(OUT)'!I103:I106))</f>
        <v>0</v>
      </c>
      <c r="AJ97" s="66">
        <f>IF($AD97="N","N",SUM('調查資料(OUT)'!H103:H106))</f>
        <v>0</v>
      </c>
      <c r="AK97" s="383" t="e">
        <f t="shared" si="151"/>
        <v>#DIV/0!</v>
      </c>
      <c r="AL97" s="66">
        <f t="shared" si="152"/>
        <v>0</v>
      </c>
      <c r="AM97" s="66">
        <f>IF($AD97="N","N",SUM('調查資料(OUT)'!C103:C106))</f>
        <v>0</v>
      </c>
      <c r="AN97" s="66">
        <f>IF($AD97="N","N",SUM('調查資料(OUT)'!F103:F106))</f>
        <v>0</v>
      </c>
      <c r="AO97" s="66">
        <f>IF($AD97="N","N",SUM('調查資料(OUT)'!J103:J106))</f>
        <v>0</v>
      </c>
      <c r="AP97" s="383" t="e">
        <f t="shared" si="153"/>
        <v>#DIV/0!</v>
      </c>
      <c r="AQ97" s="66">
        <f t="shared" si="154"/>
        <v>0</v>
      </c>
      <c r="AR97" s="66">
        <f>IF($AD97="N","N",SUM('調查資料(OUT)'!D103:D106))</f>
        <v>0</v>
      </c>
      <c r="AS97" s="66">
        <f>IF($AD97="N","N",SUM('調查資料(OUT)'!G103:G106))</f>
        <v>0</v>
      </c>
      <c r="AT97" s="66">
        <f>IF($AD97="N","N",SUM('調查資料(OUT)'!K103:K106))</f>
        <v>0</v>
      </c>
      <c r="AU97" s="383" t="e">
        <f t="shared" si="155"/>
        <v>#DIV/0!</v>
      </c>
      <c r="AV97" s="66">
        <f t="shared" si="156"/>
        <v>0</v>
      </c>
      <c r="AW97" s="383" t="e">
        <f t="shared" si="157"/>
        <v>#DIV/0!</v>
      </c>
      <c r="AX97" s="66">
        <f t="shared" si="158"/>
        <v>0</v>
      </c>
      <c r="AY97" s="383" t="e">
        <f t="shared" si="159"/>
        <v>#DIV/0!</v>
      </c>
      <c r="AZ97" s="66">
        <f t="shared" si="160"/>
        <v>0</v>
      </c>
      <c r="BA97" s="383" t="e">
        <f t="shared" si="161"/>
        <v>#DIV/0!</v>
      </c>
      <c r="BB97" s="316">
        <f t="shared" si="162"/>
        <v>0</v>
      </c>
      <c r="BC97" s="309">
        <f t="shared" si="163"/>
        <v>0</v>
      </c>
      <c r="BD97" s="66">
        <f>IF($AD97="N","N",SUM('調查資料(OUT)'!L103:L106))</f>
        <v>0</v>
      </c>
      <c r="BE97" s="66">
        <f>IF($AD97="N","N",SUM('調查資料(OUT)'!O103:O106))</f>
        <v>0</v>
      </c>
      <c r="BF97" s="66">
        <f>IF($AD97="N","N",SUM('調查資料(OUT)'!S103:S106))</f>
        <v>0</v>
      </c>
      <c r="BG97" s="66">
        <f>IF($AD97="N","N",SUM('調查資料(OUT)'!R103:R106))</f>
        <v>0</v>
      </c>
      <c r="BH97" s="383" t="e">
        <f t="shared" si="164"/>
        <v>#DIV/0!</v>
      </c>
      <c r="BI97" s="66">
        <f t="shared" si="165"/>
        <v>0</v>
      </c>
      <c r="BJ97" s="66">
        <f>IF($AD97="N","N",SUM('調查資料(OUT)'!M103:M106))</f>
        <v>0</v>
      </c>
      <c r="BK97" s="66">
        <f>IF($AD97="N","N",SUM('調查資料(OUT)'!P103:P106))</f>
        <v>0</v>
      </c>
      <c r="BL97" s="66">
        <f>IF($AD97="N","N",SUM('調查資料(OUT)'!T103:T106))</f>
        <v>0</v>
      </c>
      <c r="BM97" s="383" t="e">
        <f t="shared" si="166"/>
        <v>#DIV/0!</v>
      </c>
      <c r="BN97" s="66">
        <f t="shared" si="167"/>
        <v>0</v>
      </c>
      <c r="BO97" s="66">
        <f>IF($AD97="N","N",SUM('調查資料(OUT)'!N103:N106))</f>
        <v>0</v>
      </c>
      <c r="BP97" s="66">
        <f>IF($AD97="N","N",SUM('調查資料(OUT)'!Q103:Q106))</f>
        <v>0</v>
      </c>
      <c r="BQ97" s="66">
        <f>IF($AD97="N","N",SUM('調查資料(OUT)'!U103:U106))</f>
        <v>0</v>
      </c>
      <c r="BR97" s="383" t="e">
        <f t="shared" si="168"/>
        <v>#DIV/0!</v>
      </c>
      <c r="BS97" s="66">
        <f t="shared" si="169"/>
        <v>0</v>
      </c>
      <c r="BT97" s="383" t="e">
        <f t="shared" si="170"/>
        <v>#DIV/0!</v>
      </c>
      <c r="BU97" s="66">
        <f t="shared" si="171"/>
        <v>0</v>
      </c>
      <c r="BV97" s="383" t="e">
        <f t="shared" si="172"/>
        <v>#DIV/0!</v>
      </c>
      <c r="BW97" s="66">
        <f t="shared" si="173"/>
        <v>0</v>
      </c>
      <c r="BX97" s="383" t="e">
        <f t="shared" si="174"/>
        <v>#DIV/0!</v>
      </c>
      <c r="BY97" s="316">
        <f t="shared" si="175"/>
        <v>0</v>
      </c>
      <c r="BZ97" s="309">
        <f t="shared" si="176"/>
        <v>0</v>
      </c>
      <c r="CA97" s="66">
        <f>IF($AD97="N","N",SUM('調查資料(OUT)'!V103:V106))</f>
        <v>0</v>
      </c>
      <c r="CB97" s="66">
        <f>IF($AD97="N","N",SUM('調查資料(OUT)'!Y103:Y106))</f>
        <v>0</v>
      </c>
      <c r="CC97" s="66">
        <f>IF($AD97="N","N",SUM('調查資料(OUT)'!AC103:AC106))</f>
        <v>0</v>
      </c>
      <c r="CD97" s="66">
        <f>IF($AD97="N","N",SUM('調查資料(OUT)'!AB103:AB106))</f>
        <v>0</v>
      </c>
      <c r="CE97" s="383" t="e">
        <f t="shared" si="177"/>
        <v>#DIV/0!</v>
      </c>
      <c r="CF97" s="66">
        <f t="shared" si="178"/>
        <v>0</v>
      </c>
      <c r="CG97" s="66">
        <f>IF($AD97="N","N",SUM('調查資料(OUT)'!W103:W106))</f>
        <v>0</v>
      </c>
      <c r="CH97" s="66">
        <f>IF($AD97="N","N",SUM('調查資料(OUT)'!Z103:Z106))</f>
        <v>0</v>
      </c>
      <c r="CI97" s="66">
        <f>IF($AD97="N","N",SUM('調查資料(OUT)'!AD103:AD106))</f>
        <v>0</v>
      </c>
      <c r="CJ97" s="383" t="e">
        <f t="shared" si="179"/>
        <v>#DIV/0!</v>
      </c>
      <c r="CK97" s="66">
        <f t="shared" si="180"/>
        <v>0</v>
      </c>
      <c r="CL97" s="66">
        <f>IF($AD97="N","N",SUM('調查資料(OUT)'!X103:X106))</f>
        <v>0</v>
      </c>
      <c r="CM97" s="66">
        <f>IF($AD97="N","N",SUM('調查資料(OUT)'!AA103:AA106))</f>
        <v>0</v>
      </c>
      <c r="CN97" s="66">
        <f>IF($AD97="N","N",SUM('調查資料(OUT)'!AE103:AE106))</f>
        <v>0</v>
      </c>
      <c r="CO97" s="383" t="e">
        <f t="shared" si="181"/>
        <v>#DIV/0!</v>
      </c>
      <c r="CP97" s="66">
        <f t="shared" si="182"/>
        <v>0</v>
      </c>
      <c r="CQ97" s="383" t="e">
        <f t="shared" si="183"/>
        <v>#DIV/0!</v>
      </c>
      <c r="CR97" s="66">
        <f t="shared" si="184"/>
        <v>0</v>
      </c>
      <c r="CS97" s="383" t="e">
        <f t="shared" si="185"/>
        <v>#DIV/0!</v>
      </c>
      <c r="CT97" s="66">
        <f t="shared" si="186"/>
        <v>0</v>
      </c>
      <c r="CU97" s="383" t="e">
        <f t="shared" si="187"/>
        <v>#DIV/0!</v>
      </c>
      <c r="CV97" s="316">
        <f t="shared" si="188"/>
        <v>0</v>
      </c>
      <c r="CW97" s="309">
        <f t="shared" si="189"/>
        <v>0</v>
      </c>
      <c r="CX97" s="66">
        <f>IF($AD97="N","N",SUM('調查資料(OUT)'!AF103:AF106))</f>
        <v>0</v>
      </c>
      <c r="CY97" s="66">
        <f>IF($AD97="N","N",SUM('調查資料(OUT)'!AI103:AI106))</f>
        <v>0</v>
      </c>
      <c r="CZ97" s="66">
        <f>IF($AD97="N","N",SUM('調查資料(OUT)'!AM103:AM106))</f>
        <v>0</v>
      </c>
      <c r="DA97" s="66">
        <f>IF($AD97="N","N",SUM('調查資料(OUT)'!AL103:AL106))</f>
        <v>0</v>
      </c>
      <c r="DB97" s="383" t="e">
        <f t="shared" si="190"/>
        <v>#DIV/0!</v>
      </c>
      <c r="DC97" s="66">
        <f t="shared" si="191"/>
        <v>0</v>
      </c>
      <c r="DD97" s="66">
        <f>IF($AD97="N","N",SUM('調查資料(OUT)'!AG103:AG106))</f>
        <v>0</v>
      </c>
      <c r="DE97" s="66">
        <f>IF($AD97="N","N",SUM('調查資料(OUT)'!AJ103:AJ106))</f>
        <v>0</v>
      </c>
      <c r="DF97" s="66">
        <f>IF($AD97="N","N",SUM('調查資料(OUT)'!AN103:AN106))</f>
        <v>0</v>
      </c>
      <c r="DG97" s="383" t="e">
        <f t="shared" si="192"/>
        <v>#DIV/0!</v>
      </c>
      <c r="DH97" s="66">
        <f t="shared" si="193"/>
        <v>0</v>
      </c>
      <c r="DI97" s="66">
        <f>IF($AD97="N","N",SUM('調查資料(OUT)'!AH103:AH106))</f>
        <v>0</v>
      </c>
      <c r="DJ97" s="66">
        <f>IF($AD97="N","N",SUM('調查資料(OUT)'!AK103:AK106))</f>
        <v>0</v>
      </c>
      <c r="DK97" s="66">
        <f>IF($AD97="N","N",SUM('調查資料(OUT)'!AO103:AO106))</f>
        <v>0</v>
      </c>
      <c r="DL97" s="383" t="e">
        <f t="shared" si="194"/>
        <v>#DIV/0!</v>
      </c>
      <c r="DM97" s="66">
        <f t="shared" si="195"/>
        <v>0</v>
      </c>
      <c r="DN97" s="383" t="e">
        <f t="shared" si="196"/>
        <v>#DIV/0!</v>
      </c>
      <c r="DO97" s="66">
        <f t="shared" si="197"/>
        <v>0</v>
      </c>
      <c r="DP97" s="383" t="e">
        <f t="shared" si="198"/>
        <v>#DIV/0!</v>
      </c>
      <c r="DQ97" s="66">
        <f t="shared" si="199"/>
        <v>0</v>
      </c>
      <c r="DR97" s="383" t="e">
        <f t="shared" si="200"/>
        <v>#DIV/0!</v>
      </c>
      <c r="DS97" s="316">
        <f t="shared" si="201"/>
        <v>0</v>
      </c>
    </row>
    <row r="98" spans="1:124">
      <c r="A98" s="118">
        <f>'調查資料(OUT)'!A104</f>
        <v>2315</v>
      </c>
      <c r="B98" s="309">
        <f t="shared" si="322"/>
        <v>0</v>
      </c>
      <c r="C98" s="66">
        <f>IFERROR('調查資料(OUT)'!B$1*'調查資料(OUT)'!B104,0)+IFERROR('調查資料(OUT)'!E$1*'調查資料(OUT)'!E104,0)+IFERROR('調查資料(OUT)'!H$1*'調查資料(OUT)'!H104,0)+IFERROR('調查資料(OUT)'!I$1*'調查資料(OUT)'!I104,0)</f>
        <v>0</v>
      </c>
      <c r="D98" s="66">
        <f>IFERROR('調查資料(OUT)'!C$1*'調查資料(OUT)'!C104,0)+IFERROR('調查資料(OUT)'!F$1*'調查資料(OUT)'!F104,0)+IFERROR('調查資料(OUT)'!J$1*'調查資料(OUT)'!J104,0)</f>
        <v>0</v>
      </c>
      <c r="E98" s="316">
        <f>IFERROR('調查資料(OUT)'!D$1*'調查資料(OUT)'!D104,0)+IFERROR('調查資料(OUT)'!G$1*'調查資料(OUT)'!G104,0)+IFERROR('調查資料(OUT)'!K$1*'調查資料(OUT)'!K104,0)</f>
        <v>0</v>
      </c>
      <c r="F98" s="309">
        <f t="shared" si="323"/>
        <v>0</v>
      </c>
      <c r="G98" s="66">
        <f>IFERROR('調查資料(OUT)'!L$1*'調查資料(OUT)'!L104,0)+IFERROR('調查資料(OUT)'!O$1*'調查資料(OUT)'!O104,0)+IFERROR('調查資料(OUT)'!R$1*'調查資料(OUT)'!R104,0)+IFERROR('調查資料(OUT)'!S$1*'調查資料(OUT)'!S104,0)</f>
        <v>0</v>
      </c>
      <c r="H98" s="66">
        <f>IFERROR('調查資料(OUT)'!M$1*'調查資料(OUT)'!M104,0)+IFERROR('調查資料(OUT)'!P$1*'調查資料(OUT)'!P104,0)+IFERROR('調查資料(OUT)'!T$1*'調查資料(OUT)'!T104,0)</f>
        <v>0</v>
      </c>
      <c r="I98" s="316">
        <f>IFERROR('調查資料(OUT)'!N$1*'調查資料(OUT)'!N104,0)+IFERROR('調查資料(OUT)'!Q$1*'調查資料(OUT)'!Q104,0)+IFERROR('調查資料(OUT)'!U$1*'調查資料(OUT)'!U104,0)</f>
        <v>0</v>
      </c>
      <c r="J98" s="309">
        <f t="shared" si="324"/>
        <v>0</v>
      </c>
      <c r="K98" s="66">
        <f>IFERROR('調查資料(OUT)'!V$1*'調查資料(OUT)'!V104,0)+IFERROR('調查資料(OUT)'!Y$1*'調查資料(OUT)'!Y104,0)+IFERROR('調查資料(OUT)'!AB$1*'調查資料(OUT)'!AB104,0)+IFERROR('調查資料(OUT)'!AC$1*'調查資料(OUT)'!AC104,0)</f>
        <v>0</v>
      </c>
      <c r="L98" s="66">
        <f>IFERROR('調查資料(OUT)'!W$1*'調查資料(OUT)'!W104,0)+IFERROR('調查資料(OUT)'!Z$1*'調查資料(OUT)'!Z104,0)+IFERROR('調查資料(OUT)'!AD$1*'調查資料(OUT)'!AD104,0)</f>
        <v>0</v>
      </c>
      <c r="M98" s="316">
        <f>IFERROR('調查資料(OUT)'!X$1*'調查資料(OUT)'!X104,0)+IFERROR('調查資料(OUT)'!AA$1*'調查資料(OUT)'!AA104,0)+IFERROR('調查資料(OUT)'!AE$1*'調查資料(OUT)'!AE104,0)</f>
        <v>0</v>
      </c>
      <c r="N98" s="309">
        <f t="shared" si="325"/>
        <v>0</v>
      </c>
      <c r="O98" s="66">
        <f>IFERROR('調查資料(OUT)'!AF$1*'調查資料(OUT)'!AF104,0)+IFERROR('調查資料(OUT)'!AI$1*'調查資料(OUT)'!AI104,0)+IFERROR('調查資料(OUT)'!AL$1*'調查資料(OUT)'!AL104,0)+IFERROR('調查資料(OUT)'!AM$1*'調查資料(OUT)'!AM104,0)</f>
        <v>0</v>
      </c>
      <c r="P98" s="66">
        <f>IFERROR('調查資料(OUT)'!AG$1*'調查資料(OUT)'!AG104,0)+IFERROR('調查資料(OUT)'!AJ$1*'調查資料(OUT)'!AJ104,0)+IFERROR('調查資料(OUT)'!AN$1*'調查資料(OUT)'!AN104,0)</f>
        <v>0</v>
      </c>
      <c r="Q98" s="316">
        <f>IFERROR('調查資料(OUT)'!AH$1*'調查資料(OUT)'!AH104,0)+IFERROR('調查資料(OUT)'!AK$1*'調查資料(OUT)'!AK104,0)+IFERROR('調查資料(OUT)'!AO$1*'調查資料(OUT)'!AO104,0)</f>
        <v>0</v>
      </c>
      <c r="R98" s="133">
        <f t="shared" si="326"/>
        <v>0</v>
      </c>
      <c r="T98" s="380"/>
      <c r="U98" s="380"/>
      <c r="V98" s="380"/>
      <c r="W98" s="380"/>
      <c r="X98" s="380"/>
      <c r="Y98" s="393" t="e">
        <f>MAX(Y41:Y53)</f>
        <v>#DIV/0!</v>
      </c>
      <c r="Z98" s="379" t="e">
        <f>MAX(Z41:Z53)</f>
        <v>#DIV/0!</v>
      </c>
      <c r="AA98" s="379" t="e">
        <f>MAX(AA41:AA53)</f>
        <v>#DIV/0!</v>
      </c>
      <c r="AB98" s="379" t="e">
        <f>MAX(AB41:AB53)</f>
        <v>#DIV/0!</v>
      </c>
      <c r="AC98" s="489" t="s">
        <v>96</v>
      </c>
      <c r="AD98" s="490">
        <f t="shared" ref="AD98:AI98" si="327">MAX(AD41:AD53)</f>
        <v>1200</v>
      </c>
      <c r="AE98" s="490">
        <f t="shared" si="327"/>
        <v>1300</v>
      </c>
      <c r="AF98" s="361">
        <f t="shared" si="327"/>
        <v>0</v>
      </c>
      <c r="AG98" s="422">
        <f t="shared" si="327"/>
        <v>0</v>
      </c>
      <c r="AH98" s="422">
        <f t="shared" si="327"/>
        <v>0</v>
      </c>
      <c r="AI98" s="422">
        <f t="shared" si="327"/>
        <v>0</v>
      </c>
      <c r="AJ98" s="422">
        <f t="shared" ref="AJ98:CU98" si="328">MAX(AJ41:AJ53)</f>
        <v>0</v>
      </c>
      <c r="AK98" s="422" t="e">
        <f>MAX(AK41:AK53)</f>
        <v>#DIV/0!</v>
      </c>
      <c r="AL98" s="422">
        <f>MAX(AL41:AL53)</f>
        <v>0</v>
      </c>
      <c r="AM98" s="422">
        <f t="shared" si="328"/>
        <v>0</v>
      </c>
      <c r="AN98" s="422">
        <f t="shared" si="328"/>
        <v>0</v>
      </c>
      <c r="AO98" s="422">
        <f t="shared" si="328"/>
        <v>0</v>
      </c>
      <c r="AP98" s="422" t="e">
        <f>MAX(AP41:AP53)</f>
        <v>#DIV/0!</v>
      </c>
      <c r="AQ98" s="422">
        <f t="shared" si="328"/>
        <v>0</v>
      </c>
      <c r="AR98" s="422">
        <f t="shared" si="328"/>
        <v>0</v>
      </c>
      <c r="AS98" s="422">
        <f t="shared" si="328"/>
        <v>0</v>
      </c>
      <c r="AT98" s="422">
        <f t="shared" si="328"/>
        <v>0</v>
      </c>
      <c r="AU98" s="422" t="e">
        <f t="shared" ref="AU98:BB98" si="329">MAX(AU41:AU53)</f>
        <v>#DIV/0!</v>
      </c>
      <c r="AV98" s="422">
        <f t="shared" si="329"/>
        <v>0</v>
      </c>
      <c r="AW98" s="422" t="e">
        <f t="shared" si="329"/>
        <v>#DIV/0!</v>
      </c>
      <c r="AX98" s="422">
        <f t="shared" si="329"/>
        <v>0</v>
      </c>
      <c r="AY98" s="422" t="e">
        <f t="shared" si="329"/>
        <v>#DIV/0!</v>
      </c>
      <c r="AZ98" s="422">
        <f t="shared" si="329"/>
        <v>0</v>
      </c>
      <c r="BA98" s="422" t="e">
        <f t="shared" si="329"/>
        <v>#DIV/0!</v>
      </c>
      <c r="BB98" s="419">
        <f t="shared" si="329"/>
        <v>0</v>
      </c>
      <c r="BC98" s="422">
        <f t="shared" si="328"/>
        <v>0</v>
      </c>
      <c r="BD98" s="422">
        <f t="shared" si="328"/>
        <v>0</v>
      </c>
      <c r="BE98" s="422">
        <f t="shared" si="328"/>
        <v>0</v>
      </c>
      <c r="BF98" s="422">
        <f t="shared" si="328"/>
        <v>0</v>
      </c>
      <c r="BG98" s="422">
        <f t="shared" si="328"/>
        <v>0</v>
      </c>
      <c r="BH98" s="422" t="e">
        <f t="shared" si="328"/>
        <v>#DIV/0!</v>
      </c>
      <c r="BI98" s="422">
        <f t="shared" si="328"/>
        <v>0</v>
      </c>
      <c r="BJ98" s="422">
        <f t="shared" si="328"/>
        <v>0</v>
      </c>
      <c r="BK98" s="422">
        <f t="shared" si="328"/>
        <v>0</v>
      </c>
      <c r="BL98" s="422">
        <f t="shared" si="328"/>
        <v>0</v>
      </c>
      <c r="BM98" s="422" t="e">
        <f t="shared" si="328"/>
        <v>#DIV/0!</v>
      </c>
      <c r="BN98" s="422">
        <f t="shared" si="328"/>
        <v>0</v>
      </c>
      <c r="BO98" s="422">
        <f t="shared" si="328"/>
        <v>0</v>
      </c>
      <c r="BP98" s="422">
        <f t="shared" si="328"/>
        <v>0</v>
      </c>
      <c r="BQ98" s="422">
        <f t="shared" si="328"/>
        <v>0</v>
      </c>
      <c r="BR98" s="422" t="e">
        <f t="shared" si="328"/>
        <v>#DIV/0!</v>
      </c>
      <c r="BS98" s="422">
        <f t="shared" si="328"/>
        <v>0</v>
      </c>
      <c r="BT98" s="422" t="e">
        <f t="shared" si="328"/>
        <v>#DIV/0!</v>
      </c>
      <c r="BU98" s="422">
        <f t="shared" si="328"/>
        <v>0</v>
      </c>
      <c r="BV98" s="422" t="e">
        <f t="shared" si="328"/>
        <v>#DIV/0!</v>
      </c>
      <c r="BW98" s="422">
        <f t="shared" si="328"/>
        <v>0</v>
      </c>
      <c r="BX98" s="422" t="e">
        <f t="shared" si="328"/>
        <v>#DIV/0!</v>
      </c>
      <c r="BY98" s="422">
        <f t="shared" si="328"/>
        <v>0</v>
      </c>
      <c r="BZ98" s="361">
        <f t="shared" si="328"/>
        <v>0</v>
      </c>
      <c r="CA98" s="422">
        <f t="shared" si="328"/>
        <v>0</v>
      </c>
      <c r="CB98" s="422">
        <f t="shared" si="328"/>
        <v>0</v>
      </c>
      <c r="CC98" s="422">
        <f t="shared" si="328"/>
        <v>0</v>
      </c>
      <c r="CD98" s="422">
        <f t="shared" si="328"/>
        <v>0</v>
      </c>
      <c r="CE98" s="422" t="e">
        <f t="shared" si="328"/>
        <v>#DIV/0!</v>
      </c>
      <c r="CF98" s="422">
        <f t="shared" si="328"/>
        <v>0</v>
      </c>
      <c r="CG98" s="422">
        <f t="shared" si="328"/>
        <v>0</v>
      </c>
      <c r="CH98" s="422">
        <f t="shared" si="328"/>
        <v>0</v>
      </c>
      <c r="CI98" s="422">
        <f t="shared" si="328"/>
        <v>0</v>
      </c>
      <c r="CJ98" s="422" t="e">
        <f t="shared" si="328"/>
        <v>#DIV/0!</v>
      </c>
      <c r="CK98" s="422">
        <f t="shared" si="328"/>
        <v>0</v>
      </c>
      <c r="CL98" s="422">
        <f t="shared" si="328"/>
        <v>0</v>
      </c>
      <c r="CM98" s="422">
        <f t="shared" si="328"/>
        <v>0</v>
      </c>
      <c r="CN98" s="422">
        <f t="shared" si="328"/>
        <v>0</v>
      </c>
      <c r="CO98" s="422" t="e">
        <f t="shared" si="328"/>
        <v>#DIV/0!</v>
      </c>
      <c r="CP98" s="422">
        <f t="shared" si="328"/>
        <v>0</v>
      </c>
      <c r="CQ98" s="422" t="e">
        <f t="shared" si="328"/>
        <v>#DIV/0!</v>
      </c>
      <c r="CR98" s="422">
        <f t="shared" si="328"/>
        <v>0</v>
      </c>
      <c r="CS98" s="422" t="e">
        <f t="shared" si="328"/>
        <v>#DIV/0!</v>
      </c>
      <c r="CT98" s="422">
        <f t="shared" si="328"/>
        <v>0</v>
      </c>
      <c r="CU98" s="422" t="e">
        <f t="shared" si="328"/>
        <v>#DIV/0!</v>
      </c>
      <c r="CV98" s="419">
        <f t="shared" ref="CV98:DR98" si="330">MAX(CV41:CV53)</f>
        <v>0</v>
      </c>
      <c r="CW98" s="422">
        <f t="shared" si="330"/>
        <v>0</v>
      </c>
      <c r="CX98" s="422">
        <f t="shared" si="330"/>
        <v>0</v>
      </c>
      <c r="CY98" s="422">
        <f t="shared" si="330"/>
        <v>0</v>
      </c>
      <c r="CZ98" s="422">
        <f t="shared" si="330"/>
        <v>0</v>
      </c>
      <c r="DA98" s="422">
        <f t="shared" si="330"/>
        <v>0</v>
      </c>
      <c r="DB98" s="422" t="e">
        <f t="shared" si="330"/>
        <v>#DIV/0!</v>
      </c>
      <c r="DC98" s="422">
        <f t="shared" si="330"/>
        <v>0</v>
      </c>
      <c r="DD98" s="422">
        <f t="shared" si="330"/>
        <v>0</v>
      </c>
      <c r="DE98" s="422">
        <f t="shared" si="330"/>
        <v>0</v>
      </c>
      <c r="DF98" s="422">
        <f t="shared" si="330"/>
        <v>0</v>
      </c>
      <c r="DG98" s="422" t="e">
        <f t="shared" si="330"/>
        <v>#DIV/0!</v>
      </c>
      <c r="DH98" s="422">
        <f t="shared" si="330"/>
        <v>0</v>
      </c>
      <c r="DI98" s="422">
        <f t="shared" si="330"/>
        <v>0</v>
      </c>
      <c r="DJ98" s="422">
        <f t="shared" si="330"/>
        <v>0</v>
      </c>
      <c r="DK98" s="422">
        <f t="shared" si="330"/>
        <v>0</v>
      </c>
      <c r="DL98" s="422" t="e">
        <f t="shared" si="330"/>
        <v>#DIV/0!</v>
      </c>
      <c r="DM98" s="422">
        <f t="shared" si="330"/>
        <v>0</v>
      </c>
      <c r="DN98" s="422" t="e">
        <f t="shared" si="330"/>
        <v>#DIV/0!</v>
      </c>
      <c r="DO98" s="422">
        <f t="shared" si="330"/>
        <v>0</v>
      </c>
      <c r="DP98" s="422" t="e">
        <f t="shared" si="330"/>
        <v>#DIV/0!</v>
      </c>
      <c r="DQ98" s="422">
        <f t="shared" si="330"/>
        <v>0</v>
      </c>
      <c r="DR98" s="422" t="e">
        <f t="shared" si="330"/>
        <v>#DIV/0!</v>
      </c>
      <c r="DS98" s="419">
        <f>MAX(DS41:DS53)</f>
        <v>0</v>
      </c>
      <c r="DT98" s="101"/>
    </row>
    <row r="99" spans="1:124">
      <c r="A99" s="118">
        <f>'調查資料(OUT)'!A105</f>
        <v>2330</v>
      </c>
      <c r="B99" s="309">
        <f t="shared" si="322"/>
        <v>0</v>
      </c>
      <c r="C99" s="66">
        <f>IFERROR('調查資料(OUT)'!B$1*'調查資料(OUT)'!B105,0)+IFERROR('調查資料(OUT)'!E$1*'調查資料(OUT)'!E105,0)+IFERROR('調查資料(OUT)'!H$1*'調查資料(OUT)'!H105,0)+IFERROR('調查資料(OUT)'!I$1*'調查資料(OUT)'!I105,0)</f>
        <v>0</v>
      </c>
      <c r="D99" s="66">
        <f>IFERROR('調查資料(OUT)'!C$1*'調查資料(OUT)'!C105,0)+IFERROR('調查資料(OUT)'!F$1*'調查資料(OUT)'!F105,0)+IFERROR('調查資料(OUT)'!J$1*'調查資料(OUT)'!J105,0)</f>
        <v>0</v>
      </c>
      <c r="E99" s="316">
        <f>IFERROR('調查資料(OUT)'!D$1*'調查資料(OUT)'!D105,0)+IFERROR('調查資料(OUT)'!G$1*'調查資料(OUT)'!G105,0)+IFERROR('調查資料(OUT)'!K$1*'調查資料(OUT)'!K105,0)</f>
        <v>0</v>
      </c>
      <c r="F99" s="309">
        <f t="shared" si="323"/>
        <v>0</v>
      </c>
      <c r="G99" s="66">
        <f>IFERROR('調查資料(OUT)'!L$1*'調查資料(OUT)'!L105,0)+IFERROR('調查資料(OUT)'!O$1*'調查資料(OUT)'!O105,0)+IFERROR('調查資料(OUT)'!R$1*'調查資料(OUT)'!R105,0)+IFERROR('調查資料(OUT)'!S$1*'調查資料(OUT)'!S105,0)</f>
        <v>0</v>
      </c>
      <c r="H99" s="66">
        <f>IFERROR('調查資料(OUT)'!M$1*'調查資料(OUT)'!M105,0)+IFERROR('調查資料(OUT)'!P$1*'調查資料(OUT)'!P105,0)+IFERROR('調查資料(OUT)'!T$1*'調查資料(OUT)'!T105,0)</f>
        <v>0</v>
      </c>
      <c r="I99" s="316">
        <f>IFERROR('調查資料(OUT)'!N$1*'調查資料(OUT)'!N105,0)+IFERROR('調查資料(OUT)'!Q$1*'調查資料(OUT)'!Q105,0)+IFERROR('調查資料(OUT)'!U$1*'調查資料(OUT)'!U105,0)</f>
        <v>0</v>
      </c>
      <c r="J99" s="309">
        <f t="shared" si="324"/>
        <v>0</v>
      </c>
      <c r="K99" s="66">
        <f>IFERROR('調查資料(OUT)'!V$1*'調查資料(OUT)'!V105,0)+IFERROR('調查資料(OUT)'!Y$1*'調查資料(OUT)'!Y105,0)+IFERROR('調查資料(OUT)'!AB$1*'調查資料(OUT)'!AB105,0)+IFERROR('調查資料(OUT)'!AC$1*'調查資料(OUT)'!AC105,0)</f>
        <v>0</v>
      </c>
      <c r="L99" s="66">
        <f>IFERROR('調查資料(OUT)'!W$1*'調查資料(OUT)'!W105,0)+IFERROR('調查資料(OUT)'!Z$1*'調查資料(OUT)'!Z105,0)+IFERROR('調查資料(OUT)'!AD$1*'調查資料(OUT)'!AD105,0)</f>
        <v>0</v>
      </c>
      <c r="M99" s="316">
        <f>IFERROR('調查資料(OUT)'!X$1*'調查資料(OUT)'!X105,0)+IFERROR('調查資料(OUT)'!AA$1*'調查資料(OUT)'!AA105,0)+IFERROR('調查資料(OUT)'!AE$1*'調查資料(OUT)'!AE105,0)</f>
        <v>0</v>
      </c>
      <c r="N99" s="309">
        <f t="shared" si="325"/>
        <v>0</v>
      </c>
      <c r="O99" s="66">
        <f>IFERROR('調查資料(OUT)'!AF$1*'調查資料(OUT)'!AF105,0)+IFERROR('調查資料(OUT)'!AI$1*'調查資料(OUT)'!AI105,0)+IFERROR('調查資料(OUT)'!AL$1*'調查資料(OUT)'!AL105,0)+IFERROR('調查資料(OUT)'!AM$1*'調查資料(OUT)'!AM105,0)</f>
        <v>0</v>
      </c>
      <c r="P99" s="66">
        <f>IFERROR('調查資料(OUT)'!AG$1*'調查資料(OUT)'!AG105,0)+IFERROR('調查資料(OUT)'!AJ$1*'調查資料(OUT)'!AJ105,0)+IFERROR('調查資料(OUT)'!AN$1*'調查資料(OUT)'!AN105,0)</f>
        <v>0</v>
      </c>
      <c r="Q99" s="316">
        <f>IFERROR('調查資料(OUT)'!AH$1*'調查資料(OUT)'!AH105,0)+IFERROR('調查資料(OUT)'!AK$1*'調查資料(OUT)'!AK105,0)+IFERROR('調查資料(OUT)'!AO$1*'調查資料(OUT)'!AO105,0)</f>
        <v>0</v>
      </c>
      <c r="R99" s="133">
        <f t="shared" si="326"/>
        <v>0</v>
      </c>
      <c r="T99" s="380"/>
      <c r="U99" s="380"/>
      <c r="V99" s="380"/>
      <c r="W99" s="380"/>
      <c r="X99" s="380"/>
      <c r="Y99" s="393" t="e">
        <f>MAX(Y57:Y65)</f>
        <v>#DIV/0!</v>
      </c>
      <c r="Z99" s="379" t="e">
        <f>MAX(Z57:Z65)</f>
        <v>#DIV/0!</v>
      </c>
      <c r="AA99" s="379" t="e">
        <f>MAX(AA57:AA65)</f>
        <v>#DIV/0!</v>
      </c>
      <c r="AB99" s="379" t="e">
        <f>MAX(AB57:AB65)</f>
        <v>#DIV/0!</v>
      </c>
      <c r="AC99" s="489" t="s">
        <v>271</v>
      </c>
      <c r="AD99" s="490">
        <f>MAX(AD57:AD65)</f>
        <v>1500</v>
      </c>
      <c r="AE99" s="490">
        <f>MAX(AE57:AE65)</f>
        <v>1600</v>
      </c>
      <c r="AF99" s="366">
        <f>MAX(AF57:AF65)</f>
        <v>0</v>
      </c>
      <c r="AG99" s="101">
        <f>MAX(AG57:AG65)</f>
        <v>0</v>
      </c>
      <c r="AH99" s="101">
        <f>MAX(AH57:AH65)</f>
        <v>0</v>
      </c>
      <c r="AI99" s="101">
        <f t="shared" ref="AI99:CR99" si="331">MAX(AI57:AI65)</f>
        <v>0</v>
      </c>
      <c r="AJ99" s="101">
        <f t="shared" ref="AJ99:AX99" si="332">MAX(AJ57:AJ65)</f>
        <v>0</v>
      </c>
      <c r="AK99" s="101" t="e">
        <f t="shared" si="332"/>
        <v>#DIV/0!</v>
      </c>
      <c r="AL99" s="101">
        <f t="shared" si="332"/>
        <v>0</v>
      </c>
      <c r="AM99" s="101">
        <f t="shared" si="332"/>
        <v>0</v>
      </c>
      <c r="AN99" s="101">
        <f t="shared" si="332"/>
        <v>0</v>
      </c>
      <c r="AO99" s="101">
        <f t="shared" si="332"/>
        <v>0</v>
      </c>
      <c r="AP99" s="101" t="e">
        <f t="shared" si="332"/>
        <v>#DIV/0!</v>
      </c>
      <c r="AQ99" s="101">
        <f t="shared" si="332"/>
        <v>0</v>
      </c>
      <c r="AR99" s="101">
        <f t="shared" si="332"/>
        <v>0</v>
      </c>
      <c r="AS99" s="101">
        <f t="shared" si="332"/>
        <v>0</v>
      </c>
      <c r="AT99" s="101">
        <f t="shared" si="332"/>
        <v>0</v>
      </c>
      <c r="AU99" s="101" t="e">
        <f t="shared" si="332"/>
        <v>#DIV/0!</v>
      </c>
      <c r="AV99" s="101">
        <f t="shared" si="332"/>
        <v>0</v>
      </c>
      <c r="AW99" s="101" t="e">
        <f t="shared" si="332"/>
        <v>#DIV/0!</v>
      </c>
      <c r="AX99" s="101">
        <f t="shared" si="332"/>
        <v>0</v>
      </c>
      <c r="AY99" s="101" t="e">
        <f t="shared" si="331"/>
        <v>#DIV/0!</v>
      </c>
      <c r="AZ99" s="101">
        <f t="shared" si="331"/>
        <v>0</v>
      </c>
      <c r="BA99" s="101" t="e">
        <f t="shared" si="331"/>
        <v>#DIV/0!</v>
      </c>
      <c r="BB99" s="420">
        <f t="shared" si="331"/>
        <v>0</v>
      </c>
      <c r="BC99" s="101">
        <f t="shared" si="331"/>
        <v>0</v>
      </c>
      <c r="BD99" s="101">
        <f t="shared" si="331"/>
        <v>0</v>
      </c>
      <c r="BE99" s="101">
        <f t="shared" si="331"/>
        <v>0</v>
      </c>
      <c r="BF99" s="101">
        <f t="shared" si="331"/>
        <v>0</v>
      </c>
      <c r="BG99" s="101">
        <f t="shared" si="331"/>
        <v>0</v>
      </c>
      <c r="BH99" s="101" t="e">
        <f t="shared" si="331"/>
        <v>#DIV/0!</v>
      </c>
      <c r="BI99" s="101">
        <f t="shared" si="331"/>
        <v>0</v>
      </c>
      <c r="BJ99" s="101">
        <f t="shared" si="331"/>
        <v>0</v>
      </c>
      <c r="BK99" s="101">
        <f t="shared" si="331"/>
        <v>0</v>
      </c>
      <c r="BL99" s="101">
        <f t="shared" si="331"/>
        <v>0</v>
      </c>
      <c r="BM99" s="101" t="e">
        <f t="shared" si="331"/>
        <v>#DIV/0!</v>
      </c>
      <c r="BN99" s="101">
        <f t="shared" si="331"/>
        <v>0</v>
      </c>
      <c r="BO99" s="101">
        <f t="shared" si="331"/>
        <v>0</v>
      </c>
      <c r="BP99" s="101">
        <f t="shared" si="331"/>
        <v>0</v>
      </c>
      <c r="BQ99" s="101">
        <f t="shared" si="331"/>
        <v>0</v>
      </c>
      <c r="BR99" s="101" t="e">
        <f t="shared" si="331"/>
        <v>#DIV/0!</v>
      </c>
      <c r="BS99" s="101">
        <f t="shared" si="331"/>
        <v>0</v>
      </c>
      <c r="BT99" s="101" t="e">
        <f t="shared" si="331"/>
        <v>#DIV/0!</v>
      </c>
      <c r="BU99" s="101">
        <f t="shared" si="331"/>
        <v>0</v>
      </c>
      <c r="BV99" s="101" t="e">
        <f t="shared" si="331"/>
        <v>#DIV/0!</v>
      </c>
      <c r="BW99" s="101">
        <f t="shared" si="331"/>
        <v>0</v>
      </c>
      <c r="BX99" s="101" t="e">
        <f t="shared" si="331"/>
        <v>#DIV/0!</v>
      </c>
      <c r="BY99" s="101">
        <f t="shared" si="331"/>
        <v>0</v>
      </c>
      <c r="BZ99" s="366">
        <f t="shared" si="331"/>
        <v>0</v>
      </c>
      <c r="CA99" s="101">
        <f t="shared" si="331"/>
        <v>0</v>
      </c>
      <c r="CB99" s="101">
        <f t="shared" si="331"/>
        <v>0</v>
      </c>
      <c r="CC99" s="101">
        <f t="shared" si="331"/>
        <v>0</v>
      </c>
      <c r="CD99" s="101">
        <f t="shared" si="331"/>
        <v>0</v>
      </c>
      <c r="CE99" s="101" t="e">
        <f t="shared" si="331"/>
        <v>#DIV/0!</v>
      </c>
      <c r="CF99" s="101">
        <f t="shared" si="331"/>
        <v>0</v>
      </c>
      <c r="CG99" s="101">
        <f t="shared" si="331"/>
        <v>0</v>
      </c>
      <c r="CH99" s="101">
        <f t="shared" si="331"/>
        <v>0</v>
      </c>
      <c r="CI99" s="101">
        <f t="shared" si="331"/>
        <v>0</v>
      </c>
      <c r="CJ99" s="101" t="e">
        <f t="shared" si="331"/>
        <v>#DIV/0!</v>
      </c>
      <c r="CK99" s="101">
        <f t="shared" si="331"/>
        <v>0</v>
      </c>
      <c r="CL99" s="101">
        <f t="shared" si="331"/>
        <v>0</v>
      </c>
      <c r="CM99" s="101">
        <f t="shared" si="331"/>
        <v>0</v>
      </c>
      <c r="CN99" s="101">
        <f t="shared" si="331"/>
        <v>0</v>
      </c>
      <c r="CO99" s="101" t="e">
        <f t="shared" si="331"/>
        <v>#DIV/0!</v>
      </c>
      <c r="CP99" s="101">
        <f t="shared" si="331"/>
        <v>0</v>
      </c>
      <c r="CQ99" s="101" t="e">
        <f t="shared" si="331"/>
        <v>#DIV/0!</v>
      </c>
      <c r="CR99" s="101">
        <f t="shared" si="331"/>
        <v>0</v>
      </c>
      <c r="CS99" s="101" t="e">
        <f t="shared" ref="CS99:DS99" si="333">MAX(CS57:CS65)</f>
        <v>#DIV/0!</v>
      </c>
      <c r="CT99" s="101">
        <f t="shared" si="333"/>
        <v>0</v>
      </c>
      <c r="CU99" s="101" t="e">
        <f t="shared" si="333"/>
        <v>#DIV/0!</v>
      </c>
      <c r="CV99" s="420">
        <f t="shared" si="333"/>
        <v>0</v>
      </c>
      <c r="CW99" s="101">
        <f t="shared" si="333"/>
        <v>0</v>
      </c>
      <c r="CX99" s="101">
        <f t="shared" si="333"/>
        <v>0</v>
      </c>
      <c r="CY99" s="101">
        <f t="shared" si="333"/>
        <v>0</v>
      </c>
      <c r="CZ99" s="101">
        <f t="shared" si="333"/>
        <v>0</v>
      </c>
      <c r="DA99" s="101">
        <f t="shared" si="333"/>
        <v>0</v>
      </c>
      <c r="DB99" s="101" t="e">
        <f t="shared" si="333"/>
        <v>#DIV/0!</v>
      </c>
      <c r="DC99" s="101">
        <f t="shared" si="333"/>
        <v>0</v>
      </c>
      <c r="DD99" s="101">
        <f t="shared" si="333"/>
        <v>0</v>
      </c>
      <c r="DE99" s="101">
        <f t="shared" si="333"/>
        <v>0</v>
      </c>
      <c r="DF99" s="101">
        <f t="shared" si="333"/>
        <v>0</v>
      </c>
      <c r="DG99" s="101" t="e">
        <f t="shared" si="333"/>
        <v>#DIV/0!</v>
      </c>
      <c r="DH99" s="101">
        <f t="shared" si="333"/>
        <v>0</v>
      </c>
      <c r="DI99" s="101">
        <f t="shared" si="333"/>
        <v>0</v>
      </c>
      <c r="DJ99" s="101">
        <f t="shared" si="333"/>
        <v>0</v>
      </c>
      <c r="DK99" s="101">
        <f t="shared" si="333"/>
        <v>0</v>
      </c>
      <c r="DL99" s="101" t="e">
        <f t="shared" si="333"/>
        <v>#DIV/0!</v>
      </c>
      <c r="DM99" s="101">
        <f t="shared" si="333"/>
        <v>0</v>
      </c>
      <c r="DN99" s="101" t="e">
        <f t="shared" si="333"/>
        <v>#DIV/0!</v>
      </c>
      <c r="DO99" s="101">
        <f t="shared" si="333"/>
        <v>0</v>
      </c>
      <c r="DP99" s="101" t="e">
        <f t="shared" si="333"/>
        <v>#DIV/0!</v>
      </c>
      <c r="DQ99" s="101">
        <f t="shared" si="333"/>
        <v>0</v>
      </c>
      <c r="DR99" s="101" t="e">
        <f t="shared" si="333"/>
        <v>#DIV/0!</v>
      </c>
      <c r="DS99" s="420">
        <f t="shared" si="333"/>
        <v>0</v>
      </c>
      <c r="DT99" s="101"/>
    </row>
    <row r="100" spans="1:124" ht="17.25" thickBot="1">
      <c r="A100" s="481">
        <f>'調查資料(OUT)'!A106</f>
        <v>2345</v>
      </c>
      <c r="B100" s="482">
        <f t="shared" si="322"/>
        <v>0</v>
      </c>
      <c r="C100" s="483">
        <f>IFERROR('調查資料(OUT)'!B$1*'調查資料(OUT)'!B106,0)+IFERROR('調查資料(OUT)'!E$1*'調查資料(OUT)'!E106,0)+IFERROR('調查資料(OUT)'!H$1*'調查資料(OUT)'!H106,0)+IFERROR('調查資料(OUT)'!I$1*'調查資料(OUT)'!I106,0)</f>
        <v>0</v>
      </c>
      <c r="D100" s="483">
        <f>IFERROR('調查資料(OUT)'!C$1*'調查資料(OUT)'!C106,0)+IFERROR('調查資料(OUT)'!F$1*'調查資料(OUT)'!F106,0)+IFERROR('調查資料(OUT)'!J$1*'調查資料(OUT)'!J106,0)</f>
        <v>0</v>
      </c>
      <c r="E100" s="484">
        <f>IFERROR('調查資料(OUT)'!D$1*'調查資料(OUT)'!D106,0)+IFERROR('調查資料(OUT)'!G$1*'調查資料(OUT)'!G106,0)+IFERROR('調查資料(OUT)'!K$1*'調查資料(OUT)'!K106,0)</f>
        <v>0</v>
      </c>
      <c r="F100" s="482">
        <f t="shared" si="323"/>
        <v>0</v>
      </c>
      <c r="G100" s="483">
        <f>IFERROR('調查資料(OUT)'!L$1*'調查資料(OUT)'!L106,0)+IFERROR('調查資料(OUT)'!O$1*'調查資料(OUT)'!O106,0)+IFERROR('調查資料(OUT)'!R$1*'調查資料(OUT)'!R106,0)+IFERROR('調查資料(OUT)'!S$1*'調查資料(OUT)'!S106,0)</f>
        <v>0</v>
      </c>
      <c r="H100" s="483">
        <f>IFERROR('調查資料(OUT)'!M$1*'調查資料(OUT)'!M106,0)+IFERROR('調查資料(OUT)'!P$1*'調查資料(OUT)'!P106,0)+IFERROR('調查資料(OUT)'!T$1*'調查資料(OUT)'!T106,0)</f>
        <v>0</v>
      </c>
      <c r="I100" s="484">
        <f>IFERROR('調查資料(OUT)'!N$1*'調查資料(OUT)'!N106,0)+IFERROR('調查資料(OUT)'!Q$1*'調查資料(OUT)'!Q106,0)+IFERROR('調查資料(OUT)'!U$1*'調查資料(OUT)'!U106,0)</f>
        <v>0</v>
      </c>
      <c r="J100" s="482">
        <f t="shared" si="324"/>
        <v>0</v>
      </c>
      <c r="K100" s="483">
        <f>IFERROR('調查資料(OUT)'!V$1*'調查資料(OUT)'!V106,0)+IFERROR('調查資料(OUT)'!Y$1*'調查資料(OUT)'!Y106,0)+IFERROR('調查資料(OUT)'!AB$1*'調查資料(OUT)'!AB106,0)+IFERROR('調查資料(OUT)'!AC$1*'調查資料(OUT)'!AC106,0)</f>
        <v>0</v>
      </c>
      <c r="L100" s="483">
        <f>IFERROR('調查資料(OUT)'!W$1*'調查資料(OUT)'!W106,0)+IFERROR('調查資料(OUT)'!Z$1*'調查資料(OUT)'!Z106,0)+IFERROR('調查資料(OUT)'!AD$1*'調查資料(OUT)'!AD106,0)</f>
        <v>0</v>
      </c>
      <c r="M100" s="484">
        <f>IFERROR('調查資料(OUT)'!X$1*'調查資料(OUT)'!X106,0)+IFERROR('調查資料(OUT)'!AA$1*'調查資料(OUT)'!AA106,0)+IFERROR('調查資料(OUT)'!AE$1*'調查資料(OUT)'!AE106,0)</f>
        <v>0</v>
      </c>
      <c r="N100" s="482">
        <f t="shared" si="325"/>
        <v>0</v>
      </c>
      <c r="O100" s="483">
        <f>IFERROR('調查資料(OUT)'!AF$1*'調查資料(OUT)'!AF106,0)+IFERROR('調查資料(OUT)'!AI$1*'調查資料(OUT)'!AI106,0)+IFERROR('調查資料(OUT)'!AL$1*'調查資料(OUT)'!AL106,0)+IFERROR('調查資料(OUT)'!AM$1*'調查資料(OUT)'!AM106,0)</f>
        <v>0</v>
      </c>
      <c r="P100" s="483">
        <f>IFERROR('調查資料(OUT)'!AG$1*'調查資料(OUT)'!AG106,0)+IFERROR('調查資料(OUT)'!AJ$1*'調查資料(OUT)'!AJ106,0)+IFERROR('調查資料(OUT)'!AN$1*'調查資料(OUT)'!AN106,0)</f>
        <v>0</v>
      </c>
      <c r="Q100" s="484">
        <f>IFERROR('調查資料(OUT)'!AH$1*'調查資料(OUT)'!AH106,0)+IFERROR('調查資料(OUT)'!AK$1*'調查資料(OUT)'!AK106,0)+IFERROR('調查資料(OUT)'!AO$1*'調查資料(OUT)'!AO106,0)</f>
        <v>0</v>
      </c>
      <c r="R100" s="485">
        <f t="shared" si="326"/>
        <v>0</v>
      </c>
      <c r="T100" s="380"/>
      <c r="U100" s="380"/>
      <c r="V100" s="380"/>
      <c r="W100" s="380"/>
      <c r="X100" s="380"/>
      <c r="Y100" s="394" t="e">
        <f>MAX(Y69:Y81)</f>
        <v>#DIV/0!</v>
      </c>
      <c r="Z100" s="392" t="e">
        <f>MAX(Z69:Z81)</f>
        <v>#DIV/0!</v>
      </c>
      <c r="AA100" s="392" t="e">
        <f>MAX(AA69:AA81)</f>
        <v>#DIV/0!</v>
      </c>
      <c r="AB100" s="392" t="e">
        <f>MAX(AB69:AB81)</f>
        <v>#DIV/0!</v>
      </c>
      <c r="AC100" s="395" t="s">
        <v>272</v>
      </c>
      <c r="AD100" s="396">
        <f t="shared" ref="AD100:BB100" si="334">MAX(AD69:AD81)</f>
        <v>1900</v>
      </c>
      <c r="AE100" s="396">
        <f t="shared" si="334"/>
        <v>2000</v>
      </c>
      <c r="AF100" s="388">
        <f t="shared" si="334"/>
        <v>0</v>
      </c>
      <c r="AG100" s="389">
        <f t="shared" si="334"/>
        <v>0</v>
      </c>
      <c r="AH100" s="389">
        <f t="shared" si="334"/>
        <v>0</v>
      </c>
      <c r="AI100" s="389">
        <f t="shared" si="334"/>
        <v>0</v>
      </c>
      <c r="AJ100" s="389">
        <f t="shared" si="334"/>
        <v>0</v>
      </c>
      <c r="AK100" s="389" t="e">
        <f t="shared" si="334"/>
        <v>#DIV/0!</v>
      </c>
      <c r="AL100" s="389">
        <f t="shared" si="334"/>
        <v>0</v>
      </c>
      <c r="AM100" s="389">
        <f t="shared" si="334"/>
        <v>0</v>
      </c>
      <c r="AN100" s="389">
        <f t="shared" si="334"/>
        <v>0</v>
      </c>
      <c r="AO100" s="389">
        <f t="shared" si="334"/>
        <v>0</v>
      </c>
      <c r="AP100" s="389" t="e">
        <f t="shared" si="334"/>
        <v>#DIV/0!</v>
      </c>
      <c r="AQ100" s="389">
        <f t="shared" si="334"/>
        <v>0</v>
      </c>
      <c r="AR100" s="389">
        <f t="shared" si="334"/>
        <v>0</v>
      </c>
      <c r="AS100" s="389">
        <f t="shared" si="334"/>
        <v>0</v>
      </c>
      <c r="AT100" s="389">
        <f t="shared" si="334"/>
        <v>0</v>
      </c>
      <c r="AU100" s="389" t="e">
        <f t="shared" si="334"/>
        <v>#DIV/0!</v>
      </c>
      <c r="AV100" s="389">
        <f t="shared" si="334"/>
        <v>0</v>
      </c>
      <c r="AW100" s="389" t="e">
        <f t="shared" si="334"/>
        <v>#DIV/0!</v>
      </c>
      <c r="AX100" s="389">
        <f t="shared" si="334"/>
        <v>0</v>
      </c>
      <c r="AY100" s="389" t="e">
        <f t="shared" si="334"/>
        <v>#DIV/0!</v>
      </c>
      <c r="AZ100" s="389">
        <f t="shared" si="334"/>
        <v>0</v>
      </c>
      <c r="BA100" s="389" t="e">
        <f t="shared" si="334"/>
        <v>#DIV/0!</v>
      </c>
      <c r="BB100" s="421">
        <f t="shared" si="334"/>
        <v>0</v>
      </c>
      <c r="BC100" s="389">
        <f t="shared" ref="BC100:CR100" si="335">MAX(BC69:BC81)</f>
        <v>0</v>
      </c>
      <c r="BD100" s="389">
        <f t="shared" si="335"/>
        <v>0</v>
      </c>
      <c r="BE100" s="389">
        <f t="shared" si="335"/>
        <v>0</v>
      </c>
      <c r="BF100" s="389">
        <f t="shared" si="335"/>
        <v>0</v>
      </c>
      <c r="BG100" s="389">
        <f t="shared" si="335"/>
        <v>0</v>
      </c>
      <c r="BH100" s="389" t="e">
        <f t="shared" si="335"/>
        <v>#DIV/0!</v>
      </c>
      <c r="BI100" s="389">
        <f t="shared" si="335"/>
        <v>0</v>
      </c>
      <c r="BJ100" s="389">
        <f t="shared" si="335"/>
        <v>0</v>
      </c>
      <c r="BK100" s="389">
        <f t="shared" si="335"/>
        <v>0</v>
      </c>
      <c r="BL100" s="389">
        <f t="shared" si="335"/>
        <v>0</v>
      </c>
      <c r="BM100" s="389" t="e">
        <f t="shared" si="335"/>
        <v>#DIV/0!</v>
      </c>
      <c r="BN100" s="389">
        <f t="shared" si="335"/>
        <v>0</v>
      </c>
      <c r="BO100" s="389">
        <f t="shared" si="335"/>
        <v>0</v>
      </c>
      <c r="BP100" s="389">
        <f t="shared" si="335"/>
        <v>0</v>
      </c>
      <c r="BQ100" s="389">
        <f t="shared" si="335"/>
        <v>0</v>
      </c>
      <c r="BR100" s="389" t="e">
        <f t="shared" si="335"/>
        <v>#DIV/0!</v>
      </c>
      <c r="BS100" s="389">
        <f t="shared" si="335"/>
        <v>0</v>
      </c>
      <c r="BT100" s="389" t="e">
        <f t="shared" si="335"/>
        <v>#DIV/0!</v>
      </c>
      <c r="BU100" s="389">
        <f t="shared" si="335"/>
        <v>0</v>
      </c>
      <c r="BV100" s="389" t="e">
        <f t="shared" si="335"/>
        <v>#DIV/0!</v>
      </c>
      <c r="BW100" s="389">
        <f t="shared" si="335"/>
        <v>0</v>
      </c>
      <c r="BX100" s="389" t="e">
        <f t="shared" si="335"/>
        <v>#DIV/0!</v>
      </c>
      <c r="BY100" s="389">
        <f t="shared" si="335"/>
        <v>0</v>
      </c>
      <c r="BZ100" s="388">
        <f t="shared" si="335"/>
        <v>0</v>
      </c>
      <c r="CA100" s="389">
        <f t="shared" si="335"/>
        <v>0</v>
      </c>
      <c r="CB100" s="389">
        <f t="shared" si="335"/>
        <v>0</v>
      </c>
      <c r="CC100" s="389">
        <f t="shared" si="335"/>
        <v>0</v>
      </c>
      <c r="CD100" s="389">
        <f t="shared" si="335"/>
        <v>0</v>
      </c>
      <c r="CE100" s="389" t="e">
        <f t="shared" si="335"/>
        <v>#DIV/0!</v>
      </c>
      <c r="CF100" s="389">
        <f t="shared" si="335"/>
        <v>0</v>
      </c>
      <c r="CG100" s="389">
        <f t="shared" si="335"/>
        <v>0</v>
      </c>
      <c r="CH100" s="389">
        <f t="shared" si="335"/>
        <v>0</v>
      </c>
      <c r="CI100" s="389">
        <f t="shared" si="335"/>
        <v>0</v>
      </c>
      <c r="CJ100" s="389" t="e">
        <f t="shared" si="335"/>
        <v>#DIV/0!</v>
      </c>
      <c r="CK100" s="389">
        <f t="shared" si="335"/>
        <v>0</v>
      </c>
      <c r="CL100" s="389">
        <f t="shared" si="335"/>
        <v>0</v>
      </c>
      <c r="CM100" s="389">
        <f t="shared" si="335"/>
        <v>0</v>
      </c>
      <c r="CN100" s="389">
        <f t="shared" si="335"/>
        <v>0</v>
      </c>
      <c r="CO100" s="389" t="e">
        <f t="shared" si="335"/>
        <v>#DIV/0!</v>
      </c>
      <c r="CP100" s="389">
        <f t="shared" si="335"/>
        <v>0</v>
      </c>
      <c r="CQ100" s="389" t="e">
        <f t="shared" si="335"/>
        <v>#DIV/0!</v>
      </c>
      <c r="CR100" s="389">
        <f t="shared" si="335"/>
        <v>0</v>
      </c>
      <c r="CS100" s="389" t="e">
        <f t="shared" ref="CS100:DS100" si="336">MAX(CS69:CS81)</f>
        <v>#DIV/0!</v>
      </c>
      <c r="CT100" s="389">
        <f t="shared" si="336"/>
        <v>0</v>
      </c>
      <c r="CU100" s="389" t="e">
        <f t="shared" si="336"/>
        <v>#DIV/0!</v>
      </c>
      <c r="CV100" s="421">
        <f t="shared" si="336"/>
        <v>0</v>
      </c>
      <c r="CW100" s="389">
        <f t="shared" si="336"/>
        <v>0</v>
      </c>
      <c r="CX100" s="389">
        <f t="shared" si="336"/>
        <v>0</v>
      </c>
      <c r="CY100" s="389">
        <f t="shared" si="336"/>
        <v>0</v>
      </c>
      <c r="CZ100" s="389">
        <f t="shared" si="336"/>
        <v>0</v>
      </c>
      <c r="DA100" s="389">
        <f t="shared" si="336"/>
        <v>0</v>
      </c>
      <c r="DB100" s="389" t="e">
        <f t="shared" si="336"/>
        <v>#DIV/0!</v>
      </c>
      <c r="DC100" s="389">
        <f t="shared" si="336"/>
        <v>0</v>
      </c>
      <c r="DD100" s="389">
        <f t="shared" si="336"/>
        <v>0</v>
      </c>
      <c r="DE100" s="389">
        <f t="shared" si="336"/>
        <v>0</v>
      </c>
      <c r="DF100" s="389">
        <f t="shared" si="336"/>
        <v>0</v>
      </c>
      <c r="DG100" s="389" t="e">
        <f t="shared" si="336"/>
        <v>#DIV/0!</v>
      </c>
      <c r="DH100" s="389">
        <f t="shared" si="336"/>
        <v>0</v>
      </c>
      <c r="DI100" s="389">
        <f t="shared" si="336"/>
        <v>0</v>
      </c>
      <c r="DJ100" s="389">
        <f t="shared" si="336"/>
        <v>0</v>
      </c>
      <c r="DK100" s="389">
        <f t="shared" si="336"/>
        <v>0</v>
      </c>
      <c r="DL100" s="389" t="e">
        <f t="shared" si="336"/>
        <v>#DIV/0!</v>
      </c>
      <c r="DM100" s="389">
        <f t="shared" si="336"/>
        <v>0</v>
      </c>
      <c r="DN100" s="389" t="e">
        <f t="shared" si="336"/>
        <v>#DIV/0!</v>
      </c>
      <c r="DO100" s="389">
        <f t="shared" si="336"/>
        <v>0</v>
      </c>
      <c r="DP100" s="389" t="e">
        <f t="shared" si="336"/>
        <v>#DIV/0!</v>
      </c>
      <c r="DQ100" s="389">
        <f t="shared" si="336"/>
        <v>0</v>
      </c>
      <c r="DR100" s="389" t="e">
        <f t="shared" si="336"/>
        <v>#DIV/0!</v>
      </c>
      <c r="DS100" s="421">
        <f t="shared" si="336"/>
        <v>0</v>
      </c>
      <c r="DT100" s="101"/>
    </row>
    <row r="101" spans="1:124">
      <c r="V101" s="66"/>
    </row>
    <row r="102" spans="1:124">
      <c r="V102" s="66"/>
    </row>
  </sheetData>
  <phoneticPr fontId="2" type="noConversion"/>
  <pageMargins left="0.75" right="0.75" top="1" bottom="1" header="0.5" footer="0.5"/>
  <pageSetup paperSize="9" scale="10" orientation="portrait" r:id="rId1"/>
  <headerFooter alignWithMargins="0"/>
  <ignoredErrors>
    <ignoredError sqref="AX5:AX68 AZ5:AZ68 BU5 DO5:DO68 DQ5:DQ68 CR5:CR68 CT5:CT68 BU6:BU68 BW5 BW6:BW6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00"/>
  <sheetViews>
    <sheetView zoomScaleNormal="100" workbookViewId="0">
      <selection activeCell="F20" sqref="F20"/>
    </sheetView>
  </sheetViews>
  <sheetFormatPr defaultRowHeight="16.5"/>
  <cols>
    <col min="1" max="1" width="8.625" customWidth="1"/>
    <col min="2" max="5" width="15" customWidth="1"/>
    <col min="6" max="6" width="8.75" customWidth="1"/>
    <col min="7" max="7" width="9.5" bestFit="1" customWidth="1"/>
  </cols>
  <sheetData>
    <row r="1" spans="1:7">
      <c r="B1" t="str">
        <f>路口基本資料!B17</f>
        <v>往西</v>
      </c>
      <c r="C1" t="str">
        <f>路口基本資料!C17</f>
        <v>往北</v>
      </c>
      <c r="D1" t="str">
        <f>路口基本資料!D17</f>
        <v>往東</v>
      </c>
      <c r="E1" t="str">
        <f>路口基本資料!E17</f>
        <v>往南</v>
      </c>
      <c r="G1" s="30"/>
    </row>
    <row r="2" spans="1:7">
      <c r="B2" s="127" t="str">
        <f>CONCATENATE('調查資料(OUT)'!C8,B1)</f>
        <v>0往西</v>
      </c>
      <c r="C2" s="120" t="str">
        <f>CONCATENATE('調查資料(OUT)'!M8,C1)</f>
        <v>0往北</v>
      </c>
      <c r="D2" s="129" t="str">
        <f>CONCATENATE('調查資料(OUT)'!W8,D1)</f>
        <v>0往東</v>
      </c>
      <c r="E2" s="122" t="str">
        <f>CONCATENATE('調查資料(OUT)'!AG8,E1)</f>
        <v>0往南</v>
      </c>
      <c r="F2" s="105" t="s">
        <v>97</v>
      </c>
    </row>
    <row r="3" spans="1:7">
      <c r="B3" s="127" t="s">
        <v>98</v>
      </c>
      <c r="C3" s="120" t="s">
        <v>98</v>
      </c>
      <c r="D3" s="129" t="s">
        <v>98</v>
      </c>
      <c r="E3" s="122" t="s">
        <v>98</v>
      </c>
      <c r="F3" s="105" t="s">
        <v>99</v>
      </c>
    </row>
    <row r="4" spans="1:7">
      <c r="B4" s="102" t="s">
        <v>100</v>
      </c>
      <c r="C4" s="120" t="s">
        <v>91</v>
      </c>
      <c r="D4" s="129" t="s">
        <v>91</v>
      </c>
      <c r="E4" s="122" t="s">
        <v>91</v>
      </c>
      <c r="F4" s="105" t="s">
        <v>91</v>
      </c>
    </row>
    <row r="5" spans="1:7">
      <c r="A5" s="29" t="s">
        <v>149</v>
      </c>
      <c r="B5" s="25">
        <f>PHF及轉向比!B5</f>
        <v>0</v>
      </c>
      <c r="C5" s="26">
        <f>PHF及轉向比!F5</f>
        <v>0</v>
      </c>
      <c r="D5" s="27">
        <f>PHF及轉向比!J5</f>
        <v>0</v>
      </c>
      <c r="E5" s="27">
        <f>PHF及轉向比!N5</f>
        <v>0</v>
      </c>
      <c r="F5" s="28">
        <f>PHF及轉向比!R5</f>
        <v>0</v>
      </c>
    </row>
    <row r="6" spans="1:7">
      <c r="A6" s="29" t="s">
        <v>150</v>
      </c>
      <c r="B6" s="25">
        <f>PHF及轉向比!B6</f>
        <v>0</v>
      </c>
      <c r="C6" s="26">
        <f>PHF及轉向比!F6</f>
        <v>0</v>
      </c>
      <c r="D6" s="27">
        <f>PHF及轉向比!J6</f>
        <v>0</v>
      </c>
      <c r="E6" s="27">
        <f>PHF及轉向比!N6</f>
        <v>0</v>
      </c>
      <c r="F6" s="28">
        <f>PHF及轉向比!R6</f>
        <v>0</v>
      </c>
    </row>
    <row r="7" spans="1:7">
      <c r="A7" s="29" t="s">
        <v>151</v>
      </c>
      <c r="B7" s="25">
        <f>PHF及轉向比!B7</f>
        <v>0</v>
      </c>
      <c r="C7" s="26">
        <f>PHF及轉向比!F7</f>
        <v>0</v>
      </c>
      <c r="D7" s="27">
        <f>PHF及轉向比!J7</f>
        <v>0</v>
      </c>
      <c r="E7" s="27">
        <f>PHF及轉向比!N7</f>
        <v>0</v>
      </c>
      <c r="F7" s="28">
        <f>PHF及轉向比!R7</f>
        <v>0</v>
      </c>
    </row>
    <row r="8" spans="1:7">
      <c r="A8" s="29" t="s">
        <v>152</v>
      </c>
      <c r="B8" s="25">
        <f>PHF及轉向比!B8</f>
        <v>0</v>
      </c>
      <c r="C8" s="26">
        <f>PHF及轉向比!F8</f>
        <v>0</v>
      </c>
      <c r="D8" s="27">
        <f>PHF及轉向比!J8</f>
        <v>0</v>
      </c>
      <c r="E8" s="27">
        <f>PHF及轉向比!N8</f>
        <v>0</v>
      </c>
      <c r="F8" s="28">
        <f>PHF及轉向比!R8</f>
        <v>0</v>
      </c>
    </row>
    <row r="9" spans="1:7">
      <c r="A9" s="29" t="s">
        <v>153</v>
      </c>
      <c r="B9" s="25">
        <f>PHF及轉向比!B9</f>
        <v>0</v>
      </c>
      <c r="C9" s="26">
        <f>PHF及轉向比!F9</f>
        <v>0</v>
      </c>
      <c r="D9" s="27">
        <f>PHF及轉向比!J9</f>
        <v>0</v>
      </c>
      <c r="E9" s="27">
        <f>PHF及轉向比!N9</f>
        <v>0</v>
      </c>
      <c r="F9" s="28">
        <f>PHF及轉向比!R9</f>
        <v>0</v>
      </c>
    </row>
    <row r="10" spans="1:7">
      <c r="A10" s="29" t="s">
        <v>154</v>
      </c>
      <c r="B10" s="25">
        <f>PHF及轉向比!B10</f>
        <v>0</v>
      </c>
      <c r="C10" s="26">
        <f>PHF及轉向比!F10</f>
        <v>0</v>
      </c>
      <c r="D10" s="27">
        <f>PHF及轉向比!J10</f>
        <v>0</v>
      </c>
      <c r="E10" s="27">
        <f>PHF及轉向比!N10</f>
        <v>0</v>
      </c>
      <c r="F10" s="28">
        <f>PHF及轉向比!R10</f>
        <v>0</v>
      </c>
    </row>
    <row r="11" spans="1:7">
      <c r="A11" s="29" t="s">
        <v>155</v>
      </c>
      <c r="B11" s="25">
        <f>PHF及轉向比!B11</f>
        <v>0</v>
      </c>
      <c r="C11" s="26">
        <f>PHF及轉向比!F11</f>
        <v>0</v>
      </c>
      <c r="D11" s="27">
        <f>PHF及轉向比!J11</f>
        <v>0</v>
      </c>
      <c r="E11" s="27">
        <f>PHF及轉向比!N11</f>
        <v>0</v>
      </c>
      <c r="F11" s="28">
        <f>PHF及轉向比!R11</f>
        <v>0</v>
      </c>
    </row>
    <row r="12" spans="1:7">
      <c r="A12" s="29" t="s">
        <v>156</v>
      </c>
      <c r="B12" s="25">
        <f>PHF及轉向比!B12</f>
        <v>0</v>
      </c>
      <c r="C12" s="26">
        <f>PHF及轉向比!F12</f>
        <v>0</v>
      </c>
      <c r="D12" s="27">
        <f>PHF及轉向比!J12</f>
        <v>0</v>
      </c>
      <c r="E12" s="27">
        <f>PHF及轉向比!N12</f>
        <v>0</v>
      </c>
      <c r="F12" s="28">
        <f>PHF及轉向比!R12</f>
        <v>0</v>
      </c>
    </row>
    <row r="13" spans="1:7">
      <c r="A13" s="29" t="s">
        <v>157</v>
      </c>
      <c r="B13" s="25">
        <f>PHF及轉向比!B13</f>
        <v>0</v>
      </c>
      <c r="C13" s="26">
        <f>PHF及轉向比!F13</f>
        <v>0</v>
      </c>
      <c r="D13" s="27">
        <f>PHF及轉向比!J13</f>
        <v>0</v>
      </c>
      <c r="E13" s="27">
        <f>PHF及轉向比!N13</f>
        <v>0</v>
      </c>
      <c r="F13" s="28">
        <f>PHF及轉向比!R13</f>
        <v>0</v>
      </c>
    </row>
    <row r="14" spans="1:7">
      <c r="A14" s="29" t="s">
        <v>158</v>
      </c>
      <c r="B14" s="25">
        <f>PHF及轉向比!B14</f>
        <v>0</v>
      </c>
      <c r="C14" s="26">
        <f>PHF及轉向比!F14</f>
        <v>0</v>
      </c>
      <c r="D14" s="27">
        <f>PHF及轉向比!J14</f>
        <v>0</v>
      </c>
      <c r="E14" s="27">
        <f>PHF及轉向比!N14</f>
        <v>0</v>
      </c>
      <c r="F14" s="28">
        <f>PHF及轉向比!R14</f>
        <v>0</v>
      </c>
    </row>
    <row r="15" spans="1:7">
      <c r="A15" s="29" t="s">
        <v>159</v>
      </c>
      <c r="B15" s="25">
        <f>PHF及轉向比!B15</f>
        <v>0</v>
      </c>
      <c r="C15" s="26">
        <f>PHF及轉向比!F15</f>
        <v>0</v>
      </c>
      <c r="D15" s="27">
        <f>PHF及轉向比!J15</f>
        <v>0</v>
      </c>
      <c r="E15" s="27">
        <f>PHF及轉向比!N15</f>
        <v>0</v>
      </c>
      <c r="F15" s="28">
        <f>PHF及轉向比!R15</f>
        <v>0</v>
      </c>
    </row>
    <row r="16" spans="1:7">
      <c r="A16" s="29" t="s">
        <v>160</v>
      </c>
      <c r="B16" s="25">
        <f>PHF及轉向比!B16</f>
        <v>0</v>
      </c>
      <c r="C16" s="26">
        <f>PHF及轉向比!F16</f>
        <v>0</v>
      </c>
      <c r="D16" s="27">
        <f>PHF及轉向比!J16</f>
        <v>0</v>
      </c>
      <c r="E16" s="27">
        <f>PHF及轉向比!N16</f>
        <v>0</v>
      </c>
      <c r="F16" s="28">
        <f>PHF及轉向比!R16</f>
        <v>0</v>
      </c>
    </row>
    <row r="17" spans="1:6">
      <c r="A17" s="29" t="s">
        <v>161</v>
      </c>
      <c r="B17" s="25">
        <f>PHF及轉向比!B17</f>
        <v>0</v>
      </c>
      <c r="C17" s="26">
        <f>PHF及轉向比!F17</f>
        <v>0</v>
      </c>
      <c r="D17" s="27">
        <f>PHF及轉向比!J17</f>
        <v>0</v>
      </c>
      <c r="E17" s="27">
        <f>PHF及轉向比!N17</f>
        <v>0</v>
      </c>
      <c r="F17" s="28">
        <f>PHF及轉向比!R17</f>
        <v>0</v>
      </c>
    </row>
    <row r="18" spans="1:6">
      <c r="A18" s="29" t="s">
        <v>162</v>
      </c>
      <c r="B18" s="25">
        <f>PHF及轉向比!B18</f>
        <v>0</v>
      </c>
      <c r="C18" s="26">
        <f>PHF及轉向比!F18</f>
        <v>0</v>
      </c>
      <c r="D18" s="27">
        <f>PHF及轉向比!J18</f>
        <v>0</v>
      </c>
      <c r="E18" s="27">
        <f>PHF及轉向比!N18</f>
        <v>0</v>
      </c>
      <c r="F18" s="28">
        <f>PHF及轉向比!R18</f>
        <v>0</v>
      </c>
    </row>
    <row r="19" spans="1:6">
      <c r="A19" s="29" t="s">
        <v>163</v>
      </c>
      <c r="B19" s="25">
        <f>PHF及轉向比!B19</f>
        <v>0</v>
      </c>
      <c r="C19" s="26">
        <f>PHF及轉向比!F19</f>
        <v>0</v>
      </c>
      <c r="D19" s="27">
        <f>PHF及轉向比!J19</f>
        <v>0</v>
      </c>
      <c r="E19" s="27">
        <f>PHF及轉向比!N19</f>
        <v>0</v>
      </c>
      <c r="F19" s="28">
        <f>PHF及轉向比!R19</f>
        <v>0</v>
      </c>
    </row>
    <row r="20" spans="1:6">
      <c r="A20" s="29" t="s">
        <v>164</v>
      </c>
      <c r="B20" s="25">
        <f>PHF及轉向比!B20</f>
        <v>0</v>
      </c>
      <c r="C20" s="26">
        <f>PHF及轉向比!F20</f>
        <v>0</v>
      </c>
      <c r="D20" s="27">
        <f>PHF及轉向比!J20</f>
        <v>0</v>
      </c>
      <c r="E20" s="27">
        <f>PHF及轉向比!N20</f>
        <v>0</v>
      </c>
      <c r="F20" s="28">
        <f>PHF及轉向比!R20</f>
        <v>0</v>
      </c>
    </row>
    <row r="21" spans="1:6">
      <c r="A21" s="24" t="s">
        <v>165</v>
      </c>
      <c r="B21" s="25">
        <f>PHF及轉向比!B21</f>
        <v>0</v>
      </c>
      <c r="C21" s="26">
        <f>PHF及轉向比!F21</f>
        <v>0</v>
      </c>
      <c r="D21" s="27">
        <f>PHF及轉向比!J21</f>
        <v>0</v>
      </c>
      <c r="E21" s="27">
        <f>PHF及轉向比!N21</f>
        <v>0</v>
      </c>
      <c r="F21" s="28">
        <f>PHF及轉向比!R21</f>
        <v>0</v>
      </c>
    </row>
    <row r="22" spans="1:6">
      <c r="A22" s="24" t="s">
        <v>166</v>
      </c>
      <c r="B22" s="25">
        <f>PHF及轉向比!B22</f>
        <v>0</v>
      </c>
      <c r="C22" s="26">
        <f>PHF及轉向比!F22</f>
        <v>0</v>
      </c>
      <c r="D22" s="27">
        <f>PHF及轉向比!J22</f>
        <v>0</v>
      </c>
      <c r="E22" s="27">
        <f>PHF及轉向比!N22</f>
        <v>0</v>
      </c>
      <c r="F22" s="28">
        <f>PHF及轉向比!R22</f>
        <v>0</v>
      </c>
    </row>
    <row r="23" spans="1:6">
      <c r="A23" s="24" t="s">
        <v>167</v>
      </c>
      <c r="B23" s="25">
        <f>PHF及轉向比!B23</f>
        <v>0</v>
      </c>
      <c r="C23" s="26">
        <f>PHF及轉向比!F23</f>
        <v>0</v>
      </c>
      <c r="D23" s="27">
        <f>PHF及轉向比!J23</f>
        <v>0</v>
      </c>
      <c r="E23" s="27">
        <f>PHF及轉向比!N23</f>
        <v>0</v>
      </c>
      <c r="F23" s="28">
        <f>PHF及轉向比!R23</f>
        <v>0</v>
      </c>
    </row>
    <row r="24" spans="1:6">
      <c r="A24" s="24" t="s">
        <v>168</v>
      </c>
      <c r="B24" s="25">
        <f>PHF及轉向比!B24</f>
        <v>0</v>
      </c>
      <c r="C24" s="26">
        <f>PHF及轉向比!F24</f>
        <v>0</v>
      </c>
      <c r="D24" s="27">
        <f>PHF及轉向比!J24</f>
        <v>0</v>
      </c>
      <c r="E24" s="27">
        <f>PHF及轉向比!N24</f>
        <v>0</v>
      </c>
      <c r="F24" s="28">
        <f>PHF及轉向比!R24</f>
        <v>0</v>
      </c>
    </row>
    <row r="25" spans="1:6">
      <c r="A25" s="24" t="s">
        <v>169</v>
      </c>
      <c r="B25" s="25">
        <f>PHF及轉向比!B25</f>
        <v>0</v>
      </c>
      <c r="C25" s="26">
        <f>PHF及轉向比!F25</f>
        <v>0</v>
      </c>
      <c r="D25" s="27">
        <f>PHF及轉向比!J25</f>
        <v>0</v>
      </c>
      <c r="E25" s="27">
        <f>PHF及轉向比!N25</f>
        <v>0</v>
      </c>
      <c r="F25" s="28">
        <f>PHF及轉向比!R25</f>
        <v>0</v>
      </c>
    </row>
    <row r="26" spans="1:6">
      <c r="A26" s="24" t="s">
        <v>170</v>
      </c>
      <c r="B26" s="25">
        <f>PHF及轉向比!B26</f>
        <v>0</v>
      </c>
      <c r="C26" s="26">
        <f>PHF及轉向比!F26</f>
        <v>0</v>
      </c>
      <c r="D26" s="27">
        <f>PHF及轉向比!J26</f>
        <v>0</v>
      </c>
      <c r="E26" s="27">
        <f>PHF及轉向比!N26</f>
        <v>0</v>
      </c>
      <c r="F26" s="28">
        <f>PHF及轉向比!R26</f>
        <v>0</v>
      </c>
    </row>
    <row r="27" spans="1:6">
      <c r="A27" s="24" t="s">
        <v>171</v>
      </c>
      <c r="B27" s="25">
        <f>PHF及轉向比!B27</f>
        <v>0</v>
      </c>
      <c r="C27" s="26">
        <f>PHF及轉向比!F27</f>
        <v>0</v>
      </c>
      <c r="D27" s="27">
        <f>PHF及轉向比!J27</f>
        <v>0</v>
      </c>
      <c r="E27" s="27">
        <f>PHF及轉向比!N27</f>
        <v>0</v>
      </c>
      <c r="F27" s="28">
        <f>PHF及轉向比!R27</f>
        <v>0</v>
      </c>
    </row>
    <row r="28" spans="1:6">
      <c r="A28" s="24" t="s">
        <v>172</v>
      </c>
      <c r="B28" s="25">
        <f>PHF及轉向比!B28</f>
        <v>0</v>
      </c>
      <c r="C28" s="26">
        <f>PHF及轉向比!F28</f>
        <v>0</v>
      </c>
      <c r="D28" s="27">
        <f>PHF及轉向比!J28</f>
        <v>0</v>
      </c>
      <c r="E28" s="27">
        <f>PHF及轉向比!N28</f>
        <v>0</v>
      </c>
      <c r="F28" s="28">
        <f>PHF及轉向比!R28</f>
        <v>0</v>
      </c>
    </row>
    <row r="29" spans="1:6">
      <c r="A29" s="24" t="s">
        <v>173</v>
      </c>
      <c r="B29" s="25">
        <f>PHF及轉向比!B29</f>
        <v>0</v>
      </c>
      <c r="C29" s="26">
        <f>PHF及轉向比!F29</f>
        <v>0</v>
      </c>
      <c r="D29" s="27">
        <f>PHF及轉向比!J29</f>
        <v>0</v>
      </c>
      <c r="E29" s="27">
        <f>PHF及轉向比!N29</f>
        <v>0</v>
      </c>
      <c r="F29" s="28">
        <f>PHF及轉向比!R29</f>
        <v>0</v>
      </c>
    </row>
    <row r="30" spans="1:6">
      <c r="A30" s="24" t="s">
        <v>174</v>
      </c>
      <c r="B30" s="25">
        <f>PHF及轉向比!B30</f>
        <v>0</v>
      </c>
      <c r="C30" s="26">
        <f>PHF及轉向比!F30</f>
        <v>0</v>
      </c>
      <c r="D30" s="27">
        <f>PHF及轉向比!J30</f>
        <v>0</v>
      </c>
      <c r="E30" s="27">
        <f>PHF及轉向比!N30</f>
        <v>0</v>
      </c>
      <c r="F30" s="28">
        <f>PHF及轉向比!R30</f>
        <v>0</v>
      </c>
    </row>
    <row r="31" spans="1:6">
      <c r="A31" s="24" t="s">
        <v>175</v>
      </c>
      <c r="B31" s="25">
        <f>PHF及轉向比!B31</f>
        <v>0</v>
      </c>
      <c r="C31" s="26">
        <f>PHF及轉向比!F31</f>
        <v>0</v>
      </c>
      <c r="D31" s="27">
        <f>PHF及轉向比!J31</f>
        <v>0</v>
      </c>
      <c r="E31" s="27">
        <f>PHF及轉向比!N31</f>
        <v>0</v>
      </c>
      <c r="F31" s="28">
        <f>PHF及轉向比!R31</f>
        <v>0</v>
      </c>
    </row>
    <row r="32" spans="1:6">
      <c r="A32" s="24" t="s">
        <v>176</v>
      </c>
      <c r="B32" s="25">
        <f>PHF及轉向比!B32</f>
        <v>0</v>
      </c>
      <c r="C32" s="26">
        <f>PHF及轉向比!F32</f>
        <v>0</v>
      </c>
      <c r="D32" s="27">
        <f>PHF及轉向比!J32</f>
        <v>0</v>
      </c>
      <c r="E32" s="27">
        <f>PHF及轉向比!N32</f>
        <v>0</v>
      </c>
      <c r="F32" s="28">
        <f>PHF及轉向比!R32</f>
        <v>0</v>
      </c>
    </row>
    <row r="33" spans="1:6">
      <c r="A33" s="24" t="s">
        <v>177</v>
      </c>
      <c r="B33" s="25">
        <f>PHF及轉向比!B33</f>
        <v>0</v>
      </c>
      <c r="C33" s="26">
        <f>PHF及轉向比!F33</f>
        <v>0</v>
      </c>
      <c r="D33" s="27">
        <f>PHF及轉向比!J33</f>
        <v>0</v>
      </c>
      <c r="E33" s="27">
        <f>PHF及轉向比!N33</f>
        <v>0</v>
      </c>
      <c r="F33" s="28">
        <f>PHF及轉向比!R33</f>
        <v>0</v>
      </c>
    </row>
    <row r="34" spans="1:6">
      <c r="A34" s="24" t="s">
        <v>178</v>
      </c>
      <c r="B34" s="25">
        <f>PHF及轉向比!B34</f>
        <v>0</v>
      </c>
      <c r="C34" s="26">
        <f>PHF及轉向比!F34</f>
        <v>0</v>
      </c>
      <c r="D34" s="27">
        <f>PHF及轉向比!J34</f>
        <v>0</v>
      </c>
      <c r="E34" s="27">
        <f>PHF及轉向比!N34</f>
        <v>0</v>
      </c>
      <c r="F34" s="28">
        <f>PHF及轉向比!R34</f>
        <v>0</v>
      </c>
    </row>
    <row r="35" spans="1:6">
      <c r="A35" s="24" t="s">
        <v>179</v>
      </c>
      <c r="B35" s="25">
        <f>PHF及轉向比!B35</f>
        <v>0</v>
      </c>
      <c r="C35" s="26">
        <f>PHF及轉向比!F35</f>
        <v>0</v>
      </c>
      <c r="D35" s="27">
        <f>PHF及轉向比!J35</f>
        <v>0</v>
      </c>
      <c r="E35" s="27">
        <f>PHF及轉向比!N35</f>
        <v>0</v>
      </c>
      <c r="F35" s="28">
        <f>PHF及轉向比!R35</f>
        <v>0</v>
      </c>
    </row>
    <row r="36" spans="1:6">
      <c r="A36" s="24" t="s">
        <v>180</v>
      </c>
      <c r="B36" s="25">
        <f>PHF及轉向比!B36</f>
        <v>0</v>
      </c>
      <c r="C36" s="26">
        <f>PHF及轉向比!F36</f>
        <v>0</v>
      </c>
      <c r="D36" s="27">
        <f>PHF及轉向比!J36</f>
        <v>0</v>
      </c>
      <c r="E36" s="27">
        <f>PHF及轉向比!N36</f>
        <v>0</v>
      </c>
      <c r="F36" s="28">
        <f>PHF及轉向比!R36</f>
        <v>0</v>
      </c>
    </row>
    <row r="37" spans="1:6">
      <c r="A37" s="24" t="s">
        <v>181</v>
      </c>
      <c r="B37" s="25">
        <f>PHF及轉向比!B37</f>
        <v>0</v>
      </c>
      <c r="C37" s="26">
        <f>PHF及轉向比!F37</f>
        <v>0</v>
      </c>
      <c r="D37" s="27">
        <f>PHF及轉向比!J37</f>
        <v>0</v>
      </c>
      <c r="E37" s="27">
        <f>PHF及轉向比!N37</f>
        <v>0</v>
      </c>
      <c r="F37" s="28">
        <f>PHF及轉向比!R37</f>
        <v>0</v>
      </c>
    </row>
    <row r="38" spans="1:6">
      <c r="A38" s="24" t="s">
        <v>182</v>
      </c>
      <c r="B38" s="25">
        <f>PHF及轉向比!B38</f>
        <v>0</v>
      </c>
      <c r="C38" s="26">
        <f>PHF及轉向比!F38</f>
        <v>0</v>
      </c>
      <c r="D38" s="27">
        <f>PHF及轉向比!J38</f>
        <v>0</v>
      </c>
      <c r="E38" s="27">
        <f>PHF及轉向比!N38</f>
        <v>0</v>
      </c>
      <c r="F38" s="28">
        <f>PHF及轉向比!R38</f>
        <v>0</v>
      </c>
    </row>
    <row r="39" spans="1:6">
      <c r="A39" s="24" t="s">
        <v>183</v>
      </c>
      <c r="B39" s="25">
        <f>PHF及轉向比!B39</f>
        <v>0</v>
      </c>
      <c r="C39" s="26">
        <f>PHF及轉向比!F39</f>
        <v>0</v>
      </c>
      <c r="D39" s="27">
        <f>PHF及轉向比!J39</f>
        <v>0</v>
      </c>
      <c r="E39" s="27">
        <f>PHF及轉向比!N39</f>
        <v>0</v>
      </c>
      <c r="F39" s="28">
        <f>PHF及轉向比!R39</f>
        <v>0</v>
      </c>
    </row>
    <row r="40" spans="1:6">
      <c r="A40" s="24" t="s">
        <v>184</v>
      </c>
      <c r="B40" s="25">
        <f>PHF及轉向比!B40</f>
        <v>0</v>
      </c>
      <c r="C40" s="26">
        <f>PHF及轉向比!F40</f>
        <v>0</v>
      </c>
      <c r="D40" s="27">
        <f>PHF及轉向比!J40</f>
        <v>0</v>
      </c>
      <c r="E40" s="27">
        <f>PHF及轉向比!N40</f>
        <v>0</v>
      </c>
      <c r="F40" s="28">
        <f>PHF及轉向比!R40</f>
        <v>0</v>
      </c>
    </row>
    <row r="41" spans="1:6">
      <c r="A41" s="24" t="s">
        <v>185</v>
      </c>
      <c r="B41" s="25">
        <f>PHF及轉向比!B41</f>
        <v>0</v>
      </c>
      <c r="C41" s="26">
        <f>PHF及轉向比!F41</f>
        <v>0</v>
      </c>
      <c r="D41" s="27">
        <f>PHF及轉向比!J41</f>
        <v>0</v>
      </c>
      <c r="E41" s="27">
        <f>PHF及轉向比!N41</f>
        <v>0</v>
      </c>
      <c r="F41" s="28">
        <f>PHF及轉向比!R41</f>
        <v>0</v>
      </c>
    </row>
    <row r="42" spans="1:6">
      <c r="A42" s="24" t="s">
        <v>186</v>
      </c>
      <c r="B42" s="25">
        <f>PHF及轉向比!B42</f>
        <v>0</v>
      </c>
      <c r="C42" s="26">
        <f>PHF及轉向比!F42</f>
        <v>0</v>
      </c>
      <c r="D42" s="27">
        <f>PHF及轉向比!J42</f>
        <v>0</v>
      </c>
      <c r="E42" s="27">
        <f>PHF及轉向比!N42</f>
        <v>0</v>
      </c>
      <c r="F42" s="28">
        <f>PHF及轉向比!R42</f>
        <v>0</v>
      </c>
    </row>
    <row r="43" spans="1:6">
      <c r="A43" s="24" t="s">
        <v>187</v>
      </c>
      <c r="B43" s="25">
        <f>PHF及轉向比!B43</f>
        <v>0</v>
      </c>
      <c r="C43" s="26">
        <f>PHF及轉向比!F43</f>
        <v>0</v>
      </c>
      <c r="D43" s="27">
        <f>PHF及轉向比!J43</f>
        <v>0</v>
      </c>
      <c r="E43" s="27">
        <f>PHF及轉向比!N43</f>
        <v>0</v>
      </c>
      <c r="F43" s="28">
        <f>PHF及轉向比!R43</f>
        <v>0</v>
      </c>
    </row>
    <row r="44" spans="1:6">
      <c r="A44" s="24" t="s">
        <v>188</v>
      </c>
      <c r="B44" s="25">
        <f>PHF及轉向比!B44</f>
        <v>0</v>
      </c>
      <c r="C44" s="26">
        <f>PHF及轉向比!F44</f>
        <v>0</v>
      </c>
      <c r="D44" s="27">
        <f>PHF及轉向比!J44</f>
        <v>0</v>
      </c>
      <c r="E44" s="27">
        <f>PHF及轉向比!N44</f>
        <v>0</v>
      </c>
      <c r="F44" s="28">
        <f>PHF及轉向比!R44</f>
        <v>0</v>
      </c>
    </row>
    <row r="45" spans="1:6">
      <c r="A45" s="24" t="s">
        <v>189</v>
      </c>
      <c r="B45" s="25">
        <f>PHF及轉向比!B45</f>
        <v>0</v>
      </c>
      <c r="C45" s="26">
        <f>PHF及轉向比!F45</f>
        <v>0</v>
      </c>
      <c r="D45" s="27">
        <f>PHF及轉向比!J45</f>
        <v>0</v>
      </c>
      <c r="E45" s="27">
        <f>PHF及轉向比!N45</f>
        <v>0</v>
      </c>
      <c r="F45" s="28">
        <f>PHF及轉向比!R45</f>
        <v>0</v>
      </c>
    </row>
    <row r="46" spans="1:6">
      <c r="A46" s="24" t="s">
        <v>190</v>
      </c>
      <c r="B46" s="25">
        <f>PHF及轉向比!B46</f>
        <v>0</v>
      </c>
      <c r="C46" s="26">
        <f>PHF及轉向比!F46</f>
        <v>0</v>
      </c>
      <c r="D46" s="27">
        <f>PHF及轉向比!J46</f>
        <v>0</v>
      </c>
      <c r="E46" s="27">
        <f>PHF及轉向比!N46</f>
        <v>0</v>
      </c>
      <c r="F46" s="28">
        <f>PHF及轉向比!R46</f>
        <v>0</v>
      </c>
    </row>
    <row r="47" spans="1:6">
      <c r="A47" s="24" t="s">
        <v>191</v>
      </c>
      <c r="B47" s="25">
        <f>PHF及轉向比!B47</f>
        <v>0</v>
      </c>
      <c r="C47" s="26">
        <f>PHF及轉向比!F47</f>
        <v>0</v>
      </c>
      <c r="D47" s="27">
        <f>PHF及轉向比!J47</f>
        <v>0</v>
      </c>
      <c r="E47" s="27">
        <f>PHF及轉向比!N47</f>
        <v>0</v>
      </c>
      <c r="F47" s="28">
        <f>PHF及轉向比!R47</f>
        <v>0</v>
      </c>
    </row>
    <row r="48" spans="1:6">
      <c r="A48" s="24" t="s">
        <v>192</v>
      </c>
      <c r="B48" s="25">
        <f>PHF及轉向比!B48</f>
        <v>0</v>
      </c>
      <c r="C48" s="26">
        <f>PHF及轉向比!F48</f>
        <v>0</v>
      </c>
      <c r="D48" s="27">
        <f>PHF及轉向比!J48</f>
        <v>0</v>
      </c>
      <c r="E48" s="27">
        <f>PHF及轉向比!N48</f>
        <v>0</v>
      </c>
      <c r="F48" s="28">
        <f>PHF及轉向比!R48</f>
        <v>0</v>
      </c>
    </row>
    <row r="49" spans="1:6">
      <c r="A49" s="24" t="s">
        <v>193</v>
      </c>
      <c r="B49" s="25">
        <f>PHF及轉向比!B49</f>
        <v>0</v>
      </c>
      <c r="C49" s="26">
        <f>PHF及轉向比!F49</f>
        <v>0</v>
      </c>
      <c r="D49" s="27">
        <f>PHF及轉向比!J49</f>
        <v>0</v>
      </c>
      <c r="E49" s="27">
        <f>PHF及轉向比!N49</f>
        <v>0</v>
      </c>
      <c r="F49" s="28">
        <f>PHF及轉向比!R49</f>
        <v>0</v>
      </c>
    </row>
    <row r="50" spans="1:6">
      <c r="A50" s="24" t="s">
        <v>194</v>
      </c>
      <c r="B50" s="25">
        <f>PHF及轉向比!B50</f>
        <v>0</v>
      </c>
      <c r="C50" s="26">
        <f>PHF及轉向比!F50</f>
        <v>0</v>
      </c>
      <c r="D50" s="27">
        <f>PHF及轉向比!J50</f>
        <v>0</v>
      </c>
      <c r="E50" s="27">
        <f>PHF及轉向比!N50</f>
        <v>0</v>
      </c>
      <c r="F50" s="28">
        <f>PHF及轉向比!R50</f>
        <v>0</v>
      </c>
    </row>
    <row r="51" spans="1:6">
      <c r="A51" s="24" t="s">
        <v>195</v>
      </c>
      <c r="B51" s="25">
        <f>PHF及轉向比!B51</f>
        <v>0</v>
      </c>
      <c r="C51" s="26">
        <f>PHF及轉向比!F51</f>
        <v>0</v>
      </c>
      <c r="D51" s="27">
        <f>PHF及轉向比!J51</f>
        <v>0</v>
      </c>
      <c r="E51" s="27">
        <f>PHF及轉向比!N51</f>
        <v>0</v>
      </c>
      <c r="F51" s="28">
        <f>PHF及轉向比!R51</f>
        <v>0</v>
      </c>
    </row>
    <row r="52" spans="1:6">
      <c r="A52" s="24" t="s">
        <v>196</v>
      </c>
      <c r="B52" s="25">
        <f>PHF及轉向比!B52</f>
        <v>0</v>
      </c>
      <c r="C52" s="26">
        <f>PHF及轉向比!F52</f>
        <v>0</v>
      </c>
      <c r="D52" s="27">
        <f>PHF及轉向比!J52</f>
        <v>0</v>
      </c>
      <c r="E52" s="27">
        <f>PHF及轉向比!N52</f>
        <v>0</v>
      </c>
      <c r="F52" s="28">
        <f>PHF及轉向比!R52</f>
        <v>0</v>
      </c>
    </row>
    <row r="53" spans="1:6">
      <c r="A53" s="24" t="s">
        <v>197</v>
      </c>
      <c r="B53" s="25">
        <f>PHF及轉向比!B53</f>
        <v>0</v>
      </c>
      <c r="C53" s="26">
        <f>PHF及轉向比!F53</f>
        <v>0</v>
      </c>
      <c r="D53" s="27">
        <f>PHF及轉向比!J53</f>
        <v>0</v>
      </c>
      <c r="E53" s="27">
        <f>PHF及轉向比!N53</f>
        <v>0</v>
      </c>
      <c r="F53" s="28">
        <f>PHF及轉向比!R53</f>
        <v>0</v>
      </c>
    </row>
    <row r="54" spans="1:6">
      <c r="A54" s="24" t="s">
        <v>198</v>
      </c>
      <c r="B54" s="25">
        <f>PHF及轉向比!B54</f>
        <v>0</v>
      </c>
      <c r="C54" s="26">
        <f>PHF及轉向比!F54</f>
        <v>0</v>
      </c>
      <c r="D54" s="27">
        <f>PHF及轉向比!J54</f>
        <v>0</v>
      </c>
      <c r="E54" s="27">
        <f>PHF及轉向比!N54</f>
        <v>0</v>
      </c>
      <c r="F54" s="28">
        <f>PHF及轉向比!R54</f>
        <v>0</v>
      </c>
    </row>
    <row r="55" spans="1:6">
      <c r="A55" s="24" t="s">
        <v>199</v>
      </c>
      <c r="B55" s="25">
        <f>PHF及轉向比!B55</f>
        <v>0</v>
      </c>
      <c r="C55" s="26">
        <f>PHF及轉向比!F55</f>
        <v>0</v>
      </c>
      <c r="D55" s="27">
        <f>PHF及轉向比!J55</f>
        <v>0</v>
      </c>
      <c r="E55" s="27">
        <f>PHF及轉向比!N55</f>
        <v>0</v>
      </c>
      <c r="F55" s="28">
        <f>PHF及轉向比!R55</f>
        <v>0</v>
      </c>
    </row>
    <row r="56" spans="1:6">
      <c r="A56" s="24" t="s">
        <v>200</v>
      </c>
      <c r="B56" s="25">
        <f>PHF及轉向比!B56</f>
        <v>0</v>
      </c>
      <c r="C56" s="26">
        <f>PHF及轉向比!F56</f>
        <v>0</v>
      </c>
      <c r="D56" s="27">
        <f>PHF及轉向比!J56</f>
        <v>0</v>
      </c>
      <c r="E56" s="27">
        <f>PHF及轉向比!N56</f>
        <v>0</v>
      </c>
      <c r="F56" s="28">
        <f>PHF及轉向比!R56</f>
        <v>0</v>
      </c>
    </row>
    <row r="57" spans="1:6">
      <c r="A57" s="24" t="s">
        <v>201</v>
      </c>
      <c r="B57" s="25">
        <f>PHF及轉向比!B57</f>
        <v>0</v>
      </c>
      <c r="C57" s="26">
        <f>PHF及轉向比!F57</f>
        <v>0</v>
      </c>
      <c r="D57" s="27">
        <f>PHF及轉向比!J57</f>
        <v>0</v>
      </c>
      <c r="E57" s="27">
        <f>PHF及轉向比!N57</f>
        <v>0</v>
      </c>
      <c r="F57" s="28">
        <f>PHF及轉向比!R57</f>
        <v>0</v>
      </c>
    </row>
    <row r="58" spans="1:6">
      <c r="A58" s="24" t="s">
        <v>202</v>
      </c>
      <c r="B58" s="25">
        <f>PHF及轉向比!B58</f>
        <v>0</v>
      </c>
      <c r="C58" s="26">
        <f>PHF及轉向比!F58</f>
        <v>0</v>
      </c>
      <c r="D58" s="27">
        <f>PHF及轉向比!J58</f>
        <v>0</v>
      </c>
      <c r="E58" s="27">
        <f>PHF及轉向比!N58</f>
        <v>0</v>
      </c>
      <c r="F58" s="28">
        <f>PHF及轉向比!R58</f>
        <v>0</v>
      </c>
    </row>
    <row r="59" spans="1:6">
      <c r="A59" s="24" t="s">
        <v>203</v>
      </c>
      <c r="B59" s="25">
        <f>PHF及轉向比!B59</f>
        <v>0</v>
      </c>
      <c r="C59" s="26">
        <f>PHF及轉向比!F59</f>
        <v>0</v>
      </c>
      <c r="D59" s="27">
        <f>PHF及轉向比!J59</f>
        <v>0</v>
      </c>
      <c r="E59" s="27">
        <f>PHF及轉向比!N59</f>
        <v>0</v>
      </c>
      <c r="F59" s="28">
        <f>PHF及轉向比!R59</f>
        <v>0</v>
      </c>
    </row>
    <row r="60" spans="1:6">
      <c r="A60" s="24" t="s">
        <v>204</v>
      </c>
      <c r="B60" s="25">
        <f>PHF及轉向比!B60</f>
        <v>0</v>
      </c>
      <c r="C60" s="26">
        <f>PHF及轉向比!F60</f>
        <v>0</v>
      </c>
      <c r="D60" s="27">
        <f>PHF及轉向比!J60</f>
        <v>0</v>
      </c>
      <c r="E60" s="27">
        <f>PHF及轉向比!N60</f>
        <v>0</v>
      </c>
      <c r="F60" s="28">
        <f>PHF及轉向比!R60</f>
        <v>0</v>
      </c>
    </row>
    <row r="61" spans="1:6">
      <c r="A61" s="24" t="s">
        <v>205</v>
      </c>
      <c r="B61" s="25">
        <f>PHF及轉向比!B61</f>
        <v>0</v>
      </c>
      <c r="C61" s="26">
        <f>PHF及轉向比!F61</f>
        <v>0</v>
      </c>
      <c r="D61" s="27">
        <f>PHF及轉向比!J61</f>
        <v>0</v>
      </c>
      <c r="E61" s="27">
        <f>PHF及轉向比!N61</f>
        <v>0</v>
      </c>
      <c r="F61" s="28">
        <f>PHF及轉向比!R61</f>
        <v>0</v>
      </c>
    </row>
    <row r="62" spans="1:6">
      <c r="A62" s="24" t="s">
        <v>206</v>
      </c>
      <c r="B62" s="25">
        <f>PHF及轉向比!B62</f>
        <v>0</v>
      </c>
      <c r="C62" s="26">
        <f>PHF及轉向比!F62</f>
        <v>0</v>
      </c>
      <c r="D62" s="27">
        <f>PHF及轉向比!J62</f>
        <v>0</v>
      </c>
      <c r="E62" s="27">
        <f>PHF及轉向比!N62</f>
        <v>0</v>
      </c>
      <c r="F62" s="28">
        <f>PHF及轉向比!R62</f>
        <v>0</v>
      </c>
    </row>
    <row r="63" spans="1:6">
      <c r="A63" s="24" t="s">
        <v>207</v>
      </c>
      <c r="B63" s="25">
        <f>PHF及轉向比!B63</f>
        <v>0</v>
      </c>
      <c r="C63" s="26">
        <f>PHF及轉向比!F63</f>
        <v>0</v>
      </c>
      <c r="D63" s="27">
        <f>PHF及轉向比!J63</f>
        <v>0</v>
      </c>
      <c r="E63" s="27">
        <f>PHF及轉向比!N63</f>
        <v>0</v>
      </c>
      <c r="F63" s="28">
        <f>PHF及轉向比!R63</f>
        <v>0</v>
      </c>
    </row>
    <row r="64" spans="1:6">
      <c r="A64" s="24" t="s">
        <v>208</v>
      </c>
      <c r="B64" s="25">
        <f>PHF及轉向比!B64</f>
        <v>0</v>
      </c>
      <c r="C64" s="26">
        <f>PHF及轉向比!F64</f>
        <v>0</v>
      </c>
      <c r="D64" s="27">
        <f>PHF及轉向比!J64</f>
        <v>0</v>
      </c>
      <c r="E64" s="27">
        <f>PHF及轉向比!N64</f>
        <v>0</v>
      </c>
      <c r="F64" s="28">
        <f>PHF及轉向比!R64</f>
        <v>0</v>
      </c>
    </row>
    <row r="65" spans="1:6">
      <c r="A65" s="24" t="s">
        <v>209</v>
      </c>
      <c r="B65" s="25">
        <f>PHF及轉向比!B65</f>
        <v>0</v>
      </c>
      <c r="C65" s="26">
        <f>PHF及轉向比!F65</f>
        <v>0</v>
      </c>
      <c r="D65" s="27">
        <f>PHF及轉向比!J65</f>
        <v>0</v>
      </c>
      <c r="E65" s="27">
        <f>PHF及轉向比!N65</f>
        <v>0</v>
      </c>
      <c r="F65" s="28">
        <f>PHF及轉向比!R65</f>
        <v>0</v>
      </c>
    </row>
    <row r="66" spans="1:6">
      <c r="A66" s="24" t="s">
        <v>210</v>
      </c>
      <c r="B66" s="25">
        <f>PHF及轉向比!B66</f>
        <v>0</v>
      </c>
      <c r="C66" s="26">
        <f>PHF及轉向比!F66</f>
        <v>0</v>
      </c>
      <c r="D66" s="27">
        <f>PHF及轉向比!J66</f>
        <v>0</v>
      </c>
      <c r="E66" s="27">
        <f>PHF及轉向比!N66</f>
        <v>0</v>
      </c>
      <c r="F66" s="28">
        <f>PHF及轉向比!R66</f>
        <v>0</v>
      </c>
    </row>
    <row r="67" spans="1:6">
      <c r="A67" s="24" t="s">
        <v>211</v>
      </c>
      <c r="B67" s="25">
        <f>PHF及轉向比!B67</f>
        <v>0</v>
      </c>
      <c r="C67" s="26">
        <f>PHF及轉向比!F67</f>
        <v>0</v>
      </c>
      <c r="D67" s="27">
        <f>PHF及轉向比!J67</f>
        <v>0</v>
      </c>
      <c r="E67" s="27">
        <f>PHF及轉向比!N67</f>
        <v>0</v>
      </c>
      <c r="F67" s="28">
        <f>PHF及轉向比!R67</f>
        <v>0</v>
      </c>
    </row>
    <row r="68" spans="1:6">
      <c r="A68" s="24" t="s">
        <v>212</v>
      </c>
      <c r="B68" s="25">
        <f>PHF及轉向比!B68</f>
        <v>0</v>
      </c>
      <c r="C68" s="26">
        <f>PHF及轉向比!F68</f>
        <v>0</v>
      </c>
      <c r="D68" s="27">
        <f>PHF及轉向比!J68</f>
        <v>0</v>
      </c>
      <c r="E68" s="27">
        <f>PHF及轉向比!N68</f>
        <v>0</v>
      </c>
      <c r="F68" s="28">
        <f>PHF及轉向比!R68</f>
        <v>0</v>
      </c>
    </row>
    <row r="69" spans="1:6">
      <c r="A69" s="24" t="s">
        <v>213</v>
      </c>
      <c r="B69" s="25">
        <f>PHF及轉向比!B69</f>
        <v>0</v>
      </c>
      <c r="C69" s="26">
        <f>PHF及轉向比!F69</f>
        <v>0</v>
      </c>
      <c r="D69" s="27">
        <f>PHF及轉向比!J69</f>
        <v>0</v>
      </c>
      <c r="E69" s="27">
        <f>PHF及轉向比!N69</f>
        <v>0</v>
      </c>
      <c r="F69" s="28">
        <f>PHF及轉向比!R69</f>
        <v>0</v>
      </c>
    </row>
    <row r="70" spans="1:6">
      <c r="A70" s="24" t="s">
        <v>214</v>
      </c>
      <c r="B70" s="25">
        <f>PHF及轉向比!B70</f>
        <v>0</v>
      </c>
      <c r="C70" s="26">
        <f>PHF及轉向比!F70</f>
        <v>0</v>
      </c>
      <c r="D70" s="27">
        <f>PHF及轉向比!J70</f>
        <v>0</v>
      </c>
      <c r="E70" s="27">
        <f>PHF及轉向比!N70</f>
        <v>0</v>
      </c>
      <c r="F70" s="28">
        <f>PHF及轉向比!R70</f>
        <v>0</v>
      </c>
    </row>
    <row r="71" spans="1:6">
      <c r="A71" s="24" t="s">
        <v>215</v>
      </c>
      <c r="B71" s="25">
        <f>PHF及轉向比!B71</f>
        <v>0</v>
      </c>
      <c r="C71" s="26">
        <f>PHF及轉向比!F71</f>
        <v>0</v>
      </c>
      <c r="D71" s="27">
        <f>PHF及轉向比!J71</f>
        <v>0</v>
      </c>
      <c r="E71" s="27">
        <f>PHF及轉向比!N71</f>
        <v>0</v>
      </c>
      <c r="F71" s="28">
        <f>PHF及轉向比!R71</f>
        <v>0</v>
      </c>
    </row>
    <row r="72" spans="1:6">
      <c r="A72" s="24" t="s">
        <v>216</v>
      </c>
      <c r="B72" s="25">
        <f>PHF及轉向比!B72</f>
        <v>0</v>
      </c>
      <c r="C72" s="26">
        <f>PHF及轉向比!F72</f>
        <v>0</v>
      </c>
      <c r="D72" s="27">
        <f>PHF及轉向比!J72</f>
        <v>0</v>
      </c>
      <c r="E72" s="27">
        <f>PHF及轉向比!N72</f>
        <v>0</v>
      </c>
      <c r="F72" s="28">
        <f>PHF及轉向比!R72</f>
        <v>0</v>
      </c>
    </row>
    <row r="73" spans="1:6">
      <c r="A73" s="24" t="s">
        <v>217</v>
      </c>
      <c r="B73" s="25">
        <f>PHF及轉向比!B73</f>
        <v>0</v>
      </c>
      <c r="C73" s="26">
        <f>PHF及轉向比!F73</f>
        <v>0</v>
      </c>
      <c r="D73" s="27">
        <f>PHF及轉向比!J73</f>
        <v>0</v>
      </c>
      <c r="E73" s="27">
        <f>PHF及轉向比!N73</f>
        <v>0</v>
      </c>
      <c r="F73" s="28">
        <f>PHF及轉向比!R73</f>
        <v>0</v>
      </c>
    </row>
    <row r="74" spans="1:6">
      <c r="A74" s="24" t="s">
        <v>218</v>
      </c>
      <c r="B74" s="25">
        <f>PHF及轉向比!B74</f>
        <v>0</v>
      </c>
      <c r="C74" s="26">
        <f>PHF及轉向比!F74</f>
        <v>0</v>
      </c>
      <c r="D74" s="27">
        <f>PHF及轉向比!J74</f>
        <v>0</v>
      </c>
      <c r="E74" s="27">
        <f>PHF及轉向比!N74</f>
        <v>0</v>
      </c>
      <c r="F74" s="28">
        <f>PHF及轉向比!R74</f>
        <v>0</v>
      </c>
    </row>
    <row r="75" spans="1:6">
      <c r="A75" s="24" t="s">
        <v>219</v>
      </c>
      <c r="B75" s="25">
        <f>PHF及轉向比!B75</f>
        <v>0</v>
      </c>
      <c r="C75" s="26">
        <f>PHF及轉向比!F75</f>
        <v>0</v>
      </c>
      <c r="D75" s="27">
        <f>PHF及轉向比!J75</f>
        <v>0</v>
      </c>
      <c r="E75" s="27">
        <f>PHF及轉向比!N75</f>
        <v>0</v>
      </c>
      <c r="F75" s="28">
        <f>PHF及轉向比!R75</f>
        <v>0</v>
      </c>
    </row>
    <row r="76" spans="1:6">
      <c r="A76" s="24" t="s">
        <v>220</v>
      </c>
      <c r="B76" s="25">
        <f>PHF及轉向比!B76</f>
        <v>0</v>
      </c>
      <c r="C76" s="26">
        <f>PHF及轉向比!F76</f>
        <v>0</v>
      </c>
      <c r="D76" s="27">
        <f>PHF及轉向比!J76</f>
        <v>0</v>
      </c>
      <c r="E76" s="27">
        <f>PHF及轉向比!N76</f>
        <v>0</v>
      </c>
      <c r="F76" s="28">
        <f>PHF及轉向比!R76</f>
        <v>0</v>
      </c>
    </row>
    <row r="77" spans="1:6">
      <c r="A77" s="24" t="s">
        <v>221</v>
      </c>
      <c r="B77" s="25">
        <f>PHF及轉向比!B77</f>
        <v>0</v>
      </c>
      <c r="C77" s="26">
        <f>PHF及轉向比!F77</f>
        <v>0</v>
      </c>
      <c r="D77" s="27">
        <f>PHF及轉向比!J77</f>
        <v>0</v>
      </c>
      <c r="E77" s="27">
        <f>PHF及轉向比!N77</f>
        <v>0</v>
      </c>
      <c r="F77" s="28">
        <f>PHF及轉向比!R77</f>
        <v>0</v>
      </c>
    </row>
    <row r="78" spans="1:6">
      <c r="A78" s="24" t="s">
        <v>222</v>
      </c>
      <c r="B78" s="25">
        <f>PHF及轉向比!B78</f>
        <v>0</v>
      </c>
      <c r="C78" s="26">
        <f>PHF及轉向比!F78</f>
        <v>0</v>
      </c>
      <c r="D78" s="27">
        <f>PHF及轉向比!J78</f>
        <v>0</v>
      </c>
      <c r="E78" s="27">
        <f>PHF及轉向比!N78</f>
        <v>0</v>
      </c>
      <c r="F78" s="28">
        <f>PHF及轉向比!R78</f>
        <v>0</v>
      </c>
    </row>
    <row r="79" spans="1:6">
      <c r="A79" s="24" t="s">
        <v>223</v>
      </c>
      <c r="B79" s="25">
        <f>PHF及轉向比!B79</f>
        <v>0</v>
      </c>
      <c r="C79" s="26">
        <f>PHF及轉向比!F79</f>
        <v>0</v>
      </c>
      <c r="D79" s="27">
        <f>PHF及轉向比!J79</f>
        <v>0</v>
      </c>
      <c r="E79" s="27">
        <f>PHF及轉向比!N79</f>
        <v>0</v>
      </c>
      <c r="F79" s="28">
        <f>PHF及轉向比!R79</f>
        <v>0</v>
      </c>
    </row>
    <row r="80" spans="1:6">
      <c r="A80" s="24" t="s">
        <v>224</v>
      </c>
      <c r="B80" s="25">
        <f>PHF及轉向比!B80</f>
        <v>0</v>
      </c>
      <c r="C80" s="26">
        <f>PHF及轉向比!F80</f>
        <v>0</v>
      </c>
      <c r="D80" s="27">
        <f>PHF及轉向比!J80</f>
        <v>0</v>
      </c>
      <c r="E80" s="27">
        <f>PHF及轉向比!N80</f>
        <v>0</v>
      </c>
      <c r="F80" s="28">
        <f>PHF及轉向比!R80</f>
        <v>0</v>
      </c>
    </row>
    <row r="81" spans="1:6">
      <c r="A81" s="24" t="s">
        <v>225</v>
      </c>
      <c r="B81" s="25">
        <f>PHF及轉向比!B81</f>
        <v>0</v>
      </c>
      <c r="C81" s="26">
        <f>PHF及轉向比!F81</f>
        <v>0</v>
      </c>
      <c r="D81" s="27">
        <f>PHF及轉向比!J81</f>
        <v>0</v>
      </c>
      <c r="E81" s="27">
        <f>PHF及轉向比!N81</f>
        <v>0</v>
      </c>
      <c r="F81" s="28">
        <f>PHF及轉向比!R81</f>
        <v>0</v>
      </c>
    </row>
    <row r="82" spans="1:6">
      <c r="A82" s="24" t="s">
        <v>226</v>
      </c>
      <c r="B82" s="25">
        <f>PHF及轉向比!B82</f>
        <v>0</v>
      </c>
      <c r="C82" s="26">
        <f>PHF及轉向比!F82</f>
        <v>0</v>
      </c>
      <c r="D82" s="27">
        <f>PHF及轉向比!J82</f>
        <v>0</v>
      </c>
      <c r="E82" s="27">
        <f>PHF及轉向比!N82</f>
        <v>0</v>
      </c>
      <c r="F82" s="28">
        <f>PHF及轉向比!R82</f>
        <v>0</v>
      </c>
    </row>
    <row r="83" spans="1:6">
      <c r="A83" s="24" t="s">
        <v>227</v>
      </c>
      <c r="B83" s="25">
        <f>PHF及轉向比!B83</f>
        <v>0</v>
      </c>
      <c r="C83" s="26">
        <f>PHF及轉向比!F83</f>
        <v>0</v>
      </c>
      <c r="D83" s="27">
        <f>PHF及轉向比!J83</f>
        <v>0</v>
      </c>
      <c r="E83" s="27">
        <f>PHF及轉向比!N83</f>
        <v>0</v>
      </c>
      <c r="F83" s="28">
        <f>PHF及轉向比!R83</f>
        <v>0</v>
      </c>
    </row>
    <row r="84" spans="1:6">
      <c r="A84" s="24" t="s">
        <v>228</v>
      </c>
      <c r="B84" s="25">
        <f>PHF及轉向比!B84</f>
        <v>0</v>
      </c>
      <c r="C84" s="26">
        <f>PHF及轉向比!F84</f>
        <v>0</v>
      </c>
      <c r="D84" s="27">
        <f>PHF及轉向比!J84</f>
        <v>0</v>
      </c>
      <c r="E84" s="27">
        <f>PHF及轉向比!N84</f>
        <v>0</v>
      </c>
      <c r="F84" s="28">
        <f>PHF及轉向比!R84</f>
        <v>0</v>
      </c>
    </row>
    <row r="85" spans="1:6">
      <c r="A85" s="24" t="s">
        <v>229</v>
      </c>
      <c r="B85" s="25">
        <f>PHF及轉向比!B85</f>
        <v>0</v>
      </c>
      <c r="C85" s="26">
        <f>PHF及轉向比!F85</f>
        <v>0</v>
      </c>
      <c r="D85" s="27">
        <f>PHF及轉向比!J85</f>
        <v>0</v>
      </c>
      <c r="E85" s="27">
        <f>PHF及轉向比!N85</f>
        <v>0</v>
      </c>
      <c r="F85" s="28">
        <f>PHF及轉向比!R85</f>
        <v>0</v>
      </c>
    </row>
    <row r="86" spans="1:6">
      <c r="A86" s="24" t="s">
        <v>230</v>
      </c>
      <c r="B86" s="25">
        <f>PHF及轉向比!B86</f>
        <v>0</v>
      </c>
      <c r="C86" s="26">
        <f>PHF及轉向比!F86</f>
        <v>0</v>
      </c>
      <c r="D86" s="27">
        <f>PHF及轉向比!J86</f>
        <v>0</v>
      </c>
      <c r="E86" s="27">
        <f>PHF及轉向比!N86</f>
        <v>0</v>
      </c>
      <c r="F86" s="28">
        <f>PHF及轉向比!R86</f>
        <v>0</v>
      </c>
    </row>
    <row r="87" spans="1:6">
      <c r="A87" s="24" t="s">
        <v>231</v>
      </c>
      <c r="B87" s="25">
        <f>PHF及轉向比!B87</f>
        <v>0</v>
      </c>
      <c r="C87" s="26">
        <f>PHF及轉向比!F87</f>
        <v>0</v>
      </c>
      <c r="D87" s="27">
        <f>PHF及轉向比!J87</f>
        <v>0</v>
      </c>
      <c r="E87" s="27">
        <f>PHF及轉向比!N87</f>
        <v>0</v>
      </c>
      <c r="F87" s="28">
        <f>PHF及轉向比!R87</f>
        <v>0</v>
      </c>
    </row>
    <row r="88" spans="1:6">
      <c r="A88" s="24" t="s">
        <v>232</v>
      </c>
      <c r="B88" s="25">
        <f>PHF及轉向比!B88</f>
        <v>0</v>
      </c>
      <c r="C88" s="26">
        <f>PHF及轉向比!F88</f>
        <v>0</v>
      </c>
      <c r="D88" s="27">
        <f>PHF及轉向比!J88</f>
        <v>0</v>
      </c>
      <c r="E88" s="27">
        <f>PHF及轉向比!N88</f>
        <v>0</v>
      </c>
      <c r="F88" s="28">
        <f>PHF及轉向比!R88</f>
        <v>0</v>
      </c>
    </row>
    <row r="89" spans="1:6">
      <c r="A89" s="24" t="s">
        <v>233</v>
      </c>
      <c r="B89" s="25">
        <f>PHF及轉向比!B89</f>
        <v>0</v>
      </c>
      <c r="C89" s="26">
        <f>PHF及轉向比!F89</f>
        <v>0</v>
      </c>
      <c r="D89" s="27">
        <f>PHF及轉向比!J89</f>
        <v>0</v>
      </c>
      <c r="E89" s="27">
        <f>PHF及轉向比!N89</f>
        <v>0</v>
      </c>
      <c r="F89" s="28">
        <f>PHF及轉向比!R89</f>
        <v>0</v>
      </c>
    </row>
    <row r="90" spans="1:6">
      <c r="A90" s="24" t="s">
        <v>234</v>
      </c>
      <c r="B90" s="25">
        <f>PHF及轉向比!B90</f>
        <v>0</v>
      </c>
      <c r="C90" s="26">
        <f>PHF及轉向比!F90</f>
        <v>0</v>
      </c>
      <c r="D90" s="27">
        <f>PHF及轉向比!J90</f>
        <v>0</v>
      </c>
      <c r="E90" s="27">
        <f>PHF及轉向比!N90</f>
        <v>0</v>
      </c>
      <c r="F90" s="28">
        <f>PHF及轉向比!R90</f>
        <v>0</v>
      </c>
    </row>
    <row r="91" spans="1:6">
      <c r="A91" s="24" t="s">
        <v>235</v>
      </c>
      <c r="B91" s="25">
        <f>PHF及轉向比!B91</f>
        <v>0</v>
      </c>
      <c r="C91" s="26">
        <f>PHF及轉向比!F91</f>
        <v>0</v>
      </c>
      <c r="D91" s="27">
        <f>PHF及轉向比!J91</f>
        <v>0</v>
      </c>
      <c r="E91" s="27">
        <f>PHF及轉向比!N91</f>
        <v>0</v>
      </c>
      <c r="F91" s="28">
        <f>PHF及轉向比!R91</f>
        <v>0</v>
      </c>
    </row>
    <row r="92" spans="1:6">
      <c r="A92" s="24" t="s">
        <v>236</v>
      </c>
      <c r="B92" s="25">
        <f>PHF及轉向比!B92</f>
        <v>0</v>
      </c>
      <c r="C92" s="26">
        <f>PHF及轉向比!F92</f>
        <v>0</v>
      </c>
      <c r="D92" s="27">
        <f>PHF及轉向比!J92</f>
        <v>0</v>
      </c>
      <c r="E92" s="27">
        <f>PHF及轉向比!N92</f>
        <v>0</v>
      </c>
      <c r="F92" s="28">
        <f>PHF及轉向比!R92</f>
        <v>0</v>
      </c>
    </row>
    <row r="93" spans="1:6">
      <c r="A93" s="24" t="s">
        <v>237</v>
      </c>
      <c r="B93" s="25">
        <f>PHF及轉向比!B93</f>
        <v>0</v>
      </c>
      <c r="C93" s="26">
        <f>PHF及轉向比!F93</f>
        <v>0</v>
      </c>
      <c r="D93" s="27">
        <f>PHF及轉向比!J93</f>
        <v>0</v>
      </c>
      <c r="E93" s="27">
        <f>PHF及轉向比!N93</f>
        <v>0</v>
      </c>
      <c r="F93" s="28">
        <f>PHF及轉向比!R93</f>
        <v>0</v>
      </c>
    </row>
    <row r="94" spans="1:6">
      <c r="A94" s="24" t="s">
        <v>238</v>
      </c>
      <c r="B94" s="25">
        <f>PHF及轉向比!B94</f>
        <v>0</v>
      </c>
      <c r="C94" s="26">
        <f>PHF及轉向比!F94</f>
        <v>0</v>
      </c>
      <c r="D94" s="27">
        <f>PHF及轉向比!J94</f>
        <v>0</v>
      </c>
      <c r="E94" s="27">
        <f>PHF及轉向比!N94</f>
        <v>0</v>
      </c>
      <c r="F94" s="28">
        <f>PHF及轉向比!R94</f>
        <v>0</v>
      </c>
    </row>
    <row r="95" spans="1:6">
      <c r="A95" s="24" t="s">
        <v>239</v>
      </c>
      <c r="B95" s="25">
        <f>PHF及轉向比!B95</f>
        <v>0</v>
      </c>
      <c r="C95" s="26">
        <f>PHF及轉向比!F95</f>
        <v>0</v>
      </c>
      <c r="D95" s="27">
        <f>PHF及轉向比!J95</f>
        <v>0</v>
      </c>
      <c r="E95" s="27">
        <f>PHF及轉向比!N95</f>
        <v>0</v>
      </c>
      <c r="F95" s="28">
        <f>PHF及轉向比!R95</f>
        <v>0</v>
      </c>
    </row>
    <row r="96" spans="1:6">
      <c r="A96" s="24" t="s">
        <v>240</v>
      </c>
      <c r="B96" s="25">
        <f>PHF及轉向比!B96</f>
        <v>0</v>
      </c>
      <c r="C96" s="26">
        <f>PHF及轉向比!F96</f>
        <v>0</v>
      </c>
      <c r="D96" s="27">
        <f>PHF及轉向比!J96</f>
        <v>0</v>
      </c>
      <c r="E96" s="27">
        <f>PHF及轉向比!N96</f>
        <v>0</v>
      </c>
      <c r="F96" s="28">
        <f>PHF及轉向比!R96</f>
        <v>0</v>
      </c>
    </row>
    <row r="97" spans="1:6">
      <c r="A97" s="24" t="s">
        <v>241</v>
      </c>
      <c r="B97" s="25">
        <f>PHF及轉向比!B97</f>
        <v>0</v>
      </c>
      <c r="C97" s="26">
        <f>PHF及轉向比!F97</f>
        <v>0</v>
      </c>
      <c r="D97" s="27">
        <f>PHF及轉向比!J97</f>
        <v>0</v>
      </c>
      <c r="E97" s="27">
        <f>PHF及轉向比!N97</f>
        <v>0</v>
      </c>
      <c r="F97" s="28">
        <f>PHF及轉向比!R97</f>
        <v>0</v>
      </c>
    </row>
    <row r="98" spans="1:6">
      <c r="A98" s="24" t="s">
        <v>242</v>
      </c>
      <c r="B98" s="25">
        <f>PHF及轉向比!B98</f>
        <v>0</v>
      </c>
      <c r="C98" s="26">
        <f>PHF及轉向比!F98</f>
        <v>0</v>
      </c>
      <c r="D98" s="27">
        <f>PHF及轉向比!J98</f>
        <v>0</v>
      </c>
      <c r="E98" s="27">
        <f>PHF及轉向比!N98</f>
        <v>0</v>
      </c>
      <c r="F98" s="28">
        <f>PHF及轉向比!R98</f>
        <v>0</v>
      </c>
    </row>
    <row r="99" spans="1:6">
      <c r="A99" s="24" t="s">
        <v>243</v>
      </c>
      <c r="B99" s="25">
        <f>PHF及轉向比!B99</f>
        <v>0</v>
      </c>
      <c r="C99" s="26">
        <f>PHF及轉向比!F99</f>
        <v>0</v>
      </c>
      <c r="D99" s="27">
        <f>PHF及轉向比!J99</f>
        <v>0</v>
      </c>
      <c r="E99" s="27">
        <f>PHF及轉向比!N99</f>
        <v>0</v>
      </c>
      <c r="F99" s="28">
        <f>PHF及轉向比!R99</f>
        <v>0</v>
      </c>
    </row>
    <row r="100" spans="1:6">
      <c r="A100" s="24" t="s">
        <v>244</v>
      </c>
      <c r="B100" s="25">
        <f>PHF及轉向比!B100</f>
        <v>0</v>
      </c>
      <c r="C100" s="26">
        <f>PHF及轉向比!F100</f>
        <v>0</v>
      </c>
      <c r="D100" s="27">
        <f>PHF及轉向比!J100</f>
        <v>0</v>
      </c>
      <c r="E100" s="27">
        <f>PHF及轉向比!N100</f>
        <v>0</v>
      </c>
      <c r="F100" s="28">
        <f>PHF及轉向比!R100</f>
        <v>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7030A0"/>
    <pageSetUpPr fitToPage="1"/>
  </sheetPr>
  <dimension ref="A1:S45"/>
  <sheetViews>
    <sheetView topLeftCell="A15" zoomScaleNormal="100" workbookViewId="0">
      <selection activeCell="T27" sqref="T27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40"/>
      <c r="S1" s="40"/>
    </row>
    <row r="2" spans="1:19" ht="21">
      <c r="A2" s="40" t="s">
        <v>101</v>
      </c>
      <c r="B2" s="42"/>
      <c r="C2" s="43"/>
      <c r="D2" s="40"/>
      <c r="E2" s="77"/>
      <c r="F2" s="40"/>
      <c r="G2" s="40"/>
      <c r="H2" s="43" t="s">
        <v>102</v>
      </c>
      <c r="I2" s="44"/>
      <c r="J2" s="45">
        <f>'調查資料(OUT)'!AG8</f>
        <v>0</v>
      </c>
      <c r="K2" s="40"/>
      <c r="L2" s="40"/>
      <c r="M2" s="40"/>
      <c r="N2" s="40"/>
      <c r="O2" s="74"/>
      <c r="P2" s="40"/>
      <c r="Q2" s="46"/>
      <c r="R2" s="40"/>
      <c r="S2" s="40"/>
    </row>
    <row r="3" spans="1:19">
      <c r="A3" s="40"/>
      <c r="B3" s="40"/>
      <c r="C3" s="40"/>
      <c r="D3" s="40" t="s">
        <v>103</v>
      </c>
      <c r="E3" s="77" t="s">
        <v>103</v>
      </c>
      <c r="F3" s="40"/>
      <c r="H3" s="47">
        <f>SUM(G5:I5)</f>
        <v>0</v>
      </c>
      <c r="I3" s="499" t="str">
        <f>IF(PHF及轉向比!$DA$98=0," ",-PHF及轉向比!$DA$98*'調查資料(OUT)'!$AL$1)</f>
        <v xml:space="preserve"> </v>
      </c>
      <c r="J3" s="45"/>
      <c r="K3" s="40"/>
      <c r="L3" s="40"/>
      <c r="M3" s="40"/>
      <c r="N3" s="40"/>
      <c r="O3" s="74"/>
      <c r="P3" s="40"/>
      <c r="Q3" s="40"/>
      <c r="R3" s="40"/>
      <c r="S3" s="40"/>
    </row>
    <row r="4" spans="1:19">
      <c r="A4" s="48"/>
      <c r="B4" s="48"/>
      <c r="C4" s="48"/>
      <c r="D4" s="48" t="s">
        <v>103</v>
      </c>
      <c r="E4" s="78"/>
      <c r="F4" s="48"/>
      <c r="G4" s="49" t="str">
        <f>IF($H3=0,"--",G5/$H3)</f>
        <v>--</v>
      </c>
      <c r="H4" s="49" t="str">
        <f>IF($H3=0,"--",H5/$H3)</f>
        <v>--</v>
      </c>
      <c r="I4" s="49" t="str">
        <f>IF($H3=0,"--",I5/$H3)</f>
        <v>--</v>
      </c>
      <c r="J4" s="50"/>
      <c r="K4" s="48"/>
      <c r="L4" s="47">
        <f>SUM(K5:M5)</f>
        <v>0</v>
      </c>
      <c r="M4" s="48"/>
      <c r="N4" s="48"/>
      <c r="O4" s="75"/>
      <c r="P4" s="48"/>
      <c r="Q4" s="40"/>
      <c r="R4" s="48"/>
      <c r="S4" s="48"/>
    </row>
    <row r="5" spans="1:19">
      <c r="A5" s="48"/>
      <c r="B5" s="48"/>
      <c r="C5" s="48"/>
      <c r="D5" s="48"/>
      <c r="E5" s="78"/>
      <c r="F5" s="48"/>
      <c r="G5" s="47">
        <f>PHF及轉向比!DH98</f>
        <v>0</v>
      </c>
      <c r="H5" s="47">
        <f>PHF及轉向比!DC98</f>
        <v>0</v>
      </c>
      <c r="I5" s="47">
        <f>PHF及轉向比!CW98</f>
        <v>0</v>
      </c>
      <c r="J5" s="48"/>
      <c r="K5" s="47">
        <f>+D12</f>
        <v>0</v>
      </c>
      <c r="L5" s="47">
        <f>+L17</f>
        <v>0</v>
      </c>
      <c r="M5" s="47">
        <f>+P8</f>
        <v>0</v>
      </c>
      <c r="N5" s="48"/>
      <c r="O5" s="75"/>
      <c r="P5" s="48"/>
      <c r="Q5" s="48"/>
      <c r="R5" s="48"/>
      <c r="S5" s="48"/>
    </row>
    <row r="6" spans="1:19" ht="16.5" customHeight="1" thickBot="1">
      <c r="A6" s="73"/>
      <c r="B6" s="73"/>
      <c r="C6" s="73"/>
      <c r="D6" s="73"/>
      <c r="E6" s="79"/>
      <c r="F6" s="48"/>
      <c r="G6" s="48"/>
      <c r="H6" s="48"/>
      <c r="I6" s="48"/>
      <c r="J6" s="48"/>
      <c r="K6" s="48"/>
      <c r="L6" s="48"/>
      <c r="M6" s="48"/>
      <c r="N6" s="48"/>
      <c r="O6" s="76"/>
      <c r="P6" s="73"/>
      <c r="Q6" s="73"/>
      <c r="R6" s="73"/>
      <c r="S6" s="73"/>
    </row>
    <row r="7" spans="1:19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</row>
    <row r="8" spans="1:19">
      <c r="A8" s="48"/>
      <c r="B8" s="48"/>
      <c r="C8" s="41"/>
      <c r="D8" s="47">
        <f>+G5</f>
        <v>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7">
        <f>PHF及轉向比!AQ98</f>
        <v>0</v>
      </c>
      <c r="Q8" s="49" t="str">
        <f>IF(R$9=0,"--",P8/R$9)</f>
        <v>--</v>
      </c>
      <c r="S8" s="48"/>
    </row>
    <row r="9" spans="1:19">
      <c r="A9" s="48"/>
      <c r="B9" s="48"/>
      <c r="C9" s="47">
        <f>SUM(D8:D10)</f>
        <v>0</v>
      </c>
      <c r="D9" s="47">
        <f>+P9</f>
        <v>0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7">
        <f>PHF及轉向比!AL98</f>
        <v>0</v>
      </c>
      <c r="Q9" s="49" t="str">
        <f>IF(R$9=0,"--",P9/R$9)</f>
        <v>--</v>
      </c>
      <c r="R9" s="47">
        <f>SUM(P8:P10)</f>
        <v>0</v>
      </c>
      <c r="S9" s="51" t="s">
        <v>104</v>
      </c>
    </row>
    <row r="10" spans="1:19">
      <c r="A10" s="48"/>
      <c r="B10" s="48"/>
      <c r="C10" s="52"/>
      <c r="D10" s="47">
        <f>+K17</f>
        <v>0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7">
        <f>PHF及轉向比!AF98</f>
        <v>0</v>
      </c>
      <c r="Q10" s="49" t="str">
        <f>IF(R$9=0,"--",P10/R$9)</f>
        <v>--</v>
      </c>
      <c r="R10" s="499" t="str">
        <f>IF(PHF及轉向比!$AJ$98=0," ",-PHF及轉向比!$AJ$98*'調查資料(OUT)'!$H$1)</f>
        <v xml:space="preserve"> </v>
      </c>
      <c r="S10" s="48"/>
    </row>
    <row r="11" spans="1:19">
      <c r="A11" s="48"/>
      <c r="B11" s="53">
        <f>'調查資料(OUT)'!W8</f>
        <v>0</v>
      </c>
      <c r="C11" s="52"/>
      <c r="D11" s="54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5"/>
      <c r="Q11" s="56"/>
      <c r="R11" s="45">
        <f>'調查資料(OUT)'!C8</f>
        <v>0</v>
      </c>
      <c r="S11" s="48"/>
    </row>
    <row r="12" spans="1:19">
      <c r="A12" s="48"/>
      <c r="B12" s="499" t="str">
        <f>IF(PHF及轉向比!$CD$98=0," ",-PHF及轉向比!$CD$98*'調查資料(OUT)'!$AB$1)</f>
        <v xml:space="preserve"> </v>
      </c>
      <c r="C12" s="49" t="str">
        <f>IF(B$13=0,"--",D12/B$13)</f>
        <v>--</v>
      </c>
      <c r="D12" s="47">
        <f>PHF及轉向比!BZ98</f>
        <v>0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7">
        <f>+I5</f>
        <v>0</v>
      </c>
      <c r="Q12" s="41"/>
      <c r="R12" s="48"/>
      <c r="S12" s="48"/>
    </row>
    <row r="13" spans="1:19">
      <c r="A13" s="51" t="s">
        <v>105</v>
      </c>
      <c r="B13" s="47">
        <f>SUM(D12:D14)</f>
        <v>0</v>
      </c>
      <c r="C13" s="49" t="str">
        <f>IF(B$13=0,"--",D13/B$13)</f>
        <v>--</v>
      </c>
      <c r="D13" s="47">
        <f>PHF及轉向比!CF98</f>
        <v>0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7">
        <f>+D13</f>
        <v>0</v>
      </c>
      <c r="Q13" s="47">
        <f>SUM(P12:P14)</f>
        <v>0</v>
      </c>
      <c r="R13" s="48"/>
      <c r="S13" s="48"/>
    </row>
    <row r="14" spans="1:19">
      <c r="A14" s="48"/>
      <c r="C14" s="49" t="str">
        <f>IF(B$13=0,"--",D14/B$13)</f>
        <v>--</v>
      </c>
      <c r="D14" s="47">
        <f>PHF及轉向比!CK98</f>
        <v>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7">
        <f>+M17</f>
        <v>0</v>
      </c>
      <c r="Q14" s="48"/>
      <c r="R14" s="48"/>
      <c r="S14" s="48"/>
    </row>
    <row r="15" spans="1:19" ht="17.25" thickBo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</row>
    <row r="16" spans="1:19">
      <c r="A16" s="80"/>
      <c r="B16" s="80"/>
      <c r="C16" s="80"/>
      <c r="D16" s="80"/>
      <c r="E16" s="81"/>
      <c r="F16" s="48"/>
      <c r="G16" s="48"/>
      <c r="H16" s="48"/>
      <c r="I16" s="48"/>
      <c r="J16" s="48"/>
      <c r="K16" s="48"/>
      <c r="L16" s="48"/>
      <c r="M16" s="48"/>
      <c r="N16" s="48"/>
      <c r="O16" s="82"/>
      <c r="P16" s="99" t="s">
        <v>24</v>
      </c>
      <c r="Q16" s="83"/>
      <c r="R16" s="98">
        <f>路口基本資料!$B$4</f>
        <v>0</v>
      </c>
      <c r="S16" s="83"/>
    </row>
    <row r="17" spans="1:19">
      <c r="A17" s="48"/>
      <c r="B17" s="48"/>
      <c r="C17" s="48"/>
      <c r="D17" s="48"/>
      <c r="E17" s="78"/>
      <c r="F17" s="48"/>
      <c r="G17" s="47">
        <f>+D14</f>
        <v>0</v>
      </c>
      <c r="H17" s="47">
        <f>+H5</f>
        <v>0</v>
      </c>
      <c r="I17" s="47">
        <f>+P10</f>
        <v>0</v>
      </c>
      <c r="J17" s="48"/>
      <c r="K17" s="47">
        <f>PHF及轉向比!BC98</f>
        <v>0</v>
      </c>
      <c r="L17" s="47">
        <f>PHF及轉向比!BI98</f>
        <v>0</v>
      </c>
      <c r="M17" s="47">
        <f>PHF及轉向比!BN98</f>
        <v>0</v>
      </c>
      <c r="N17" s="48"/>
      <c r="O17" s="75"/>
      <c r="P17" s="70" t="s">
        <v>106</v>
      </c>
      <c r="Q17" s="96" t="s">
        <v>107</v>
      </c>
      <c r="R17" s="57"/>
      <c r="S17" s="57"/>
    </row>
    <row r="18" spans="1:19">
      <c r="A18" s="48"/>
      <c r="B18" s="48"/>
      <c r="C18" s="48"/>
      <c r="D18" s="48"/>
      <c r="E18" s="78"/>
      <c r="F18" s="48"/>
      <c r="G18" s="48"/>
      <c r="H18" s="47">
        <f>SUM(G17:I17)</f>
        <v>0</v>
      </c>
      <c r="I18" s="48"/>
      <c r="J18" s="45"/>
      <c r="K18" s="49" t="str">
        <f>IF($L19=0,"--",K17/$L19)</f>
        <v>--</v>
      </c>
      <c r="L18" s="49" t="str">
        <f>IF($L19=0,"--",L17/$L19)</f>
        <v>--</v>
      </c>
      <c r="M18" s="49" t="str">
        <f>IF($L19=0,"--",M17/$L19)</f>
        <v>--</v>
      </c>
      <c r="N18" s="48"/>
      <c r="O18" s="75"/>
      <c r="P18" s="69" t="s">
        <v>108</v>
      </c>
      <c r="Q18" s="96"/>
      <c r="R18" s="97" t="str">
        <f>路口基本資料!$B$8</f>
        <v>YYYY/MM/DD</v>
      </c>
      <c r="S18" s="96"/>
    </row>
    <row r="19" spans="1:19">
      <c r="A19" s="48"/>
      <c r="B19" s="48"/>
      <c r="C19" s="48"/>
      <c r="D19" s="48"/>
      <c r="E19" s="78"/>
      <c r="F19" s="48"/>
      <c r="G19" s="41"/>
      <c r="H19" s="48"/>
      <c r="I19" s="50"/>
      <c r="K19" s="499" t="str">
        <f>IF(PHF及轉向比!$BG$98=0," ",-PHF及轉向比!$BG$98*'調查資料(OUT)'!$R$1)</f>
        <v xml:space="preserve"> </v>
      </c>
      <c r="L19" s="47">
        <f>SUM(K17:M17)</f>
        <v>0</v>
      </c>
      <c r="N19" s="48"/>
      <c r="O19" s="75"/>
      <c r="P19" s="71" t="s">
        <v>109</v>
      </c>
      <c r="Q19" s="57">
        <f>PHF及轉向比!AD98</f>
        <v>1200</v>
      </c>
      <c r="R19" s="57" t="s">
        <v>110</v>
      </c>
      <c r="S19" s="57">
        <f>PHF及轉向比!AE98</f>
        <v>1300</v>
      </c>
    </row>
    <row r="20" spans="1:19">
      <c r="A20" s="48"/>
      <c r="B20" s="48"/>
      <c r="C20" s="48"/>
      <c r="D20" s="48"/>
      <c r="E20" s="78"/>
      <c r="F20" s="48"/>
      <c r="G20" s="48"/>
      <c r="H20" s="48"/>
      <c r="I20" s="48"/>
      <c r="J20" s="45">
        <f>'調查資料(OUT)'!M8</f>
        <v>0</v>
      </c>
      <c r="K20" s="41"/>
      <c r="L20" s="58" t="s">
        <v>111</v>
      </c>
      <c r="M20" s="48"/>
      <c r="N20" s="48"/>
      <c r="O20" s="75"/>
      <c r="P20" s="71" t="s">
        <v>112</v>
      </c>
      <c r="Q20" s="57"/>
      <c r="R20" s="57"/>
      <c r="S20" s="57"/>
    </row>
    <row r="21" spans="1:19">
      <c r="A21" s="48"/>
      <c r="B21" s="48"/>
      <c r="C21" s="48"/>
      <c r="D21" s="48"/>
      <c r="E21" s="48"/>
      <c r="F21" s="48"/>
      <c r="G21" s="48"/>
      <c r="H21" s="48"/>
      <c r="I21" s="48"/>
      <c r="J21" s="50"/>
      <c r="K21" s="41"/>
      <c r="L21" s="58"/>
      <c r="M21" s="48"/>
      <c r="N21" s="48"/>
      <c r="O21" s="48"/>
      <c r="P21" s="85" t="str">
        <f>IF(OR(ISNUMBER(R10),ISNUMBER(K19),ISNUMBER(B12),ISNUMBER(I3)),"註：括弧為機車兩段式左轉量"," ")</f>
        <v xml:space="preserve"> </v>
      </c>
      <c r="Q21" s="69"/>
      <c r="R21" s="69"/>
      <c r="S21" s="69"/>
    </row>
    <row r="22" spans="1:19" ht="21">
      <c r="A22" s="515" t="str">
        <f>SUBSTITUTE("x_轉向交通量(假日晨峰)","x",路口基本資料!B5)</f>
        <v>_轉向交通量(假日晨峰)</v>
      </c>
      <c r="B22" s="515"/>
      <c r="C22" s="515"/>
      <c r="D22" s="515"/>
      <c r="E22" s="515"/>
      <c r="F22" s="515"/>
      <c r="G22" s="515"/>
      <c r="H22" s="515"/>
      <c r="I22" s="515"/>
      <c r="J22" s="515"/>
      <c r="K22" s="515"/>
      <c r="L22" s="515"/>
      <c r="M22" s="515"/>
      <c r="N22" s="515"/>
      <c r="O22" s="515"/>
      <c r="P22" s="515"/>
      <c r="Q22" s="515"/>
      <c r="R22" s="515"/>
      <c r="S22" s="515"/>
    </row>
    <row r="23" spans="1:19" ht="28.5" customHeight="1">
      <c r="A23" s="48"/>
      <c r="B23" s="41"/>
      <c r="C23" s="48"/>
      <c r="D23" s="59"/>
      <c r="E23" s="41"/>
      <c r="F23" s="60"/>
      <c r="G23" s="61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1"/>
      <c r="S23" s="61"/>
    </row>
    <row r="24" spans="1:19" ht="2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6"/>
      <c r="R24" s="40"/>
      <c r="S24" s="40"/>
    </row>
    <row r="25" spans="1:19" ht="21">
      <c r="A25" s="40"/>
      <c r="B25" s="40"/>
      <c r="C25" s="40"/>
      <c r="D25" s="40"/>
      <c r="E25" s="77"/>
      <c r="F25" s="40"/>
      <c r="G25" s="40"/>
      <c r="H25" s="43" t="s">
        <v>102</v>
      </c>
      <c r="I25" s="40"/>
      <c r="J25" s="45">
        <f>J2</f>
        <v>0</v>
      </c>
      <c r="K25" s="40"/>
      <c r="L25" s="40"/>
      <c r="M25" s="40"/>
      <c r="N25" s="40"/>
      <c r="O25" s="74"/>
      <c r="P25" s="40"/>
      <c r="Q25" s="46"/>
      <c r="R25" s="40"/>
      <c r="S25" s="40"/>
    </row>
    <row r="26" spans="1:19">
      <c r="A26" s="40"/>
      <c r="B26" s="40"/>
      <c r="C26" s="40"/>
      <c r="D26" s="40" t="s">
        <v>103</v>
      </c>
      <c r="E26" s="77" t="s">
        <v>103</v>
      </c>
      <c r="F26" s="40"/>
      <c r="H26" s="47">
        <f>SUM(G28:I28)</f>
        <v>0</v>
      </c>
      <c r="I26" s="499" t="str">
        <f>IF(PHF及轉向比!$DA$99=0," ",-PHF及轉向比!$DA$99*'調查資料(OUT)'!$AL$1)</f>
        <v xml:space="preserve"> </v>
      </c>
      <c r="J26" s="45"/>
      <c r="K26" s="40"/>
      <c r="L26" s="40"/>
      <c r="M26" s="40"/>
      <c r="N26" s="40"/>
      <c r="O26" s="74"/>
      <c r="P26" s="40"/>
      <c r="Q26" s="40"/>
      <c r="R26" s="40"/>
      <c r="S26" s="40"/>
    </row>
    <row r="27" spans="1:19">
      <c r="A27" s="48"/>
      <c r="B27" s="48"/>
      <c r="C27" s="48"/>
      <c r="D27" s="48" t="s">
        <v>103</v>
      </c>
      <c r="E27" s="78"/>
      <c r="F27" s="48"/>
      <c r="G27" s="49" t="str">
        <f>IF($H26=0,"--",G28/$H26)</f>
        <v>--</v>
      </c>
      <c r="H27" s="49" t="str">
        <f>IF($H26=0,"--",H28/$H26)</f>
        <v>--</v>
      </c>
      <c r="I27" s="49" t="str">
        <f>IF($H26=0,"--",I28/$H26)</f>
        <v>--</v>
      </c>
      <c r="J27" s="50"/>
      <c r="K27" s="48"/>
      <c r="L27" s="47">
        <f>SUM(K28:M28)</f>
        <v>0</v>
      </c>
      <c r="M27" s="48"/>
      <c r="N27" s="48"/>
      <c r="O27" s="75"/>
      <c r="P27" s="48"/>
      <c r="Q27" s="48"/>
      <c r="R27" s="48"/>
      <c r="S27" s="48"/>
    </row>
    <row r="28" spans="1:19">
      <c r="A28" s="48"/>
      <c r="B28" s="48"/>
      <c r="C28" s="48"/>
      <c r="D28" s="48"/>
      <c r="E28" s="78"/>
      <c r="F28" s="48"/>
      <c r="G28" s="47">
        <f>PHF及轉向比!DH100</f>
        <v>0</v>
      </c>
      <c r="H28" s="47">
        <f>PHF及轉向比!DC100</f>
        <v>0</v>
      </c>
      <c r="I28" s="47">
        <f>PHF及轉向比!CW100</f>
        <v>0</v>
      </c>
      <c r="J28" s="48"/>
      <c r="K28" s="47">
        <f>+D35</f>
        <v>0</v>
      </c>
      <c r="L28" s="47">
        <f>+L40</f>
        <v>0</v>
      </c>
      <c r="M28" s="47">
        <f>+P31</f>
        <v>0</v>
      </c>
      <c r="N28" s="48"/>
      <c r="O28" s="75"/>
      <c r="P28" s="48"/>
      <c r="Q28" s="48"/>
      <c r="R28" s="48"/>
      <c r="S28" s="48"/>
    </row>
    <row r="29" spans="1:19" ht="17.25" thickBot="1">
      <c r="A29" s="73"/>
      <c r="B29" s="73"/>
      <c r="C29" s="73"/>
      <c r="D29" s="73"/>
      <c r="E29" s="79"/>
      <c r="F29" s="48"/>
      <c r="G29" s="48"/>
      <c r="H29" s="48"/>
      <c r="I29" s="48"/>
      <c r="J29" s="48"/>
      <c r="K29" s="48"/>
      <c r="L29" s="48"/>
      <c r="M29" s="48"/>
      <c r="N29" s="48"/>
      <c r="O29" s="76"/>
      <c r="P29" s="73"/>
      <c r="Q29" s="73"/>
      <c r="R29" s="73"/>
      <c r="S29" s="73"/>
    </row>
    <row r="30" spans="1:19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</row>
    <row r="31" spans="1:19">
      <c r="A31" s="48"/>
      <c r="B31" s="48"/>
      <c r="C31" s="41"/>
      <c r="D31" s="47">
        <f>+G28</f>
        <v>0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7">
        <f>PHF及轉向比!AQ100</f>
        <v>0</v>
      </c>
      <c r="Q31" s="49" t="str">
        <f>IF(R$32=0,"--",P31/R$32)</f>
        <v>--</v>
      </c>
      <c r="S31" s="48"/>
    </row>
    <row r="32" spans="1:19">
      <c r="A32" s="48"/>
      <c r="B32" s="48"/>
      <c r="C32" s="47">
        <f>SUM(D31:D33)</f>
        <v>0</v>
      </c>
      <c r="D32" s="47">
        <f>+P32</f>
        <v>0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7">
        <f>PHF及轉向比!AL100</f>
        <v>0</v>
      </c>
      <c r="Q32" s="49" t="str">
        <f>IF(R$32=0,"--",P32/R$32)</f>
        <v>--</v>
      </c>
      <c r="R32" s="47">
        <f>SUM(P31:P33)</f>
        <v>0</v>
      </c>
      <c r="S32" s="51" t="s">
        <v>104</v>
      </c>
    </row>
    <row r="33" spans="1:19">
      <c r="A33" s="48"/>
      <c r="B33" s="48"/>
      <c r="C33" s="52"/>
      <c r="D33" s="47">
        <f>+K40</f>
        <v>0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7">
        <f>PHF及轉向比!AF100</f>
        <v>0</v>
      </c>
      <c r="Q33" s="49" t="str">
        <f>IF(R$32=0,"--",P33/R$32)</f>
        <v>--</v>
      </c>
      <c r="R33" s="499" t="str">
        <f>IF(PHF及轉向比!$AJ$99=0," ",-PHF及轉向比!$AJ$99*'調查資料(OUT)'!$H$1)</f>
        <v xml:space="preserve"> </v>
      </c>
      <c r="S33" s="48"/>
    </row>
    <row r="34" spans="1:19">
      <c r="A34" s="48"/>
      <c r="B34" s="50">
        <f>B11</f>
        <v>0</v>
      </c>
      <c r="C34" s="54"/>
      <c r="D34" s="54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55"/>
      <c r="Q34" s="55"/>
      <c r="R34" s="50">
        <f>R11</f>
        <v>0</v>
      </c>
      <c r="S34" s="48"/>
    </row>
    <row r="35" spans="1:19">
      <c r="A35" s="48"/>
      <c r="B35" s="499" t="str">
        <f>IF(PHF及轉向比!$CD$99=0," ",-PHF及轉向比!$CD$99*'調查資料(OUT)'!$AB$1)</f>
        <v xml:space="preserve"> </v>
      </c>
      <c r="C35" s="49" t="str">
        <f>IF(B$36=0,"--",D35/B$36)</f>
        <v>--</v>
      </c>
      <c r="D35" s="47">
        <f>PHF及轉向比!BZ100</f>
        <v>0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7">
        <f>+I28</f>
        <v>0</v>
      </c>
      <c r="Q35" s="41"/>
      <c r="R35" s="48"/>
      <c r="S35" s="48"/>
    </row>
    <row r="36" spans="1:19">
      <c r="A36" s="51" t="s">
        <v>105</v>
      </c>
      <c r="B36" s="47">
        <f>SUM(D35:D37)</f>
        <v>0</v>
      </c>
      <c r="C36" s="49" t="str">
        <f>IF(B$36=0,"--",D36/B$36)</f>
        <v>--</v>
      </c>
      <c r="D36" s="47">
        <f>PHF及轉向比!CF100</f>
        <v>0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7">
        <f>+D36</f>
        <v>0</v>
      </c>
      <c r="Q36" s="47">
        <f>SUM(P35:P37)</f>
        <v>0</v>
      </c>
      <c r="R36" s="48"/>
      <c r="S36" s="48"/>
    </row>
    <row r="37" spans="1:19">
      <c r="A37" s="48"/>
      <c r="C37" s="49" t="str">
        <f>IF(B$36=0,"--",D37/B$36)</f>
        <v>--</v>
      </c>
      <c r="D37" s="47">
        <f>PHF及轉向比!CK100</f>
        <v>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7">
        <f>+M40</f>
        <v>0</v>
      </c>
      <c r="Q37" s="48"/>
      <c r="R37" s="48"/>
      <c r="S37" s="48"/>
    </row>
    <row r="38" spans="1:19" ht="17.25" thickBo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>
      <c r="A39" s="80"/>
      <c r="B39" s="80"/>
      <c r="C39" s="80"/>
      <c r="D39" s="80"/>
      <c r="E39" s="81"/>
      <c r="F39" s="48"/>
      <c r="G39" s="48"/>
      <c r="H39" s="48"/>
      <c r="I39" s="48"/>
      <c r="J39" s="48"/>
      <c r="K39" s="48"/>
      <c r="L39" s="48"/>
      <c r="M39" s="48"/>
      <c r="N39" s="48"/>
      <c r="O39" s="82"/>
      <c r="P39" s="99" t="s">
        <v>24</v>
      </c>
      <c r="Q39" s="84"/>
      <c r="R39" s="98">
        <f>路口基本資料!$B$4</f>
        <v>0</v>
      </c>
      <c r="S39" s="84"/>
    </row>
    <row r="40" spans="1:19">
      <c r="A40" s="48"/>
      <c r="B40" s="48"/>
      <c r="C40" s="48"/>
      <c r="D40" s="48"/>
      <c r="E40" s="78"/>
      <c r="F40" s="48"/>
      <c r="G40" s="47">
        <f>+D37</f>
        <v>0</v>
      </c>
      <c r="H40" s="47">
        <f>+H28</f>
        <v>0</v>
      </c>
      <c r="I40" s="47">
        <f>+P33</f>
        <v>0</v>
      </c>
      <c r="J40" s="48"/>
      <c r="K40" s="47">
        <f>PHF及轉向比!BC100</f>
        <v>0</v>
      </c>
      <c r="L40" s="47">
        <f>PHF及轉向比!BI100</f>
        <v>0</v>
      </c>
      <c r="M40" s="47">
        <f>PHF及轉向比!BN100</f>
        <v>0</v>
      </c>
      <c r="N40" s="48"/>
      <c r="O40" s="75"/>
      <c r="P40" s="71" t="s">
        <v>106</v>
      </c>
      <c r="Q40" s="95" t="s">
        <v>107</v>
      </c>
      <c r="R40" s="57"/>
      <c r="S40" s="71"/>
    </row>
    <row r="41" spans="1:19">
      <c r="A41" s="48"/>
      <c r="B41" s="48"/>
      <c r="C41" s="48"/>
      <c r="D41" s="48"/>
      <c r="E41" s="78"/>
      <c r="F41" s="48"/>
      <c r="G41" s="48"/>
      <c r="H41" s="47">
        <f>SUM(G40:I40)</f>
        <v>0</v>
      </c>
      <c r="I41" s="48"/>
      <c r="J41" s="45"/>
      <c r="K41" s="49" t="str">
        <f>IF($L42=0,"--",K40/$L42)</f>
        <v>--</v>
      </c>
      <c r="L41" s="49" t="str">
        <f>IF($L42=0,"--",L40/$L42)</f>
        <v>--</v>
      </c>
      <c r="M41" s="49" t="str">
        <f>IF($L42=0,"--",M40/$L42)</f>
        <v>--</v>
      </c>
      <c r="N41" s="48"/>
      <c r="O41" s="75"/>
      <c r="P41" s="71" t="s">
        <v>108</v>
      </c>
      <c r="Q41" s="71"/>
      <c r="R41" s="97" t="str">
        <f>路口基本資料!$B$8</f>
        <v>YYYY/MM/DD</v>
      </c>
      <c r="S41" s="71"/>
    </row>
    <row r="42" spans="1:19">
      <c r="A42" s="48"/>
      <c r="B42" s="48"/>
      <c r="C42" s="48"/>
      <c r="D42" s="48"/>
      <c r="E42" s="78"/>
      <c r="F42" s="48"/>
      <c r="G42" s="48"/>
      <c r="H42" s="48"/>
      <c r="I42" s="62"/>
      <c r="K42" s="499" t="str">
        <f>IF(PHF及轉向比!$BG$99=0," ",-PHF及轉向比!$BG$99*'調查資料(OUT)'!$R$1)</f>
        <v xml:space="preserve"> </v>
      </c>
      <c r="L42" s="47">
        <f>SUM(K40:M40)</f>
        <v>0</v>
      </c>
      <c r="N42" s="48"/>
      <c r="O42" s="75"/>
      <c r="P42" s="71" t="s">
        <v>109</v>
      </c>
      <c r="Q42" s="95">
        <f>PHF及轉向比!AD100</f>
        <v>1900</v>
      </c>
      <c r="R42" s="57" t="s">
        <v>110</v>
      </c>
      <c r="S42" s="95">
        <f>PHF及轉向比!AE100</f>
        <v>2000</v>
      </c>
    </row>
    <row r="43" spans="1:19">
      <c r="A43" s="48"/>
      <c r="B43" s="48"/>
      <c r="C43" s="48"/>
      <c r="D43" s="48"/>
      <c r="E43" s="78"/>
      <c r="F43" s="48"/>
      <c r="G43" s="48"/>
      <c r="H43" s="48"/>
      <c r="I43" s="48"/>
      <c r="J43" s="53">
        <f>J20</f>
        <v>0</v>
      </c>
      <c r="K43" s="41"/>
      <c r="L43" s="58" t="s">
        <v>111</v>
      </c>
      <c r="M43" s="48"/>
      <c r="N43" s="48"/>
      <c r="O43" s="75"/>
      <c r="P43" s="71" t="s">
        <v>112</v>
      </c>
      <c r="Q43" s="71"/>
      <c r="R43" s="71"/>
      <c r="S43" s="71"/>
    </row>
    <row r="44" spans="1:19">
      <c r="A44" s="48"/>
      <c r="B44" s="48"/>
      <c r="C44" s="48"/>
      <c r="D44" s="48"/>
      <c r="E44" s="48"/>
      <c r="F44" s="48"/>
      <c r="G44" s="48"/>
      <c r="H44" s="48"/>
      <c r="I44" s="48"/>
      <c r="J44" s="50"/>
      <c r="K44" s="41"/>
      <c r="L44" s="58"/>
      <c r="M44" s="48"/>
      <c r="N44" s="48"/>
      <c r="O44" s="48"/>
      <c r="P44" s="85" t="str">
        <f>IF(OR(ISNUMBER(R33),ISNUMBER(K42),ISNUMBER(B35),ISNUMBER(I26)),"註：括弧為機車兩段式左轉量"," ")</f>
        <v xml:space="preserve"> </v>
      </c>
      <c r="Q44" s="71"/>
      <c r="R44" s="71"/>
      <c r="S44" s="71"/>
    </row>
    <row r="45" spans="1:19" ht="21">
      <c r="A45" s="515" t="str">
        <f>SUBSTITUTE("x_轉向交通量(假日昏峰)","x",路口基本資料!B5)</f>
        <v>_轉向交通量(假日昏峰)</v>
      </c>
      <c r="B45" s="515"/>
      <c r="C45" s="515"/>
      <c r="D45" s="515"/>
      <c r="E45" s="515"/>
      <c r="F45" s="515"/>
      <c r="G45" s="515"/>
      <c r="H45" s="515"/>
      <c r="I45" s="515"/>
      <c r="J45" s="515"/>
      <c r="K45" s="515"/>
      <c r="L45" s="515"/>
      <c r="M45" s="515"/>
      <c r="N45" s="515"/>
      <c r="O45" s="515"/>
      <c r="P45" s="515"/>
      <c r="Q45" s="515"/>
      <c r="R45" s="515"/>
      <c r="S45" s="515"/>
    </row>
  </sheetData>
  <mergeCells count="2">
    <mergeCell ref="A45:S45"/>
    <mergeCell ref="A22:S22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FFFF00"/>
    <pageSetUpPr fitToPage="1"/>
  </sheetPr>
  <dimension ref="A1:S47"/>
  <sheetViews>
    <sheetView topLeftCell="A20" workbookViewId="0">
      <selection activeCell="V45" sqref="V45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2" width="5.375" style="6" customWidth="1"/>
    <col min="13" max="13" width="5.25" style="6" customWidth="1"/>
    <col min="14" max="15" width="2.375" style="6" customWidth="1"/>
    <col min="16" max="19" width="5.25" style="6" customWidth="1"/>
  </cols>
  <sheetData>
    <row r="1" spans="1:19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40"/>
      <c r="S1" s="40"/>
    </row>
    <row r="2" spans="1:19" ht="21">
      <c r="A2" s="40" t="s">
        <v>101</v>
      </c>
      <c r="B2" s="42"/>
      <c r="C2" s="43"/>
      <c r="D2" s="40"/>
      <c r="E2" s="77"/>
      <c r="F2" s="40"/>
      <c r="G2" s="40"/>
      <c r="H2" s="43" t="s">
        <v>102</v>
      </c>
      <c r="I2" s="44"/>
      <c r="J2" s="45">
        <f>'調查資料(OUT)'!AG8</f>
        <v>0</v>
      </c>
      <c r="K2" s="40"/>
      <c r="L2" s="40"/>
      <c r="M2" s="40"/>
      <c r="N2" s="40"/>
      <c r="O2" s="74"/>
      <c r="P2" s="40"/>
      <c r="Q2" s="46"/>
      <c r="R2" s="40"/>
      <c r="S2" s="40"/>
    </row>
    <row r="3" spans="1:19">
      <c r="A3" s="40"/>
      <c r="B3" s="40"/>
      <c r="C3" s="40"/>
      <c r="D3" s="40" t="s">
        <v>103</v>
      </c>
      <c r="E3" s="77" t="s">
        <v>103</v>
      </c>
      <c r="F3" s="40"/>
      <c r="H3" s="47">
        <f>SUM(G5:I5)</f>
        <v>0</v>
      </c>
      <c r="I3" s="500" t="str">
        <f>IF(PHF及轉向比!$DA$98=0," ",-PHF及轉向比!$DA$98*'調查資料(OUT)'!$AL$1)</f>
        <v xml:space="preserve"> </v>
      </c>
      <c r="J3" s="45"/>
      <c r="K3" s="40"/>
      <c r="L3" s="40"/>
      <c r="M3" s="40"/>
      <c r="N3" s="40"/>
      <c r="O3" s="74"/>
      <c r="P3" s="40"/>
      <c r="Q3" s="40"/>
      <c r="R3" s="40"/>
      <c r="S3" s="40"/>
    </row>
    <row r="4" spans="1:19">
      <c r="A4" s="48"/>
      <c r="B4" s="48"/>
      <c r="C4" s="48"/>
      <c r="D4" s="48" t="s">
        <v>103</v>
      </c>
      <c r="E4" s="78"/>
      <c r="F4" s="48"/>
      <c r="G4" s="49" t="str">
        <f>IF($H3=0,"--",G5/$H3)</f>
        <v>--</v>
      </c>
      <c r="H4" s="49" t="str">
        <f>IF($H3=0,"--",H5/$H3)</f>
        <v>--</v>
      </c>
      <c r="I4" s="49" t="str">
        <f>IF($H3=0,"--",I5/$H3)</f>
        <v>--</v>
      </c>
      <c r="J4" s="50"/>
      <c r="K4" s="48"/>
      <c r="L4" s="47">
        <f>SUM(K5:M5)</f>
        <v>0</v>
      </c>
      <c r="M4" s="48"/>
      <c r="N4" s="48"/>
      <c r="O4" s="75"/>
      <c r="P4" s="48"/>
      <c r="Q4" s="40"/>
      <c r="R4" s="48"/>
      <c r="S4" s="48"/>
    </row>
    <row r="5" spans="1:19">
      <c r="A5" s="48"/>
      <c r="B5" s="48"/>
      <c r="C5" s="48"/>
      <c r="D5" s="48"/>
      <c r="E5" s="78"/>
      <c r="F5" s="48"/>
      <c r="G5" s="47">
        <f>PHF及轉向比!DH98</f>
        <v>0</v>
      </c>
      <c r="H5" s="47">
        <f>PHF及轉向比!DC98-IFERROR(VALUE(I3),"0")-IFERROR(VALUE(R10),"0")</f>
        <v>0</v>
      </c>
      <c r="I5" s="47">
        <f>IF(I3&lt;0,PHF及轉向比!CW98+I3,PHF及轉向比!CW98)</f>
        <v>0</v>
      </c>
      <c r="J5" s="48"/>
      <c r="K5" s="47">
        <f>+D12</f>
        <v>0</v>
      </c>
      <c r="L5" s="47">
        <f>+L17</f>
        <v>0</v>
      </c>
      <c r="M5" s="47">
        <f>+P8</f>
        <v>0</v>
      </c>
      <c r="N5" s="48"/>
      <c r="O5" s="75"/>
      <c r="P5" s="48"/>
      <c r="Q5" s="48"/>
      <c r="R5" s="48"/>
      <c r="S5" s="48"/>
    </row>
    <row r="6" spans="1:19" ht="17.25" thickBot="1">
      <c r="A6" s="73"/>
      <c r="B6" s="73"/>
      <c r="C6" s="73"/>
      <c r="D6" s="73"/>
      <c r="E6" s="79"/>
      <c r="F6" s="48"/>
      <c r="G6" s="48"/>
      <c r="H6" s="48"/>
      <c r="I6" s="48"/>
      <c r="J6" s="48"/>
      <c r="K6" s="48"/>
      <c r="L6" s="48"/>
      <c r="M6" s="48"/>
      <c r="N6" s="48"/>
      <c r="O6" s="76"/>
      <c r="P6" s="73"/>
      <c r="Q6" s="73"/>
      <c r="R6" s="73"/>
      <c r="S6" s="73"/>
    </row>
    <row r="7" spans="1:19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</row>
    <row r="8" spans="1:19">
      <c r="A8" s="48"/>
      <c r="B8" s="48"/>
      <c r="C8" s="41"/>
      <c r="D8" s="47">
        <f>+G5</f>
        <v>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7">
        <f>PHF及轉向比!AQ98</f>
        <v>0</v>
      </c>
      <c r="Q8" s="49" t="str">
        <f>IF(R$9=0,"--",P8/R$9)</f>
        <v>--</v>
      </c>
      <c r="S8" s="48"/>
    </row>
    <row r="9" spans="1:19">
      <c r="A9" s="48"/>
      <c r="B9" s="48"/>
      <c r="C9" s="47">
        <f>SUM(D8:D10)</f>
        <v>0</v>
      </c>
      <c r="D9" s="47">
        <f>+P9</f>
        <v>0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7">
        <f>PHF及轉向比!AL98-IFERROR(VALUE(R10),"0")-IFERROR(VALUE(K19),"0")</f>
        <v>0</v>
      </c>
      <c r="Q9" s="49" t="str">
        <f>IF(R$9=0,"--",P9/R$9)</f>
        <v>--</v>
      </c>
      <c r="R9" s="47">
        <f>SUM(P8:P10)</f>
        <v>0</v>
      </c>
      <c r="S9" s="51" t="s">
        <v>104</v>
      </c>
    </row>
    <row r="10" spans="1:19">
      <c r="A10" s="48"/>
      <c r="B10" s="48"/>
      <c r="C10" s="52"/>
      <c r="D10" s="47">
        <f>+K17</f>
        <v>0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7">
        <f>IF(R10&lt;0,PHF及轉向比!AF98+R10,PHF及轉向比!AF98)</f>
        <v>0</v>
      </c>
      <c r="Q10" s="49" t="str">
        <f>IF(R$9=0,"--",P10/R$9)</f>
        <v>--</v>
      </c>
      <c r="R10" s="500" t="str">
        <f>IF(PHF及轉向比!$AJ$98=0," ",-PHF及轉向比!$AJ$98*'調查資料(OUT)'!$H$1)</f>
        <v xml:space="preserve"> </v>
      </c>
      <c r="S10" s="48"/>
    </row>
    <row r="11" spans="1:19">
      <c r="A11" s="48"/>
      <c r="B11" s="53">
        <f>'調查資料(OUT)'!W8</f>
        <v>0</v>
      </c>
      <c r="C11" s="52"/>
      <c r="D11" s="54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5"/>
      <c r="Q11" s="56"/>
      <c r="R11" s="45">
        <f>'調查資料(OUT)'!C8</f>
        <v>0</v>
      </c>
      <c r="S11" s="48"/>
    </row>
    <row r="12" spans="1:19">
      <c r="A12" s="48"/>
      <c r="B12" s="500" t="str">
        <f>IF(PHF及轉向比!$CD$98=0," ",-PHF及轉向比!$CD$98*'調查資料(OUT)'!$AB$1)</f>
        <v xml:space="preserve"> </v>
      </c>
      <c r="C12" s="49" t="str">
        <f>IF(B$13=0,"--",D12/B$13)</f>
        <v>--</v>
      </c>
      <c r="D12" s="47">
        <f>IF(B12&lt;0,PHF及轉向比!BZ98+B12,PHF及轉向比!BZ98)</f>
        <v>0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7">
        <f>+I5</f>
        <v>0</v>
      </c>
      <c r="Q12" s="41"/>
      <c r="R12" s="48"/>
      <c r="S12" s="48"/>
    </row>
    <row r="13" spans="1:19">
      <c r="A13" s="51" t="s">
        <v>105</v>
      </c>
      <c r="B13" s="47">
        <f>SUM(D12:D14)</f>
        <v>0</v>
      </c>
      <c r="C13" s="49" t="str">
        <f>IF(B$13=0,"--",D13/B$13)</f>
        <v>--</v>
      </c>
      <c r="D13" s="47">
        <f>PHF及轉向比!CF98-IFERROR(VALUE(B12),"0")-IFERROR(VALUE(I3),"0")</f>
        <v>0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7">
        <f>+D13</f>
        <v>0</v>
      </c>
      <c r="Q13" s="47">
        <f>SUM(P12:P14)</f>
        <v>0</v>
      </c>
      <c r="R13" s="48"/>
      <c r="S13" s="48"/>
    </row>
    <row r="14" spans="1:19">
      <c r="A14" s="48"/>
      <c r="C14" s="49" t="str">
        <f>IF(B$13=0,"--",D14/B$13)</f>
        <v>--</v>
      </c>
      <c r="D14" s="47">
        <f>PHF及轉向比!CK98</f>
        <v>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7">
        <f>+M17</f>
        <v>0</v>
      </c>
      <c r="Q14" s="48"/>
      <c r="R14" s="48"/>
      <c r="S14" s="48"/>
    </row>
    <row r="15" spans="1:19" ht="17.25" thickBo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</row>
    <row r="16" spans="1:19">
      <c r="A16" s="80"/>
      <c r="B16" s="80"/>
      <c r="C16" s="80"/>
      <c r="D16" s="80"/>
      <c r="E16" s="81"/>
      <c r="F16" s="48"/>
      <c r="G16" s="48"/>
      <c r="H16" s="48"/>
      <c r="I16" s="48"/>
      <c r="J16" s="48"/>
      <c r="K16" s="48"/>
      <c r="L16" s="48"/>
      <c r="M16" s="48"/>
      <c r="N16" s="48"/>
      <c r="O16" s="82"/>
      <c r="P16" s="99" t="s">
        <v>24</v>
      </c>
      <c r="Q16" s="83"/>
      <c r="R16" s="98">
        <f>路口基本資料!$B$4</f>
        <v>0</v>
      </c>
      <c r="S16" s="83"/>
    </row>
    <row r="17" spans="1:19">
      <c r="A17" s="48"/>
      <c r="B17" s="48"/>
      <c r="C17" s="48"/>
      <c r="D17" s="48"/>
      <c r="E17" s="78"/>
      <c r="F17" s="48"/>
      <c r="G17" s="47">
        <f>+D14</f>
        <v>0</v>
      </c>
      <c r="H17" s="47">
        <f>+H5</f>
        <v>0</v>
      </c>
      <c r="I17" s="47">
        <f>+P10</f>
        <v>0</v>
      </c>
      <c r="J17" s="48"/>
      <c r="K17" s="47">
        <f>IF(K19&lt;0,PHF及轉向比!BC98+K19,PHF及轉向比!BC98)</f>
        <v>0</v>
      </c>
      <c r="L17" s="47">
        <f>PHF及轉向比!BI98-IFERROR(VALUE(K19),"0")-IFERROR(VALUE(B12),"0")</f>
        <v>0</v>
      </c>
      <c r="M17" s="47">
        <f>PHF及轉向比!BN98</f>
        <v>0</v>
      </c>
      <c r="N17" s="48"/>
      <c r="O17" s="75"/>
      <c r="P17" s="70" t="s">
        <v>113</v>
      </c>
      <c r="Q17" s="96" t="s">
        <v>107</v>
      </c>
      <c r="R17" s="57"/>
      <c r="S17" s="96"/>
    </row>
    <row r="18" spans="1:19">
      <c r="A18" s="48"/>
      <c r="B18" s="48"/>
      <c r="C18" s="48"/>
      <c r="D18" s="48"/>
      <c r="E18" s="78"/>
      <c r="F18" s="48"/>
      <c r="G18" s="48"/>
      <c r="H18" s="47">
        <f>SUM(G17:I17)</f>
        <v>0</v>
      </c>
      <c r="I18" s="48"/>
      <c r="J18" s="45"/>
      <c r="K18" s="49" t="str">
        <f>IF($L19=0,"--",K17/$L19)</f>
        <v>--</v>
      </c>
      <c r="L18" s="49" t="str">
        <f>IF($L19=0,"--",L17/$L19)</f>
        <v>--</v>
      </c>
      <c r="M18" s="49" t="str">
        <f>IF($L19=0,"--",M17/$L19)</f>
        <v>--</v>
      </c>
      <c r="N18" s="48"/>
      <c r="O18" s="75"/>
      <c r="P18" s="69" t="s">
        <v>108</v>
      </c>
      <c r="Q18" s="96"/>
      <c r="R18" s="97" t="str">
        <f>路口基本資料!$B$8</f>
        <v>YYYY/MM/DD</v>
      </c>
      <c r="S18" s="96"/>
    </row>
    <row r="19" spans="1:19">
      <c r="A19" s="48"/>
      <c r="B19" s="48"/>
      <c r="C19" s="48"/>
      <c r="D19" s="48"/>
      <c r="E19" s="78"/>
      <c r="F19" s="48"/>
      <c r="G19" s="41"/>
      <c r="H19" s="48"/>
      <c r="I19" s="50"/>
      <c r="K19" s="500" t="str">
        <f>IF(PHF及轉向比!$BG$98=0," ",-PHF及轉向比!$BG$98*'調查資料(OUT)'!$R$1)</f>
        <v xml:space="preserve"> </v>
      </c>
      <c r="L19" s="47">
        <f>SUM(K17:M17)</f>
        <v>0</v>
      </c>
      <c r="N19" s="48"/>
      <c r="O19" s="75"/>
      <c r="P19" s="71" t="s">
        <v>114</v>
      </c>
      <c r="Q19" s="57">
        <f>PHF及轉向比!AD98</f>
        <v>1200</v>
      </c>
      <c r="R19" s="57" t="s">
        <v>115</v>
      </c>
      <c r="S19" s="57">
        <f>PHF及轉向比!AE98</f>
        <v>1300</v>
      </c>
    </row>
    <row r="20" spans="1:19">
      <c r="A20" s="48"/>
      <c r="B20" s="48"/>
      <c r="C20" s="48"/>
      <c r="D20" s="48"/>
      <c r="E20" s="78"/>
      <c r="F20" s="48"/>
      <c r="G20" s="48"/>
      <c r="H20" s="48"/>
      <c r="I20" s="48"/>
      <c r="J20" s="45">
        <f>'調查資料(OUT)'!M8</f>
        <v>0</v>
      </c>
      <c r="K20" s="41"/>
      <c r="L20" s="58" t="s">
        <v>111</v>
      </c>
      <c r="M20" s="48"/>
      <c r="N20" s="48"/>
      <c r="O20" s="75"/>
      <c r="P20" s="71" t="s">
        <v>112</v>
      </c>
      <c r="Q20" s="57"/>
      <c r="R20" s="57"/>
      <c r="S20" s="57"/>
    </row>
    <row r="21" spans="1:19">
      <c r="A21" s="48"/>
      <c r="B21" s="48"/>
      <c r="C21" s="48"/>
      <c r="D21" s="48"/>
      <c r="E21" s="48"/>
      <c r="F21" s="48"/>
      <c r="G21" s="48"/>
      <c r="H21" s="48"/>
      <c r="I21" s="48"/>
      <c r="J21" s="50"/>
      <c r="K21" s="41"/>
      <c r="L21" s="58"/>
      <c r="M21" s="48"/>
      <c r="N21" s="48"/>
      <c r="O21" s="48"/>
      <c r="P21" s="516" t="str">
        <f>IF(OR(ISNUMBER(R10),ISNUMBER(K19),ISNUMBER(B12),ISNUMBER(I3)),"註：括弧為機車兩段式左轉量，並已納入直行"," ")</f>
        <v xml:space="preserve"> </v>
      </c>
      <c r="Q21" s="516"/>
      <c r="R21" s="516"/>
      <c r="S21" s="516"/>
    </row>
    <row r="22" spans="1:19">
      <c r="A22" s="48"/>
      <c r="B22" s="48"/>
      <c r="C22" s="48"/>
      <c r="D22" s="48"/>
      <c r="E22" s="48"/>
      <c r="F22" s="48"/>
      <c r="G22" s="48"/>
      <c r="H22" s="48"/>
      <c r="I22" s="48"/>
      <c r="J22" s="50"/>
      <c r="K22" s="41"/>
      <c r="L22" s="58"/>
      <c r="M22" s="48"/>
      <c r="N22" s="48"/>
      <c r="O22" s="48"/>
      <c r="P22" s="516"/>
      <c r="Q22" s="516"/>
      <c r="R22" s="516"/>
      <c r="S22" s="516"/>
    </row>
    <row r="23" spans="1:19" ht="21">
      <c r="A23" s="515" t="str">
        <f>SUBSTITUTE("x_轉向交通量(假日晨峰)","x",路口基本資料!B5)</f>
        <v>_轉向交通量(假日晨峰)</v>
      </c>
      <c r="B23" s="515"/>
      <c r="C23" s="515"/>
      <c r="D23" s="515"/>
      <c r="E23" s="515"/>
      <c r="F23" s="515"/>
      <c r="G23" s="515"/>
      <c r="H23" s="515"/>
      <c r="I23" s="515"/>
      <c r="J23" s="515"/>
      <c r="K23" s="515"/>
      <c r="L23" s="515"/>
      <c r="M23" s="515"/>
      <c r="N23" s="515"/>
      <c r="O23" s="515"/>
      <c r="P23" s="515"/>
      <c r="Q23" s="515"/>
      <c r="R23" s="515"/>
      <c r="S23" s="515"/>
    </row>
    <row r="24" spans="1:19" ht="28.5" customHeight="1">
      <c r="A24" s="48"/>
      <c r="B24" s="41"/>
      <c r="C24" s="48"/>
      <c r="D24" s="59"/>
      <c r="E24" s="41"/>
      <c r="F24" s="60"/>
      <c r="G24" s="61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1"/>
      <c r="S24" s="61"/>
    </row>
    <row r="25" spans="1:19" ht="2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6"/>
      <c r="R25" s="40"/>
      <c r="S25" s="40"/>
    </row>
    <row r="26" spans="1:19" ht="21">
      <c r="A26" s="40"/>
      <c r="B26" s="40"/>
      <c r="C26" s="40"/>
      <c r="D26" s="40"/>
      <c r="E26" s="77"/>
      <c r="F26" s="40"/>
      <c r="G26" s="40"/>
      <c r="H26" s="43" t="s">
        <v>102</v>
      </c>
      <c r="I26" s="40"/>
      <c r="J26" s="45">
        <f>J2</f>
        <v>0</v>
      </c>
      <c r="K26" s="40"/>
      <c r="L26" s="40"/>
      <c r="M26" s="40"/>
      <c r="N26" s="40"/>
      <c r="O26" s="74"/>
      <c r="P26" s="40"/>
      <c r="Q26" s="46"/>
      <c r="R26" s="40"/>
      <c r="S26" s="40"/>
    </row>
    <row r="27" spans="1:19">
      <c r="A27" s="40"/>
      <c r="B27" s="40"/>
      <c r="C27" s="40"/>
      <c r="D27" s="40" t="s">
        <v>103</v>
      </c>
      <c r="E27" s="77" t="s">
        <v>103</v>
      </c>
      <c r="F27" s="40"/>
      <c r="H27" s="47">
        <f>SUM(G29:I29)</f>
        <v>0</v>
      </c>
      <c r="I27" s="500" t="str">
        <f>IF(PHF及轉向比!$DA$99=0," ",-PHF及轉向比!$DA$99*'調查資料(OUT)'!$AL$1)</f>
        <v xml:space="preserve"> </v>
      </c>
      <c r="J27" s="45"/>
      <c r="K27" s="40"/>
      <c r="L27" s="40"/>
      <c r="M27" s="40"/>
      <c r="N27" s="40"/>
      <c r="O27" s="74"/>
      <c r="P27" s="40"/>
      <c r="Q27" s="40"/>
      <c r="R27" s="40"/>
      <c r="S27" s="40"/>
    </row>
    <row r="28" spans="1:19">
      <c r="A28" s="48"/>
      <c r="B28" s="48"/>
      <c r="C28" s="48"/>
      <c r="D28" s="48" t="s">
        <v>103</v>
      </c>
      <c r="E28" s="78"/>
      <c r="F28" s="48"/>
      <c r="G28" s="49" t="str">
        <f>IF($H27=0,"--",G29/$H27)</f>
        <v>--</v>
      </c>
      <c r="H28" s="49" t="str">
        <f>IF($H27=0,"--",H29/$H27)</f>
        <v>--</v>
      </c>
      <c r="I28" s="49" t="str">
        <f>IF($H27=0,"--",I29/$H27)</f>
        <v>--</v>
      </c>
      <c r="J28" s="50"/>
      <c r="K28" s="48"/>
      <c r="L28" s="47">
        <f>SUM(K29:M29)</f>
        <v>0</v>
      </c>
      <c r="M28" s="48"/>
      <c r="N28" s="48"/>
      <c r="O28" s="75"/>
      <c r="P28" s="48"/>
      <c r="Q28" s="48"/>
      <c r="R28" s="48"/>
      <c r="S28" s="48"/>
    </row>
    <row r="29" spans="1:19">
      <c r="A29" s="48"/>
      <c r="B29" s="48"/>
      <c r="C29" s="48"/>
      <c r="D29" s="48"/>
      <c r="E29" s="78"/>
      <c r="F29" s="48"/>
      <c r="G29" s="47">
        <f>PHF及轉向比!DH100</f>
        <v>0</v>
      </c>
      <c r="H29" s="47">
        <f>PHF及轉向比!DC100-IFERROR(VALUE(I27),"0")-IFERROR(VALUE(R34),"0")</f>
        <v>0</v>
      </c>
      <c r="I29" s="47">
        <f>IF(I27&lt;0,PHF及轉向比!CW100+I27,PHF及轉向比!CW100)</f>
        <v>0</v>
      </c>
      <c r="J29" s="48"/>
      <c r="K29" s="47">
        <f>+D36</f>
        <v>0</v>
      </c>
      <c r="L29" s="47">
        <f>+L41</f>
        <v>0</v>
      </c>
      <c r="M29" s="47">
        <f>+P32</f>
        <v>0</v>
      </c>
      <c r="N29" s="48"/>
      <c r="O29" s="75"/>
      <c r="P29" s="48"/>
      <c r="Q29" s="48"/>
      <c r="R29" s="48"/>
      <c r="S29" s="48"/>
    </row>
    <row r="30" spans="1:19" ht="17.25" thickBot="1">
      <c r="A30" s="73"/>
      <c r="B30" s="73"/>
      <c r="C30" s="73"/>
      <c r="D30" s="73"/>
      <c r="E30" s="79"/>
      <c r="F30" s="48"/>
      <c r="G30" s="48"/>
      <c r="H30" s="48"/>
      <c r="I30" s="48"/>
      <c r="J30" s="48"/>
      <c r="K30" s="48"/>
      <c r="L30" s="48"/>
      <c r="M30" s="48"/>
      <c r="N30" s="48"/>
      <c r="O30" s="76"/>
      <c r="P30" s="73"/>
      <c r="Q30" s="73"/>
      <c r="R30" s="73"/>
      <c r="S30" s="73"/>
    </row>
    <row r="31" spans="1:19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1:19">
      <c r="A32" s="48"/>
      <c r="B32" s="48"/>
      <c r="C32" s="41"/>
      <c r="D32" s="47">
        <f>+G29</f>
        <v>0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7">
        <f>PHF及轉向比!AQ100</f>
        <v>0</v>
      </c>
      <c r="Q32" s="49" t="str">
        <f>IF(R$33=0,"--",P32/R$33)</f>
        <v>--</v>
      </c>
      <c r="S32" s="48"/>
    </row>
    <row r="33" spans="1:19">
      <c r="A33" s="48"/>
      <c r="B33" s="48"/>
      <c r="C33" s="47">
        <f>SUM(D32:D34)</f>
        <v>0</v>
      </c>
      <c r="D33" s="47">
        <f>+P33</f>
        <v>0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7">
        <f>PHF及轉向比!AL100-IFERROR(VALUE(R34),"0")-IFERROR(VALUE(K43),"0")</f>
        <v>0</v>
      </c>
      <c r="Q33" s="49" t="str">
        <f>IF(R$33=0,"--",P33/R$33)</f>
        <v>--</v>
      </c>
      <c r="R33" s="47">
        <f>SUM(P32:P34)</f>
        <v>0</v>
      </c>
      <c r="S33" s="51" t="s">
        <v>104</v>
      </c>
    </row>
    <row r="34" spans="1:19">
      <c r="A34" s="48"/>
      <c r="B34" s="48"/>
      <c r="C34" s="52"/>
      <c r="D34" s="47">
        <f>+K41</f>
        <v>0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7">
        <f>IF(R34&lt;0,PHF及轉向比!AF100+R34,PHF及轉向比!AF100)</f>
        <v>0</v>
      </c>
      <c r="Q34" s="49" t="str">
        <f>IF(R$33=0,"--",P34/R$33)</f>
        <v>--</v>
      </c>
      <c r="R34" s="500" t="str">
        <f>IF(PHF及轉向比!$AJ$99=0," ",-PHF及轉向比!$AJ$99*'調查資料(OUT)'!$H$1)</f>
        <v xml:space="preserve"> </v>
      </c>
      <c r="S34" s="48"/>
    </row>
    <row r="35" spans="1:19">
      <c r="A35" s="48"/>
      <c r="B35" s="50">
        <f>B11</f>
        <v>0</v>
      </c>
      <c r="C35" s="54"/>
      <c r="D35" s="54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55"/>
      <c r="Q35" s="55"/>
      <c r="R35" s="50">
        <f>R11</f>
        <v>0</v>
      </c>
      <c r="S35" s="48"/>
    </row>
    <row r="36" spans="1:19">
      <c r="A36" s="48"/>
      <c r="B36" s="500" t="str">
        <f>IF(PHF及轉向比!$CD$99=0," ",-PHF及轉向比!$CD$99*'調查資料(OUT)'!$AB$1)</f>
        <v xml:space="preserve"> </v>
      </c>
      <c r="C36" s="49" t="str">
        <f>IF(B$37=0,"--",D36/B$37)</f>
        <v>--</v>
      </c>
      <c r="D36" s="47">
        <f>IF(B36&lt;0,PHF及轉向比!BZ100+B36,PHF及轉向比!BZ100)</f>
        <v>0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7">
        <f>+I29</f>
        <v>0</v>
      </c>
      <c r="Q36" s="41"/>
      <c r="R36" s="48"/>
      <c r="S36" s="48"/>
    </row>
    <row r="37" spans="1:19">
      <c r="A37" s="51" t="s">
        <v>105</v>
      </c>
      <c r="B37" s="47">
        <f>SUM(D36:D38)</f>
        <v>0</v>
      </c>
      <c r="C37" s="49" t="str">
        <f>IF(B$37=0,"--",D37/B$37)</f>
        <v>--</v>
      </c>
      <c r="D37" s="47">
        <f>PHF及轉向比!CF99-IFERROR(VALUE(B36),"0")-IFERROR(VALUE(I27),"0")</f>
        <v>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7">
        <f>+D37</f>
        <v>0</v>
      </c>
      <c r="Q37" s="47">
        <f>SUM(P36:P38)</f>
        <v>0</v>
      </c>
      <c r="R37" s="48"/>
      <c r="S37" s="48"/>
    </row>
    <row r="38" spans="1:19">
      <c r="A38" s="48"/>
      <c r="C38" s="49" t="str">
        <f>IF(B$37=0,"--",D38/B$37)</f>
        <v>--</v>
      </c>
      <c r="D38" s="47">
        <f>PHF及轉向比!CK99</f>
        <v>0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7">
        <f>+M41</f>
        <v>0</v>
      </c>
      <c r="Q38" s="48"/>
      <c r="R38" s="48"/>
      <c r="S38" s="48"/>
    </row>
    <row r="39" spans="1:19" ht="17.25" thickBo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>
      <c r="A40" s="80"/>
      <c r="B40" s="80"/>
      <c r="C40" s="80"/>
      <c r="D40" s="80"/>
      <c r="E40" s="81"/>
      <c r="F40" s="48"/>
      <c r="G40" s="48"/>
      <c r="H40" s="48"/>
      <c r="I40" s="48"/>
      <c r="J40" s="48"/>
      <c r="K40" s="48"/>
      <c r="L40" s="48"/>
      <c r="M40" s="48"/>
      <c r="N40" s="48"/>
      <c r="O40" s="82"/>
      <c r="P40" s="99" t="s">
        <v>24</v>
      </c>
      <c r="Q40" s="83"/>
      <c r="R40" s="98">
        <f>路口基本資料!$B$4</f>
        <v>0</v>
      </c>
      <c r="S40" s="83"/>
    </row>
    <row r="41" spans="1:19">
      <c r="A41" s="48"/>
      <c r="B41" s="48"/>
      <c r="C41" s="48"/>
      <c r="D41" s="48"/>
      <c r="E41" s="78"/>
      <c r="F41" s="48"/>
      <c r="G41" s="47">
        <f>+D38</f>
        <v>0</v>
      </c>
      <c r="H41" s="47">
        <f>+H29</f>
        <v>0</v>
      </c>
      <c r="I41" s="47">
        <f>+P34</f>
        <v>0</v>
      </c>
      <c r="J41" s="48"/>
      <c r="K41" s="47">
        <f>IF(K43&lt;0,PHF及轉向比!BC100+K43,PHF及轉向比!BC100)</f>
        <v>0</v>
      </c>
      <c r="L41" s="47">
        <f>PHF及轉向比!BI100-IFERROR(VALUE(K43),"0")-IFERROR(VALUE(B36),"0")</f>
        <v>0</v>
      </c>
      <c r="M41" s="47">
        <f>PHF及轉向比!BN100</f>
        <v>0</v>
      </c>
      <c r="N41" s="48"/>
      <c r="O41" s="75"/>
      <c r="P41" s="72" t="s">
        <v>116</v>
      </c>
      <c r="Q41" s="96" t="s">
        <v>107</v>
      </c>
      <c r="R41" s="57"/>
      <c r="S41" s="96"/>
    </row>
    <row r="42" spans="1:19">
      <c r="A42" s="48"/>
      <c r="B42" s="48"/>
      <c r="C42" s="48"/>
      <c r="D42" s="48"/>
      <c r="E42" s="78"/>
      <c r="F42" s="48"/>
      <c r="G42" s="48"/>
      <c r="H42" s="47">
        <f>SUM(G41:I41)</f>
        <v>0</v>
      </c>
      <c r="I42" s="48"/>
      <c r="J42" s="45"/>
      <c r="K42" s="49" t="str">
        <f>IF($L43=0,"--",K41/$L43)</f>
        <v>--</v>
      </c>
      <c r="L42" s="49" t="str">
        <f>IF($L43=0,"--",L41/$L43)</f>
        <v>--</v>
      </c>
      <c r="M42" s="49" t="str">
        <f>IF($L43=0,"--",M41/$L43)</f>
        <v>--</v>
      </c>
      <c r="N42" s="48"/>
      <c r="O42" s="75"/>
      <c r="P42" s="69" t="s">
        <v>108</v>
      </c>
      <c r="Q42" s="96"/>
      <c r="R42" s="97" t="str">
        <f>路口基本資料!$B$8</f>
        <v>YYYY/MM/DD</v>
      </c>
      <c r="S42" s="96"/>
    </row>
    <row r="43" spans="1:19">
      <c r="A43" s="48"/>
      <c r="B43" s="48"/>
      <c r="C43" s="48"/>
      <c r="D43" s="48"/>
      <c r="E43" s="78"/>
      <c r="F43" s="48"/>
      <c r="G43" s="48"/>
      <c r="H43" s="48"/>
      <c r="I43" s="62"/>
      <c r="K43" s="500" t="str">
        <f>IF(PHF及轉向比!$BG$99=0," ",-PHF及轉向比!$BG$99*'調查資料(OUT)'!$R$1)</f>
        <v xml:space="preserve"> </v>
      </c>
      <c r="L43" s="47">
        <f>SUM(K41:M41)</f>
        <v>0</v>
      </c>
      <c r="N43" s="48"/>
      <c r="O43" s="75"/>
      <c r="P43" s="71" t="s">
        <v>114</v>
      </c>
      <c r="Q43" s="57">
        <f>PHF及轉向比!AD100</f>
        <v>1900</v>
      </c>
      <c r="R43" s="57" t="s">
        <v>115</v>
      </c>
      <c r="S43" s="57">
        <f>PHF及轉向比!AE100</f>
        <v>2000</v>
      </c>
    </row>
    <row r="44" spans="1:19">
      <c r="A44" s="48"/>
      <c r="B44" s="48"/>
      <c r="C44" s="48"/>
      <c r="D44" s="48"/>
      <c r="E44" s="78"/>
      <c r="F44" s="48"/>
      <c r="G44" s="48"/>
      <c r="H44" s="48"/>
      <c r="I44" s="48"/>
      <c r="J44" s="53">
        <f>J20</f>
        <v>0</v>
      </c>
      <c r="K44" s="41"/>
      <c r="L44" s="58" t="s">
        <v>111</v>
      </c>
      <c r="M44" s="48"/>
      <c r="N44" s="48"/>
      <c r="O44" s="75"/>
      <c r="P44" s="71" t="s">
        <v>112</v>
      </c>
      <c r="Q44" s="57"/>
      <c r="R44" s="57"/>
      <c r="S44" s="57"/>
    </row>
    <row r="45" spans="1:19">
      <c r="A45" s="48"/>
      <c r="B45" s="48"/>
      <c r="C45" s="48"/>
      <c r="D45" s="48"/>
      <c r="E45" s="48"/>
      <c r="F45" s="48"/>
      <c r="G45" s="48"/>
      <c r="H45" s="48"/>
      <c r="I45" s="48"/>
      <c r="J45" s="50"/>
      <c r="K45" s="41"/>
      <c r="L45" s="58"/>
      <c r="M45" s="48"/>
      <c r="N45" s="48"/>
      <c r="O45" s="48"/>
      <c r="P45" s="516" t="str">
        <f>IF(OR(ISNUMBER(R34),ISNUMBER(K43),ISNUMBER(B36),ISNUMBER(I27)),"註：括弧為機車兩段式左轉量，並已納入直行"," ")</f>
        <v xml:space="preserve"> </v>
      </c>
      <c r="Q45" s="516"/>
      <c r="R45" s="516"/>
      <c r="S45" s="516"/>
    </row>
    <row r="46" spans="1:19">
      <c r="A46" s="48"/>
      <c r="B46" s="48"/>
      <c r="C46" s="48"/>
      <c r="D46" s="48"/>
      <c r="E46" s="48"/>
      <c r="F46" s="48"/>
      <c r="G46" s="48"/>
      <c r="H46" s="48"/>
      <c r="I46" s="48"/>
      <c r="J46" s="50"/>
      <c r="K46" s="41"/>
      <c r="L46" s="58"/>
      <c r="M46" s="48"/>
      <c r="N46" s="48"/>
      <c r="O46" s="48"/>
      <c r="P46" s="516"/>
      <c r="Q46" s="516"/>
      <c r="R46" s="516"/>
      <c r="S46" s="516"/>
    </row>
    <row r="47" spans="1:19" ht="21">
      <c r="A47" s="515" t="str">
        <f>SUBSTITUTE("x_轉向交通量(假日昏峰)","x",路口基本資料!B5)</f>
        <v>_轉向交通量(假日昏峰)</v>
      </c>
      <c r="B47" s="515"/>
      <c r="C47" s="515"/>
      <c r="D47" s="515"/>
      <c r="E47" s="515"/>
      <c r="F47" s="515"/>
      <c r="G47" s="515"/>
      <c r="H47" s="515"/>
      <c r="I47" s="515"/>
      <c r="J47" s="515"/>
      <c r="K47" s="515"/>
      <c r="L47" s="515"/>
      <c r="M47" s="515"/>
      <c r="N47" s="515"/>
      <c r="O47" s="515"/>
      <c r="P47" s="515"/>
      <c r="Q47" s="515"/>
      <c r="R47" s="515"/>
      <c r="S47" s="515"/>
    </row>
  </sheetData>
  <mergeCells count="4">
    <mergeCell ref="A23:S23"/>
    <mergeCell ref="A47:S47"/>
    <mergeCell ref="P45:S46"/>
    <mergeCell ref="P21:S22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S45"/>
  <sheetViews>
    <sheetView topLeftCell="A15" workbookViewId="0">
      <selection activeCell="I28" sqref="I28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44"/>
      <c r="H3" s="143">
        <f>SUM(G5:I5)</f>
        <v>0</v>
      </c>
      <c r="I3" s="497"/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PHF及轉向比!DI98</f>
        <v>0</v>
      </c>
      <c r="H5" s="143">
        <f>PHF及轉向比!DD98</f>
        <v>0</v>
      </c>
      <c r="I5" s="143">
        <f>PHF及轉向比!CX98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PHF及轉向比!AR98</f>
        <v>0</v>
      </c>
      <c r="Q8" s="147" t="str">
        <f>IF(R$9=0,"--",P8/R$9)</f>
        <v>--</v>
      </c>
      <c r="R8" s="14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PHF及轉向比!AM98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PHF及轉向比!AG98</f>
        <v>0</v>
      </c>
      <c r="Q10" s="147" t="str">
        <f>IF(R$9=0,"--",P10/R$9)</f>
        <v>--</v>
      </c>
      <c r="R10" s="498"/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496"/>
      <c r="C12" s="147" t="str">
        <f>IF(B$13=0,"--",D12/B$13)</f>
        <v>--</v>
      </c>
      <c r="D12" s="143">
        <f>PHF及轉向比!CA98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PHF及轉向比!CG98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44"/>
      <c r="C14" s="147" t="str">
        <f>IF(B$13=0,"--",D14/B$13)</f>
        <v>--</v>
      </c>
      <c r="D14" s="143">
        <f>PHF及轉向比!CL98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75" t="s">
        <v>117</v>
      </c>
      <c r="Q16" s="176"/>
      <c r="R16" s="98">
        <f>路口基本資料!$B$4</f>
        <v>0</v>
      </c>
      <c r="S16" s="176"/>
    </row>
    <row r="17" spans="1:19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PHF及轉向比!BD98</f>
        <v>0</v>
      </c>
      <c r="L17" s="143">
        <f>PHF及轉向比!BJ98</f>
        <v>0</v>
      </c>
      <c r="M17" s="143">
        <f>PHF及轉向比!BO98</f>
        <v>0</v>
      </c>
      <c r="N17" s="145"/>
      <c r="O17" s="149"/>
      <c r="P17" s="164" t="s">
        <v>113</v>
      </c>
      <c r="Q17" s="165" t="s">
        <v>118</v>
      </c>
      <c r="R17" s="57"/>
      <c r="S17" s="177"/>
    </row>
    <row r="18" spans="1:19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119</v>
      </c>
      <c r="Q18" s="178"/>
      <c r="R18" s="97" t="str">
        <f>路口基本資料!$B$8</f>
        <v>YYYY/MM/DD</v>
      </c>
      <c r="S18" s="178"/>
    </row>
    <row r="19" spans="1:19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498"/>
      <c r="L19" s="143">
        <f>SUM(K17:M17)</f>
        <v>0</v>
      </c>
      <c r="M19" s="144"/>
      <c r="N19" s="145"/>
      <c r="O19" s="149"/>
      <c r="P19" s="167" t="s">
        <v>114</v>
      </c>
      <c r="Q19" s="168">
        <f>PHF及轉向比!AD98</f>
        <v>1200</v>
      </c>
      <c r="R19" s="168" t="s">
        <v>115</v>
      </c>
      <c r="S19" s="168">
        <f>PHF及轉向比!AE98</f>
        <v>1300</v>
      </c>
    </row>
    <row r="20" spans="1:19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120</v>
      </c>
      <c r="Q20" s="145"/>
      <c r="R20" s="145"/>
      <c r="S20" s="145"/>
    </row>
    <row r="21" spans="1:19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179"/>
      <c r="Q21" s="134"/>
      <c r="R21" s="134"/>
      <c r="S21" s="134"/>
    </row>
    <row r="22" spans="1:19" ht="21">
      <c r="A22" s="517" t="str">
        <f>SUBSTITUTE("x_大型車轉向交通量(假日晨峰)","x",路口基本資料!B5)</f>
        <v>_大型車轉向交通量(假日晨峰)</v>
      </c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</row>
    <row r="23" spans="1:19" ht="28.5" customHeight="1">
      <c r="A23" s="145"/>
      <c r="B23" s="135"/>
      <c r="C23" s="145"/>
      <c r="D23" s="171"/>
      <c r="E23" s="135"/>
      <c r="F23" s="172"/>
      <c r="G23" s="173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3"/>
      <c r="S23" s="173"/>
    </row>
    <row r="24" spans="1:19" ht="2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2"/>
      <c r="R24" s="134"/>
      <c r="S24" s="134"/>
    </row>
    <row r="25" spans="1:19" ht="21">
      <c r="A25" s="134"/>
      <c r="B25" s="134"/>
      <c r="C25" s="134"/>
      <c r="D25" s="134"/>
      <c r="E25" s="138"/>
      <c r="F25" s="134"/>
      <c r="G25" s="134"/>
      <c r="H25" s="137" t="s">
        <v>102</v>
      </c>
      <c r="I25" s="134"/>
      <c r="J25" s="140">
        <f>J2</f>
        <v>0</v>
      </c>
      <c r="K25" s="134"/>
      <c r="L25" s="134"/>
      <c r="M25" s="134"/>
      <c r="N25" s="134"/>
      <c r="O25" s="141"/>
      <c r="P25" s="134"/>
      <c r="Q25" s="142"/>
      <c r="R25" s="134"/>
      <c r="S25" s="134"/>
    </row>
    <row r="26" spans="1:19">
      <c r="A26" s="134"/>
      <c r="B26" s="134"/>
      <c r="C26" s="134"/>
      <c r="D26" s="134" t="s">
        <v>103</v>
      </c>
      <c r="E26" s="138" t="s">
        <v>103</v>
      </c>
      <c r="F26" s="134"/>
      <c r="G26" s="144"/>
      <c r="H26" s="143">
        <f>SUM(G28:I28)</f>
        <v>0</v>
      </c>
      <c r="I26" s="497"/>
      <c r="J26" s="140"/>
      <c r="K26" s="134"/>
      <c r="L26" s="134"/>
      <c r="M26" s="134"/>
      <c r="N26" s="134"/>
      <c r="O26" s="141"/>
      <c r="P26" s="134"/>
      <c r="Q26" s="134"/>
      <c r="R26" s="134"/>
      <c r="S26" s="134"/>
    </row>
    <row r="27" spans="1:19">
      <c r="A27" s="145"/>
      <c r="B27" s="145"/>
      <c r="C27" s="145"/>
      <c r="D27" s="145" t="s">
        <v>103</v>
      </c>
      <c r="E27" s="146"/>
      <c r="F27" s="145"/>
      <c r="G27" s="147" t="str">
        <f>IF($H26=0,"--",G28/$H26)</f>
        <v>--</v>
      </c>
      <c r="H27" s="147" t="str">
        <f>IF($H26=0,"--",H28/$H26)</f>
        <v>--</v>
      </c>
      <c r="I27" s="147" t="str">
        <f>IF($H26=0,"--",I28/$H26)</f>
        <v>--</v>
      </c>
      <c r="J27" s="148"/>
      <c r="K27" s="145"/>
      <c r="L27" s="143">
        <f>SUM(K28:M28)</f>
        <v>0</v>
      </c>
      <c r="M27" s="145"/>
      <c r="N27" s="145"/>
      <c r="O27" s="149"/>
      <c r="P27" s="145"/>
      <c r="Q27" s="145"/>
      <c r="R27" s="145"/>
      <c r="S27" s="145"/>
    </row>
    <row r="28" spans="1:19">
      <c r="A28" s="145"/>
      <c r="B28" s="145"/>
      <c r="C28" s="145"/>
      <c r="D28" s="145"/>
      <c r="E28" s="146"/>
      <c r="F28" s="145"/>
      <c r="G28" s="143">
        <f>PHF及轉向比!DI100</f>
        <v>0</v>
      </c>
      <c r="H28" s="143">
        <f>PHF及轉向比!DD100</f>
        <v>0</v>
      </c>
      <c r="I28" s="143">
        <f>PHF及轉向比!CX100</f>
        <v>0</v>
      </c>
      <c r="J28" s="145"/>
      <c r="K28" s="143">
        <f>+D35</f>
        <v>0</v>
      </c>
      <c r="L28" s="143">
        <f>+L40</f>
        <v>0</v>
      </c>
      <c r="M28" s="143">
        <f>+P31</f>
        <v>0</v>
      </c>
      <c r="N28" s="145"/>
      <c r="O28" s="149"/>
      <c r="P28" s="145"/>
      <c r="Q28" s="145"/>
      <c r="R28" s="145"/>
      <c r="S28" s="145"/>
    </row>
    <row r="29" spans="1:19" ht="17.25" thickBot="1">
      <c r="A29" s="150"/>
      <c r="B29" s="150"/>
      <c r="C29" s="150"/>
      <c r="D29" s="150"/>
      <c r="E29" s="151"/>
      <c r="F29" s="145"/>
      <c r="G29" s="145"/>
      <c r="H29" s="145"/>
      <c r="I29" s="145"/>
      <c r="J29" s="145"/>
      <c r="K29" s="145"/>
      <c r="L29" s="145"/>
      <c r="M29" s="145"/>
      <c r="N29" s="145"/>
      <c r="O29" s="152"/>
      <c r="P29" s="150"/>
      <c r="Q29" s="150"/>
      <c r="R29" s="150"/>
      <c r="S29" s="150"/>
    </row>
    <row r="30" spans="1:19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 spans="1:19">
      <c r="A31" s="145"/>
      <c r="B31" s="145"/>
      <c r="C31" s="135"/>
      <c r="D31" s="143">
        <f>+G28</f>
        <v>0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3">
        <f>PHF及轉向比!AR100</f>
        <v>0</v>
      </c>
      <c r="Q31" s="147" t="str">
        <f>IF(R$32=0,"--",P31/R$32)</f>
        <v>--</v>
      </c>
      <c r="R31" s="144"/>
      <c r="S31" s="145"/>
    </row>
    <row r="32" spans="1:19">
      <c r="A32" s="145"/>
      <c r="B32" s="145"/>
      <c r="C32" s="143">
        <f>SUM(D31:D33)</f>
        <v>0</v>
      </c>
      <c r="D32" s="143">
        <f>+P32</f>
        <v>0</v>
      </c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>
        <f>PHF及轉向比!AM100</f>
        <v>0</v>
      </c>
      <c r="Q32" s="147" t="str">
        <f>IF(R$32=0,"--",P32/R$32)</f>
        <v>--</v>
      </c>
      <c r="R32" s="143">
        <f>SUM(P31:P33)</f>
        <v>0</v>
      </c>
      <c r="S32" s="153" t="s">
        <v>104</v>
      </c>
    </row>
    <row r="33" spans="1:19">
      <c r="A33" s="145"/>
      <c r="B33" s="145"/>
      <c r="C33" s="154"/>
      <c r="D33" s="143">
        <f>+K40</f>
        <v>0</v>
      </c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>
        <f>PHF及轉向比!AG100</f>
        <v>0</v>
      </c>
      <c r="Q33" s="147" t="str">
        <f>IF(R$32=0,"--",P33/R$32)</f>
        <v>--</v>
      </c>
      <c r="R33" s="498"/>
      <c r="S33" s="145"/>
    </row>
    <row r="34" spans="1:19">
      <c r="A34" s="145"/>
      <c r="B34" s="148">
        <f>B11</f>
        <v>0</v>
      </c>
      <c r="C34" s="156"/>
      <c r="D34" s="15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57"/>
      <c r="Q34" s="157"/>
      <c r="R34" s="148">
        <f>R11</f>
        <v>0</v>
      </c>
      <c r="S34" s="145"/>
    </row>
    <row r="35" spans="1:19">
      <c r="A35" s="145"/>
      <c r="B35" s="496"/>
      <c r="C35" s="147" t="str">
        <f>IF(B$36=0,"--",D35/B$36)</f>
        <v>--</v>
      </c>
      <c r="D35" s="143">
        <f>PHF及轉向比!CA100</f>
        <v>0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3">
        <f>+I28</f>
        <v>0</v>
      </c>
      <c r="Q35" s="135"/>
      <c r="R35" s="145"/>
      <c r="S35" s="145"/>
    </row>
    <row r="36" spans="1:19">
      <c r="A36" s="153" t="s">
        <v>105</v>
      </c>
      <c r="B36" s="143">
        <f>SUM(D35:D37)</f>
        <v>0</v>
      </c>
      <c r="C36" s="147" t="str">
        <f>IF(B$36=0,"--",D36/B$36)</f>
        <v>--</v>
      </c>
      <c r="D36" s="143">
        <f>PHF及轉向比!CG100</f>
        <v>0</v>
      </c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>
        <f>+D36</f>
        <v>0</v>
      </c>
      <c r="Q36" s="143">
        <f>SUM(P35:P37)</f>
        <v>0</v>
      </c>
      <c r="R36" s="145"/>
      <c r="S36" s="145"/>
    </row>
    <row r="37" spans="1:19">
      <c r="A37" s="145"/>
      <c r="B37" s="144"/>
      <c r="C37" s="147" t="str">
        <f>IF(B$36=0,"--",D37/B$36)</f>
        <v>--</v>
      </c>
      <c r="D37" s="143">
        <f>PHF及轉向比!CL100</f>
        <v>0</v>
      </c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>
        <f>+M40</f>
        <v>0</v>
      </c>
      <c r="Q37" s="145"/>
      <c r="R37" s="145"/>
      <c r="S37" s="145"/>
    </row>
    <row r="38" spans="1:19" ht="17.25" thickBo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 spans="1:19">
      <c r="A39" s="159"/>
      <c r="B39" s="159"/>
      <c r="C39" s="159"/>
      <c r="D39" s="159"/>
      <c r="E39" s="160"/>
      <c r="F39" s="145"/>
      <c r="G39" s="145"/>
      <c r="H39" s="145"/>
      <c r="I39" s="145"/>
      <c r="J39" s="145"/>
      <c r="K39" s="145"/>
      <c r="L39" s="145"/>
      <c r="M39" s="145"/>
      <c r="N39" s="145"/>
      <c r="O39" s="161"/>
      <c r="P39" s="175" t="s">
        <v>117</v>
      </c>
      <c r="Q39" s="176"/>
      <c r="R39" s="98">
        <f>路口基本資料!$B$4</f>
        <v>0</v>
      </c>
      <c r="S39" s="176"/>
    </row>
    <row r="40" spans="1:19">
      <c r="A40" s="145"/>
      <c r="B40" s="145"/>
      <c r="C40" s="145"/>
      <c r="D40" s="145"/>
      <c r="E40" s="146"/>
      <c r="F40" s="145"/>
      <c r="G40" s="143">
        <f>+D37</f>
        <v>0</v>
      </c>
      <c r="H40" s="143">
        <f>+H28</f>
        <v>0</v>
      </c>
      <c r="I40" s="143">
        <f>+P33</f>
        <v>0</v>
      </c>
      <c r="J40" s="145"/>
      <c r="K40" s="143">
        <f>PHF及轉向比!BD100</f>
        <v>0</v>
      </c>
      <c r="L40" s="143">
        <f>PHF及轉向比!BJ100</f>
        <v>0</v>
      </c>
      <c r="M40" s="143">
        <f>PHF及轉向比!BO100</f>
        <v>0</v>
      </c>
      <c r="N40" s="145"/>
      <c r="O40" s="149"/>
      <c r="P40" s="164" t="s">
        <v>113</v>
      </c>
      <c r="Q40" s="165" t="s">
        <v>118</v>
      </c>
      <c r="R40" s="57"/>
      <c r="S40" s="177"/>
    </row>
    <row r="41" spans="1:19">
      <c r="A41" s="145"/>
      <c r="B41" s="145"/>
      <c r="C41" s="145"/>
      <c r="D41" s="145"/>
      <c r="E41" s="146"/>
      <c r="F41" s="145"/>
      <c r="G41" s="145"/>
      <c r="H41" s="143">
        <f>SUM(G40:I40)</f>
        <v>0</v>
      </c>
      <c r="I41" s="145"/>
      <c r="J41" s="140"/>
      <c r="K41" s="147" t="str">
        <f>IF($L42=0,"--",K40/$L42)</f>
        <v>--</v>
      </c>
      <c r="L41" s="147" t="str">
        <f>IF($L42=0,"--",L40/$L42)</f>
        <v>--</v>
      </c>
      <c r="M41" s="147" t="str">
        <f>IF($L42=0,"--",M40/$L42)</f>
        <v>--</v>
      </c>
      <c r="N41" s="145"/>
      <c r="O41" s="149"/>
      <c r="P41" s="166" t="s">
        <v>108</v>
      </c>
      <c r="Q41" s="165"/>
      <c r="R41" s="97" t="str">
        <f>路口基本資料!$B$8</f>
        <v>YYYY/MM/DD</v>
      </c>
      <c r="S41" s="178"/>
    </row>
    <row r="42" spans="1:19">
      <c r="A42" s="145"/>
      <c r="B42" s="145"/>
      <c r="C42" s="145"/>
      <c r="D42" s="145"/>
      <c r="E42" s="146"/>
      <c r="F42" s="145"/>
      <c r="G42" s="145"/>
      <c r="H42" s="145"/>
      <c r="I42" s="174"/>
      <c r="J42" s="134"/>
      <c r="K42" s="498"/>
      <c r="L42" s="143">
        <f>SUM(K40:M40)</f>
        <v>0</v>
      </c>
      <c r="M42" s="144"/>
      <c r="N42" s="145"/>
      <c r="O42" s="149"/>
      <c r="P42" s="167" t="s">
        <v>114</v>
      </c>
      <c r="Q42" s="168">
        <f>PHF及轉向比!AD100</f>
        <v>1900</v>
      </c>
      <c r="R42" s="168" t="s">
        <v>115</v>
      </c>
      <c r="S42" s="168">
        <f>PHF及轉向比!AE100</f>
        <v>2000</v>
      </c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45"/>
      <c r="J43" s="155">
        <f>J20</f>
        <v>0</v>
      </c>
      <c r="K43" s="135"/>
      <c r="L43" s="169" t="s">
        <v>111</v>
      </c>
      <c r="M43" s="145"/>
      <c r="N43" s="145"/>
      <c r="O43" s="149"/>
      <c r="P43" s="167" t="s">
        <v>120</v>
      </c>
      <c r="Q43" s="168"/>
      <c r="R43" s="145"/>
      <c r="S43" s="145"/>
    </row>
    <row r="44" spans="1:19">
      <c r="A44" s="145"/>
      <c r="B44" s="145"/>
      <c r="C44" s="145"/>
      <c r="D44" s="145"/>
      <c r="E44" s="145"/>
      <c r="F44" s="145"/>
      <c r="G44" s="145"/>
      <c r="H44" s="145"/>
      <c r="I44" s="145"/>
      <c r="J44" s="148"/>
      <c r="K44" s="135"/>
      <c r="L44" s="169"/>
      <c r="M44" s="145"/>
      <c r="N44" s="145"/>
      <c r="O44" s="145"/>
      <c r="P44" s="179"/>
      <c r="Q44" s="134"/>
      <c r="R44" s="134"/>
      <c r="S44" s="134"/>
    </row>
    <row r="45" spans="1:19" ht="21">
      <c r="A45" s="517" t="str">
        <f>SUBSTITUTE("x_大型車轉向交通量(假日昏峰)","x",路口基本資料!B5)</f>
        <v>_大型車轉向交通量(假日昏峰)</v>
      </c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</row>
  </sheetData>
  <mergeCells count="2">
    <mergeCell ref="A22:S22"/>
    <mergeCell ref="A45:S45"/>
  </mergeCells>
  <phoneticPr fontId="8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pageSetUpPr fitToPage="1"/>
  </sheetPr>
  <dimension ref="A1:S46"/>
  <sheetViews>
    <sheetView topLeftCell="A20" workbookViewId="0">
      <selection activeCell="X42" sqref="X42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44"/>
      <c r="H3" s="143">
        <f>SUM(G5:I5)</f>
        <v>0</v>
      </c>
      <c r="I3" s="497"/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PHF及轉向比!DJ98</f>
        <v>0</v>
      </c>
      <c r="H5" s="143">
        <f>PHF及轉向比!DE98</f>
        <v>0</v>
      </c>
      <c r="I5" s="143">
        <f>PHF及轉向比!CY98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PHF及轉向比!AS98</f>
        <v>0</v>
      </c>
      <c r="Q8" s="147" t="str">
        <f>IF(R$9=0,"--",P8/R$9)</f>
        <v>--</v>
      </c>
      <c r="R8" s="14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PHF及轉向比!AN98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PHF及轉向比!AH98</f>
        <v>0</v>
      </c>
      <c r="Q10" s="147" t="str">
        <f>IF(R$9=0,"--",P10/R$9)</f>
        <v>--</v>
      </c>
      <c r="R10" s="498"/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496"/>
      <c r="C12" s="147" t="str">
        <f>IF(B$13=0,"--",D12/B$13)</f>
        <v>--</v>
      </c>
      <c r="D12" s="143">
        <f>PHF及轉向比!CB98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PHF及轉向比!CH98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44"/>
      <c r="C14" s="147" t="str">
        <f>IF(B$13=0,"--",D14/B$13)</f>
        <v>--</v>
      </c>
      <c r="D14" s="143">
        <f>PHF及轉向比!CM98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75" t="s">
        <v>117</v>
      </c>
      <c r="Q16" s="176"/>
      <c r="R16" s="98">
        <f>路口基本資料!$B$4</f>
        <v>0</v>
      </c>
      <c r="S16" s="159"/>
    </row>
    <row r="17" spans="1:19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PHF及轉向比!BE98</f>
        <v>0</v>
      </c>
      <c r="L17" s="143">
        <f>PHF及轉向比!BK98</f>
        <v>0</v>
      </c>
      <c r="M17" s="143">
        <f>PHF及轉向比!BP98</f>
        <v>0</v>
      </c>
      <c r="N17" s="145"/>
      <c r="O17" s="149"/>
      <c r="P17" s="164" t="s">
        <v>113</v>
      </c>
      <c r="Q17" s="165" t="s">
        <v>118</v>
      </c>
      <c r="R17" s="57"/>
      <c r="S17" s="177"/>
    </row>
    <row r="18" spans="1:19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108</v>
      </c>
      <c r="Q18" s="178"/>
      <c r="R18" s="97" t="str">
        <f>路口基本資料!$B$8</f>
        <v>YYYY/MM/DD</v>
      </c>
      <c r="S18" s="178"/>
    </row>
    <row r="19" spans="1:19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498"/>
      <c r="L19" s="143">
        <f>SUM(K17:M17)</f>
        <v>0</v>
      </c>
      <c r="M19" s="144"/>
      <c r="N19" s="145"/>
      <c r="O19" s="149"/>
      <c r="P19" s="167" t="s">
        <v>114</v>
      </c>
      <c r="Q19" s="168">
        <f>PHF及轉向比!AD98</f>
        <v>1200</v>
      </c>
      <c r="R19" s="168" t="s">
        <v>115</v>
      </c>
      <c r="S19" s="168">
        <f>PHF及轉向比!AE98</f>
        <v>1300</v>
      </c>
    </row>
    <row r="20" spans="1:19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120</v>
      </c>
      <c r="Q20" s="145"/>
      <c r="R20" s="145"/>
      <c r="S20" s="145"/>
    </row>
    <row r="21" spans="1:19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179"/>
      <c r="Q21" s="134"/>
      <c r="R21" s="134"/>
      <c r="S21" s="134"/>
    </row>
    <row r="22" spans="1:19" ht="21">
      <c r="A22" s="517" t="str">
        <f>SUBSTITUTE("x_小型車轉向交通量(假日晨峰)","x",路口基本資料!B5)</f>
        <v>_小型車轉向交通量(假日晨峰)</v>
      </c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</row>
    <row r="23" spans="1:19" ht="28.5" customHeight="1">
      <c r="A23" s="145"/>
      <c r="B23" s="135"/>
      <c r="C23" s="145"/>
      <c r="D23" s="171"/>
      <c r="E23" s="135"/>
      <c r="F23" s="172"/>
      <c r="G23" s="173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3"/>
      <c r="S23" s="173"/>
    </row>
    <row r="24" spans="1:19" ht="2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2"/>
      <c r="R24" s="134"/>
      <c r="S24" s="134"/>
    </row>
    <row r="25" spans="1:19" ht="21">
      <c r="A25" s="134"/>
      <c r="B25" s="134"/>
      <c r="C25" s="134"/>
      <c r="D25" s="134"/>
      <c r="E25" s="138"/>
      <c r="F25" s="134"/>
      <c r="G25" s="134"/>
      <c r="H25" s="137" t="s">
        <v>102</v>
      </c>
      <c r="I25" s="134"/>
      <c r="J25" s="140">
        <f>J2</f>
        <v>0</v>
      </c>
      <c r="K25" s="134"/>
      <c r="L25" s="134"/>
      <c r="M25" s="134"/>
      <c r="N25" s="134"/>
      <c r="O25" s="141"/>
      <c r="P25" s="134"/>
      <c r="Q25" s="142"/>
      <c r="R25" s="134"/>
      <c r="S25" s="134"/>
    </row>
    <row r="26" spans="1:19">
      <c r="A26" s="134"/>
      <c r="B26" s="134"/>
      <c r="C26" s="134"/>
      <c r="D26" s="134" t="s">
        <v>103</v>
      </c>
      <c r="E26" s="138" t="s">
        <v>103</v>
      </c>
      <c r="F26" s="134"/>
      <c r="G26" s="144"/>
      <c r="H26" s="143">
        <f>SUM(G28:I28)</f>
        <v>0</v>
      </c>
      <c r="I26" s="497"/>
      <c r="J26" s="140"/>
      <c r="K26" s="134"/>
      <c r="L26" s="134"/>
      <c r="M26" s="134"/>
      <c r="N26" s="134"/>
      <c r="O26" s="141"/>
      <c r="P26" s="134"/>
      <c r="Q26" s="134"/>
      <c r="R26" s="134"/>
      <c r="S26" s="134"/>
    </row>
    <row r="27" spans="1:19">
      <c r="A27" s="145"/>
      <c r="B27" s="145"/>
      <c r="C27" s="145"/>
      <c r="D27" s="145" t="s">
        <v>103</v>
      </c>
      <c r="E27" s="146"/>
      <c r="F27" s="145"/>
      <c r="G27" s="147" t="str">
        <f>IF($H26=0,"--",G28/$H26)</f>
        <v>--</v>
      </c>
      <c r="H27" s="147" t="str">
        <f>IF($H26=0,"--",H28/$H26)</f>
        <v>--</v>
      </c>
      <c r="I27" s="147" t="str">
        <f>IF($H26=0,"--",I28/$H26)</f>
        <v>--</v>
      </c>
      <c r="J27" s="148"/>
      <c r="K27" s="145"/>
      <c r="L27" s="143">
        <f>SUM(K28:M28)</f>
        <v>0</v>
      </c>
      <c r="M27" s="145"/>
      <c r="N27" s="145"/>
      <c r="O27" s="149"/>
      <c r="P27" s="145"/>
      <c r="Q27" s="145"/>
      <c r="R27" s="145"/>
      <c r="S27" s="145"/>
    </row>
    <row r="28" spans="1:19">
      <c r="A28" s="145"/>
      <c r="B28" s="145"/>
      <c r="C28" s="145"/>
      <c r="D28" s="145"/>
      <c r="E28" s="146"/>
      <c r="F28" s="145"/>
      <c r="G28" s="143">
        <f>PHF及轉向比!DJ100</f>
        <v>0</v>
      </c>
      <c r="H28" s="143">
        <f>PHF及轉向比!DE100</f>
        <v>0</v>
      </c>
      <c r="I28" s="143">
        <f>PHF及轉向比!CY100</f>
        <v>0</v>
      </c>
      <c r="J28" s="145"/>
      <c r="K28" s="143">
        <f>+D35</f>
        <v>0</v>
      </c>
      <c r="L28" s="143">
        <f>+L40</f>
        <v>0</v>
      </c>
      <c r="M28" s="143">
        <f>+P31</f>
        <v>0</v>
      </c>
      <c r="N28" s="145"/>
      <c r="O28" s="149"/>
      <c r="P28" s="145"/>
      <c r="Q28" s="145"/>
      <c r="R28" s="145"/>
      <c r="S28" s="145"/>
    </row>
    <row r="29" spans="1:19" ht="17.25" thickBot="1">
      <c r="A29" s="150"/>
      <c r="B29" s="150"/>
      <c r="C29" s="150"/>
      <c r="D29" s="150"/>
      <c r="E29" s="151"/>
      <c r="F29" s="145"/>
      <c r="G29" s="145"/>
      <c r="H29" s="145"/>
      <c r="I29" s="145"/>
      <c r="J29" s="145"/>
      <c r="K29" s="145"/>
      <c r="L29" s="145"/>
      <c r="M29" s="145"/>
      <c r="N29" s="145"/>
      <c r="O29" s="152"/>
      <c r="P29" s="150"/>
      <c r="Q29" s="150"/>
      <c r="R29" s="150"/>
      <c r="S29" s="150"/>
    </row>
    <row r="30" spans="1:19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 spans="1:19">
      <c r="A31" s="145"/>
      <c r="B31" s="145"/>
      <c r="C31" s="135"/>
      <c r="D31" s="143">
        <f>+G28</f>
        <v>0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3">
        <f>PHF及轉向比!AS100</f>
        <v>0</v>
      </c>
      <c r="Q31" s="147" t="str">
        <f>IF(R$32=0,"--",P31/R$32)</f>
        <v>--</v>
      </c>
      <c r="R31" s="144"/>
      <c r="S31" s="145"/>
    </row>
    <row r="32" spans="1:19">
      <c r="A32" s="145"/>
      <c r="B32" s="145"/>
      <c r="C32" s="143">
        <f>SUM(D31:D33)</f>
        <v>0</v>
      </c>
      <c r="D32" s="143">
        <f>+P32</f>
        <v>0</v>
      </c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>
        <f>PHF及轉向比!AN100</f>
        <v>0</v>
      </c>
      <c r="Q32" s="147" t="str">
        <f>IF(R$32=0,"--",P32/R$32)</f>
        <v>--</v>
      </c>
      <c r="R32" s="143">
        <f>SUM(P31:P33)</f>
        <v>0</v>
      </c>
      <c r="S32" s="153" t="s">
        <v>104</v>
      </c>
    </row>
    <row r="33" spans="1:19">
      <c r="A33" s="145"/>
      <c r="B33" s="145"/>
      <c r="C33" s="154"/>
      <c r="D33" s="143">
        <f>+K40</f>
        <v>0</v>
      </c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>
        <f>PHF及轉向比!AH100</f>
        <v>0</v>
      </c>
      <c r="Q33" s="147" t="str">
        <f>IF(R$32=0,"--",P33/R$32)</f>
        <v>--</v>
      </c>
      <c r="R33" s="498"/>
      <c r="S33" s="145"/>
    </row>
    <row r="34" spans="1:19">
      <c r="A34" s="145"/>
      <c r="B34" s="148">
        <f>B11</f>
        <v>0</v>
      </c>
      <c r="C34" s="156"/>
      <c r="D34" s="15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57"/>
      <c r="Q34" s="157"/>
      <c r="R34" s="148">
        <f>R11</f>
        <v>0</v>
      </c>
      <c r="S34" s="145"/>
    </row>
    <row r="35" spans="1:19">
      <c r="A35" s="145"/>
      <c r="B35" s="496"/>
      <c r="C35" s="147" t="str">
        <f>IF(B$36=0,"--",D35/B$36)</f>
        <v>--</v>
      </c>
      <c r="D35" s="143">
        <f>PHF及轉向比!CB100</f>
        <v>0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3">
        <f>+I28</f>
        <v>0</v>
      </c>
      <c r="Q35" s="135"/>
      <c r="R35" s="145"/>
      <c r="S35" s="145"/>
    </row>
    <row r="36" spans="1:19">
      <c r="A36" s="153" t="s">
        <v>105</v>
      </c>
      <c r="B36" s="143">
        <f>SUM(D35:D37)</f>
        <v>0</v>
      </c>
      <c r="C36" s="147" t="str">
        <f>IF(B$36=0,"--",D36/B$36)</f>
        <v>--</v>
      </c>
      <c r="D36" s="143">
        <f>PHF及轉向比!CH100</f>
        <v>0</v>
      </c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>
        <f>+D36</f>
        <v>0</v>
      </c>
      <c r="Q36" s="143">
        <f>SUM(P35:P37)</f>
        <v>0</v>
      </c>
      <c r="R36" s="145"/>
      <c r="S36" s="145"/>
    </row>
    <row r="37" spans="1:19">
      <c r="A37" s="145"/>
      <c r="B37" s="144"/>
      <c r="C37" s="147" t="str">
        <f>IF(B$36=0,"--",D37/B$36)</f>
        <v>--</v>
      </c>
      <c r="D37" s="143">
        <f>PHF及轉向比!CM100</f>
        <v>0</v>
      </c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>
        <f>+M40</f>
        <v>0</v>
      </c>
      <c r="Q37" s="145"/>
      <c r="R37" s="145"/>
      <c r="S37" s="145"/>
    </row>
    <row r="38" spans="1:19" ht="17.25" thickBo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 spans="1:19">
      <c r="A39" s="159"/>
      <c r="B39" s="159"/>
      <c r="C39" s="159"/>
      <c r="D39" s="159"/>
      <c r="E39" s="160"/>
      <c r="F39" s="145"/>
      <c r="G39" s="145"/>
      <c r="H39" s="145"/>
      <c r="I39" s="145"/>
      <c r="J39" s="145"/>
      <c r="K39" s="145"/>
      <c r="L39" s="145"/>
      <c r="M39" s="145"/>
      <c r="N39" s="145"/>
      <c r="O39" s="161"/>
      <c r="P39" s="175" t="s">
        <v>117</v>
      </c>
      <c r="Q39" s="176"/>
      <c r="R39" s="98">
        <f>路口基本資料!$B$4</f>
        <v>0</v>
      </c>
      <c r="S39" s="159"/>
    </row>
    <row r="40" spans="1:19">
      <c r="A40" s="145"/>
      <c r="B40" s="145"/>
      <c r="C40" s="145"/>
      <c r="D40" s="145"/>
      <c r="E40" s="146"/>
      <c r="F40" s="145"/>
      <c r="G40" s="143">
        <f>+D37</f>
        <v>0</v>
      </c>
      <c r="H40" s="143">
        <f>+H28</f>
        <v>0</v>
      </c>
      <c r="I40" s="143">
        <f>+P33</f>
        <v>0</v>
      </c>
      <c r="J40" s="145"/>
      <c r="K40" s="143">
        <f>PHF及轉向比!BE100</f>
        <v>0</v>
      </c>
      <c r="L40" s="143">
        <f>PHF及轉向比!BK100</f>
        <v>0</v>
      </c>
      <c r="M40" s="143">
        <f>PHF及轉向比!BP100</f>
        <v>0</v>
      </c>
      <c r="N40" s="145"/>
      <c r="O40" s="149"/>
      <c r="P40" s="164" t="s">
        <v>113</v>
      </c>
      <c r="Q40" s="165" t="s">
        <v>118</v>
      </c>
      <c r="R40" s="57"/>
      <c r="S40" s="177"/>
    </row>
    <row r="41" spans="1:19">
      <c r="A41" s="145"/>
      <c r="B41" s="145"/>
      <c r="C41" s="145"/>
      <c r="D41" s="145"/>
      <c r="E41" s="146"/>
      <c r="F41" s="145"/>
      <c r="G41" s="145"/>
      <c r="H41" s="143">
        <f>SUM(G40:I40)</f>
        <v>0</v>
      </c>
      <c r="I41" s="145"/>
      <c r="J41" s="140"/>
      <c r="K41" s="147" t="str">
        <f>IF($L42=0,"--",K40/$L42)</f>
        <v>--</v>
      </c>
      <c r="L41" s="147" t="str">
        <f>IF($L42=0,"--",L40/$L42)</f>
        <v>--</v>
      </c>
      <c r="M41" s="147" t="str">
        <f>IF($L42=0,"--",M40/$L42)</f>
        <v>--</v>
      </c>
      <c r="N41" s="145"/>
      <c r="O41" s="149"/>
      <c r="P41" s="166" t="s">
        <v>108</v>
      </c>
      <c r="Q41" s="165"/>
      <c r="R41" s="97" t="str">
        <f>路口基本資料!$B$8</f>
        <v>YYYY/MM/DD</v>
      </c>
      <c r="S41" s="178"/>
    </row>
    <row r="42" spans="1:19">
      <c r="A42" s="145"/>
      <c r="B42" s="145"/>
      <c r="C42" s="145"/>
      <c r="D42" s="145"/>
      <c r="E42" s="146"/>
      <c r="F42" s="145"/>
      <c r="G42" s="145"/>
      <c r="H42" s="145"/>
      <c r="I42" s="174"/>
      <c r="J42" s="134"/>
      <c r="K42" s="498"/>
      <c r="L42" s="143">
        <f>SUM(K40:M40)</f>
        <v>0</v>
      </c>
      <c r="M42" s="144"/>
      <c r="N42" s="145"/>
      <c r="O42" s="149"/>
      <c r="P42" s="167" t="s">
        <v>114</v>
      </c>
      <c r="Q42" s="168">
        <f>PHF及轉向比!AD100</f>
        <v>1900</v>
      </c>
      <c r="R42" s="168" t="s">
        <v>115</v>
      </c>
      <c r="S42" s="168">
        <f>PHF及轉向比!AE100</f>
        <v>2000</v>
      </c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45"/>
      <c r="J43" s="155">
        <f>J20</f>
        <v>0</v>
      </c>
      <c r="K43" s="135"/>
      <c r="L43" s="169" t="s">
        <v>111</v>
      </c>
      <c r="M43" s="145"/>
      <c r="N43" s="145"/>
      <c r="O43" s="149"/>
      <c r="P43" s="167" t="s">
        <v>120</v>
      </c>
      <c r="Q43" s="168"/>
      <c r="R43" s="145"/>
      <c r="S43" s="145"/>
    </row>
    <row r="44" spans="1:19">
      <c r="A44" s="145"/>
      <c r="B44" s="145"/>
      <c r="C44" s="145"/>
      <c r="D44" s="145"/>
      <c r="E44" s="145"/>
      <c r="F44" s="145"/>
      <c r="G44" s="145"/>
      <c r="H44" s="145"/>
      <c r="I44" s="145"/>
      <c r="J44" s="148"/>
      <c r="K44" s="135"/>
      <c r="L44" s="169"/>
      <c r="M44" s="145"/>
      <c r="N44" s="145"/>
      <c r="O44" s="145"/>
      <c r="P44" s="179"/>
      <c r="Q44" s="134"/>
      <c r="R44" s="134"/>
      <c r="S44" s="134"/>
    </row>
    <row r="45" spans="1:19" ht="21">
      <c r="A45" s="517" t="str">
        <f>SUBSTITUTE("x_小型車轉向交通量(假日昏峰)","x",路口基本資料!B5)</f>
        <v>_小型車轉向交通量(假日昏峰)</v>
      </c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</row>
    <row r="46" spans="1:19" ht="17.25">
      <c r="I46" s="7"/>
      <c r="J46" s="7"/>
      <c r="K46" s="7"/>
    </row>
  </sheetData>
  <mergeCells count="2">
    <mergeCell ref="A22:S22"/>
    <mergeCell ref="A45:S45"/>
  </mergeCells>
  <phoneticPr fontId="8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pageSetUpPr fitToPage="1"/>
  </sheetPr>
  <dimension ref="A1:S45"/>
  <sheetViews>
    <sheetView topLeftCell="A15" workbookViewId="0">
      <selection activeCell="W41" sqref="W41:W42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34"/>
      <c r="H3" s="143">
        <f>SUM(G5:I5)</f>
        <v>0</v>
      </c>
      <c r="I3" s="501" t="str">
        <f>IF(PHF及轉向比!$DA$98=0," ",-PHF及轉向比!$DA$98)</f>
        <v xml:space="preserve"> </v>
      </c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PHF及轉向比!DK98</f>
        <v>0</v>
      </c>
      <c r="H5" s="143">
        <f>PHF及轉向比!DF98</f>
        <v>0</v>
      </c>
      <c r="I5" s="143">
        <f>PHF及轉向比!CZ98+PHF及轉向比!DA98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PHF及轉向比!AT98</f>
        <v>0</v>
      </c>
      <c r="Q8" s="147" t="str">
        <f>IF(R$9=0,"--",P8/R$9)</f>
        <v>--</v>
      </c>
      <c r="R8" s="13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PHF及轉向比!AO98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PHF及轉向比!AI98+PHF及轉向比!AJ98</f>
        <v>0</v>
      </c>
      <c r="Q10" s="147" t="str">
        <f>IF(R$9=0,"--",P10/R$9)</f>
        <v>--</v>
      </c>
      <c r="R10" s="501" t="str">
        <f>IF(PHF及轉向比!$AJ$98=0," ",-PHF及轉向比!$AJ$98)</f>
        <v xml:space="preserve"> </v>
      </c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501" t="str">
        <f>IF(PHF及轉向比!$CD$98=0," ",-PHF及轉向比!$CD$98)</f>
        <v xml:space="preserve"> </v>
      </c>
      <c r="C12" s="147" t="str">
        <f>IF(B$13=0,"--",D12/B$13)</f>
        <v>--</v>
      </c>
      <c r="D12" s="143">
        <f>PHF及轉向比!CC98+PHF及轉向比!CD98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PHF及轉向比!CI98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34"/>
      <c r="C14" s="147" t="str">
        <f>IF(B$13=0,"--",D14/B$13)</f>
        <v>--</v>
      </c>
      <c r="D14" s="143">
        <f>PHF及轉向比!CN98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75" t="s">
        <v>117</v>
      </c>
      <c r="Q16" s="176"/>
      <c r="R16" s="98">
        <f>路口基本資料!$B$4</f>
        <v>0</v>
      </c>
      <c r="S16" s="159"/>
    </row>
    <row r="17" spans="1:19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PHF及轉向比!BF98+PHF及轉向比!BG98</f>
        <v>0</v>
      </c>
      <c r="L17" s="143">
        <f>PHF及轉向比!BL98</f>
        <v>0</v>
      </c>
      <c r="M17" s="143">
        <f>PHF及轉向比!BQ98</f>
        <v>0</v>
      </c>
      <c r="N17" s="145"/>
      <c r="O17" s="149"/>
      <c r="P17" s="164" t="s">
        <v>113</v>
      </c>
      <c r="Q17" s="165" t="s">
        <v>118</v>
      </c>
      <c r="R17" s="57"/>
      <c r="S17" s="177"/>
    </row>
    <row r="18" spans="1:19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108</v>
      </c>
      <c r="Q18" s="178"/>
      <c r="R18" s="97" t="str">
        <f>路口基本資料!$B$8</f>
        <v>YYYY/MM/DD</v>
      </c>
      <c r="S18" s="178"/>
    </row>
    <row r="19" spans="1:19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501" t="str">
        <f>IF(PHF及轉向比!$BG$98=0," ",-PHF及轉向比!$BG$98)</f>
        <v xml:space="preserve"> </v>
      </c>
      <c r="L19" s="143">
        <f>SUM(K17:M17)</f>
        <v>0</v>
      </c>
      <c r="M19" s="134"/>
      <c r="N19" s="145"/>
      <c r="O19" s="149"/>
      <c r="P19" s="167" t="s">
        <v>114</v>
      </c>
      <c r="Q19" s="168">
        <f>PHF及轉向比!AD98</f>
        <v>1200</v>
      </c>
      <c r="R19" s="168" t="s">
        <v>115</v>
      </c>
      <c r="S19" s="168">
        <f>PHF及轉向比!AE98</f>
        <v>1300</v>
      </c>
    </row>
    <row r="20" spans="1:19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120</v>
      </c>
      <c r="Q20" s="145"/>
      <c r="R20" s="145"/>
      <c r="S20" s="145"/>
    </row>
    <row r="21" spans="1:19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170" t="str">
        <f>IF(OR(ISNUMBER(R10),ISNUMBER(K19),ISNUMBER(B12),ISNUMBER(I3)),"註：括弧為機車兩段式左轉量"," ")</f>
        <v xml:space="preserve"> </v>
      </c>
      <c r="Q21" s="134"/>
      <c r="R21" s="134"/>
      <c r="S21" s="134"/>
    </row>
    <row r="22" spans="1:19" ht="21">
      <c r="A22" s="517" t="str">
        <f>SUBSTITUTE("x_機車轉向交通量(假日晨峰)","x",路口基本資料!B5)</f>
        <v>_機車轉向交通量(假日晨峰)</v>
      </c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</row>
    <row r="23" spans="1:19" ht="28.5" customHeight="1">
      <c r="A23" s="145"/>
      <c r="B23" s="135"/>
      <c r="C23" s="145"/>
      <c r="D23" s="171"/>
      <c r="E23" s="135"/>
      <c r="F23" s="172"/>
      <c r="G23" s="173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3"/>
      <c r="S23" s="173"/>
    </row>
    <row r="24" spans="1:19" ht="2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2"/>
      <c r="R24" s="134"/>
      <c r="S24" s="134"/>
    </row>
    <row r="25" spans="1:19" ht="21">
      <c r="A25" s="134"/>
      <c r="B25" s="134"/>
      <c r="C25" s="134"/>
      <c r="D25" s="134"/>
      <c r="E25" s="138"/>
      <c r="F25" s="134"/>
      <c r="G25" s="134"/>
      <c r="H25" s="137" t="s">
        <v>102</v>
      </c>
      <c r="I25" s="134"/>
      <c r="J25" s="140">
        <f>J2</f>
        <v>0</v>
      </c>
      <c r="K25" s="134"/>
      <c r="L25" s="134"/>
      <c r="M25" s="134"/>
      <c r="N25" s="134"/>
      <c r="O25" s="141"/>
      <c r="P25" s="134"/>
      <c r="Q25" s="142"/>
      <c r="R25" s="134"/>
      <c r="S25" s="134"/>
    </row>
    <row r="26" spans="1:19">
      <c r="A26" s="134"/>
      <c r="B26" s="134"/>
      <c r="C26" s="134"/>
      <c r="D26" s="134" t="s">
        <v>103</v>
      </c>
      <c r="E26" s="138" t="s">
        <v>103</v>
      </c>
      <c r="F26" s="134"/>
      <c r="G26" s="134"/>
      <c r="H26" s="143">
        <f>SUM(G28:I28)</f>
        <v>0</v>
      </c>
      <c r="I26" s="501" t="str">
        <f>IF(PHF及轉向比!$DA$99=0," ",-PHF及轉向比!$DA$99)</f>
        <v xml:space="preserve"> </v>
      </c>
      <c r="J26" s="140"/>
      <c r="K26" s="134"/>
      <c r="L26" s="134"/>
      <c r="M26" s="134"/>
      <c r="N26" s="134"/>
      <c r="O26" s="141"/>
      <c r="P26" s="134"/>
      <c r="Q26" s="134"/>
      <c r="R26" s="134"/>
      <c r="S26" s="134"/>
    </row>
    <row r="27" spans="1:19">
      <c r="A27" s="145"/>
      <c r="B27" s="145"/>
      <c r="C27" s="145"/>
      <c r="D27" s="145" t="s">
        <v>103</v>
      </c>
      <c r="E27" s="146"/>
      <c r="F27" s="145"/>
      <c r="G27" s="147" t="str">
        <f>IF($H26=0,"--",G28/$H26)</f>
        <v>--</v>
      </c>
      <c r="H27" s="147" t="str">
        <f>IF($H26=0,"--",H28/$H26)</f>
        <v>--</v>
      </c>
      <c r="I27" s="147" t="str">
        <f>IF($H26=0,"--",I28/$H26)</f>
        <v>--</v>
      </c>
      <c r="J27" s="148"/>
      <c r="K27" s="145"/>
      <c r="L27" s="143">
        <f>SUM(K28:M28)</f>
        <v>0</v>
      </c>
      <c r="M27" s="145"/>
      <c r="N27" s="145"/>
      <c r="O27" s="149"/>
      <c r="P27" s="145"/>
      <c r="Q27" s="145"/>
      <c r="R27" s="145"/>
      <c r="S27" s="145"/>
    </row>
    <row r="28" spans="1:19">
      <c r="A28" s="145"/>
      <c r="B28" s="145"/>
      <c r="C28" s="145"/>
      <c r="D28" s="145"/>
      <c r="E28" s="146"/>
      <c r="F28" s="145"/>
      <c r="G28" s="143">
        <f>PHF及轉向比!DK100</f>
        <v>0</v>
      </c>
      <c r="H28" s="143">
        <f>PHF及轉向比!DF100</f>
        <v>0</v>
      </c>
      <c r="I28" s="143">
        <f>PHF及轉向比!CZ100+PHF及轉向比!DA100</f>
        <v>0</v>
      </c>
      <c r="J28" s="145"/>
      <c r="K28" s="143">
        <f>+D35</f>
        <v>0</v>
      </c>
      <c r="L28" s="143">
        <f>+L40</f>
        <v>0</v>
      </c>
      <c r="M28" s="143">
        <f>+P31</f>
        <v>0</v>
      </c>
      <c r="N28" s="145"/>
      <c r="O28" s="149"/>
      <c r="P28" s="145"/>
      <c r="Q28" s="145"/>
      <c r="R28" s="145"/>
      <c r="S28" s="145"/>
    </row>
    <row r="29" spans="1:19" ht="17.25" thickBot="1">
      <c r="A29" s="150"/>
      <c r="B29" s="150"/>
      <c r="C29" s="150"/>
      <c r="D29" s="150"/>
      <c r="E29" s="151"/>
      <c r="F29" s="145"/>
      <c r="G29" s="145"/>
      <c r="H29" s="145"/>
      <c r="I29" s="145"/>
      <c r="J29" s="145"/>
      <c r="K29" s="145"/>
      <c r="L29" s="145"/>
      <c r="M29" s="145"/>
      <c r="N29" s="145"/>
      <c r="O29" s="152"/>
      <c r="P29" s="150"/>
      <c r="Q29" s="150"/>
      <c r="R29" s="150"/>
      <c r="S29" s="150"/>
    </row>
    <row r="30" spans="1:19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 spans="1:19">
      <c r="A31" s="145"/>
      <c r="B31" s="145"/>
      <c r="C31" s="135"/>
      <c r="D31" s="143">
        <f>+G28</f>
        <v>0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3">
        <f>PHF及轉向比!AT100</f>
        <v>0</v>
      </c>
      <c r="Q31" s="147" t="str">
        <f>IF(R$32=0,"--",P31/R$32)</f>
        <v>--</v>
      </c>
      <c r="R31" s="134"/>
      <c r="S31" s="145"/>
    </row>
    <row r="32" spans="1:19">
      <c r="A32" s="145"/>
      <c r="B32" s="145"/>
      <c r="C32" s="143">
        <f>SUM(D31:D33)</f>
        <v>0</v>
      </c>
      <c r="D32" s="143">
        <f>+P32</f>
        <v>0</v>
      </c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>
        <f>PHF及轉向比!AO100</f>
        <v>0</v>
      </c>
      <c r="Q32" s="147" t="str">
        <f>IF(R$32=0,"--",P32/R$32)</f>
        <v>--</v>
      </c>
      <c r="R32" s="143">
        <f>SUM(P31:P33)</f>
        <v>0</v>
      </c>
      <c r="S32" s="153" t="s">
        <v>104</v>
      </c>
    </row>
    <row r="33" spans="1:19">
      <c r="A33" s="145"/>
      <c r="B33" s="145"/>
      <c r="C33" s="154"/>
      <c r="D33" s="143">
        <f>+K40</f>
        <v>0</v>
      </c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>
        <f>PHF及轉向比!AI100+PHF及轉向比!AJ100</f>
        <v>0</v>
      </c>
      <c r="Q33" s="147" t="str">
        <f>IF(R$32=0,"--",P33/R$32)</f>
        <v>--</v>
      </c>
      <c r="R33" s="501" t="str">
        <f>IF(PHF及轉向比!$AJ$99=0," ",-PHF及轉向比!$AJ$99)</f>
        <v xml:space="preserve"> </v>
      </c>
      <c r="S33" s="145"/>
    </row>
    <row r="34" spans="1:19">
      <c r="A34" s="145"/>
      <c r="B34" s="148">
        <f>B11</f>
        <v>0</v>
      </c>
      <c r="C34" s="156"/>
      <c r="D34" s="15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57"/>
      <c r="Q34" s="157"/>
      <c r="R34" s="148">
        <f>R11</f>
        <v>0</v>
      </c>
      <c r="S34" s="145"/>
    </row>
    <row r="35" spans="1:19">
      <c r="A35" s="145"/>
      <c r="B35" s="501" t="str">
        <f>IF(PHF及轉向比!$CD$99=0," ",-PHF及轉向比!$CD$99)</f>
        <v xml:space="preserve"> </v>
      </c>
      <c r="C35" s="147" t="str">
        <f>IF(B$36=0,"--",D35/B$36)</f>
        <v>--</v>
      </c>
      <c r="D35" s="143">
        <f>PHF及轉向比!CC100+PHF及轉向比!CD100</f>
        <v>0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3">
        <f>+I28</f>
        <v>0</v>
      </c>
      <c r="Q35" s="135"/>
      <c r="R35" s="145"/>
      <c r="S35" s="145"/>
    </row>
    <row r="36" spans="1:19">
      <c r="A36" s="153" t="s">
        <v>105</v>
      </c>
      <c r="B36" s="143">
        <f>SUM(D35:D37)</f>
        <v>0</v>
      </c>
      <c r="C36" s="147" t="str">
        <f>IF(B$36=0,"--",D36/B$36)</f>
        <v>--</v>
      </c>
      <c r="D36" s="143">
        <f>PHF及轉向比!CI100</f>
        <v>0</v>
      </c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>
        <f>+D36</f>
        <v>0</v>
      </c>
      <c r="Q36" s="143">
        <f>SUM(P35:P37)</f>
        <v>0</v>
      </c>
      <c r="R36" s="145"/>
      <c r="S36" s="145"/>
    </row>
    <row r="37" spans="1:19">
      <c r="A37" s="145"/>
      <c r="B37" s="134"/>
      <c r="C37" s="147" t="str">
        <f>IF(B$36=0,"--",D37/B$36)</f>
        <v>--</v>
      </c>
      <c r="D37" s="143">
        <f>PHF及轉向比!CN100</f>
        <v>0</v>
      </c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>
        <f>+M40</f>
        <v>0</v>
      </c>
      <c r="Q37" s="145"/>
      <c r="R37" s="145"/>
      <c r="S37" s="145"/>
    </row>
    <row r="38" spans="1:19" ht="17.25" thickBo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 spans="1:19">
      <c r="A39" s="159"/>
      <c r="B39" s="159"/>
      <c r="C39" s="159"/>
      <c r="D39" s="159"/>
      <c r="E39" s="160"/>
      <c r="F39" s="145"/>
      <c r="G39" s="145"/>
      <c r="H39" s="145"/>
      <c r="I39" s="145"/>
      <c r="J39" s="145"/>
      <c r="K39" s="145"/>
      <c r="L39" s="145"/>
      <c r="M39" s="145"/>
      <c r="N39" s="145"/>
      <c r="O39" s="161"/>
      <c r="P39" s="175" t="s">
        <v>117</v>
      </c>
      <c r="Q39" s="176"/>
      <c r="R39" s="98">
        <f>路口基本資料!$B$4</f>
        <v>0</v>
      </c>
      <c r="S39" s="159"/>
    </row>
    <row r="40" spans="1:19">
      <c r="A40" s="145"/>
      <c r="B40" s="145"/>
      <c r="C40" s="145"/>
      <c r="D40" s="145"/>
      <c r="E40" s="146"/>
      <c r="F40" s="145"/>
      <c r="G40" s="143">
        <f>+D37</f>
        <v>0</v>
      </c>
      <c r="H40" s="143">
        <f>+H28</f>
        <v>0</v>
      </c>
      <c r="I40" s="143">
        <f>+P33</f>
        <v>0</v>
      </c>
      <c r="J40" s="145"/>
      <c r="K40" s="143">
        <f>PHF及轉向比!BF100+PHF及轉向比!BG100</f>
        <v>0</v>
      </c>
      <c r="L40" s="143">
        <f>PHF及轉向比!BL100</f>
        <v>0</v>
      </c>
      <c r="M40" s="143">
        <f>PHF及轉向比!BQ100</f>
        <v>0</v>
      </c>
      <c r="N40" s="145"/>
      <c r="O40" s="149"/>
      <c r="P40" s="164" t="s">
        <v>113</v>
      </c>
      <c r="Q40" s="165" t="s">
        <v>118</v>
      </c>
      <c r="R40" s="57"/>
      <c r="S40" s="177"/>
    </row>
    <row r="41" spans="1:19">
      <c r="A41" s="145"/>
      <c r="B41" s="145"/>
      <c r="C41" s="145"/>
      <c r="D41" s="145"/>
      <c r="E41" s="146"/>
      <c r="F41" s="145"/>
      <c r="G41" s="145"/>
      <c r="H41" s="143">
        <f>SUM(G40:I40)</f>
        <v>0</v>
      </c>
      <c r="I41" s="145"/>
      <c r="J41" s="140"/>
      <c r="K41" s="147" t="str">
        <f>IF($L42=0,"--",K40/$L42)</f>
        <v>--</v>
      </c>
      <c r="L41" s="147" t="str">
        <f>IF($L42=0,"--",L40/$L42)</f>
        <v>--</v>
      </c>
      <c r="M41" s="147" t="str">
        <f>IF($L42=0,"--",M40/$L42)</f>
        <v>--</v>
      </c>
      <c r="N41" s="145"/>
      <c r="O41" s="149"/>
      <c r="P41" s="166" t="s">
        <v>108</v>
      </c>
      <c r="Q41" s="165"/>
      <c r="R41" s="97" t="str">
        <f>路口基本資料!$B$8</f>
        <v>YYYY/MM/DD</v>
      </c>
      <c r="S41" s="178"/>
    </row>
    <row r="42" spans="1:19">
      <c r="A42" s="145"/>
      <c r="B42" s="145"/>
      <c r="C42" s="145"/>
      <c r="D42" s="145"/>
      <c r="E42" s="146"/>
      <c r="F42" s="145"/>
      <c r="G42" s="145"/>
      <c r="H42" s="145"/>
      <c r="I42" s="174"/>
      <c r="J42" s="134"/>
      <c r="K42" s="501" t="str">
        <f>IF(PHF及轉向比!$BG$99=0," ",-PHF及轉向比!$BG$99)</f>
        <v xml:space="preserve"> </v>
      </c>
      <c r="L42" s="143">
        <f>SUM(K40:M40)</f>
        <v>0</v>
      </c>
      <c r="M42" s="134"/>
      <c r="N42" s="145"/>
      <c r="O42" s="149"/>
      <c r="P42" s="167" t="s">
        <v>114</v>
      </c>
      <c r="Q42" s="168">
        <f>PHF及轉向比!AD100</f>
        <v>1900</v>
      </c>
      <c r="R42" s="168" t="s">
        <v>115</v>
      </c>
      <c r="S42" s="168">
        <f>PHF及轉向比!AE100</f>
        <v>2000</v>
      </c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45"/>
      <c r="J43" s="155">
        <f>J20</f>
        <v>0</v>
      </c>
      <c r="K43" s="135"/>
      <c r="L43" s="169" t="s">
        <v>111</v>
      </c>
      <c r="M43" s="145"/>
      <c r="N43" s="145"/>
      <c r="O43" s="149"/>
      <c r="P43" s="167" t="s">
        <v>120</v>
      </c>
      <c r="Q43" s="168"/>
      <c r="R43" s="145"/>
      <c r="S43" s="145"/>
    </row>
    <row r="44" spans="1:19">
      <c r="A44" s="145"/>
      <c r="B44" s="145"/>
      <c r="C44" s="145"/>
      <c r="D44" s="145"/>
      <c r="E44" s="145"/>
      <c r="F44" s="145"/>
      <c r="G44" s="145"/>
      <c r="H44" s="145"/>
      <c r="I44" s="145"/>
      <c r="J44" s="148"/>
      <c r="K44" s="135"/>
      <c r="L44" s="169"/>
      <c r="M44" s="145"/>
      <c r="N44" s="145"/>
      <c r="O44" s="145"/>
      <c r="P44" s="170" t="str">
        <f>IF(OR(ISNUMBER(R33),ISNUMBER(K42),ISNUMBER(B35),ISNUMBER(I26)),"註：括弧為機車兩段式左轉量"," ")</f>
        <v xml:space="preserve"> </v>
      </c>
      <c r="Q44" s="134"/>
      <c r="R44" s="134"/>
      <c r="S44" s="134"/>
    </row>
    <row r="45" spans="1:19" ht="21">
      <c r="A45" s="517" t="str">
        <f>SUBSTITUTE("x_機車轉向交通量(假日昏峰)","x",路口基本資料!B5)</f>
        <v>_機車轉向交通量(假日昏峰)</v>
      </c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</row>
  </sheetData>
  <mergeCells count="2">
    <mergeCell ref="A22:S22"/>
    <mergeCell ref="A45:S45"/>
  </mergeCells>
  <phoneticPr fontId="8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>
    <tabColor rgb="FF7030A0"/>
    <pageSetUpPr fitToPage="1"/>
  </sheetPr>
  <dimension ref="A1:X45"/>
  <sheetViews>
    <sheetView workbookViewId="0">
      <selection activeCell="S20" sqref="S20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34"/>
      <c r="H3" s="143">
        <f>SUM(G5:I5)</f>
        <v>0</v>
      </c>
      <c r="I3" s="502" t="str">
        <f>IF(PHF及轉向比!$DA$100=0," ",-PHF及轉向比!$DA$100*'調查資料(OUT)'!$AL$1)</f>
        <v xml:space="preserve"> </v>
      </c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PHF及轉向比!DH99</f>
        <v>0</v>
      </c>
      <c r="H5" s="143">
        <f>PHF及轉向比!DC99</f>
        <v>0</v>
      </c>
      <c r="I5" s="143">
        <f>PHF及轉向比!CW99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PHF及轉向比!AQ99</f>
        <v>0</v>
      </c>
      <c r="Q8" s="147" t="str">
        <f>IF(R$9=0,"--",P8/R$9)</f>
        <v>--</v>
      </c>
      <c r="R8" s="13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PHF及轉向比!AL99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PHF及轉向比!AF99</f>
        <v>0</v>
      </c>
      <c r="Q10" s="147" t="str">
        <f>IF(R$9=0,"--",P10/R$9)</f>
        <v>--</v>
      </c>
      <c r="R10" s="502" t="str">
        <f>IF(PHF及轉向比!$AJ$100=0," ",-PHF及轉向比!$AJ$100*'調查資料(OUT)'!$H$1)</f>
        <v xml:space="preserve"> </v>
      </c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502" t="str">
        <f>IF(PHF及轉向比!$CD$100=0," ",-PHF及轉向比!$CD$100*'調查資料(OUT)'!$AB$1)</f>
        <v xml:space="preserve"> </v>
      </c>
      <c r="C12" s="147" t="str">
        <f>IF(B$13=0,"--",D12/B$13)</f>
        <v>--</v>
      </c>
      <c r="D12" s="143">
        <f>PHF及轉向比!BZ99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PHF及轉向比!CF99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34"/>
      <c r="C14" s="147" t="str">
        <f>IF(B$13=0,"--",D14/B$13)</f>
        <v>--</v>
      </c>
      <c r="D14" s="143">
        <f>PHF及轉向比!CK99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62" t="s">
        <v>24</v>
      </c>
      <c r="Q16" s="163"/>
      <c r="R16" s="98">
        <f>路口基本資料!$B$4</f>
        <v>0</v>
      </c>
      <c r="S16" s="163"/>
    </row>
    <row r="17" spans="1:24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PHF及轉向比!BC99</f>
        <v>0</v>
      </c>
      <c r="L17" s="143">
        <f>PHF及轉向比!BI99</f>
        <v>0</v>
      </c>
      <c r="M17" s="143">
        <f>PHF及轉向比!BN99</f>
        <v>0</v>
      </c>
      <c r="N17" s="145"/>
      <c r="O17" s="149"/>
      <c r="P17" s="164" t="s">
        <v>113</v>
      </c>
      <c r="Q17" s="165" t="s">
        <v>107</v>
      </c>
      <c r="R17" s="57"/>
      <c r="S17" s="165"/>
    </row>
    <row r="18" spans="1:24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108</v>
      </c>
      <c r="Q18" s="165"/>
      <c r="R18" s="97" t="str">
        <f>路口基本資料!$B$8</f>
        <v>YYYY/MM/DD</v>
      </c>
      <c r="S18" s="165"/>
    </row>
    <row r="19" spans="1:24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502" t="str">
        <f>IF(PHF及轉向比!$BG$100=0," ",-PHF及轉向比!$BG$100*'調查資料(OUT)'!$R$1)</f>
        <v xml:space="preserve"> </v>
      </c>
      <c r="L19" s="143">
        <f>SUM(K17:M17)</f>
        <v>0</v>
      </c>
      <c r="M19" s="134"/>
      <c r="N19" s="145"/>
      <c r="O19" s="149"/>
      <c r="P19" s="167" t="s">
        <v>114</v>
      </c>
      <c r="Q19" s="168">
        <f>PHF及轉向比!AD99</f>
        <v>1500</v>
      </c>
      <c r="R19" s="168" t="s">
        <v>115</v>
      </c>
      <c r="S19" s="168">
        <f>PHF及轉向比!AE99</f>
        <v>1600</v>
      </c>
    </row>
    <row r="20" spans="1:24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112</v>
      </c>
      <c r="Q20" s="168"/>
      <c r="R20" s="168"/>
      <c r="S20" s="168"/>
    </row>
    <row r="21" spans="1:24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170" t="str">
        <f>IF(OR(ISNUMBER(R10),ISNUMBER(K19),ISNUMBER(B12),ISNUMBER(I3)),"註：括弧為機車兩段式左轉量"," ")</f>
        <v xml:space="preserve"> </v>
      </c>
      <c r="Q21" s="166"/>
      <c r="R21" s="166"/>
      <c r="S21" s="166"/>
    </row>
    <row r="22" spans="1:24" ht="21">
      <c r="A22" s="517" t="str">
        <f>SUBSTITUTE("x_轉向交通量(假日白天離峰)","x",路口基本資料!B5)</f>
        <v>_轉向交通量(假日白天離峰)</v>
      </c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</row>
    <row r="23" spans="1:24" ht="28.5" customHeight="1">
      <c r="A23" s="145"/>
      <c r="B23" s="135"/>
      <c r="C23" s="145"/>
      <c r="D23" s="171"/>
      <c r="E23" s="135"/>
      <c r="F23" s="172"/>
      <c r="G23" s="173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3"/>
      <c r="S23" s="173"/>
    </row>
    <row r="24" spans="1:24" ht="2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2"/>
      <c r="R24" s="134"/>
      <c r="S24" s="134"/>
    </row>
    <row r="25" spans="1:24" ht="21">
      <c r="A25" s="134"/>
      <c r="B25" s="134"/>
      <c r="C25" s="134"/>
      <c r="D25" s="134"/>
      <c r="E25" s="138"/>
      <c r="F25" s="134"/>
      <c r="G25" s="134"/>
      <c r="H25" s="137"/>
      <c r="I25" s="134"/>
      <c r="J25" s="140"/>
      <c r="K25" s="134"/>
      <c r="L25" s="134"/>
      <c r="M25" s="134"/>
      <c r="N25" s="134"/>
      <c r="O25" s="141"/>
      <c r="P25" s="134"/>
      <c r="Q25" s="142"/>
      <c r="R25" s="134"/>
      <c r="S25" s="134"/>
    </row>
    <row r="26" spans="1:24">
      <c r="A26" s="134"/>
      <c r="B26" s="134"/>
      <c r="C26" s="134"/>
      <c r="D26" s="134"/>
      <c r="E26" s="138"/>
      <c r="F26" s="134"/>
      <c r="G26" s="134"/>
      <c r="H26" s="143"/>
      <c r="I26" s="502"/>
      <c r="J26" s="140"/>
      <c r="K26" s="134"/>
      <c r="L26" s="134"/>
      <c r="M26" s="134"/>
      <c r="N26" s="134"/>
      <c r="O26" s="141"/>
      <c r="P26" s="134"/>
      <c r="Q26" s="134"/>
      <c r="R26" s="134"/>
      <c r="S26" s="134"/>
    </row>
    <row r="27" spans="1:24">
      <c r="A27" s="145"/>
      <c r="B27" s="145"/>
      <c r="C27" s="145"/>
      <c r="D27" s="145"/>
      <c r="E27" s="146"/>
      <c r="F27" s="145"/>
      <c r="G27" s="147"/>
      <c r="H27" s="147"/>
      <c r="I27" s="147"/>
      <c r="J27" s="148"/>
      <c r="K27" s="145"/>
      <c r="L27" s="143"/>
      <c r="M27" s="145"/>
      <c r="N27" s="145"/>
      <c r="O27" s="149"/>
      <c r="P27" s="145"/>
      <c r="Q27" s="145"/>
      <c r="R27" s="145"/>
      <c r="S27" s="145"/>
      <c r="X27" s="3"/>
    </row>
    <row r="28" spans="1:24">
      <c r="A28" s="145"/>
      <c r="B28" s="145"/>
      <c r="C28" s="145"/>
      <c r="D28" s="145"/>
      <c r="E28" s="146"/>
      <c r="F28" s="145"/>
      <c r="G28" s="143"/>
      <c r="H28" s="143"/>
      <c r="I28" s="143"/>
      <c r="J28" s="145"/>
      <c r="K28" s="143"/>
      <c r="L28" s="143"/>
      <c r="M28" s="143"/>
      <c r="N28" s="145"/>
      <c r="O28" s="149"/>
      <c r="P28" s="145"/>
      <c r="Q28" s="145"/>
      <c r="R28" s="145"/>
      <c r="S28" s="145"/>
    </row>
    <row r="29" spans="1:24" ht="17.25" thickBot="1">
      <c r="A29" s="150"/>
      <c r="B29" s="150"/>
      <c r="C29" s="150"/>
      <c r="D29" s="150"/>
      <c r="E29" s="151"/>
      <c r="F29" s="145"/>
      <c r="G29" s="145"/>
      <c r="H29" s="145"/>
      <c r="I29" s="145"/>
      <c r="J29" s="145"/>
      <c r="K29" s="145"/>
      <c r="L29" s="145"/>
      <c r="M29" s="145"/>
      <c r="N29" s="145"/>
      <c r="O29" s="152"/>
      <c r="P29" s="150"/>
      <c r="Q29" s="150"/>
      <c r="R29" s="150"/>
      <c r="S29" s="150"/>
    </row>
    <row r="30" spans="1:24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 spans="1:24">
      <c r="A31" s="145"/>
      <c r="B31" s="145"/>
      <c r="C31" s="135"/>
      <c r="D31" s="143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3"/>
      <c r="Q31" s="147"/>
      <c r="R31" s="134"/>
      <c r="S31" s="145"/>
    </row>
    <row r="32" spans="1:24">
      <c r="A32" s="145"/>
      <c r="B32" s="145"/>
      <c r="C32" s="143"/>
      <c r="D32" s="143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/>
      <c r="Q32" s="147"/>
      <c r="R32" s="143"/>
      <c r="S32" s="153"/>
    </row>
    <row r="33" spans="1:19">
      <c r="A33" s="145"/>
      <c r="B33" s="145"/>
      <c r="C33" s="154"/>
      <c r="D33" s="143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/>
      <c r="Q33" s="147"/>
      <c r="R33" s="502"/>
      <c r="S33" s="145"/>
    </row>
    <row r="34" spans="1:19">
      <c r="A34" s="145"/>
      <c r="B34" s="148"/>
      <c r="C34" s="156"/>
      <c r="D34" s="15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57"/>
      <c r="Q34" s="157"/>
      <c r="R34" s="148"/>
      <c r="S34" s="145"/>
    </row>
    <row r="35" spans="1:19">
      <c r="A35" s="145"/>
      <c r="B35" s="502"/>
      <c r="C35" s="147"/>
      <c r="D35" s="143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3"/>
      <c r="Q35" s="135"/>
      <c r="R35" s="145"/>
      <c r="S35" s="145"/>
    </row>
    <row r="36" spans="1:19">
      <c r="A36" s="153"/>
      <c r="B36" s="143"/>
      <c r="C36" s="147"/>
      <c r="D36" s="143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/>
      <c r="Q36" s="143"/>
      <c r="R36" s="145"/>
      <c r="S36" s="145"/>
    </row>
    <row r="37" spans="1:19">
      <c r="A37" s="145"/>
      <c r="B37" s="134"/>
      <c r="C37" s="147"/>
      <c r="D37" s="143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/>
      <c r="Q37" s="145"/>
      <c r="R37" s="145"/>
      <c r="S37" s="145"/>
    </row>
    <row r="38" spans="1:19" ht="17.25" thickBo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 spans="1:19">
      <c r="A39" s="159"/>
      <c r="B39" s="159"/>
      <c r="C39" s="159"/>
      <c r="D39" s="159"/>
      <c r="E39" s="160"/>
      <c r="F39" s="145"/>
      <c r="G39" s="145"/>
      <c r="H39" s="145"/>
      <c r="I39" s="145"/>
      <c r="J39" s="145"/>
      <c r="K39" s="145"/>
      <c r="L39" s="145"/>
      <c r="M39" s="145"/>
      <c r="N39" s="145"/>
      <c r="O39" s="161"/>
      <c r="P39" s="162"/>
      <c r="Q39" s="163"/>
      <c r="R39" s="98"/>
      <c r="S39" s="163"/>
    </row>
    <row r="40" spans="1:19">
      <c r="A40" s="145"/>
      <c r="B40" s="145"/>
      <c r="C40" s="145"/>
      <c r="D40" s="145"/>
      <c r="E40" s="146"/>
      <c r="F40" s="145"/>
      <c r="G40" s="143"/>
      <c r="H40" s="143"/>
      <c r="I40" s="143"/>
      <c r="J40" s="145"/>
      <c r="K40" s="143"/>
      <c r="L40" s="143"/>
      <c r="M40" s="143"/>
      <c r="N40" s="145"/>
      <c r="O40" s="149"/>
      <c r="P40" s="164"/>
      <c r="Q40" s="165"/>
      <c r="R40" s="57"/>
      <c r="S40" s="165"/>
    </row>
    <row r="41" spans="1:19">
      <c r="A41" s="145"/>
      <c r="B41" s="145"/>
      <c r="C41" s="145"/>
      <c r="D41" s="145"/>
      <c r="E41" s="146"/>
      <c r="F41" s="145"/>
      <c r="G41" s="145"/>
      <c r="H41" s="143"/>
      <c r="I41" s="145"/>
      <c r="J41" s="140"/>
      <c r="K41" s="147"/>
      <c r="L41" s="147"/>
      <c r="M41" s="147"/>
      <c r="N41" s="145"/>
      <c r="O41" s="149"/>
      <c r="P41" s="166"/>
      <c r="Q41" s="165"/>
      <c r="R41" s="97"/>
      <c r="S41" s="165"/>
    </row>
    <row r="42" spans="1:19">
      <c r="A42" s="145"/>
      <c r="B42" s="145"/>
      <c r="C42" s="145"/>
      <c r="D42" s="145"/>
      <c r="E42" s="146"/>
      <c r="F42" s="145"/>
      <c r="G42" s="145"/>
      <c r="H42" s="145"/>
      <c r="I42" s="174"/>
      <c r="J42" s="134"/>
      <c r="K42" s="502"/>
      <c r="L42" s="143"/>
      <c r="M42" s="134"/>
      <c r="N42" s="145"/>
      <c r="O42" s="149"/>
      <c r="P42" s="167"/>
      <c r="Q42" s="168"/>
      <c r="R42" s="168"/>
      <c r="S42" s="168"/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45"/>
      <c r="J43" s="155"/>
      <c r="K43" s="135"/>
      <c r="L43" s="169"/>
      <c r="M43" s="145"/>
      <c r="N43" s="145"/>
      <c r="O43" s="149"/>
      <c r="P43" s="167"/>
      <c r="Q43" s="168"/>
      <c r="R43" s="168"/>
      <c r="S43" s="168"/>
    </row>
    <row r="44" spans="1:19">
      <c r="A44" s="145"/>
      <c r="B44" s="145"/>
      <c r="C44" s="145"/>
      <c r="D44" s="145"/>
      <c r="E44" s="145"/>
      <c r="F44" s="145"/>
      <c r="G44" s="145"/>
      <c r="H44" s="145"/>
      <c r="I44" s="145"/>
      <c r="J44" s="148"/>
      <c r="K44" s="135"/>
      <c r="L44" s="169"/>
      <c r="M44" s="145"/>
      <c r="N44" s="145"/>
      <c r="O44" s="145"/>
      <c r="P44" s="170"/>
      <c r="Q44" s="166"/>
      <c r="R44" s="166"/>
      <c r="S44" s="166"/>
    </row>
    <row r="45" spans="1:19" ht="21">
      <c r="A45" s="517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</row>
  </sheetData>
  <mergeCells count="2">
    <mergeCell ref="A22:S22"/>
    <mergeCell ref="A45:S45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0">
    <tabColor rgb="FFFFFF00"/>
    <pageSetUpPr fitToPage="1"/>
  </sheetPr>
  <dimension ref="A1:S47"/>
  <sheetViews>
    <sheetView workbookViewId="0">
      <selection activeCell="X25" sqref="X25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34"/>
      <c r="H3" s="143">
        <f>SUM(G5:I5)</f>
        <v>0</v>
      </c>
      <c r="I3" s="502" t="str">
        <f>IF(PHF及轉向比!$DA$100=0," ",-PHF及轉向比!$DA$100*'調查資料(OUT)'!$AL$1)</f>
        <v xml:space="preserve"> </v>
      </c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PHF及轉向比!DH99</f>
        <v>0</v>
      </c>
      <c r="H5" s="143">
        <f>PHF及轉向比!DC99-IFERROR(VALUE(I3),"0")-IFERROR(VALUE(R10),"0")</f>
        <v>0</v>
      </c>
      <c r="I5" s="143">
        <f>IF(I3&lt;0,PHF及轉向比!CW99+I3,PHF及轉向比!CW99)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PHF及轉向比!AQ99</f>
        <v>0</v>
      </c>
      <c r="Q8" s="147" t="str">
        <f>IF(R$9=0,"--",P8/R$9)</f>
        <v>--</v>
      </c>
      <c r="R8" s="13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PHF及轉向比!AL99-IFERROR(VALUE(R10),"0")-IFERROR(VALUE(K19),"0")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IF(R10&lt;0,PHF及轉向比!AF99+R10,PHF及轉向比!AF99)</f>
        <v>0</v>
      </c>
      <c r="Q10" s="147" t="str">
        <f>IF(R$9=0,"--",P10/R$9)</f>
        <v>--</v>
      </c>
      <c r="R10" s="502" t="str">
        <f>IF(PHF及轉向比!$AJ$100=0," ",-PHF及轉向比!$AJ$100*'調查資料(OUT)'!$H$1)</f>
        <v xml:space="preserve"> </v>
      </c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502" t="str">
        <f>IF(PHF及轉向比!$CD$100=0," ",-PHF及轉向比!$CD$100*'調查資料(OUT)'!$AB$1)</f>
        <v xml:space="preserve"> </v>
      </c>
      <c r="C12" s="147" t="str">
        <f>IF(B$13=0,"--",D12/B$13)</f>
        <v>--</v>
      </c>
      <c r="D12" s="143">
        <f>IF(B12&lt;0,PHF及轉向比!BZ99+B12,PHF及轉向比!BZ99)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PHF及轉向比!CF99-IFERROR(VALUE(B12),"0")-IFERROR(VALUE(I3),"0")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34"/>
      <c r="C14" s="147" t="str">
        <f>IF(B$13=0,"--",D14/B$13)</f>
        <v>--</v>
      </c>
      <c r="D14" s="143">
        <f>PHF及轉向比!CK99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62" t="s">
        <v>24</v>
      </c>
      <c r="Q16" s="163"/>
      <c r="R16" s="98">
        <f>路口基本資料!$B$4</f>
        <v>0</v>
      </c>
      <c r="S16" s="163"/>
    </row>
    <row r="17" spans="1:19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IF(K19&lt;0,PHF及轉向比!BC99+K19,PHF及轉向比!BC99)</f>
        <v>0</v>
      </c>
      <c r="L17" s="143">
        <f>PHF及轉向比!BI99-IFERROR(VALUE(K19),"0")-IFERROR(VALUE(B12),"0")</f>
        <v>0</v>
      </c>
      <c r="M17" s="143">
        <f>PHF及轉向比!BN99</f>
        <v>0</v>
      </c>
      <c r="N17" s="145"/>
      <c r="O17" s="149"/>
      <c r="P17" s="164" t="s">
        <v>113</v>
      </c>
      <c r="Q17" s="165" t="s">
        <v>107</v>
      </c>
      <c r="R17" s="57"/>
      <c r="S17" s="165"/>
    </row>
    <row r="18" spans="1:19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108</v>
      </c>
      <c r="Q18" s="165"/>
      <c r="R18" s="97" t="str">
        <f>路口基本資料!$B$8</f>
        <v>YYYY/MM/DD</v>
      </c>
      <c r="S18" s="165"/>
    </row>
    <row r="19" spans="1:19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502" t="str">
        <f>IF(PHF及轉向比!$BG$100=0," ",-PHF及轉向比!$BG$100*'調查資料(OUT)'!$R$1)</f>
        <v xml:space="preserve"> </v>
      </c>
      <c r="L19" s="143">
        <f>SUM(K17:M17)</f>
        <v>0</v>
      </c>
      <c r="M19" s="134"/>
      <c r="N19" s="145"/>
      <c r="O19" s="149"/>
      <c r="P19" s="167" t="s">
        <v>114</v>
      </c>
      <c r="Q19" s="168">
        <f>PHF及轉向比!AD99</f>
        <v>1500</v>
      </c>
      <c r="R19" s="168" t="s">
        <v>115</v>
      </c>
      <c r="S19" s="168">
        <f>PHF及轉向比!AE99</f>
        <v>1600</v>
      </c>
    </row>
    <row r="20" spans="1:19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112</v>
      </c>
      <c r="Q20" s="168"/>
      <c r="R20" s="168"/>
      <c r="S20" s="168"/>
    </row>
    <row r="21" spans="1:19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518" t="str">
        <f>IF(OR(ISNUMBER(R10),ISNUMBER(K19),ISNUMBER(B12),ISNUMBER(I3)),"註：括弧為機車兩段式左轉量，並已納入直行"," ")</f>
        <v xml:space="preserve"> </v>
      </c>
      <c r="Q21" s="518"/>
      <c r="R21" s="518"/>
      <c r="S21" s="518"/>
    </row>
    <row r="22" spans="1:19">
      <c r="A22" s="145"/>
      <c r="B22" s="145"/>
      <c r="C22" s="145"/>
      <c r="D22" s="145"/>
      <c r="E22" s="145"/>
      <c r="F22" s="145"/>
      <c r="G22" s="145"/>
      <c r="H22" s="145"/>
      <c r="I22" s="145"/>
      <c r="J22" s="148"/>
      <c r="K22" s="135"/>
      <c r="L22" s="169"/>
      <c r="M22" s="145"/>
      <c r="N22" s="145"/>
      <c r="O22" s="145"/>
      <c r="P22" s="518"/>
      <c r="Q22" s="518"/>
      <c r="R22" s="518"/>
      <c r="S22" s="518"/>
    </row>
    <row r="23" spans="1:19" ht="21">
      <c r="A23" s="517" t="str">
        <f>SUBSTITUTE("x_路口轉向交通量(假日白天離峰)","x",路口基本資料!B5)</f>
        <v>_路口轉向交通量(假日白天離峰)</v>
      </c>
      <c r="B23" s="517"/>
      <c r="C23" s="517"/>
      <c r="D23" s="517"/>
      <c r="E23" s="517"/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Q23" s="517"/>
      <c r="R23" s="517"/>
      <c r="S23" s="517"/>
    </row>
    <row r="24" spans="1:19" ht="28.5" customHeight="1">
      <c r="A24" s="145"/>
      <c r="B24" s="135"/>
      <c r="C24" s="145"/>
      <c r="D24" s="171"/>
      <c r="E24" s="135"/>
      <c r="F24" s="172"/>
      <c r="G24" s="173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3"/>
      <c r="S24" s="173"/>
    </row>
    <row r="25" spans="1:19" ht="2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42"/>
      <c r="R25" s="134"/>
      <c r="S25" s="134"/>
    </row>
    <row r="26" spans="1:19" ht="21">
      <c r="A26" s="134"/>
      <c r="B26" s="134"/>
      <c r="C26" s="134"/>
      <c r="D26" s="134"/>
      <c r="E26" s="138"/>
      <c r="F26" s="134"/>
      <c r="G26" s="134"/>
      <c r="H26" s="137"/>
      <c r="I26" s="134"/>
      <c r="J26" s="140"/>
      <c r="K26" s="134"/>
      <c r="L26" s="134"/>
      <c r="M26" s="134"/>
      <c r="N26" s="134"/>
      <c r="O26" s="141"/>
      <c r="P26" s="134"/>
      <c r="Q26" s="142"/>
      <c r="R26" s="134"/>
      <c r="S26" s="134"/>
    </row>
    <row r="27" spans="1:19">
      <c r="A27" s="134"/>
      <c r="B27" s="134"/>
      <c r="C27" s="134"/>
      <c r="D27" s="134"/>
      <c r="E27" s="138"/>
      <c r="F27" s="134"/>
      <c r="G27" s="134"/>
      <c r="H27" s="143"/>
      <c r="I27" s="502"/>
      <c r="J27" s="140"/>
      <c r="K27" s="134"/>
      <c r="L27" s="134"/>
      <c r="M27" s="134"/>
      <c r="N27" s="134"/>
      <c r="O27" s="141"/>
      <c r="P27" s="134"/>
      <c r="Q27" s="134"/>
      <c r="R27" s="134"/>
      <c r="S27" s="134"/>
    </row>
    <row r="28" spans="1:19">
      <c r="A28" s="145"/>
      <c r="B28" s="145"/>
      <c r="C28" s="145"/>
      <c r="D28" s="145"/>
      <c r="E28" s="146"/>
      <c r="F28" s="145"/>
      <c r="G28" s="147"/>
      <c r="H28" s="147"/>
      <c r="I28" s="147"/>
      <c r="J28" s="148"/>
      <c r="K28" s="145"/>
      <c r="L28" s="143"/>
      <c r="M28" s="145"/>
      <c r="N28" s="145"/>
      <c r="O28" s="149"/>
      <c r="P28" s="145"/>
      <c r="Q28" s="145"/>
      <c r="R28" s="145"/>
      <c r="S28" s="145"/>
    </row>
    <row r="29" spans="1:19">
      <c r="A29" s="145"/>
      <c r="B29" s="145"/>
      <c r="C29" s="145"/>
      <c r="D29" s="145"/>
      <c r="E29" s="146"/>
      <c r="F29" s="145"/>
      <c r="G29" s="143"/>
      <c r="H29" s="143"/>
      <c r="I29" s="143"/>
      <c r="J29" s="145"/>
      <c r="K29" s="143"/>
      <c r="L29" s="143"/>
      <c r="M29" s="143"/>
      <c r="N29" s="145"/>
      <c r="O29" s="149"/>
      <c r="P29" s="145"/>
      <c r="Q29" s="145"/>
      <c r="R29" s="145"/>
      <c r="S29" s="145"/>
    </row>
    <row r="30" spans="1:19" ht="17.25" thickBot="1">
      <c r="A30" s="150"/>
      <c r="B30" s="150"/>
      <c r="C30" s="150"/>
      <c r="D30" s="150"/>
      <c r="E30" s="151"/>
      <c r="F30" s="145"/>
      <c r="G30" s="145"/>
      <c r="H30" s="145"/>
      <c r="I30" s="145"/>
      <c r="J30" s="145"/>
      <c r="K30" s="145"/>
      <c r="L30" s="145"/>
      <c r="M30" s="145"/>
      <c r="N30" s="145"/>
      <c r="O30" s="152"/>
      <c r="P30" s="150"/>
      <c r="Q30" s="150"/>
      <c r="R30" s="150"/>
      <c r="S30" s="150"/>
    </row>
    <row r="31" spans="1:19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</row>
    <row r="32" spans="1:19">
      <c r="A32" s="145"/>
      <c r="B32" s="145"/>
      <c r="C32" s="135"/>
      <c r="D32" s="143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/>
      <c r="Q32" s="147"/>
      <c r="R32" s="134"/>
      <c r="S32" s="145"/>
    </row>
    <row r="33" spans="1:19">
      <c r="A33" s="145"/>
      <c r="B33" s="145"/>
      <c r="C33" s="143"/>
      <c r="D33" s="143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/>
      <c r="Q33" s="147"/>
      <c r="R33" s="143"/>
      <c r="S33" s="153"/>
    </row>
    <row r="34" spans="1:19">
      <c r="A34" s="145"/>
      <c r="B34" s="145"/>
      <c r="C34" s="154"/>
      <c r="D34" s="143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3"/>
      <c r="Q34" s="147"/>
      <c r="R34" s="502"/>
      <c r="S34" s="145"/>
    </row>
    <row r="35" spans="1:19">
      <c r="A35" s="145"/>
      <c r="B35" s="148"/>
      <c r="C35" s="156"/>
      <c r="D35" s="15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57"/>
      <c r="Q35" s="157"/>
      <c r="R35" s="148"/>
      <c r="S35" s="145"/>
    </row>
    <row r="36" spans="1:19">
      <c r="A36" s="145"/>
      <c r="B36" s="502"/>
      <c r="C36" s="147"/>
      <c r="D36" s="143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/>
      <c r="Q36" s="135"/>
      <c r="R36" s="145"/>
      <c r="S36" s="145"/>
    </row>
    <row r="37" spans="1:19">
      <c r="A37" s="153"/>
      <c r="B37" s="143"/>
      <c r="C37" s="147"/>
      <c r="D37" s="143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/>
      <c r="Q37" s="143"/>
      <c r="R37" s="145"/>
      <c r="S37" s="145"/>
    </row>
    <row r="38" spans="1:19">
      <c r="A38" s="145"/>
      <c r="B38" s="134"/>
      <c r="C38" s="147"/>
      <c r="D38" s="143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3"/>
      <c r="Q38" s="145"/>
      <c r="R38" s="145"/>
      <c r="S38" s="145"/>
    </row>
    <row r="39" spans="1:19" ht="17.25" thickBo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</row>
    <row r="40" spans="1:19">
      <c r="A40" s="159"/>
      <c r="B40" s="159"/>
      <c r="C40" s="159"/>
      <c r="D40" s="159"/>
      <c r="E40" s="160"/>
      <c r="F40" s="145"/>
      <c r="G40" s="145"/>
      <c r="H40" s="145"/>
      <c r="I40" s="145"/>
      <c r="J40" s="145"/>
      <c r="K40" s="145"/>
      <c r="L40" s="145"/>
      <c r="M40" s="145"/>
      <c r="N40" s="145"/>
      <c r="O40" s="161"/>
      <c r="P40" s="162"/>
      <c r="Q40" s="163"/>
      <c r="R40" s="98"/>
      <c r="S40" s="163"/>
    </row>
    <row r="41" spans="1:19">
      <c r="A41" s="145"/>
      <c r="B41" s="145"/>
      <c r="C41" s="145"/>
      <c r="D41" s="145"/>
      <c r="E41" s="146"/>
      <c r="F41" s="145"/>
      <c r="G41" s="143"/>
      <c r="H41" s="143"/>
      <c r="I41" s="143"/>
      <c r="J41" s="145"/>
      <c r="K41" s="143"/>
      <c r="L41" s="143"/>
      <c r="M41" s="143"/>
      <c r="N41" s="145"/>
      <c r="O41" s="149"/>
      <c r="P41" s="164"/>
      <c r="Q41" s="165"/>
      <c r="R41" s="57"/>
      <c r="S41" s="165"/>
    </row>
    <row r="42" spans="1:19">
      <c r="A42" s="145"/>
      <c r="B42" s="145"/>
      <c r="C42" s="145"/>
      <c r="D42" s="145"/>
      <c r="E42" s="146"/>
      <c r="F42" s="145"/>
      <c r="G42" s="145"/>
      <c r="H42" s="143"/>
      <c r="I42" s="145"/>
      <c r="J42" s="140"/>
      <c r="K42" s="147"/>
      <c r="L42" s="147"/>
      <c r="M42" s="147"/>
      <c r="N42" s="145"/>
      <c r="O42" s="149"/>
      <c r="P42" s="166"/>
      <c r="Q42" s="165"/>
      <c r="R42" s="97"/>
      <c r="S42" s="165"/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74"/>
      <c r="J43" s="134"/>
      <c r="K43" s="502"/>
      <c r="L43" s="143"/>
      <c r="M43" s="134"/>
      <c r="N43" s="145"/>
      <c r="O43" s="149"/>
      <c r="P43" s="167"/>
      <c r="Q43" s="168"/>
      <c r="R43" s="168"/>
      <c r="S43" s="168"/>
    </row>
    <row r="44" spans="1:19">
      <c r="A44" s="145"/>
      <c r="B44" s="145"/>
      <c r="C44" s="145"/>
      <c r="D44" s="145"/>
      <c r="E44" s="146"/>
      <c r="F44" s="145"/>
      <c r="G44" s="145"/>
      <c r="H44" s="145"/>
      <c r="I44" s="145"/>
      <c r="J44" s="155"/>
      <c r="K44" s="135"/>
      <c r="L44" s="169"/>
      <c r="M44" s="145"/>
      <c r="N44" s="145"/>
      <c r="O44" s="149"/>
      <c r="P44" s="167"/>
      <c r="Q44" s="168"/>
      <c r="R44" s="168"/>
      <c r="S44" s="168"/>
    </row>
    <row r="45" spans="1:19">
      <c r="A45" s="145"/>
      <c r="B45" s="145"/>
      <c r="C45" s="145"/>
      <c r="D45" s="145"/>
      <c r="E45" s="145"/>
      <c r="F45" s="145"/>
      <c r="G45" s="145"/>
      <c r="H45" s="145"/>
      <c r="I45" s="145"/>
      <c r="J45" s="148"/>
      <c r="K45" s="135"/>
      <c r="L45" s="169"/>
      <c r="M45" s="145"/>
      <c r="N45" s="145"/>
      <c r="O45" s="145"/>
      <c r="P45" s="518"/>
      <c r="Q45" s="518"/>
      <c r="R45" s="518"/>
      <c r="S45" s="518"/>
    </row>
    <row r="46" spans="1:19">
      <c r="A46" s="145"/>
      <c r="B46" s="145"/>
      <c r="C46" s="145"/>
      <c r="D46" s="145"/>
      <c r="E46" s="145"/>
      <c r="F46" s="145"/>
      <c r="G46" s="145"/>
      <c r="H46" s="145"/>
      <c r="I46" s="145"/>
      <c r="J46" s="148"/>
      <c r="K46" s="135"/>
      <c r="L46" s="169"/>
      <c r="M46" s="145"/>
      <c r="N46" s="145"/>
      <c r="O46" s="145"/>
      <c r="P46" s="518"/>
      <c r="Q46" s="518"/>
      <c r="R46" s="518"/>
      <c r="S46" s="518"/>
    </row>
    <row r="47" spans="1:19" ht="21">
      <c r="A47" s="517"/>
      <c r="B47" s="517"/>
      <c r="C47" s="517"/>
      <c r="D47" s="517"/>
      <c r="E47" s="517"/>
      <c r="F47" s="517"/>
      <c r="G47" s="517"/>
      <c r="H47" s="517"/>
      <c r="I47" s="517"/>
      <c r="J47" s="517"/>
      <c r="K47" s="517"/>
      <c r="L47" s="517"/>
      <c r="M47" s="517"/>
      <c r="N47" s="517"/>
      <c r="O47" s="517"/>
      <c r="P47" s="517"/>
      <c r="Q47" s="517"/>
      <c r="R47" s="517"/>
      <c r="S47" s="517"/>
    </row>
  </sheetData>
  <mergeCells count="4">
    <mergeCell ref="A23:S23"/>
    <mergeCell ref="A47:S47"/>
    <mergeCell ref="P21:S22"/>
    <mergeCell ref="P45:S46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5"/>
  <sheetViews>
    <sheetView tabSelected="1" workbookViewId="0">
      <selection activeCell="AF9" sqref="AF9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44"/>
      <c r="H3" s="143">
        <f>SUM(G5:I5)</f>
        <v>0</v>
      </c>
      <c r="I3" s="497"/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PHF及轉向比!DI99</f>
        <v>0</v>
      </c>
      <c r="H5" s="143">
        <f>PHF及轉向比!DD99</f>
        <v>0</v>
      </c>
      <c r="I5" s="143">
        <f>PHF及轉向比!CX99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PHF及轉向比!AR99</f>
        <v>0</v>
      </c>
      <c r="Q8" s="147" t="str">
        <f>IF(R$9=0,"--",P8/R$9)</f>
        <v>--</v>
      </c>
      <c r="R8" s="14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PHF及轉向比!AM99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PHF及轉向比!AG99</f>
        <v>0</v>
      </c>
      <c r="Q10" s="147" t="str">
        <f>IF(R$9=0,"--",P10/R$9)</f>
        <v>--</v>
      </c>
      <c r="R10" s="498"/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496"/>
      <c r="C12" s="147" t="str">
        <f>IF(B$13=0,"--",D12/B$13)</f>
        <v>--</v>
      </c>
      <c r="D12" s="143">
        <f>PHF及轉向比!CA99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PHF及轉向比!CG99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44"/>
      <c r="C14" s="147" t="str">
        <f>IF(B$13=0,"--",D14/B$13)</f>
        <v>--</v>
      </c>
      <c r="D14" s="143">
        <f>PHF及轉向比!CL99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75" t="s">
        <v>117</v>
      </c>
      <c r="Q16" s="176"/>
      <c r="R16" s="98">
        <f>路口基本資料!$B$4</f>
        <v>0</v>
      </c>
      <c r="S16" s="176"/>
    </row>
    <row r="17" spans="1:19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PHF及轉向比!BD99</f>
        <v>0</v>
      </c>
      <c r="L17" s="143">
        <f>PHF及轉向比!BJ99</f>
        <v>0</v>
      </c>
      <c r="M17" s="143">
        <f>PHF及轉向比!BO99</f>
        <v>0</v>
      </c>
      <c r="N17" s="145"/>
      <c r="O17" s="149"/>
      <c r="P17" s="164" t="s">
        <v>113</v>
      </c>
      <c r="Q17" s="165" t="s">
        <v>118</v>
      </c>
      <c r="R17" s="57"/>
      <c r="S17" s="177"/>
    </row>
    <row r="18" spans="1:19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119</v>
      </c>
      <c r="Q18" s="178"/>
      <c r="R18" s="97" t="str">
        <f>路口基本資料!$B$8</f>
        <v>YYYY/MM/DD</v>
      </c>
      <c r="S18" s="178"/>
    </row>
    <row r="19" spans="1:19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498"/>
      <c r="L19" s="143">
        <f>SUM(K17:M17)</f>
        <v>0</v>
      </c>
      <c r="M19" s="144"/>
      <c r="N19" s="145"/>
      <c r="O19" s="149"/>
      <c r="P19" s="167" t="s">
        <v>114</v>
      </c>
      <c r="Q19" s="168">
        <f>PHF及轉向比!AD99</f>
        <v>1500</v>
      </c>
      <c r="R19" s="168" t="s">
        <v>115</v>
      </c>
      <c r="S19" s="168">
        <f>PHF及轉向比!AE99</f>
        <v>1600</v>
      </c>
    </row>
    <row r="20" spans="1:19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120</v>
      </c>
      <c r="Q20" s="145"/>
      <c r="R20" s="145"/>
      <c r="S20" s="145"/>
    </row>
    <row r="21" spans="1:19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179"/>
      <c r="Q21" s="134"/>
      <c r="R21" s="134"/>
      <c r="S21" s="134"/>
    </row>
    <row r="22" spans="1:19" ht="21">
      <c r="A22" s="517" t="str">
        <f>SUBSTITUTE("x_大型車轉向交通量(假日白天離峰)","x",路口基本資料!B5)</f>
        <v>_大型車轉向交通量(假日白天離峰)</v>
      </c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</row>
    <row r="23" spans="1:19" ht="28.5" customHeight="1">
      <c r="A23" s="145"/>
      <c r="B23" s="135"/>
      <c r="C23" s="145"/>
      <c r="D23" s="171"/>
      <c r="E23" s="135"/>
      <c r="F23" s="172"/>
      <c r="G23" s="173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3"/>
      <c r="S23" s="173"/>
    </row>
    <row r="24" spans="1:19" ht="2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2"/>
      <c r="R24" s="134"/>
      <c r="S24" s="134"/>
    </row>
    <row r="25" spans="1:19" ht="21">
      <c r="A25" s="134"/>
      <c r="B25" s="134"/>
      <c r="C25" s="134"/>
      <c r="D25" s="134"/>
      <c r="E25" s="138"/>
      <c r="F25" s="134"/>
      <c r="G25" s="134"/>
      <c r="H25" s="137"/>
      <c r="I25" s="134"/>
      <c r="J25" s="140"/>
      <c r="K25" s="134"/>
      <c r="L25" s="134"/>
      <c r="M25" s="134"/>
      <c r="N25" s="134"/>
      <c r="O25" s="141"/>
      <c r="P25" s="134"/>
      <c r="Q25" s="142"/>
      <c r="R25" s="134"/>
      <c r="S25" s="134"/>
    </row>
    <row r="26" spans="1:19">
      <c r="A26" s="134"/>
      <c r="B26" s="134"/>
      <c r="C26" s="134"/>
      <c r="D26" s="134"/>
      <c r="E26" s="138"/>
      <c r="F26" s="134"/>
      <c r="G26" s="144"/>
      <c r="H26" s="143"/>
      <c r="I26" s="497"/>
      <c r="J26" s="140"/>
      <c r="K26" s="134"/>
      <c r="L26" s="134"/>
      <c r="M26" s="134"/>
      <c r="N26" s="134"/>
      <c r="O26" s="141"/>
      <c r="P26" s="134"/>
      <c r="Q26" s="134"/>
      <c r="R26" s="134"/>
      <c r="S26" s="134"/>
    </row>
    <row r="27" spans="1:19">
      <c r="A27" s="145"/>
      <c r="B27" s="145"/>
      <c r="C27" s="145"/>
      <c r="D27" s="145"/>
      <c r="E27" s="146"/>
      <c r="F27" s="145"/>
      <c r="G27" s="147"/>
      <c r="H27" s="147"/>
      <c r="I27" s="147"/>
      <c r="J27" s="148"/>
      <c r="K27" s="145"/>
      <c r="L27" s="143"/>
      <c r="M27" s="145"/>
      <c r="N27" s="145"/>
      <c r="O27" s="149"/>
      <c r="P27" s="145"/>
      <c r="Q27" s="145"/>
      <c r="R27" s="145"/>
      <c r="S27" s="145"/>
    </row>
    <row r="28" spans="1:19">
      <c r="A28" s="145"/>
      <c r="B28" s="145"/>
      <c r="C28" s="145"/>
      <c r="D28" s="145"/>
      <c r="E28" s="146"/>
      <c r="F28" s="145"/>
      <c r="G28" s="143"/>
      <c r="H28" s="143"/>
      <c r="I28" s="143"/>
      <c r="J28" s="145"/>
      <c r="K28" s="143"/>
      <c r="L28" s="143"/>
      <c r="M28" s="143"/>
      <c r="N28" s="145"/>
      <c r="O28" s="149"/>
      <c r="P28" s="145"/>
      <c r="Q28" s="145"/>
      <c r="R28" s="145"/>
      <c r="S28" s="145"/>
    </row>
    <row r="29" spans="1:19" ht="17.25" thickBot="1">
      <c r="A29" s="150"/>
      <c r="B29" s="150"/>
      <c r="C29" s="150"/>
      <c r="D29" s="150"/>
      <c r="E29" s="151"/>
      <c r="F29" s="145"/>
      <c r="G29" s="145"/>
      <c r="H29" s="145"/>
      <c r="I29" s="145"/>
      <c r="J29" s="145"/>
      <c r="K29" s="145"/>
      <c r="L29" s="145"/>
      <c r="M29" s="145"/>
      <c r="N29" s="145"/>
      <c r="O29" s="152"/>
      <c r="P29" s="150"/>
      <c r="Q29" s="150"/>
      <c r="R29" s="150"/>
      <c r="S29" s="150"/>
    </row>
    <row r="30" spans="1:19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 spans="1:19">
      <c r="A31" s="145"/>
      <c r="B31" s="145"/>
      <c r="C31" s="135"/>
      <c r="D31" s="143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3"/>
      <c r="Q31" s="147"/>
      <c r="R31" s="144"/>
      <c r="S31" s="145"/>
    </row>
    <row r="32" spans="1:19">
      <c r="A32" s="145"/>
      <c r="B32" s="145"/>
      <c r="C32" s="143"/>
      <c r="D32" s="143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/>
      <c r="Q32" s="147"/>
      <c r="R32" s="143"/>
      <c r="S32" s="153"/>
    </row>
    <row r="33" spans="1:19">
      <c r="A33" s="145"/>
      <c r="B33" s="145"/>
      <c r="C33" s="154"/>
      <c r="D33" s="143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/>
      <c r="Q33" s="147"/>
      <c r="R33" s="498"/>
      <c r="S33" s="145"/>
    </row>
    <row r="34" spans="1:19">
      <c r="A34" s="145"/>
      <c r="B34" s="148"/>
      <c r="C34" s="156"/>
      <c r="D34" s="15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57"/>
      <c r="Q34" s="157"/>
      <c r="R34" s="148"/>
      <c r="S34" s="145"/>
    </row>
    <row r="35" spans="1:19">
      <c r="A35" s="145"/>
      <c r="B35" s="496"/>
      <c r="C35" s="147"/>
      <c r="D35" s="143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3"/>
      <c r="Q35" s="135"/>
      <c r="R35" s="145"/>
      <c r="S35" s="145"/>
    </row>
    <row r="36" spans="1:19">
      <c r="A36" s="153"/>
      <c r="B36" s="143"/>
      <c r="C36" s="147"/>
      <c r="D36" s="143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/>
      <c r="Q36" s="143"/>
      <c r="R36" s="145"/>
      <c r="S36" s="145"/>
    </row>
    <row r="37" spans="1:19">
      <c r="A37" s="145"/>
      <c r="B37" s="144"/>
      <c r="C37" s="147"/>
      <c r="D37" s="143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/>
      <c r="Q37" s="145"/>
      <c r="R37" s="145"/>
      <c r="S37" s="145"/>
    </row>
    <row r="38" spans="1:19" ht="17.25" thickBo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 spans="1:19">
      <c r="A39" s="159"/>
      <c r="B39" s="159"/>
      <c r="C39" s="159"/>
      <c r="D39" s="159"/>
      <c r="E39" s="160"/>
      <c r="F39" s="145"/>
      <c r="G39" s="145"/>
      <c r="H39" s="145"/>
      <c r="I39" s="145"/>
      <c r="J39" s="145"/>
      <c r="K39" s="145"/>
      <c r="L39" s="145"/>
      <c r="M39" s="145"/>
      <c r="N39" s="145"/>
      <c r="O39" s="161"/>
      <c r="P39" s="175"/>
      <c r="Q39" s="176"/>
      <c r="R39" s="98"/>
      <c r="S39" s="176"/>
    </row>
    <row r="40" spans="1:19">
      <c r="A40" s="145"/>
      <c r="B40" s="145"/>
      <c r="C40" s="145"/>
      <c r="D40" s="145"/>
      <c r="E40" s="146"/>
      <c r="F40" s="145"/>
      <c r="G40" s="143"/>
      <c r="H40" s="143"/>
      <c r="I40" s="143"/>
      <c r="J40" s="145"/>
      <c r="K40" s="143"/>
      <c r="L40" s="143"/>
      <c r="M40" s="143"/>
      <c r="N40" s="145"/>
      <c r="O40" s="149"/>
      <c r="P40" s="164"/>
      <c r="Q40" s="165"/>
      <c r="R40" s="57"/>
      <c r="S40" s="177"/>
    </row>
    <row r="41" spans="1:19">
      <c r="A41" s="145"/>
      <c r="B41" s="145"/>
      <c r="C41" s="145"/>
      <c r="D41" s="145"/>
      <c r="E41" s="146"/>
      <c r="F41" s="145"/>
      <c r="G41" s="145"/>
      <c r="H41" s="143"/>
      <c r="I41" s="145"/>
      <c r="J41" s="140"/>
      <c r="K41" s="147"/>
      <c r="L41" s="147"/>
      <c r="M41" s="147"/>
      <c r="N41" s="145"/>
      <c r="O41" s="149"/>
      <c r="P41" s="166"/>
      <c r="Q41" s="165"/>
      <c r="R41" s="97"/>
      <c r="S41" s="178"/>
    </row>
    <row r="42" spans="1:19">
      <c r="A42" s="145"/>
      <c r="B42" s="145"/>
      <c r="C42" s="145"/>
      <c r="D42" s="145"/>
      <c r="E42" s="146"/>
      <c r="F42" s="145"/>
      <c r="G42" s="145"/>
      <c r="H42" s="145"/>
      <c r="I42" s="174"/>
      <c r="J42" s="134"/>
      <c r="K42" s="498"/>
      <c r="L42" s="143"/>
      <c r="M42" s="144"/>
      <c r="N42" s="145"/>
      <c r="O42" s="149"/>
      <c r="P42" s="167"/>
      <c r="Q42" s="168"/>
      <c r="R42" s="168"/>
      <c r="S42" s="168"/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45"/>
      <c r="J43" s="155"/>
      <c r="K43" s="135"/>
      <c r="L43" s="169"/>
      <c r="M43" s="145"/>
      <c r="N43" s="145"/>
      <c r="O43" s="149"/>
      <c r="P43" s="167"/>
      <c r="Q43" s="168"/>
      <c r="R43" s="145"/>
      <c r="S43" s="145"/>
    </row>
    <row r="44" spans="1:19">
      <c r="A44" s="145"/>
      <c r="B44" s="145"/>
      <c r="C44" s="145"/>
      <c r="D44" s="145"/>
      <c r="E44" s="145"/>
      <c r="F44" s="145"/>
      <c r="G44" s="145"/>
      <c r="H44" s="145"/>
      <c r="I44" s="145"/>
      <c r="J44" s="148"/>
      <c r="K44" s="135"/>
      <c r="L44" s="169"/>
      <c r="M44" s="145"/>
      <c r="N44" s="145"/>
      <c r="O44" s="145"/>
      <c r="P44" s="179"/>
      <c r="Q44" s="134"/>
      <c r="R44" s="134"/>
      <c r="S44" s="134"/>
    </row>
    <row r="45" spans="1:19" ht="21">
      <c r="A45" s="517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</row>
  </sheetData>
  <mergeCells count="2">
    <mergeCell ref="A22:S22"/>
    <mergeCell ref="A45:S4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46"/>
  <sheetViews>
    <sheetView workbookViewId="0">
      <selection activeCell="S20" sqref="S20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44"/>
      <c r="H3" s="143">
        <f>SUM(G5:I5)</f>
        <v>0</v>
      </c>
      <c r="I3" s="497"/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PHF及轉向比!DJ99</f>
        <v>0</v>
      </c>
      <c r="H5" s="143">
        <f>PHF及轉向比!DE99</f>
        <v>0</v>
      </c>
      <c r="I5" s="143">
        <f>PHF及轉向比!CY99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PHF及轉向比!AS99</f>
        <v>0</v>
      </c>
      <c r="Q8" s="147" t="str">
        <f>IF(R$9=0,"--",P8/R$9)</f>
        <v>--</v>
      </c>
      <c r="R8" s="14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PHF及轉向比!AN99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PHF及轉向比!AH99</f>
        <v>0</v>
      </c>
      <c r="Q10" s="147" t="str">
        <f>IF(R$9=0,"--",P10/R$9)</f>
        <v>--</v>
      </c>
      <c r="R10" s="498"/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496"/>
      <c r="C12" s="147" t="str">
        <f>IF(B$13=0,"--",D12/B$13)</f>
        <v>--</v>
      </c>
      <c r="D12" s="143">
        <f>PHF及轉向比!CB99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PHF及轉向比!CH99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44"/>
      <c r="C14" s="147" t="str">
        <f>IF(B$13=0,"--",D14/B$13)</f>
        <v>--</v>
      </c>
      <c r="D14" s="143">
        <f>PHF及轉向比!CM99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75" t="s">
        <v>117</v>
      </c>
      <c r="Q16" s="176"/>
      <c r="R16" s="98">
        <f>路口基本資料!$B$4</f>
        <v>0</v>
      </c>
      <c r="S16" s="159"/>
    </row>
    <row r="17" spans="1:19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PHF及轉向比!BE99</f>
        <v>0</v>
      </c>
      <c r="L17" s="143">
        <f>PHF及轉向比!BK99</f>
        <v>0</v>
      </c>
      <c r="M17" s="143">
        <f>PHF及轉向比!BP99</f>
        <v>0</v>
      </c>
      <c r="N17" s="145"/>
      <c r="O17" s="149"/>
      <c r="P17" s="164" t="s">
        <v>113</v>
      </c>
      <c r="Q17" s="165" t="s">
        <v>118</v>
      </c>
      <c r="R17" s="57"/>
      <c r="S17" s="177"/>
    </row>
    <row r="18" spans="1:19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108</v>
      </c>
      <c r="Q18" s="178"/>
      <c r="R18" s="97" t="str">
        <f>路口基本資料!$B$8</f>
        <v>YYYY/MM/DD</v>
      </c>
      <c r="S18" s="178"/>
    </row>
    <row r="19" spans="1:19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498"/>
      <c r="L19" s="143">
        <f>SUM(K17:M17)</f>
        <v>0</v>
      </c>
      <c r="M19" s="144"/>
      <c r="N19" s="145"/>
      <c r="O19" s="149"/>
      <c r="P19" s="167" t="s">
        <v>114</v>
      </c>
      <c r="Q19" s="168">
        <f>PHF及轉向比!AD99</f>
        <v>1500</v>
      </c>
      <c r="R19" s="168" t="s">
        <v>115</v>
      </c>
      <c r="S19" s="168">
        <f>PHF及轉向比!AE99</f>
        <v>1600</v>
      </c>
    </row>
    <row r="20" spans="1:19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120</v>
      </c>
      <c r="Q20" s="145"/>
      <c r="R20" s="145"/>
      <c r="S20" s="145"/>
    </row>
    <row r="21" spans="1:19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179"/>
      <c r="Q21" s="134"/>
      <c r="R21" s="134"/>
      <c r="S21" s="134"/>
    </row>
    <row r="22" spans="1:19" ht="21">
      <c r="A22" s="517" t="str">
        <f>SUBSTITUTE("x_小型車轉向交通量(假日白天離峰)","x",路口基本資料!B5)</f>
        <v>_小型車轉向交通量(假日白天離峰)</v>
      </c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</row>
    <row r="23" spans="1:19" ht="28.5" customHeight="1">
      <c r="A23" s="145"/>
      <c r="B23" s="135"/>
      <c r="C23" s="145"/>
      <c r="D23" s="171"/>
      <c r="E23" s="135"/>
      <c r="F23" s="172"/>
      <c r="G23" s="173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3"/>
      <c r="S23" s="173"/>
    </row>
    <row r="24" spans="1:19" ht="2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2"/>
      <c r="R24" s="134"/>
      <c r="S24" s="134"/>
    </row>
    <row r="25" spans="1:19" ht="21">
      <c r="A25" s="134"/>
      <c r="B25" s="134"/>
      <c r="C25" s="134"/>
      <c r="D25" s="134"/>
      <c r="E25" s="138"/>
      <c r="F25" s="134"/>
      <c r="G25" s="134"/>
      <c r="H25" s="137"/>
      <c r="I25" s="134"/>
      <c r="J25" s="140"/>
      <c r="K25" s="134"/>
      <c r="L25" s="134"/>
      <c r="M25" s="134"/>
      <c r="N25" s="134"/>
      <c r="O25" s="141"/>
      <c r="P25" s="134"/>
      <c r="Q25" s="142"/>
      <c r="R25" s="134"/>
      <c r="S25" s="134"/>
    </row>
    <row r="26" spans="1:19">
      <c r="A26" s="134"/>
      <c r="B26" s="134"/>
      <c r="C26" s="134"/>
      <c r="D26" s="134"/>
      <c r="E26" s="138"/>
      <c r="F26" s="134"/>
      <c r="G26" s="144"/>
      <c r="H26" s="143"/>
      <c r="I26" s="134"/>
      <c r="J26" s="140"/>
      <c r="K26" s="134"/>
      <c r="L26" s="134"/>
      <c r="M26" s="134"/>
      <c r="N26" s="134"/>
      <c r="O26" s="141"/>
      <c r="P26" s="134"/>
      <c r="Q26" s="134"/>
      <c r="R26" s="134"/>
      <c r="S26" s="134"/>
    </row>
    <row r="27" spans="1:19">
      <c r="A27" s="145"/>
      <c r="B27" s="145"/>
      <c r="C27" s="145"/>
      <c r="D27" s="145"/>
      <c r="E27" s="146"/>
      <c r="F27" s="145"/>
      <c r="G27" s="147"/>
      <c r="H27" s="147"/>
      <c r="I27" s="147"/>
      <c r="J27" s="148"/>
      <c r="K27" s="145"/>
      <c r="L27" s="143"/>
      <c r="M27" s="145"/>
      <c r="N27" s="145"/>
      <c r="O27" s="149"/>
      <c r="P27" s="145"/>
      <c r="Q27" s="145"/>
      <c r="R27" s="145"/>
      <c r="S27" s="145"/>
    </row>
    <row r="28" spans="1:19">
      <c r="A28" s="145"/>
      <c r="B28" s="145"/>
      <c r="C28" s="145"/>
      <c r="D28" s="145"/>
      <c r="E28" s="146"/>
      <c r="F28" s="145"/>
      <c r="G28" s="143"/>
      <c r="H28" s="143"/>
      <c r="I28" s="143"/>
      <c r="J28" s="145"/>
      <c r="K28" s="143"/>
      <c r="L28" s="143"/>
      <c r="M28" s="143"/>
      <c r="N28" s="145"/>
      <c r="O28" s="149"/>
      <c r="P28" s="145"/>
      <c r="Q28" s="145"/>
      <c r="R28" s="145"/>
      <c r="S28" s="145"/>
    </row>
    <row r="29" spans="1:19" ht="17.25" thickBot="1">
      <c r="A29" s="150"/>
      <c r="B29" s="150"/>
      <c r="C29" s="150"/>
      <c r="D29" s="150"/>
      <c r="E29" s="151"/>
      <c r="F29" s="145"/>
      <c r="G29" s="145"/>
      <c r="H29" s="145"/>
      <c r="I29" s="145"/>
      <c r="J29" s="145"/>
      <c r="K29" s="145"/>
      <c r="L29" s="145"/>
      <c r="M29" s="145"/>
      <c r="N29" s="145"/>
      <c r="O29" s="152"/>
      <c r="P29" s="150"/>
      <c r="Q29" s="150"/>
      <c r="R29" s="150"/>
      <c r="S29" s="150"/>
    </row>
    <row r="30" spans="1:19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 spans="1:19">
      <c r="A31" s="145"/>
      <c r="B31" s="145"/>
      <c r="C31" s="135"/>
      <c r="D31" s="143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3"/>
      <c r="Q31" s="147"/>
      <c r="R31" s="144"/>
      <c r="S31" s="145"/>
    </row>
    <row r="32" spans="1:19">
      <c r="A32" s="145"/>
      <c r="B32" s="145"/>
      <c r="C32" s="143"/>
      <c r="D32" s="143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/>
      <c r="Q32" s="147"/>
      <c r="R32" s="143"/>
      <c r="S32" s="153"/>
    </row>
    <row r="33" spans="1:19">
      <c r="A33" s="145"/>
      <c r="B33" s="145"/>
      <c r="C33" s="154"/>
      <c r="D33" s="143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/>
      <c r="Q33" s="147"/>
      <c r="R33" s="145"/>
      <c r="S33" s="145"/>
    </row>
    <row r="34" spans="1:19">
      <c r="A34" s="145"/>
      <c r="B34" s="148"/>
      <c r="C34" s="156"/>
      <c r="D34" s="15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57"/>
      <c r="Q34" s="157"/>
      <c r="R34" s="148"/>
      <c r="S34" s="145"/>
    </row>
    <row r="35" spans="1:19">
      <c r="A35" s="145"/>
      <c r="B35" s="135"/>
      <c r="C35" s="147"/>
      <c r="D35" s="143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3"/>
      <c r="Q35" s="135"/>
      <c r="R35" s="145"/>
      <c r="S35" s="145"/>
    </row>
    <row r="36" spans="1:19">
      <c r="A36" s="153"/>
      <c r="B36" s="143"/>
      <c r="C36" s="147"/>
      <c r="D36" s="143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/>
      <c r="Q36" s="143"/>
      <c r="R36" s="145"/>
      <c r="S36" s="145"/>
    </row>
    <row r="37" spans="1:19">
      <c r="A37" s="145"/>
      <c r="B37" s="144"/>
      <c r="C37" s="147"/>
      <c r="D37" s="143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/>
      <c r="Q37" s="145"/>
      <c r="R37" s="145"/>
      <c r="S37" s="145"/>
    </row>
    <row r="38" spans="1:19" ht="17.25" thickBo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 spans="1:19">
      <c r="A39" s="159"/>
      <c r="B39" s="159"/>
      <c r="C39" s="159"/>
      <c r="D39" s="159"/>
      <c r="E39" s="160"/>
      <c r="F39" s="145"/>
      <c r="G39" s="145"/>
      <c r="H39" s="145"/>
      <c r="I39" s="145"/>
      <c r="J39" s="145"/>
      <c r="K39" s="145"/>
      <c r="L39" s="145"/>
      <c r="M39" s="145"/>
      <c r="N39" s="145"/>
      <c r="O39" s="161"/>
      <c r="P39" s="175"/>
      <c r="Q39" s="176"/>
      <c r="R39" s="98"/>
      <c r="S39" s="159"/>
    </row>
    <row r="40" spans="1:19">
      <c r="A40" s="145"/>
      <c r="B40" s="145"/>
      <c r="C40" s="145"/>
      <c r="D40" s="145"/>
      <c r="E40" s="146"/>
      <c r="F40" s="145"/>
      <c r="G40" s="143"/>
      <c r="H40" s="143"/>
      <c r="I40" s="143"/>
      <c r="J40" s="145"/>
      <c r="K40" s="143"/>
      <c r="L40" s="143"/>
      <c r="M40" s="143"/>
      <c r="N40" s="145"/>
      <c r="O40" s="149"/>
      <c r="P40" s="164"/>
      <c r="Q40" s="165"/>
      <c r="R40" s="57"/>
      <c r="S40" s="177"/>
    </row>
    <row r="41" spans="1:19">
      <c r="A41" s="145"/>
      <c r="B41" s="145"/>
      <c r="C41" s="145"/>
      <c r="D41" s="145"/>
      <c r="E41" s="146"/>
      <c r="F41" s="145"/>
      <c r="G41" s="145"/>
      <c r="H41" s="143"/>
      <c r="I41" s="145"/>
      <c r="J41" s="140"/>
      <c r="K41" s="147"/>
      <c r="L41" s="147"/>
      <c r="M41" s="147"/>
      <c r="N41" s="145"/>
      <c r="O41" s="149"/>
      <c r="P41" s="166"/>
      <c r="Q41" s="165"/>
      <c r="R41" s="97"/>
      <c r="S41" s="178"/>
    </row>
    <row r="42" spans="1:19">
      <c r="A42" s="145"/>
      <c r="B42" s="145"/>
      <c r="C42" s="145"/>
      <c r="D42" s="145"/>
      <c r="E42" s="146"/>
      <c r="F42" s="145"/>
      <c r="G42" s="145"/>
      <c r="H42" s="145"/>
      <c r="I42" s="174"/>
      <c r="J42" s="134"/>
      <c r="K42" s="145"/>
      <c r="L42" s="143"/>
      <c r="M42" s="144"/>
      <c r="N42" s="145"/>
      <c r="O42" s="149"/>
      <c r="P42" s="167"/>
      <c r="Q42" s="168"/>
      <c r="R42" s="168"/>
      <c r="S42" s="168"/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45"/>
      <c r="J43" s="155"/>
      <c r="K43" s="135"/>
      <c r="L43" s="169"/>
      <c r="M43" s="145"/>
      <c r="N43" s="145"/>
      <c r="O43" s="149"/>
      <c r="P43" s="167"/>
      <c r="Q43" s="168"/>
      <c r="R43" s="145"/>
      <c r="S43" s="145"/>
    </row>
    <row r="44" spans="1:19">
      <c r="A44" s="145"/>
      <c r="B44" s="145"/>
      <c r="C44" s="145"/>
      <c r="D44" s="145"/>
      <c r="E44" s="145"/>
      <c r="F44" s="145"/>
      <c r="G44" s="145"/>
      <c r="H44" s="145"/>
      <c r="I44" s="145"/>
      <c r="J44" s="148"/>
      <c r="K44" s="135"/>
      <c r="L44" s="169"/>
      <c r="M44" s="145"/>
      <c r="N44" s="145"/>
      <c r="O44" s="145"/>
      <c r="P44" s="179"/>
      <c r="Q44" s="134"/>
      <c r="R44" s="134"/>
      <c r="S44" s="134"/>
    </row>
    <row r="45" spans="1:19" ht="21">
      <c r="A45" s="517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</row>
    <row r="46" spans="1:19" ht="17.25">
      <c r="I46" s="7"/>
      <c r="J46" s="7"/>
      <c r="K46" s="7"/>
    </row>
  </sheetData>
  <mergeCells count="2">
    <mergeCell ref="A22:S22"/>
    <mergeCell ref="A45:S45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45"/>
  <sheetViews>
    <sheetView workbookViewId="0">
      <selection activeCell="X22" sqref="X22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4"/>
      <c r="S1" s="134"/>
    </row>
    <row r="2" spans="1:19" ht="21">
      <c r="A2" s="134" t="s">
        <v>101</v>
      </c>
      <c r="B2" s="136"/>
      <c r="C2" s="137"/>
      <c r="D2" s="134"/>
      <c r="E2" s="138"/>
      <c r="F2" s="134"/>
      <c r="G2" s="134"/>
      <c r="H2" s="137" t="s">
        <v>102</v>
      </c>
      <c r="I2" s="139"/>
      <c r="J2" s="140">
        <f>'調查資料(OUT)'!AG8</f>
        <v>0</v>
      </c>
      <c r="K2" s="134"/>
      <c r="L2" s="134"/>
      <c r="M2" s="134"/>
      <c r="N2" s="134"/>
      <c r="O2" s="141"/>
      <c r="P2" s="134"/>
      <c r="Q2" s="142"/>
      <c r="R2" s="134"/>
      <c r="S2" s="134"/>
    </row>
    <row r="3" spans="1:19">
      <c r="A3" s="134"/>
      <c r="B3" s="134"/>
      <c r="C3" s="134"/>
      <c r="D3" s="134" t="s">
        <v>103</v>
      </c>
      <c r="E3" s="138" t="s">
        <v>103</v>
      </c>
      <c r="F3" s="134"/>
      <c r="G3" s="134"/>
      <c r="H3" s="143">
        <f>SUM(G5:I5)</f>
        <v>0</v>
      </c>
      <c r="I3" s="501" t="str">
        <f>IF(PHF及轉向比!$DA$100=0," ",-PHF及轉向比!$DA$100)</f>
        <v xml:space="preserve"> </v>
      </c>
      <c r="J3" s="140"/>
      <c r="K3" s="134"/>
      <c r="L3" s="134"/>
      <c r="M3" s="134"/>
      <c r="N3" s="134"/>
      <c r="O3" s="141"/>
      <c r="P3" s="134"/>
      <c r="Q3" s="134"/>
      <c r="R3" s="134"/>
      <c r="S3" s="134"/>
    </row>
    <row r="4" spans="1:19">
      <c r="A4" s="145"/>
      <c r="B4" s="145"/>
      <c r="C4" s="145"/>
      <c r="D4" s="145" t="s">
        <v>103</v>
      </c>
      <c r="E4" s="146"/>
      <c r="F4" s="145"/>
      <c r="G4" s="147" t="str">
        <f>IF($H3=0,"--",G5/$H3)</f>
        <v>--</v>
      </c>
      <c r="H4" s="147" t="str">
        <f>IF($H3=0,"--",H5/$H3)</f>
        <v>--</v>
      </c>
      <c r="I4" s="147" t="str">
        <f>IF($H3=0,"--",I5/$H3)</f>
        <v>--</v>
      </c>
      <c r="J4" s="148"/>
      <c r="K4" s="145"/>
      <c r="L4" s="143">
        <f>SUM(K5:M5)</f>
        <v>0</v>
      </c>
      <c r="M4" s="145"/>
      <c r="N4" s="145"/>
      <c r="O4" s="149"/>
      <c r="P4" s="145"/>
      <c r="Q4" s="134"/>
      <c r="R4" s="145"/>
      <c r="S4" s="145"/>
    </row>
    <row r="5" spans="1:19">
      <c r="A5" s="145"/>
      <c r="B5" s="145"/>
      <c r="C5" s="145"/>
      <c r="D5" s="145"/>
      <c r="E5" s="146"/>
      <c r="F5" s="145"/>
      <c r="G5" s="143">
        <f>PHF及轉向比!DK99</f>
        <v>0</v>
      </c>
      <c r="H5" s="143">
        <f>PHF及轉向比!DF99</f>
        <v>0</v>
      </c>
      <c r="I5" s="143">
        <f>PHF及轉向比!CZ99+PHF及轉向比!DA99</f>
        <v>0</v>
      </c>
      <c r="J5" s="145"/>
      <c r="K5" s="143">
        <f>+D12</f>
        <v>0</v>
      </c>
      <c r="L5" s="143">
        <f>+L17</f>
        <v>0</v>
      </c>
      <c r="M5" s="143">
        <f>+P8</f>
        <v>0</v>
      </c>
      <c r="N5" s="145"/>
      <c r="O5" s="149"/>
      <c r="P5" s="145"/>
      <c r="Q5" s="145"/>
      <c r="R5" s="145"/>
      <c r="S5" s="145"/>
    </row>
    <row r="6" spans="1:19" ht="17.25" thickBot="1">
      <c r="A6" s="150"/>
      <c r="B6" s="150"/>
      <c r="C6" s="150"/>
      <c r="D6" s="150"/>
      <c r="E6" s="151"/>
      <c r="F6" s="145"/>
      <c r="G6" s="145"/>
      <c r="H6" s="145"/>
      <c r="I6" s="145"/>
      <c r="J6" s="145"/>
      <c r="K6" s="145"/>
      <c r="L6" s="145"/>
      <c r="M6" s="145"/>
      <c r="N6" s="145"/>
      <c r="O6" s="152"/>
      <c r="P6" s="150"/>
      <c r="Q6" s="150"/>
      <c r="R6" s="150"/>
      <c r="S6" s="150"/>
    </row>
    <row r="7" spans="1:19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</row>
    <row r="8" spans="1:19">
      <c r="A8" s="145"/>
      <c r="B8" s="145"/>
      <c r="C8" s="135"/>
      <c r="D8" s="143">
        <f>+G5</f>
        <v>0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3">
        <f>PHF及轉向比!AT99</f>
        <v>0</v>
      </c>
      <c r="Q8" s="147" t="str">
        <f>IF(R$9=0,"--",P8/R$9)</f>
        <v>--</v>
      </c>
      <c r="R8" s="134"/>
      <c r="S8" s="145"/>
    </row>
    <row r="9" spans="1:19">
      <c r="A9" s="145"/>
      <c r="B9" s="145"/>
      <c r="C9" s="143">
        <f>SUM(D8:D10)</f>
        <v>0</v>
      </c>
      <c r="D9" s="143">
        <f>+P9</f>
        <v>0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3">
        <f>PHF及轉向比!AO99</f>
        <v>0</v>
      </c>
      <c r="Q9" s="147" t="str">
        <f>IF(R$9=0,"--",P9/R$9)</f>
        <v>--</v>
      </c>
      <c r="R9" s="143">
        <f>SUM(P8:P10)</f>
        <v>0</v>
      </c>
      <c r="S9" s="153" t="s">
        <v>104</v>
      </c>
    </row>
    <row r="10" spans="1:19">
      <c r="A10" s="145"/>
      <c r="B10" s="145"/>
      <c r="C10" s="154"/>
      <c r="D10" s="143">
        <f>+K17</f>
        <v>0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3">
        <f>PHF及轉向比!AI99+PHF及轉向比!AJ99</f>
        <v>0</v>
      </c>
      <c r="Q10" s="147" t="str">
        <f>IF(R$9=0,"--",P10/R$9)</f>
        <v>--</v>
      </c>
      <c r="R10" s="501" t="str">
        <f>IF(PHF及轉向比!$AJ$98=0," ",-PHF及轉向比!$AJ$100)</f>
        <v xml:space="preserve"> </v>
      </c>
      <c r="S10" s="145"/>
    </row>
    <row r="11" spans="1:19">
      <c r="A11" s="145"/>
      <c r="B11" s="155">
        <f>'調查資料(OUT)'!W8</f>
        <v>0</v>
      </c>
      <c r="C11" s="154"/>
      <c r="D11" s="156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57"/>
      <c r="Q11" s="158"/>
      <c r="R11" s="140">
        <f>'調查資料(OUT)'!C8</f>
        <v>0</v>
      </c>
      <c r="S11" s="145"/>
    </row>
    <row r="12" spans="1:19">
      <c r="A12" s="145"/>
      <c r="B12" s="501" t="str">
        <f>IF(PHF及轉向比!$CD$100=0," ",-PHF及轉向比!$CD$100)</f>
        <v xml:space="preserve"> </v>
      </c>
      <c r="C12" s="147" t="str">
        <f>IF(B$13=0,"--",D12/B$13)</f>
        <v>--</v>
      </c>
      <c r="D12" s="143">
        <f>PHF及轉向比!CC99+PHF及轉向比!CD99</f>
        <v>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3">
        <f>+I5</f>
        <v>0</v>
      </c>
      <c r="Q12" s="135"/>
      <c r="R12" s="145"/>
      <c r="S12" s="145"/>
    </row>
    <row r="13" spans="1:19">
      <c r="A13" s="153" t="s">
        <v>105</v>
      </c>
      <c r="B13" s="143">
        <f>SUM(D12:D14)</f>
        <v>0</v>
      </c>
      <c r="C13" s="147" t="str">
        <f>IF(B$13=0,"--",D13/B$13)</f>
        <v>--</v>
      </c>
      <c r="D13" s="143">
        <f>PHF及轉向比!CI99</f>
        <v>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3">
        <f>+D13</f>
        <v>0</v>
      </c>
      <c r="Q13" s="143">
        <f>SUM(P12:P14)</f>
        <v>0</v>
      </c>
      <c r="R13" s="145"/>
      <c r="S13" s="145"/>
    </row>
    <row r="14" spans="1:19">
      <c r="A14" s="145"/>
      <c r="B14" s="134"/>
      <c r="C14" s="147" t="str">
        <f>IF(B$13=0,"--",D14/B$13)</f>
        <v>--</v>
      </c>
      <c r="D14" s="143">
        <f>PHF及轉向比!CN99</f>
        <v>0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3">
        <f>+M17</f>
        <v>0</v>
      </c>
      <c r="Q14" s="145"/>
      <c r="R14" s="145"/>
      <c r="S14" s="145"/>
    </row>
    <row r="15" spans="1:19" ht="17.25" thickBo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</row>
    <row r="16" spans="1:19">
      <c r="A16" s="159"/>
      <c r="B16" s="159"/>
      <c r="C16" s="159"/>
      <c r="D16" s="159"/>
      <c r="E16" s="160"/>
      <c r="F16" s="145"/>
      <c r="G16" s="145"/>
      <c r="H16" s="145"/>
      <c r="I16" s="145"/>
      <c r="J16" s="145"/>
      <c r="K16" s="145"/>
      <c r="L16" s="145"/>
      <c r="M16" s="145"/>
      <c r="N16" s="145"/>
      <c r="O16" s="161"/>
      <c r="P16" s="175" t="s">
        <v>117</v>
      </c>
      <c r="Q16" s="176"/>
      <c r="R16" s="98">
        <f>路口基本資料!$B$4</f>
        <v>0</v>
      </c>
      <c r="S16" s="159"/>
    </row>
    <row r="17" spans="1:19">
      <c r="A17" s="145"/>
      <c r="B17" s="145"/>
      <c r="C17" s="145"/>
      <c r="D17" s="145"/>
      <c r="E17" s="146"/>
      <c r="F17" s="145"/>
      <c r="G17" s="143">
        <f>+D14</f>
        <v>0</v>
      </c>
      <c r="H17" s="143">
        <f>+H5</f>
        <v>0</v>
      </c>
      <c r="I17" s="143">
        <f>+P10</f>
        <v>0</v>
      </c>
      <c r="J17" s="145"/>
      <c r="K17" s="143">
        <f>PHF及轉向比!BF99+PHF及轉向比!BG99</f>
        <v>0</v>
      </c>
      <c r="L17" s="143">
        <f>PHF及轉向比!BL99</f>
        <v>0</v>
      </c>
      <c r="M17" s="143">
        <f>PHF及轉向比!BQ99</f>
        <v>0</v>
      </c>
      <c r="N17" s="145"/>
      <c r="O17" s="149"/>
      <c r="P17" s="164" t="s">
        <v>113</v>
      </c>
      <c r="Q17" s="165" t="s">
        <v>118</v>
      </c>
      <c r="R17" s="57"/>
      <c r="S17" s="177"/>
    </row>
    <row r="18" spans="1:19">
      <c r="A18" s="145"/>
      <c r="B18" s="145"/>
      <c r="C18" s="145"/>
      <c r="D18" s="145"/>
      <c r="E18" s="146"/>
      <c r="F18" s="145"/>
      <c r="G18" s="145"/>
      <c r="H18" s="143">
        <f>SUM(G17:I17)</f>
        <v>0</v>
      </c>
      <c r="I18" s="145"/>
      <c r="J18" s="140"/>
      <c r="K18" s="147" t="str">
        <f>IF($L19=0,"--",K17/$L19)</f>
        <v>--</v>
      </c>
      <c r="L18" s="147" t="str">
        <f>IF($L19=0,"--",L17/$L19)</f>
        <v>--</v>
      </c>
      <c r="M18" s="147" t="str">
        <f>IF($L19=0,"--",M17/$L19)</f>
        <v>--</v>
      </c>
      <c r="N18" s="145"/>
      <c r="O18" s="149"/>
      <c r="P18" s="166" t="s">
        <v>108</v>
      </c>
      <c r="Q18" s="178"/>
      <c r="R18" s="97" t="str">
        <f>路口基本資料!$B$8</f>
        <v>YYYY/MM/DD</v>
      </c>
      <c r="S18" s="178"/>
    </row>
    <row r="19" spans="1:19">
      <c r="A19" s="145"/>
      <c r="B19" s="145"/>
      <c r="C19" s="145"/>
      <c r="D19" s="145"/>
      <c r="E19" s="146"/>
      <c r="F19" s="145"/>
      <c r="G19" s="135"/>
      <c r="H19" s="145"/>
      <c r="I19" s="148"/>
      <c r="J19" s="134"/>
      <c r="K19" s="501" t="str">
        <f>IF(PHF及轉向比!$BG$100=0," ",-PHF及轉向比!$BG$100)</f>
        <v xml:space="preserve"> </v>
      </c>
      <c r="L19" s="143">
        <f>SUM(K17:M17)</f>
        <v>0</v>
      </c>
      <c r="M19" s="134"/>
      <c r="N19" s="145"/>
      <c r="O19" s="149"/>
      <c r="P19" s="167" t="s">
        <v>114</v>
      </c>
      <c r="Q19" s="168">
        <f>PHF及轉向比!AD99</f>
        <v>1500</v>
      </c>
      <c r="R19" s="168" t="s">
        <v>115</v>
      </c>
      <c r="S19" s="168">
        <f>PHF及轉向比!AE99</f>
        <v>1600</v>
      </c>
    </row>
    <row r="20" spans="1:19">
      <c r="A20" s="145"/>
      <c r="B20" s="145"/>
      <c r="C20" s="145"/>
      <c r="D20" s="145"/>
      <c r="E20" s="146"/>
      <c r="F20" s="145"/>
      <c r="G20" s="145"/>
      <c r="H20" s="145"/>
      <c r="I20" s="145"/>
      <c r="J20" s="140">
        <f>'調查資料(OUT)'!M8</f>
        <v>0</v>
      </c>
      <c r="K20" s="135"/>
      <c r="L20" s="169" t="s">
        <v>111</v>
      </c>
      <c r="M20" s="145"/>
      <c r="N20" s="145"/>
      <c r="O20" s="149"/>
      <c r="P20" s="167" t="s">
        <v>120</v>
      </c>
      <c r="Q20" s="145"/>
      <c r="R20" s="145"/>
      <c r="S20" s="145"/>
    </row>
    <row r="21" spans="1:19">
      <c r="A21" s="145"/>
      <c r="B21" s="145"/>
      <c r="C21" s="145"/>
      <c r="D21" s="145"/>
      <c r="E21" s="145"/>
      <c r="F21" s="145"/>
      <c r="G21" s="145"/>
      <c r="H21" s="145"/>
      <c r="I21" s="145"/>
      <c r="J21" s="148"/>
      <c r="K21" s="135"/>
      <c r="L21" s="169"/>
      <c r="M21" s="145"/>
      <c r="N21" s="145"/>
      <c r="O21" s="145"/>
      <c r="P21" s="170" t="str">
        <f>IF(OR(ISNUMBER(R10),ISNUMBER(K19),ISNUMBER(B12),ISNUMBER(I3)),"註：括弧為機車兩段式左轉量"," ")</f>
        <v xml:space="preserve"> </v>
      </c>
      <c r="Q21" s="134"/>
      <c r="R21" s="134"/>
      <c r="S21" s="134"/>
    </row>
    <row r="22" spans="1:19" ht="21">
      <c r="A22" s="517" t="str">
        <f>SUBSTITUTE("x_機車轉向交通量(假日白天離峰)","x",路口基本資料!B5)</f>
        <v>_機車轉向交通量(假日白天離峰)</v>
      </c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</row>
    <row r="23" spans="1:19" ht="28.5" customHeight="1">
      <c r="A23" s="145"/>
      <c r="B23" s="135"/>
      <c r="C23" s="145"/>
      <c r="D23" s="171"/>
      <c r="E23" s="135"/>
      <c r="F23" s="172"/>
      <c r="G23" s="173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3"/>
      <c r="S23" s="173"/>
    </row>
    <row r="24" spans="1:19" ht="2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2"/>
      <c r="R24" s="134"/>
      <c r="S24" s="134"/>
    </row>
    <row r="25" spans="1:19" ht="21">
      <c r="A25" s="134"/>
      <c r="B25" s="134"/>
      <c r="C25" s="134"/>
      <c r="D25" s="134"/>
      <c r="E25" s="138"/>
      <c r="F25" s="134"/>
      <c r="G25" s="134"/>
      <c r="H25" s="137"/>
      <c r="I25" s="134"/>
      <c r="J25" s="140"/>
      <c r="K25" s="134"/>
      <c r="L25" s="134"/>
      <c r="M25" s="134"/>
      <c r="N25" s="134"/>
      <c r="O25" s="141"/>
      <c r="P25" s="134"/>
      <c r="Q25" s="142"/>
      <c r="R25" s="134"/>
      <c r="S25" s="134"/>
    </row>
    <row r="26" spans="1:19">
      <c r="A26" s="134"/>
      <c r="B26" s="134"/>
      <c r="C26" s="134"/>
      <c r="D26" s="134"/>
      <c r="E26" s="138"/>
      <c r="F26" s="134"/>
      <c r="G26" s="134"/>
      <c r="H26" s="143"/>
      <c r="I26" s="501"/>
      <c r="J26" s="140"/>
      <c r="K26" s="134"/>
      <c r="L26" s="134"/>
      <c r="M26" s="134"/>
      <c r="N26" s="134"/>
      <c r="O26" s="141"/>
      <c r="P26" s="134"/>
      <c r="Q26" s="134"/>
      <c r="R26" s="134"/>
      <c r="S26" s="134"/>
    </row>
    <row r="27" spans="1:19">
      <c r="A27" s="145"/>
      <c r="B27" s="145"/>
      <c r="C27" s="145"/>
      <c r="D27" s="145"/>
      <c r="E27" s="146"/>
      <c r="F27" s="145"/>
      <c r="G27" s="147"/>
      <c r="H27" s="147"/>
      <c r="I27" s="147"/>
      <c r="J27" s="148"/>
      <c r="K27" s="145"/>
      <c r="L27" s="143"/>
      <c r="M27" s="145"/>
      <c r="N27" s="145"/>
      <c r="O27" s="149"/>
      <c r="P27" s="145"/>
      <c r="Q27" s="145"/>
      <c r="R27" s="145"/>
      <c r="S27" s="145"/>
    </row>
    <row r="28" spans="1:19">
      <c r="A28" s="145"/>
      <c r="B28" s="145"/>
      <c r="C28" s="145"/>
      <c r="D28" s="145"/>
      <c r="E28" s="146"/>
      <c r="F28" s="145"/>
      <c r="G28" s="143"/>
      <c r="H28" s="143"/>
      <c r="I28" s="143"/>
      <c r="J28" s="145"/>
      <c r="K28" s="143"/>
      <c r="L28" s="143"/>
      <c r="M28" s="143"/>
      <c r="N28" s="145"/>
      <c r="O28" s="149"/>
      <c r="P28" s="145"/>
      <c r="Q28" s="145"/>
      <c r="R28" s="145"/>
      <c r="S28" s="145"/>
    </row>
    <row r="29" spans="1:19" ht="17.25" thickBot="1">
      <c r="A29" s="150"/>
      <c r="B29" s="150"/>
      <c r="C29" s="150"/>
      <c r="D29" s="150"/>
      <c r="E29" s="151"/>
      <c r="F29" s="145"/>
      <c r="G29" s="145"/>
      <c r="H29" s="145"/>
      <c r="I29" s="145"/>
      <c r="J29" s="145"/>
      <c r="K29" s="145"/>
      <c r="L29" s="145"/>
      <c r="M29" s="145"/>
      <c r="N29" s="145"/>
      <c r="O29" s="152"/>
      <c r="P29" s="150"/>
      <c r="Q29" s="150"/>
      <c r="R29" s="150"/>
      <c r="S29" s="150"/>
    </row>
    <row r="30" spans="1:19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</row>
    <row r="31" spans="1:19">
      <c r="A31" s="145"/>
      <c r="B31" s="145"/>
      <c r="C31" s="135"/>
      <c r="D31" s="143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3"/>
      <c r="Q31" s="147"/>
      <c r="R31" s="134"/>
      <c r="S31" s="145"/>
    </row>
    <row r="32" spans="1:19">
      <c r="A32" s="145"/>
      <c r="B32" s="145"/>
      <c r="C32" s="143"/>
      <c r="D32" s="143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3"/>
      <c r="Q32" s="147"/>
      <c r="R32" s="143"/>
      <c r="S32" s="153"/>
    </row>
    <row r="33" spans="1:19">
      <c r="A33" s="145"/>
      <c r="B33" s="145"/>
      <c r="C33" s="154"/>
      <c r="D33" s="143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3"/>
      <c r="Q33" s="147"/>
      <c r="R33" s="501"/>
      <c r="S33" s="145"/>
    </row>
    <row r="34" spans="1:19">
      <c r="A34" s="145"/>
      <c r="B34" s="148"/>
      <c r="C34" s="156"/>
      <c r="D34" s="15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57"/>
      <c r="Q34" s="157"/>
      <c r="R34" s="148"/>
      <c r="S34" s="145"/>
    </row>
    <row r="35" spans="1:19">
      <c r="A35" s="145"/>
      <c r="B35" s="501"/>
      <c r="C35" s="147"/>
      <c r="D35" s="143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3"/>
      <c r="Q35" s="135"/>
      <c r="R35" s="145"/>
      <c r="S35" s="145"/>
    </row>
    <row r="36" spans="1:19">
      <c r="A36" s="153"/>
      <c r="B36" s="143"/>
      <c r="C36" s="147"/>
      <c r="D36" s="143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3"/>
      <c r="Q36" s="143"/>
      <c r="R36" s="145"/>
      <c r="S36" s="145"/>
    </row>
    <row r="37" spans="1:19">
      <c r="A37" s="145"/>
      <c r="B37" s="134"/>
      <c r="C37" s="147"/>
      <c r="D37" s="143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3"/>
      <c r="Q37" s="145"/>
      <c r="R37" s="145"/>
      <c r="S37" s="145"/>
    </row>
    <row r="38" spans="1:19" ht="17.25" thickBo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</row>
    <row r="39" spans="1:19">
      <c r="A39" s="159"/>
      <c r="B39" s="159"/>
      <c r="C39" s="159"/>
      <c r="D39" s="159"/>
      <c r="E39" s="160"/>
      <c r="F39" s="145"/>
      <c r="G39" s="145"/>
      <c r="H39" s="145"/>
      <c r="I39" s="145"/>
      <c r="J39" s="145"/>
      <c r="K39" s="145"/>
      <c r="L39" s="145"/>
      <c r="M39" s="145"/>
      <c r="N39" s="145"/>
      <c r="O39" s="161"/>
      <c r="P39" s="175"/>
      <c r="Q39" s="176"/>
      <c r="R39" s="98"/>
      <c r="S39" s="159"/>
    </row>
    <row r="40" spans="1:19">
      <c r="A40" s="145"/>
      <c r="B40" s="145"/>
      <c r="C40" s="145"/>
      <c r="D40" s="145"/>
      <c r="E40" s="146"/>
      <c r="F40" s="145"/>
      <c r="G40" s="143"/>
      <c r="H40" s="143"/>
      <c r="I40" s="143"/>
      <c r="J40" s="145"/>
      <c r="K40" s="143"/>
      <c r="L40" s="143"/>
      <c r="M40" s="143"/>
      <c r="N40" s="145"/>
      <c r="O40" s="149"/>
      <c r="P40" s="164"/>
      <c r="Q40" s="165"/>
      <c r="R40" s="57"/>
      <c r="S40" s="177"/>
    </row>
    <row r="41" spans="1:19">
      <c r="A41" s="145"/>
      <c r="B41" s="145"/>
      <c r="C41" s="145"/>
      <c r="D41" s="145"/>
      <c r="E41" s="146"/>
      <c r="F41" s="145"/>
      <c r="G41" s="145"/>
      <c r="H41" s="143"/>
      <c r="I41" s="145"/>
      <c r="J41" s="140"/>
      <c r="K41" s="147"/>
      <c r="L41" s="147"/>
      <c r="M41" s="147"/>
      <c r="N41" s="145"/>
      <c r="O41" s="149"/>
      <c r="P41" s="166"/>
      <c r="Q41" s="165"/>
      <c r="R41" s="97"/>
      <c r="S41" s="178"/>
    </row>
    <row r="42" spans="1:19">
      <c r="A42" s="145"/>
      <c r="B42" s="145"/>
      <c r="C42" s="145"/>
      <c r="D42" s="145"/>
      <c r="E42" s="146"/>
      <c r="F42" s="145"/>
      <c r="G42" s="145"/>
      <c r="H42" s="145"/>
      <c r="I42" s="174"/>
      <c r="J42" s="134"/>
      <c r="K42" s="501"/>
      <c r="L42" s="143"/>
      <c r="M42" s="134"/>
      <c r="N42" s="145"/>
      <c r="O42" s="149"/>
      <c r="P42" s="167"/>
      <c r="Q42" s="168"/>
      <c r="R42" s="168"/>
      <c r="S42" s="168"/>
    </row>
    <row r="43" spans="1:19">
      <c r="A43" s="145"/>
      <c r="B43" s="145"/>
      <c r="C43" s="145"/>
      <c r="D43" s="145"/>
      <c r="E43" s="146"/>
      <c r="F43" s="145"/>
      <c r="G43" s="145"/>
      <c r="H43" s="145"/>
      <c r="I43" s="145"/>
      <c r="J43" s="155"/>
      <c r="K43" s="135"/>
      <c r="L43" s="169"/>
      <c r="M43" s="145"/>
      <c r="N43" s="145"/>
      <c r="O43" s="149"/>
      <c r="P43" s="167"/>
      <c r="Q43" s="168"/>
      <c r="R43" s="145"/>
      <c r="S43" s="145"/>
    </row>
    <row r="44" spans="1:19">
      <c r="A44" s="145"/>
      <c r="B44" s="145"/>
      <c r="C44" s="145"/>
      <c r="D44" s="145"/>
      <c r="E44" s="145"/>
      <c r="F44" s="145"/>
      <c r="G44" s="145"/>
      <c r="H44" s="145"/>
      <c r="I44" s="145"/>
      <c r="J44" s="148"/>
      <c r="K44" s="135"/>
      <c r="L44" s="169"/>
      <c r="M44" s="145"/>
      <c r="N44" s="145"/>
      <c r="O44" s="145"/>
      <c r="P44" s="170"/>
      <c r="Q44" s="134"/>
      <c r="R44" s="134"/>
      <c r="S44" s="134"/>
    </row>
    <row r="45" spans="1:19" ht="21">
      <c r="A45" s="517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</row>
  </sheetData>
  <mergeCells count="2">
    <mergeCell ref="A22:S22"/>
    <mergeCell ref="A45:S4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9</vt:i4>
      </vt:variant>
    </vt:vector>
  </HeadingPairs>
  <TitlesOfParts>
    <vt:vector size="24" baseType="lpstr">
      <vt:lpstr>轉向量</vt:lpstr>
      <vt:lpstr>路口基本資料</vt:lpstr>
      <vt:lpstr>調查資料(OUT)</vt:lpstr>
      <vt:lpstr>PHF及轉向比</vt:lpstr>
      <vt:lpstr>流量分布圖</vt:lpstr>
      <vt:lpstr>轉向圖(尖峰)</vt:lpstr>
      <vt:lpstr>軟體分析用轉向圖(尖峰)</vt:lpstr>
      <vt:lpstr>大型車轉向圖(尖峰)</vt:lpstr>
      <vt:lpstr>小型車轉向圖(尖峰)</vt:lpstr>
      <vt:lpstr>機車轉向圖(尖峰)</vt:lpstr>
      <vt:lpstr>轉向圖(離峰)</vt:lpstr>
      <vt:lpstr>軟體分析用轉向圖(離峰)</vt:lpstr>
      <vt:lpstr>大型車轉向圖(離峰)</vt:lpstr>
      <vt:lpstr>小型車轉向圖(離峰)</vt:lpstr>
      <vt:lpstr>機車轉向圖(離峰)</vt:lpstr>
      <vt:lpstr>'大型車轉向圖(尖峰)'!Print_Area</vt:lpstr>
      <vt:lpstr>'小型車轉向圖(尖峰)'!Print_Area</vt:lpstr>
      <vt:lpstr>'軟體分析用轉向圖(尖峰)'!Print_Area</vt:lpstr>
      <vt:lpstr>'軟體分析用轉向圖(離峰)'!Print_Area</vt:lpstr>
      <vt:lpstr>'調查資料(OUT)'!Print_Area</vt:lpstr>
      <vt:lpstr>'機車轉向圖(尖峰)'!Print_Area</vt:lpstr>
      <vt:lpstr>'轉向圖(尖峰)'!Print_Area</vt:lpstr>
      <vt:lpstr>'轉向圖(離峰)'!Print_Area</vt:lpstr>
      <vt:lpstr>'調查資料(OUT)'!Print_Titles</vt:lpstr>
    </vt:vector>
  </TitlesOfParts>
  <Manager/>
  <Company>THI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subject/>
  <dc:creator>MAGIC</dc:creator>
  <cp:keywords/>
  <dc:description/>
  <cp:lastModifiedBy>許芝綾(Chih Ling Hsu)</cp:lastModifiedBy>
  <cp:revision/>
  <dcterms:created xsi:type="dcterms:W3CDTF">2000-10-03T09:03:59Z</dcterms:created>
  <dcterms:modified xsi:type="dcterms:W3CDTF">2025-06-28T10:02:54Z</dcterms:modified>
  <cp:category/>
  <cp:contentStatus/>
</cp:coreProperties>
</file>